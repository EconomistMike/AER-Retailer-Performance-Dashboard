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7050" activeTab="1"/>
  </bookViews>
  <sheets>
    <sheet name="Contents" sheetId="19" r:id="rId1"/>
    <sheet name="Res Elec Cust #s &amp; Mkt Contr" sheetId="1" r:id="rId2"/>
    <sheet name="SmlBiz Elec Cust #s &amp; Mkt Contr" sheetId="2" r:id="rId3"/>
    <sheet name="Lrg Elec Cust #s &amp; Mkt Contr" sheetId="3" r:id="rId4"/>
    <sheet name="Res Gas Cust #s &amp; Mkt Contr" sheetId="6" r:id="rId5"/>
    <sheet name="SmlBiz Gas Cust #s &amp; Mkt Contr" sheetId="5" r:id="rId6"/>
    <sheet name="Lrg Gas Cust #s &amp; Mkt Contr" sheetId="4" r:id="rId7"/>
    <sheet name="Switching" sheetId="20" r:id="rId8"/>
    <sheet name="Types of contracts Q4 2018 19" sheetId="17" r:id="rId9"/>
    <sheet name="Switch# Standard to Market" sheetId="24" r:id="rId10"/>
    <sheet name="Switch# Market to Standard" sheetId="26" r:id="rId11"/>
    <sheet name="Sheet7" sheetId="27" state="hidden" r:id="rId12"/>
    <sheet name="Expired - Changed benefits" sheetId="28" r:id="rId13"/>
    <sheet name="Deemed without contract" sheetId="29" r:id="rId14"/>
    <sheet name="Meter installation" sheetId="30" r:id="rId15"/>
    <sheet name="Tariff Structure" sheetId="31" r:id="rId16"/>
    <sheet name="Solar Tariffs -Gov &amp; Retailer" sheetId="32" r:id="rId17"/>
  </sheets>
  <definedNames>
    <definedName name="_xlnm._FilterDatabase" localSheetId="12" hidden="1">'Expired - Changed benefits'!$AB$1:$AB$79</definedName>
    <definedName name="_xlnm._FilterDatabase" localSheetId="14" hidden="1">'Meter installation'!#REF!</definedName>
    <definedName name="_xlnm._FilterDatabase" localSheetId="1" hidden="1">'Res Elec Cust #s &amp; Mkt Contr'!$A$1:$A$219</definedName>
    <definedName name="_xlnm._FilterDatabase" localSheetId="11" hidden="1">Sheet7!$AF$1:$AF$443</definedName>
    <definedName name="_xlnm._FilterDatabase" localSheetId="8" hidden="1">'Types of contracts Q4 2018 19'!$B$1:$B$220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0" l="1"/>
  <c r="AF360" i="27" l="1"/>
  <c r="AF361" i="27"/>
  <c r="AF362" i="27"/>
  <c r="AF363" i="27"/>
  <c r="AF364" i="27"/>
  <c r="AF365" i="27"/>
  <c r="AF366" i="27"/>
  <c r="AF367" i="27"/>
  <c r="AF368" i="27"/>
  <c r="AF369" i="27"/>
  <c r="AF370" i="27"/>
  <c r="AF371" i="27"/>
  <c r="AF372" i="27"/>
  <c r="AF373" i="27"/>
  <c r="AF374" i="27"/>
  <c r="AF375" i="27"/>
  <c r="AF376" i="27"/>
  <c r="AF377" i="27"/>
  <c r="AF378" i="27"/>
  <c r="AF379" i="27"/>
  <c r="AF380" i="27"/>
  <c r="AF381" i="27"/>
  <c r="AF382" i="27"/>
  <c r="AF383" i="27"/>
  <c r="AF384" i="27"/>
  <c r="AF385" i="27"/>
  <c r="AF386" i="27"/>
  <c r="AF387" i="27"/>
  <c r="AF388" i="27"/>
  <c r="AF389" i="27"/>
  <c r="AF390" i="27"/>
  <c r="AF391" i="27"/>
  <c r="AF392" i="27"/>
  <c r="AF393" i="27"/>
  <c r="AF394" i="27"/>
  <c r="AF395" i="27"/>
  <c r="AF396" i="27"/>
  <c r="AF397" i="27"/>
  <c r="AF398" i="27"/>
  <c r="AF399" i="27"/>
  <c r="AF400" i="27"/>
  <c r="AF401" i="27"/>
  <c r="AF402" i="27"/>
  <c r="AF403" i="27"/>
  <c r="AF404" i="27"/>
  <c r="AF405" i="27"/>
  <c r="AF406" i="27"/>
  <c r="AF407" i="27"/>
  <c r="AF408" i="27"/>
  <c r="AF409" i="27"/>
  <c r="AF410" i="27"/>
  <c r="AF411" i="27"/>
  <c r="AF412" i="27"/>
  <c r="AF413" i="27"/>
  <c r="AF414" i="27"/>
  <c r="AF415" i="27"/>
  <c r="AF416" i="27"/>
  <c r="AF417" i="27"/>
  <c r="AF418" i="27"/>
  <c r="AF419" i="27"/>
  <c r="AF420" i="27"/>
  <c r="AF421" i="27"/>
  <c r="AF422" i="27"/>
  <c r="AF423" i="27"/>
  <c r="AF424" i="27"/>
  <c r="AF425" i="27"/>
  <c r="AF426" i="27"/>
  <c r="AF427" i="27"/>
  <c r="AF359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321" i="27"/>
  <c r="AF322" i="27"/>
  <c r="AF323" i="27"/>
  <c r="AF324" i="27"/>
  <c r="AF325" i="27"/>
  <c r="AF326" i="27"/>
  <c r="AF327" i="27"/>
  <c r="AF328" i="27"/>
  <c r="AF329" i="27"/>
  <c r="AF330" i="27"/>
  <c r="AF331" i="27"/>
  <c r="AF332" i="27"/>
  <c r="AF333" i="27"/>
  <c r="AF334" i="27"/>
  <c r="AF335" i="27"/>
  <c r="AF336" i="27"/>
  <c r="AF337" i="27"/>
  <c r="AF338" i="27"/>
  <c r="AF339" i="27"/>
  <c r="AF340" i="27"/>
  <c r="AF341" i="27"/>
  <c r="AF342" i="27"/>
  <c r="AF343" i="27"/>
  <c r="AF344" i="27"/>
  <c r="AF345" i="27"/>
  <c r="AF346" i="27"/>
  <c r="AF347" i="27"/>
  <c r="AF348" i="27"/>
  <c r="AF349" i="27"/>
  <c r="AF350" i="27"/>
  <c r="AF351" i="27"/>
  <c r="AF352" i="27"/>
  <c r="AF353" i="27"/>
  <c r="AF354" i="27"/>
  <c r="AF355" i="27"/>
  <c r="AF356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17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14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09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75" i="27"/>
  <c r="AF76" i="27"/>
  <c r="AF4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3" i="27"/>
  <c r="I12" i="20" l="1"/>
</calcChain>
</file>

<file path=xl/sharedStrings.xml><?xml version="1.0" encoding="utf-8"?>
<sst xmlns="http://schemas.openxmlformats.org/spreadsheetml/2006/main" count="6764" uniqueCount="214">
  <si>
    <t xml:space="preserve">Quarterly </t>
  </si>
  <si>
    <t>Annual</t>
  </si>
  <si>
    <t>Electricity</t>
  </si>
  <si>
    <t>Residential</t>
  </si>
  <si>
    <t>National</t>
  </si>
  <si>
    <t>Customer numbers</t>
  </si>
  <si>
    <t>Market share</t>
  </si>
  <si>
    <t>Number of customers on market contracts</t>
  </si>
  <si>
    <t>Customers on market contracts %</t>
  </si>
  <si>
    <t>Retailer</t>
  </si>
  <si>
    <t>Q1 2018-19</t>
  </si>
  <si>
    <t>Q2 2018-19</t>
  </si>
  <si>
    <t>Q3 2018-19</t>
  </si>
  <si>
    <t>2014-15</t>
  </si>
  <si>
    <t>2015-16</t>
  </si>
  <si>
    <t>2016-17</t>
  </si>
  <si>
    <t>2017-18</t>
  </si>
  <si>
    <t>1st Energy</t>
  </si>
  <si>
    <t>ActewAGL</t>
  </si>
  <si>
    <t>AGL</t>
  </si>
  <si>
    <t>Alinta Energy</t>
  </si>
  <si>
    <t>amaysim Energy</t>
  </si>
  <si>
    <t>Aurora Energy</t>
  </si>
  <si>
    <t>Australian Power and Gas</t>
  </si>
  <si>
    <t>BlueNRG</t>
  </si>
  <si>
    <t>CovaU</t>
  </si>
  <si>
    <t>Diamond Energy</t>
  </si>
  <si>
    <t>Discover Energy</t>
  </si>
  <si>
    <t>Dodo</t>
  </si>
  <si>
    <t>Energy Locals</t>
  </si>
  <si>
    <t>EnergyAustralia</t>
  </si>
  <si>
    <t>Enova Energy</t>
  </si>
  <si>
    <t>Ergon Energy</t>
  </si>
  <si>
    <t>Evergy</t>
  </si>
  <si>
    <t>Flow Systems</t>
  </si>
  <si>
    <t>GoEnergy</t>
  </si>
  <si>
    <t>Locality Planning Energy</t>
  </si>
  <si>
    <t>Lumo Energy</t>
  </si>
  <si>
    <t>Metered Energy</t>
  </si>
  <si>
    <t>Mojo Power</t>
  </si>
  <si>
    <t>Momentum Energy</t>
  </si>
  <si>
    <t>Next Business Energy</t>
  </si>
  <si>
    <t>OC Energy</t>
  </si>
  <si>
    <t>Origin Energy</t>
  </si>
  <si>
    <t>People Energy</t>
  </si>
  <si>
    <t>Pooled Energy</t>
  </si>
  <si>
    <t>Power Club</t>
  </si>
  <si>
    <t>PowerHub</t>
  </si>
  <si>
    <t>Powershop</t>
  </si>
  <si>
    <t>Qenergy</t>
  </si>
  <si>
    <t>Real Utilities</t>
  </si>
  <si>
    <t>ReAmped Energy</t>
  </si>
  <si>
    <t>Red Energy</t>
  </si>
  <si>
    <t>Sanctuary Energy</t>
  </si>
  <si>
    <t>Savant Energy</t>
  </si>
  <si>
    <t>Simply Energy</t>
  </si>
  <si>
    <t>Sumo Power</t>
  </si>
  <si>
    <t>Sun Retail</t>
  </si>
  <si>
    <t>Tango Energy</t>
  </si>
  <si>
    <t>The Embedded Networks Company</t>
  </si>
  <si>
    <t>Urth Energy</t>
  </si>
  <si>
    <t>Winenergy</t>
  </si>
  <si>
    <t>National Total</t>
  </si>
  <si>
    <t>Jurisdictions</t>
  </si>
  <si>
    <t>ACT</t>
  </si>
  <si>
    <t>ACT Total</t>
  </si>
  <si>
    <t>NSW</t>
  </si>
  <si>
    <t>NSW Total</t>
  </si>
  <si>
    <t>QLD</t>
  </si>
  <si>
    <t>QLD Total</t>
  </si>
  <si>
    <t>SA</t>
  </si>
  <si>
    <t>SA Total</t>
  </si>
  <si>
    <t>TAS</t>
  </si>
  <si>
    <t>TAS Total</t>
  </si>
  <si>
    <t>Tier 1 Retailers</t>
  </si>
  <si>
    <t xml:space="preserve">National </t>
  </si>
  <si>
    <t>Tier 2 Retailers</t>
  </si>
  <si>
    <t>Total</t>
  </si>
  <si>
    <t>Small</t>
  </si>
  <si>
    <t>Enwave Mascot</t>
  </si>
  <si>
    <t>ERM Power</t>
  </si>
  <si>
    <t>Large</t>
  </si>
  <si>
    <t>COzero Energy</t>
  </si>
  <si>
    <t>CS Energy</t>
  </si>
  <si>
    <t>Delta Electricity</t>
  </si>
  <si>
    <t>Infigen Energy</t>
  </si>
  <si>
    <t>Macquarie Bank</t>
  </si>
  <si>
    <t>OzGen</t>
  </si>
  <si>
    <t>Progressive Green</t>
  </si>
  <si>
    <t>ReNu Energy</t>
  </si>
  <si>
    <t>SIMEC ZEN Energy</t>
  </si>
  <si>
    <t>Stanwell</t>
  </si>
  <si>
    <t>Gas</t>
  </si>
  <si>
    <t>Weston Energy</t>
  </si>
  <si>
    <t>% of customers</t>
  </si>
  <si>
    <t>Small Business</t>
  </si>
  <si>
    <t>Quarterly</t>
  </si>
  <si>
    <t>Standard to Market</t>
  </si>
  <si>
    <t xml:space="preserve">Solar customers that receive government funded feed-in tariff </t>
  </si>
  <si>
    <t>Solar customers that receive retailer (only) funded feed-in tariff</t>
  </si>
  <si>
    <t>Under the New Meter Deployment</t>
  </si>
  <si>
    <t xml:space="preserve"> As part of a meter repair or replacement schedule</t>
  </si>
  <si>
    <t xml:space="preserve"> As part of a new connection</t>
  </si>
  <si>
    <t xml:space="preserve"> As per a customer's request </t>
  </si>
  <si>
    <t xml:space="preserve">% of standard customer </t>
  </si>
  <si>
    <t>Market</t>
  </si>
  <si>
    <t xml:space="preserve">Standard </t>
  </si>
  <si>
    <t>Residential Contracts</t>
  </si>
  <si>
    <t>Small Business Contracts</t>
  </si>
  <si>
    <t>Large Contracts</t>
  </si>
  <si>
    <t>a flat or block retail tariff with no controlled load retail tariff</t>
  </si>
  <si>
    <t>a flat or block retail tariff with a controlled load retail tariff</t>
  </si>
  <si>
    <t>Contents</t>
  </si>
  <si>
    <t xml:space="preserve">Switching </t>
  </si>
  <si>
    <t>Deemed</t>
  </si>
  <si>
    <t xml:space="preserve">Contracts </t>
  </si>
  <si>
    <t>Customers who have switched from a standard contract to a market contract</t>
  </si>
  <si>
    <t>Customers who have moved from a market contract to a standard contract</t>
  </si>
  <si>
    <t>Customers with expired or changed benefits on their contracts</t>
  </si>
  <si>
    <t>Meters</t>
  </si>
  <si>
    <t xml:space="preserve">Reasons for a Type 4 or 4A meter installation </t>
  </si>
  <si>
    <t xml:space="preserve">Tariffs </t>
  </si>
  <si>
    <t xml:space="preserve">Tariff structures </t>
  </si>
  <si>
    <t xml:space="preserve">Solar Tariffs  - government or retailer funded </t>
  </si>
  <si>
    <t>Customers who are deemed without a contract</t>
  </si>
  <si>
    <t>This includes new data for Schedule 2, as defined in the new Retail Market Performance Guidelines.</t>
  </si>
  <si>
    <t>Powerdirect</t>
  </si>
  <si>
    <t>Residential/Small Business/Large</t>
  </si>
  <si>
    <t>Residential Contracts %</t>
  </si>
  <si>
    <t>Small Business Contracts %</t>
  </si>
  <si>
    <t>Large Contracts %</t>
  </si>
  <si>
    <t>% of market customers</t>
  </si>
  <si>
    <t>a time of use or flexible retail tariff with no underlying distributor based time of use or flexible network tariff</t>
  </si>
  <si>
    <t>a time of use or flexible retail tariff with an underlying distributor based time of use or flexible network tariff</t>
  </si>
  <si>
    <t xml:space="preserve">Total Solar customers that receive tariffs </t>
  </si>
  <si>
    <t>Indicators s2.1 s2.2 s2.6</t>
  </si>
  <si>
    <t>Indicator s2.3</t>
  </si>
  <si>
    <t>Indicators s2.5</t>
  </si>
  <si>
    <t>Indicators s2.6</t>
  </si>
  <si>
    <t>Indicators s2.7</t>
  </si>
  <si>
    <t>Indicators s2.8</t>
  </si>
  <si>
    <t>Indicators s2.9</t>
  </si>
  <si>
    <t>Spreadsheet includes</t>
  </si>
  <si>
    <t xml:space="preserve">Contract with changed / expired benefit </t>
  </si>
  <si>
    <t xml:space="preserve">Deemed arrangment  without Contract </t>
  </si>
  <si>
    <t>Electricity customers on a flat tariff with no controlled load [B]; Electricity customers on a flat tariff with a controlled load [C]; Electricity customers on a time of use or flexible retail tariff with no underlying distributor time of use or flexible network tariff [D]; Electricity customers on a time of use or flexible retail tariff with an underlying distributor based time of use or flexible network tariff [E]; % of electricity customers on a flat tariff with no controlled load [I]; % of electricity customers on a flat tariff with a controlled load [J]; % electricity customers on a time of use or flexible retail tariff with no underlying distributor time of use or flexible network tariff [K]; Electricity customers on a time of use or flexible retail tariff with an underlying distributor based time of use or flexible network tariff [L]</t>
  </si>
  <si>
    <t>Solar customers that receive government funded feed-in tariff [B]; % of customers [C]; Solar customers that receive retailer (only) funded feed-in tariff [E]; % of customers [F]; Total solar customers that receive tariffs [H]; % of customers [I]</t>
  </si>
  <si>
    <t>Electricity residential customers</t>
  </si>
  <si>
    <t xml:space="preserve">Electricity small business customers </t>
  </si>
  <si>
    <t xml:space="preserve">Electricity large customers </t>
  </si>
  <si>
    <t>Gas residential customers</t>
  </si>
  <si>
    <t xml:space="preserve">Gas small business customers </t>
  </si>
  <si>
    <t>Gas large customers</t>
  </si>
  <si>
    <t>Back to Contents</t>
  </si>
  <si>
    <t>Percentage of electricity residential and small business customers switching *</t>
  </si>
  <si>
    <t>Percentage of gas residential and small business customers switching *</t>
  </si>
  <si>
    <t>Quarter</t>
  </si>
  <si>
    <t>VIC</t>
  </si>
  <si>
    <t xml:space="preserve">* Note that the AER uses publically available data from AEMO combined with AER data for analysis </t>
  </si>
  <si>
    <t>Electricity switching data from AEMO can be found here</t>
  </si>
  <si>
    <t xml:space="preserve">Gas switching data from AEMO can be found here </t>
  </si>
  <si>
    <t xml:space="preserve"> </t>
  </si>
  <si>
    <t>Switching</t>
  </si>
  <si>
    <t xml:space="preserve">Types of contracts for  Q3 2018 19 - including market, standard and deemed customers </t>
  </si>
  <si>
    <t>Q4 2018-19</t>
  </si>
  <si>
    <t>2018-19</t>
  </si>
  <si>
    <t>Future X Power</t>
  </si>
  <si>
    <t>2014-15 to 2018-19</t>
  </si>
  <si>
    <t/>
  </si>
  <si>
    <t>Apex Energy</t>
  </si>
  <si>
    <t>EDL Retail</t>
  </si>
  <si>
    <t>ElectrAg</t>
  </si>
  <si>
    <t>GloBird Energy</t>
  </si>
  <si>
    <t>Neighbourhood Energy</t>
  </si>
  <si>
    <t>Positive Energy</t>
  </si>
  <si>
    <t>Starcorp Energy</t>
  </si>
  <si>
    <t>Sustainable Saving</t>
  </si>
  <si>
    <t>Indicator s2.4</t>
  </si>
  <si>
    <t>Market to Standard</t>
  </si>
  <si>
    <t>Reasons for a Type 4 or 4A meter installation and as a % of installations</t>
  </si>
  <si>
    <t>Total Installations</t>
  </si>
  <si>
    <t>Indicators s2.1.ai &amp; s2.2.ai, S2.6</t>
  </si>
  <si>
    <t>Indicators s2.1.aii &amp; s2.2.aii, s2.6</t>
  </si>
  <si>
    <t>Indicators s2.1.aiii &amp; s2.2.aiii, s2.6</t>
  </si>
  <si>
    <t>Indicators s2.1.bi &amp; s2.2.bi, 2.6</t>
  </si>
  <si>
    <t>Indicators s2.1.bii &amp; s2.2.bii, s2.6</t>
  </si>
  <si>
    <t>Indicators s2.1.biii &amp; s2.2.biii, s2.6</t>
  </si>
  <si>
    <t>Tariff structures and as a % Electricity customers</t>
  </si>
  <si>
    <t>% of Electricity customers</t>
  </si>
  <si>
    <t>Tariff</t>
  </si>
  <si>
    <t>Customer numbers^</t>
  </si>
  <si>
    <r>
      <rPr>
        <b/>
        <sz val="10"/>
        <color theme="1"/>
        <rFont val="Calibri"/>
        <family val="2"/>
        <scheme val="minor"/>
      </rPr>
      <t>Quarterly:</t>
    </r>
    <r>
      <rPr>
        <sz val="10"/>
        <color theme="1"/>
        <rFont val="Calibri"/>
        <family val="2"/>
        <scheme val="minor"/>
      </rPr>
      <t xml:space="preserve"> Percentage of electricity residential and small business customers switching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</si>
  <si>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by total numbers and % of market customers ;
 Small business customers by total numbers and % of market customers ; 
Large customers by total numbers and % of market customers ; 
</t>
    </r>
    <r>
      <rPr>
        <b/>
        <sz val="10"/>
        <color theme="1"/>
        <rFont val="Calibri"/>
        <family val="2"/>
        <scheme val="minor"/>
      </rPr>
      <t xml:space="preserve">Gas:
</t>
    </r>
    <r>
      <rPr>
        <sz val="10"/>
        <color theme="1"/>
        <rFont val="Calibri"/>
        <family val="2"/>
        <scheme val="minor"/>
      </rPr>
      <t xml:space="preserve">Residential customers by total numbers and % of market customers ; 
Small business customers by total numbers and % of market customers </t>
    </r>
  </si>
  <si>
    <t>This document contains data for the Retail energy market performance update for Quarter 1, 2019-20. Note that it only includes Schedule 2 data.</t>
  </si>
  <si>
    <t>Q1 2018-19 to Q1 2019-20</t>
  </si>
  <si>
    <t>Q1 2019-20</t>
  </si>
  <si>
    <t>Arc Energy</t>
  </si>
  <si>
    <t>Elysian Energy</t>
  </si>
  <si>
    <t>CleanPeak Energy</t>
  </si>
  <si>
    <t>Q3, Q4 2018-19 &amp; Q1 2019-20</t>
  </si>
  <si>
    <t xml:space="preserve">% of Market customer  </t>
  </si>
  <si>
    <t xml:space="preserve">                               </t>
  </si>
  <si>
    <r>
      <rPr>
        <b/>
        <sz val="10"/>
        <color theme="1"/>
        <rFont val="Calibri"/>
        <family val="2"/>
        <scheme val="minor"/>
      </rPr>
      <t>Quarterly:</t>
    </r>
    <r>
      <rPr>
        <sz val="10"/>
        <color theme="1"/>
        <rFont val="Calibri"/>
        <family val="2"/>
        <scheme val="minor"/>
      </rPr>
      <t xml:space="preserve">
Residential electricity customer numbers  by retailer and quarter ; retailer market share ; Number of customers on market contracts ; Customers on market contracts % ; 
</t>
    </r>
    <r>
      <rPr>
        <b/>
        <sz val="10"/>
        <color theme="1"/>
        <rFont val="Calibri"/>
        <family val="2"/>
        <scheme val="minor"/>
      </rPr>
      <t>Annual:</t>
    </r>
    <r>
      <rPr>
        <sz val="10"/>
        <color theme="1"/>
        <rFont val="Calibri"/>
        <family val="2"/>
        <scheme val="minor"/>
      </rPr>
      <t xml:space="preserve">
Residential electricity customer numbers ;  market share by retailer ; Numbers of customers on market contracts ; Customers on market contracts %      </t>
    </r>
  </si>
  <si>
    <r>
      <rPr>
        <b/>
        <sz val="10"/>
        <color theme="1"/>
        <rFont val="Calibri"/>
        <family val="2"/>
        <scheme val="minor"/>
      </rPr>
      <t>Quarterly</t>
    </r>
    <r>
      <rPr>
        <sz val="10"/>
        <color theme="1"/>
        <rFont val="Calibri"/>
        <family val="2"/>
        <scheme val="minor"/>
      </rPr>
      <t xml:space="preserve">
Small business electricity customer numbers by retailer and quarter ; retailer market share ; Number of customers on market contracts ; Customers on market contracts % ; 
</t>
    </r>
    <r>
      <rPr>
        <b/>
        <sz val="10"/>
        <color theme="1"/>
        <rFont val="Calibri"/>
        <family val="2"/>
        <scheme val="minor"/>
      </rPr>
      <t>Annual</t>
    </r>
    <r>
      <rPr>
        <sz val="10"/>
        <color theme="1"/>
        <rFont val="Calibri"/>
        <family val="2"/>
        <scheme val="minor"/>
      </rPr>
      <t xml:space="preserve">
Small business electricity customer numbers ; Market share ;  Number of customers on market contracts ; Customers on market contracts % </t>
    </r>
  </si>
  <si>
    <r>
      <rPr>
        <b/>
        <sz val="10"/>
        <color theme="1"/>
        <rFont val="Calibri"/>
        <family val="2"/>
        <scheme val="minor"/>
      </rPr>
      <t>Quarterly:</t>
    </r>
    <r>
      <rPr>
        <sz val="10"/>
        <color theme="1"/>
        <rFont val="Calibri"/>
        <family val="2"/>
        <scheme val="minor"/>
      </rPr>
      <t xml:space="preserve"> 
Large customer electricity customer numbers by retailer and quarter ; retailer market share ; Number of customers on market contracts ; Customers on market contracts % ; 
</t>
    </r>
    <r>
      <rPr>
        <b/>
        <sz val="10"/>
        <color theme="1"/>
        <rFont val="Calibri"/>
        <family val="2"/>
        <scheme val="minor"/>
      </rPr>
      <t>Annual:
L</t>
    </r>
    <r>
      <rPr>
        <sz val="10"/>
        <color theme="1"/>
        <rFont val="Calibri"/>
        <family val="2"/>
        <scheme val="minor"/>
      </rPr>
      <t xml:space="preserve">arge business electricity customer numbers ; Market share ;  Number of customers on market contracts ; Customers on market contracts % </t>
    </r>
  </si>
  <si>
    <r>
      <rPr>
        <b/>
        <sz val="10"/>
        <color theme="1"/>
        <rFont val="Calibri"/>
        <family val="2"/>
        <scheme val="minor"/>
      </rPr>
      <t xml:space="preserve">Quarterly: </t>
    </r>
    <r>
      <rPr>
        <sz val="10"/>
        <color theme="1"/>
        <rFont val="Calibri"/>
        <family val="2"/>
        <scheme val="minor"/>
      </rPr>
      <t xml:space="preserve">
Residential gas customer numbers  by retailer and quarter ; retailer market share ; Number of customers on market contracts ; Customers on market contracts % ; 
</t>
    </r>
    <r>
      <rPr>
        <b/>
        <sz val="10"/>
        <color theme="1"/>
        <rFont val="Calibri"/>
        <family val="2"/>
        <scheme val="minor"/>
      </rPr>
      <t>Annual:
R</t>
    </r>
    <r>
      <rPr>
        <sz val="10"/>
        <color theme="1"/>
        <rFont val="Calibri"/>
        <family val="2"/>
        <scheme val="minor"/>
      </rPr>
      <t xml:space="preserve">esidential gas customer numbers ; market share by retailer ; Numbers of customers on market contracts ; Customers on market contracts % </t>
    </r>
  </si>
  <si>
    <r>
      <rPr>
        <b/>
        <sz val="10"/>
        <color theme="1"/>
        <rFont val="Calibri"/>
        <family val="2"/>
        <scheme val="minor"/>
      </rPr>
      <t xml:space="preserve">Quarterly:
</t>
    </r>
    <r>
      <rPr>
        <sz val="10"/>
        <color theme="1"/>
        <rFont val="Calibri"/>
        <family val="2"/>
        <scheme val="minor"/>
      </rPr>
      <t xml:space="preserve">Small business gas customer numbers  by retailer and quarter ; retailer market share; Number of customers on market contracts  Customers on market contracts % ; 
</t>
    </r>
    <r>
      <rPr>
        <b/>
        <sz val="10"/>
        <color theme="1"/>
        <rFont val="Calibri"/>
        <family val="2"/>
        <scheme val="minor"/>
      </rPr>
      <t>Annual:</t>
    </r>
    <r>
      <rPr>
        <sz val="10"/>
        <color theme="1"/>
        <rFont val="Calibri"/>
        <family val="2"/>
        <scheme val="minor"/>
      </rPr>
      <t xml:space="preserve">
Small business gas customer numbers ; market share by retailer ; Numbers of customers on market contracts ; Customers on market contracts %     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</si>
  <si>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 customers who have switched from a standard to market offer and as a % of standard customers ; Small business customers who have switched from a standard to market offer and as a % of standard customers ; Large  customers who have switched from a standard to market offer and as a % of standard customers ; 
</t>
    </r>
    <r>
      <rPr>
        <b/>
        <sz val="10"/>
        <color theme="1"/>
        <rFont val="Calibri"/>
        <family val="2"/>
        <scheme val="minor"/>
      </rPr>
      <t>Gas:</t>
    </r>
    <r>
      <rPr>
        <sz val="10"/>
        <color theme="1"/>
        <rFont val="Calibri"/>
        <family val="2"/>
        <scheme val="minor"/>
      </rPr>
      <t xml:space="preserve">
Residential customers  customers who have switched from a standard to market offer and as a % of standard customers ; Small business customers who have switched from a standard to market offer and as a % of standard customers ; Large  customers who have switched from a standard to market offer and as a % of standard customers ;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</si>
  <si>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deemed without a contract ; % of market customers ; Small business customers deemed without a contract ; % of market customers ; Large customers deemed without a contract ; % of market customers ; 
</t>
    </r>
    <r>
      <rPr>
        <b/>
        <sz val="10"/>
        <color theme="1"/>
        <rFont val="Calibri"/>
        <family val="2"/>
        <scheme val="minor"/>
      </rPr>
      <t>Gas:</t>
    </r>
    <r>
      <rPr>
        <sz val="10"/>
        <color theme="1"/>
        <rFont val="Calibri"/>
        <family val="2"/>
        <scheme val="minor"/>
      </rPr>
      <t xml:space="preserve">
Residential customers deemed without a contract ; % of market customers ; Small business customers deemed without a contract ; % of market customers ; Large customers deemed without a contract ; % of market customers   </t>
    </r>
  </si>
  <si>
    <r>
      <rPr>
        <b/>
        <sz val="10"/>
        <color theme="1"/>
        <rFont val="Calibri"/>
        <family val="2"/>
        <scheme val="minor"/>
      </rPr>
      <t>Electricity:</t>
    </r>
    <r>
      <rPr>
        <sz val="10"/>
        <color theme="1"/>
        <rFont val="Calibri"/>
        <family val="2"/>
        <scheme val="minor"/>
      </rPr>
      <t xml:space="preserve">
Residential customers with contract with changed / expired benefit ; % of market customers ; Small business customers with contract with changed / expired benefit ; % of market customers ; 
</t>
    </r>
    <r>
      <rPr>
        <b/>
        <sz val="10"/>
        <color theme="1"/>
        <rFont val="Calibri"/>
        <family val="2"/>
        <scheme val="minor"/>
      </rPr>
      <t xml:space="preserve">Gas:
</t>
    </r>
    <r>
      <rPr>
        <sz val="10"/>
        <color theme="1"/>
        <rFont val="Calibri"/>
        <family val="2"/>
        <scheme val="minor"/>
      </rPr>
      <t xml:space="preserve">Residential customers with contract with changed / expired benefit ; % of market customers ; Small business customers with contract with changed / expired benefit ; % of market customers </t>
    </r>
  </si>
  <si>
    <t>Electricity customers reasons for a Type 4 or 4A meter installation ; Total installations ; % of installations [</t>
  </si>
  <si>
    <r>
      <rPr>
        <b/>
        <sz val="10"/>
        <color theme="1"/>
        <rFont val="Calibri"/>
        <family val="2"/>
        <scheme val="minor"/>
      </rPr>
      <t>Electricity</t>
    </r>
    <r>
      <rPr>
        <sz val="10"/>
        <color theme="1"/>
        <rFont val="Calibri"/>
        <family val="2"/>
        <scheme val="minor"/>
      </rPr>
      <t xml:space="preserve">
Numbers of residential electricity contracts - total, market, standard and deemed ; % market, standard and deemed residential contracts ; Numbers of small business electricity contracts - total, market, standard and deemed ; % market, standard and deemed small business contracts ; Numbers of large business electricity contracts - total, market, standard and deemed ; % market, standard and deemed large business contracts ; 
</t>
    </r>
    <r>
      <rPr>
        <b/>
        <sz val="10"/>
        <color theme="1"/>
        <rFont val="Calibri"/>
        <family val="2"/>
        <scheme val="minor"/>
      </rPr>
      <t xml:space="preserve">Gas:
</t>
    </r>
    <r>
      <rPr>
        <sz val="10"/>
        <color theme="1"/>
        <rFont val="Calibri"/>
        <family val="2"/>
        <scheme val="minor"/>
      </rPr>
      <t xml:space="preserve">Numbers of residential gas contracts - total, market, standard and deemed ; % market, standard and deemed residential contracts ; Numbers of small business gas contracts - total, market, standard and deemed ; % market, standard and deemed small business contracts ; Numbers of large business gas contracts - total, market, standard and deemed ; % market, standard and deemed large business contracts </t>
    </r>
  </si>
  <si>
    <r>
      <rPr>
        <b/>
        <sz val="10"/>
        <color theme="1"/>
        <rFont val="Calibri"/>
        <family val="2"/>
        <scheme val="minor"/>
      </rPr>
      <t xml:space="preserve">Quarterly:
</t>
    </r>
    <r>
      <rPr>
        <sz val="10"/>
        <color theme="1"/>
        <rFont val="Calibri"/>
        <family val="2"/>
        <scheme val="minor"/>
      </rPr>
      <t xml:space="preserve">Large customer gas customer numbers by retailer and quarter ; retailer market share ; Number of customers on market contracts ; Customers on market contracts % ; 
</t>
    </r>
    <r>
      <rPr>
        <b/>
        <sz val="10"/>
        <color theme="1"/>
        <rFont val="Calibri"/>
        <family val="2"/>
        <scheme val="minor"/>
      </rPr>
      <t>Annual:
L</t>
    </r>
    <r>
      <rPr>
        <sz val="10"/>
        <color theme="1"/>
        <rFont val="Calibri"/>
        <family val="2"/>
        <scheme val="minor"/>
      </rPr>
      <t xml:space="preserve">arge business gas customer numbers ; Market share ;  Number of customers on market contracts ; Customers on market contracts % </t>
    </r>
  </si>
  <si>
    <r>
      <rPr>
        <b/>
        <i/>
        <sz val="10"/>
        <rFont val="Calibri"/>
        <family val="2"/>
        <scheme val="minor"/>
      </rPr>
      <t xml:space="preserve">
Notes on retailer data</t>
    </r>
    <r>
      <rPr>
        <i/>
        <sz val="10"/>
        <rFont val="Calibri"/>
        <family val="2"/>
        <scheme val="minor"/>
      </rPr>
      <t xml:space="preserve">
In Q4, 2018-19, EnergyAustralia resubmitted its reported customer numbers across a range of categories, for all jurisdictions. These numbers vary by up to 15% from the originally submitted numbers. We received this data in November 2019, too late to incorporate into our analysis for our Annual Retail Markets Report 2018-19
EnergyAustralia’s revised customer numbers have now  been incorporated into this Q1 2019-20 report and data sets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</si>
</sst>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%"/>
    <numFmt numFmtId="165" formatCode="0.0"/>
    <numFmt numFmtId="166" formatCode="_-* #,##0.0_-;\-* #,##0.0_-;_-* &quot;-&quot;??_-;_-@_-"/>
    <numFmt numFmtId="167" formatCode="0.000%"/>
  </numFmts>
  <fonts count="2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43" fontId="15" fillId="0" borderId="0" applyFont="0" applyFill="0" applyBorder="0" applyAlignment="0" applyProtection="0"/>
  </cellStyleXfs>
  <cellXfs count="180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1" fontId="4" fillId="0" borderId="0" xfId="0" applyNumberFormat="1" applyFont="1" applyBorder="1"/>
    <xf numFmtId="1" fontId="2" fillId="0" borderId="0" xfId="0" applyNumberFormat="1" applyFont="1" applyBorder="1"/>
    <xf numFmtId="10" fontId="2" fillId="0" borderId="0" xfId="0" applyNumberFormat="1" applyFont="1" applyBorder="1"/>
    <xf numFmtId="164" fontId="2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/>
    <xf numFmtId="1" fontId="6" fillId="0" borderId="0" xfId="0" applyNumberFormat="1" applyFont="1" applyBorder="1"/>
    <xf numFmtId="10" fontId="7" fillId="0" borderId="0" xfId="0" applyNumberFormat="1" applyFont="1" applyBorder="1"/>
    <xf numFmtId="1" fontId="7" fillId="0" borderId="0" xfId="0" applyNumberFormat="1" applyFont="1" applyBorder="1"/>
    <xf numFmtId="164" fontId="7" fillId="0" borderId="0" xfId="0" applyNumberFormat="1" applyFont="1" applyBorder="1"/>
    <xf numFmtId="164" fontId="6" fillId="0" borderId="0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1" fontId="9" fillId="0" borderId="0" xfId="0" applyNumberFormat="1" applyFont="1"/>
    <xf numFmtId="1" fontId="10" fillId="0" borderId="0" xfId="0" applyNumberFormat="1" applyFont="1"/>
    <xf numFmtId="0" fontId="1" fillId="0" borderId="0" xfId="0" applyFont="1" applyAlignment="1"/>
    <xf numFmtId="0" fontId="6" fillId="0" borderId="0" xfId="0" applyFont="1" applyBorder="1" applyAlignment="1"/>
    <xf numFmtId="0" fontId="6" fillId="0" borderId="0" xfId="0" applyFont="1" applyBorder="1" applyAlignment="1">
      <alignment vertical="center" wrapText="1"/>
    </xf>
    <xf numFmtId="0" fontId="4" fillId="0" borderId="0" xfId="0" applyFont="1" applyBorder="1" applyAlignment="1"/>
    <xf numFmtId="0" fontId="11" fillId="0" borderId="0" xfId="0" applyFont="1"/>
    <xf numFmtId="0" fontId="6" fillId="0" borderId="0" xfId="0" applyFont="1" applyBorder="1" applyAlignment="1">
      <alignment horizontal="left" vertical="center" wrapText="1"/>
    </xf>
    <xf numFmtId="10" fontId="2" fillId="0" borderId="0" xfId="0" applyNumberFormat="1" applyFont="1"/>
    <xf numFmtId="0" fontId="6" fillId="0" borderId="0" xfId="0" applyFont="1" applyAlignment="1">
      <alignment horizontal="center" vertical="center"/>
    </xf>
    <xf numFmtId="10" fontId="1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4" fillId="0" borderId="0" xfId="1" applyFont="1"/>
    <xf numFmtId="17" fontId="2" fillId="0" borderId="0" xfId="0" applyNumberFormat="1" applyFont="1" applyAlignment="1">
      <alignment horizontal="left"/>
    </xf>
    <xf numFmtId="0" fontId="16" fillId="0" borderId="0" xfId="0" applyFont="1"/>
    <xf numFmtId="17" fontId="6" fillId="0" borderId="0" xfId="0" applyNumberFormat="1" applyFont="1" applyAlignment="1">
      <alignment horizontal="left"/>
    </xf>
    <xf numFmtId="17" fontId="6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4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" fontId="4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10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4" fontId="7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" fontId="6" fillId="0" borderId="0" xfId="0" applyNumberFormat="1" applyFont="1" applyBorder="1" applyAlignment="1">
      <alignment horizontal="right"/>
    </xf>
    <xf numFmtId="10" fontId="7" fillId="0" borderId="0" xfId="0" applyNumberFormat="1" applyFont="1" applyBorder="1" applyAlignment="1">
      <alignment horizontal="right"/>
    </xf>
    <xf numFmtId="1" fontId="7" fillId="0" borderId="0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5" fillId="0" borderId="0" xfId="0" applyNumberFormat="1" applyFont="1" applyBorder="1" applyAlignment="1">
      <alignment horizontal="right"/>
    </xf>
    <xf numFmtId="1" fontId="6" fillId="0" borderId="0" xfId="0" applyNumberFormat="1" applyFont="1" applyBorder="1" applyAlignment="1">
      <alignment horizontal="left"/>
    </xf>
    <xf numFmtId="1" fontId="14" fillId="0" borderId="0" xfId="1" applyNumberFormat="1" applyFont="1"/>
    <xf numFmtId="1" fontId="6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/>
    <xf numFmtId="9" fontId="0" fillId="0" borderId="0" xfId="0" applyNumberFormat="1"/>
    <xf numFmtId="1" fontId="1" fillId="0" borderId="0" xfId="0" applyNumberFormat="1" applyFont="1" applyAlignmen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" fillId="0" borderId="0" xfId="0" applyNumberFormat="1" applyFont="1" applyBorder="1" applyAlignment="1"/>
    <xf numFmtId="0" fontId="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164" fontId="1" fillId="0" borderId="0" xfId="0" applyNumberFormat="1" applyFont="1" applyAlignment="1"/>
    <xf numFmtId="0" fontId="1" fillId="0" borderId="0" xfId="0" applyFont="1" applyBorder="1" applyAlignment="1">
      <alignment horizontal="center"/>
    </xf>
    <xf numFmtId="0" fontId="13" fillId="0" borderId="0" xfId="1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4" fontId="3" fillId="0" borderId="0" xfId="0" applyNumberFormat="1" applyFont="1" applyBorder="1"/>
    <xf numFmtId="164" fontId="5" fillId="0" borderId="0" xfId="0" applyNumberFormat="1" applyFont="1" applyBorder="1"/>
    <xf numFmtId="164" fontId="1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/>
    <xf numFmtId="10" fontId="0" fillId="0" borderId="0" xfId="0" applyNumberFormat="1"/>
    <xf numFmtId="10" fontId="0" fillId="0" borderId="0" xfId="0" applyNumberFormat="1" applyAlignment="1">
      <alignment wrapText="1"/>
    </xf>
    <xf numFmtId="0" fontId="6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 applyAlignment="1">
      <alignment vertical="center"/>
    </xf>
    <xf numFmtId="0" fontId="21" fillId="0" borderId="0" xfId="0" applyFont="1"/>
    <xf numFmtId="164" fontId="11" fillId="0" borderId="0" xfId="0" applyNumberFormat="1" applyFont="1"/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164" fontId="3" fillId="0" borderId="0" xfId="0" applyNumberFormat="1" applyFont="1" applyBorder="1" applyAlignment="1">
      <alignment horizontal="right"/>
    </xf>
    <xf numFmtId="43" fontId="2" fillId="0" borderId="0" xfId="2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  <xf numFmtId="43" fontId="16" fillId="0" borderId="0" xfId="2" applyNumberFormat="1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13" fillId="0" borderId="0" xfId="1" applyFont="1" applyAlignment="1">
      <alignment vertical="center"/>
    </xf>
    <xf numFmtId="0" fontId="22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164" fontId="0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/>
    <xf numFmtId="1" fontId="4" fillId="0" borderId="0" xfId="0" applyNumberFormat="1" applyFont="1" applyBorder="1" applyAlignment="1"/>
    <xf numFmtId="1" fontId="6" fillId="0" borderId="0" xfId="0" applyNumberFormat="1" applyFont="1" applyBorder="1" applyAlignment="1"/>
    <xf numFmtId="164" fontId="6" fillId="0" borderId="0" xfId="0" applyNumberFormat="1" applyFont="1" applyBorder="1" applyAlignment="1"/>
    <xf numFmtId="167" fontId="1" fillId="0" borderId="0" xfId="0" applyNumberFormat="1" applyFo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3" fillId="0" borderId="0" xfId="0" applyFont="1"/>
    <xf numFmtId="0" fontId="17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9" fontId="6" fillId="0" borderId="0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3933825</xdr:colOff>
      <xdr:row>7</xdr:row>
      <xdr:rowOff>103253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33825" cy="1297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3933825</xdr:colOff>
      <xdr:row>7</xdr:row>
      <xdr:rowOff>103253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33825" cy="1297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er.gov.au/system/files/AER%20Retail%20Law%20Performance%20Reporting%20Procedures%20and%20Guidelines%20-%20January%202019%20%E2%80%93%20from%20Q3%202018-19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aemo.com.au/Gas/Retail-markets-and-metering/Data" TargetMode="External"/><Relationship Id="rId1" Type="http://schemas.openxmlformats.org/officeDocument/2006/relationships/hyperlink" Target="http://www.aemo.com.au/Electricity/National-Electricity-Market-NEM/Data/Metering/Retail-Transfer-Statistical-Dat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7"/>
  <sheetViews>
    <sheetView workbookViewId="0">
      <selection activeCell="A9" sqref="A9:B9"/>
    </sheetView>
  </sheetViews>
  <sheetFormatPr defaultColWidth="9.140625" defaultRowHeight="12.75" x14ac:dyDescent="0.25"/>
  <cols>
    <col min="1" max="1" width="82.42578125" style="56" customWidth="1"/>
    <col min="2" max="2" width="152.140625" style="55" customWidth="1"/>
    <col min="3" max="16384" width="9.140625" style="56"/>
  </cols>
  <sheetData>
    <row r="1" spans="1:2" x14ac:dyDescent="0.25">
      <c r="B1" s="163" t="s">
        <v>213</v>
      </c>
    </row>
    <row r="2" spans="1:2" x14ac:dyDescent="0.25">
      <c r="B2" s="164"/>
    </row>
    <row r="3" spans="1:2" x14ac:dyDescent="0.25">
      <c r="B3" s="164"/>
    </row>
    <row r="4" spans="1:2" x14ac:dyDescent="0.25">
      <c r="B4" s="164"/>
    </row>
    <row r="5" spans="1:2" x14ac:dyDescent="0.25">
      <c r="B5" s="164"/>
    </row>
    <row r="6" spans="1:2" x14ac:dyDescent="0.25">
      <c r="B6" s="164"/>
    </row>
    <row r="7" spans="1:2" x14ac:dyDescent="0.25">
      <c r="B7" s="164"/>
    </row>
    <row r="8" spans="1:2" x14ac:dyDescent="0.25">
      <c r="B8" s="164"/>
    </row>
    <row r="9" spans="1:2" ht="25.5" customHeight="1" x14ac:dyDescent="0.25">
      <c r="A9" s="165" t="s">
        <v>193</v>
      </c>
      <c r="B9" s="165"/>
    </row>
    <row r="10" spans="1:2" x14ac:dyDescent="0.25">
      <c r="A10" s="101" t="s">
        <v>125</v>
      </c>
    </row>
    <row r="12" spans="1:2" s="114" customFormat="1" ht="18.75" x14ac:dyDescent="0.25">
      <c r="A12" s="117" t="s">
        <v>112</v>
      </c>
      <c r="B12" s="113"/>
    </row>
    <row r="14" spans="1:2" s="119" customFormat="1" ht="15" x14ac:dyDescent="0.25">
      <c r="A14" s="117" t="s">
        <v>5</v>
      </c>
      <c r="B14" s="118" t="s">
        <v>142</v>
      </c>
    </row>
    <row r="15" spans="1:2" ht="51" x14ac:dyDescent="0.25">
      <c r="A15" s="101" t="s">
        <v>147</v>
      </c>
      <c r="B15" s="55" t="s">
        <v>202</v>
      </c>
    </row>
    <row r="16" spans="1:2" ht="51" x14ac:dyDescent="0.25">
      <c r="A16" s="101" t="s">
        <v>148</v>
      </c>
      <c r="B16" s="55" t="s">
        <v>203</v>
      </c>
    </row>
    <row r="17" spans="1:2" ht="51" x14ac:dyDescent="0.25">
      <c r="A17" s="101" t="s">
        <v>149</v>
      </c>
      <c r="B17" s="55" t="s">
        <v>204</v>
      </c>
    </row>
    <row r="18" spans="1:2" ht="51" x14ac:dyDescent="0.25">
      <c r="A18" s="101" t="s">
        <v>150</v>
      </c>
      <c r="B18" s="55" t="s">
        <v>205</v>
      </c>
    </row>
    <row r="19" spans="1:2" ht="51" x14ac:dyDescent="0.25">
      <c r="A19" s="101" t="s">
        <v>151</v>
      </c>
      <c r="B19" s="55" t="s">
        <v>206</v>
      </c>
    </row>
    <row r="20" spans="1:2" ht="51" x14ac:dyDescent="0.25">
      <c r="A20" s="101" t="s">
        <v>152</v>
      </c>
      <c r="B20" s="55" t="s">
        <v>212</v>
      </c>
    </row>
    <row r="22" spans="1:2" s="119" customFormat="1" ht="15" x14ac:dyDescent="0.25">
      <c r="A22" s="117" t="s">
        <v>113</v>
      </c>
      <c r="B22" s="120"/>
    </row>
    <row r="23" spans="1:2" x14ac:dyDescent="0.25">
      <c r="A23" s="101" t="s">
        <v>113</v>
      </c>
      <c r="B23" s="112" t="s">
        <v>191</v>
      </c>
    </row>
    <row r="24" spans="1:2" x14ac:dyDescent="0.25">
      <c r="B24" s="112"/>
    </row>
    <row r="25" spans="1:2" s="119" customFormat="1" ht="15" x14ac:dyDescent="0.25">
      <c r="A25" s="117" t="s">
        <v>115</v>
      </c>
      <c r="B25" s="120"/>
    </row>
    <row r="26" spans="1:2" ht="102" x14ac:dyDescent="0.25">
      <c r="A26" s="101" t="s">
        <v>163</v>
      </c>
      <c r="B26" s="55" t="s">
        <v>211</v>
      </c>
    </row>
    <row r="27" spans="1:2" ht="76.5" x14ac:dyDescent="0.25">
      <c r="A27" s="101" t="s">
        <v>116</v>
      </c>
      <c r="B27" s="55" t="s">
        <v>207</v>
      </c>
    </row>
    <row r="28" spans="1:2" ht="89.25" x14ac:dyDescent="0.25">
      <c r="A28" s="101" t="s">
        <v>117</v>
      </c>
      <c r="B28" s="55" t="s">
        <v>192</v>
      </c>
    </row>
    <row r="29" spans="1:2" ht="76.5" x14ac:dyDescent="0.25">
      <c r="A29" s="101" t="s">
        <v>118</v>
      </c>
      <c r="B29" s="55" t="s">
        <v>209</v>
      </c>
    </row>
    <row r="30" spans="1:2" ht="76.5" x14ac:dyDescent="0.25">
      <c r="A30" s="101" t="s">
        <v>124</v>
      </c>
      <c r="B30" s="55" t="s">
        <v>208</v>
      </c>
    </row>
    <row r="32" spans="1:2" s="119" customFormat="1" ht="15" x14ac:dyDescent="0.25">
      <c r="A32" s="117" t="s">
        <v>119</v>
      </c>
      <c r="B32" s="118"/>
    </row>
    <row r="33" spans="1:3" x14ac:dyDescent="0.25">
      <c r="A33" s="101" t="s">
        <v>120</v>
      </c>
      <c r="B33" s="55" t="s">
        <v>210</v>
      </c>
    </row>
    <row r="35" spans="1:3" s="119" customFormat="1" ht="15" x14ac:dyDescent="0.25">
      <c r="A35" s="117" t="s">
        <v>121</v>
      </c>
      <c r="B35" s="120"/>
      <c r="C35" s="117"/>
    </row>
    <row r="36" spans="1:3" ht="63.75" x14ac:dyDescent="0.25">
      <c r="A36" s="101" t="s">
        <v>122</v>
      </c>
      <c r="B36" s="55" t="s">
        <v>145</v>
      </c>
    </row>
    <row r="37" spans="1:3" ht="25.5" x14ac:dyDescent="0.25">
      <c r="A37" s="101" t="s">
        <v>123</v>
      </c>
      <c r="B37" s="55" t="s">
        <v>146</v>
      </c>
    </row>
  </sheetData>
  <mergeCells count="2">
    <mergeCell ref="B1:B8"/>
    <mergeCell ref="A9:B9"/>
  </mergeCells>
  <hyperlinks>
    <hyperlink ref="A15" location="'Res Elec Cust #s &amp; Mkt Contr'!A1" display="Electricity residential customers"/>
    <hyperlink ref="A18" location="'Res Gas Cust #s &amp; Mkt Contr'!A1" display="Gas residential customers"/>
    <hyperlink ref="A16" location="'SmlBiz Elec Cust #s &amp; Mkt Contr'!A1" display="Electricity small business customers "/>
    <hyperlink ref="A19" location="'SmlBiz Gas Cust #s &amp; Mkt Contr'!A1" display="Gas small business customers "/>
    <hyperlink ref="A17" location="'Lrg Elec Cust #s &amp; Mkt Contr'!A1" display="Electricity large customers "/>
    <hyperlink ref="A20" location="'Lrg Gas Cust #s &amp; Mkt Contr'!A1" display="Gas large customers"/>
    <hyperlink ref="A26" location="'Types of contracts Q3 2018 19'!A1" display="Types of customers for  Q3 2018 19 - including market, standard and deemed customers "/>
    <hyperlink ref="A27" location="'Switch# Standard to Market'!A1" display="Customers who have switched from a standard contract to a market contract"/>
    <hyperlink ref="A28" location="'Switch# Market to Standard'!A1" display="Customers who have moved from a market contract to a standard contract"/>
    <hyperlink ref="A29" location="'Expired - Changed benefits'!A1" display="Customers with expired or changed benefits on their contracts"/>
    <hyperlink ref="A30" location="'Deemed without contract'!A1" display="Customers who are deemed without a contract"/>
    <hyperlink ref="A33" location="'Meter installation'!A1" display="Reasons for a Type 4 or 4A meter installation "/>
    <hyperlink ref="A36" location="'Tariff Structure'!A1" display="Tariff structures "/>
    <hyperlink ref="A37" location="'Solar Tariffs -Gov &amp; Retailer'!A1" display="Solar Tariffs  - government or retailer funded "/>
    <hyperlink ref="A10" r:id="rId1"/>
    <hyperlink ref="A23" location="Switching!A1" display="Switching 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221"/>
  <sheetViews>
    <sheetView tabSelected="1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I3" sqref="I3"/>
    </sheetView>
  </sheetViews>
  <sheetFormatPr defaultColWidth="8.7109375" defaultRowHeight="12.75" x14ac:dyDescent="0.2"/>
  <cols>
    <col min="1" max="1" width="25.28515625" style="18" customWidth="1"/>
    <col min="2" max="2" width="13.28515625" style="67" customWidth="1"/>
    <col min="3" max="6" width="12.5703125" style="67" customWidth="1"/>
    <col min="7" max="11" width="12.5703125" style="82" customWidth="1"/>
    <col min="12" max="16" width="12.5703125" style="67" customWidth="1"/>
    <col min="17" max="21" width="12.5703125" style="82" customWidth="1"/>
    <col min="22" max="27" width="12.5703125" style="67" customWidth="1"/>
    <col min="28" max="32" width="12.5703125" style="82" customWidth="1"/>
    <col min="33" max="37" width="12.5703125" style="67" customWidth="1"/>
    <col min="38" max="42" width="12.5703125" style="82" customWidth="1"/>
    <col min="43" max="16384" width="8.7109375" style="67"/>
  </cols>
  <sheetData>
    <row r="1" spans="1:50" x14ac:dyDescent="0.2">
      <c r="A1" s="26" t="s">
        <v>96</v>
      </c>
      <c r="B1" s="65" t="s">
        <v>153</v>
      </c>
      <c r="C1" s="66"/>
      <c r="D1" s="147"/>
      <c r="W1" s="68" t="s">
        <v>1</v>
      </c>
    </row>
    <row r="2" spans="1:50" x14ac:dyDescent="0.2">
      <c r="A2" s="1" t="s">
        <v>181</v>
      </c>
      <c r="B2" s="69"/>
      <c r="C2" s="69"/>
      <c r="D2" s="70"/>
      <c r="E2" s="70"/>
      <c r="F2" s="70"/>
      <c r="G2" s="74"/>
      <c r="H2" s="121"/>
      <c r="I2" s="121"/>
      <c r="J2" s="121"/>
      <c r="K2" s="121"/>
      <c r="L2" s="71"/>
      <c r="M2" s="71"/>
      <c r="N2" s="71"/>
      <c r="O2" s="70"/>
      <c r="P2" s="70"/>
      <c r="Q2" s="74"/>
      <c r="R2" s="74"/>
      <c r="S2" s="74"/>
      <c r="T2" s="74"/>
      <c r="U2" s="74"/>
      <c r="V2" s="70"/>
      <c r="W2" s="68"/>
      <c r="X2" s="72"/>
      <c r="Y2" s="72"/>
      <c r="Z2" s="72"/>
      <c r="AA2" s="73"/>
      <c r="AB2" s="74"/>
      <c r="AC2" s="74"/>
      <c r="AD2" s="74"/>
      <c r="AE2" s="74"/>
      <c r="AF2" s="74"/>
      <c r="AG2" s="72"/>
      <c r="AH2" s="70"/>
      <c r="AI2" s="74"/>
      <c r="AJ2" s="74"/>
      <c r="AK2" s="74"/>
      <c r="AL2" s="74"/>
      <c r="AM2" s="83"/>
      <c r="AN2" s="83"/>
      <c r="AO2" s="83"/>
      <c r="AP2" s="83"/>
    </row>
    <row r="3" spans="1:50" x14ac:dyDescent="0.2">
      <c r="A3" s="1"/>
      <c r="B3" s="69"/>
      <c r="C3" s="69"/>
      <c r="D3" s="70"/>
      <c r="E3" s="70"/>
      <c r="F3" s="70"/>
      <c r="G3" s="74"/>
      <c r="H3" s="121"/>
      <c r="I3" s="121"/>
      <c r="J3" s="121"/>
      <c r="K3" s="121"/>
      <c r="L3" s="71"/>
      <c r="M3" s="71"/>
      <c r="N3" s="71"/>
      <c r="O3" s="70"/>
      <c r="P3" s="70"/>
      <c r="Q3" s="74"/>
      <c r="R3" s="74"/>
      <c r="S3" s="74"/>
      <c r="T3" s="74"/>
      <c r="U3" s="74"/>
      <c r="V3" s="70"/>
      <c r="W3" s="68"/>
      <c r="X3" s="72"/>
      <c r="Y3" s="72"/>
      <c r="Z3" s="72"/>
      <c r="AA3" s="73"/>
      <c r="AB3" s="74"/>
      <c r="AC3" s="74"/>
      <c r="AD3" s="74"/>
      <c r="AE3" s="74"/>
      <c r="AF3" s="74"/>
      <c r="AG3" s="72"/>
      <c r="AH3" s="70"/>
      <c r="AI3" s="74"/>
      <c r="AJ3" s="74"/>
      <c r="AK3" s="74"/>
      <c r="AL3" s="74"/>
      <c r="AM3" s="83"/>
      <c r="AN3" s="83"/>
      <c r="AO3" s="83"/>
      <c r="AP3" s="83"/>
    </row>
    <row r="4" spans="1:50" x14ac:dyDescent="0.2">
      <c r="A4" s="9" t="s">
        <v>194</v>
      </c>
      <c r="B4" s="75" t="s">
        <v>2</v>
      </c>
      <c r="C4" s="75" t="s">
        <v>3</v>
      </c>
      <c r="D4" s="71"/>
      <c r="E4" s="76"/>
      <c r="F4" s="77"/>
      <c r="G4" s="81"/>
      <c r="H4" s="121"/>
      <c r="I4" s="121"/>
      <c r="J4" s="121"/>
      <c r="K4" s="121"/>
      <c r="L4" s="71"/>
      <c r="M4" s="71"/>
      <c r="N4" s="71"/>
      <c r="O4" s="77"/>
      <c r="P4" s="77"/>
      <c r="Q4" s="81"/>
      <c r="R4" s="81"/>
      <c r="S4" s="81"/>
      <c r="T4" s="81"/>
      <c r="U4" s="81"/>
      <c r="V4" s="77"/>
      <c r="W4" s="84" t="s">
        <v>167</v>
      </c>
      <c r="X4" s="78"/>
      <c r="Y4" s="78" t="s">
        <v>2</v>
      </c>
      <c r="Z4" s="78" t="s">
        <v>3</v>
      </c>
      <c r="AA4" s="79"/>
      <c r="AB4" s="81"/>
      <c r="AC4" s="81"/>
      <c r="AD4" s="81"/>
      <c r="AE4" s="81"/>
      <c r="AF4" s="81"/>
      <c r="AG4" s="80"/>
      <c r="AH4" s="77"/>
      <c r="AI4" s="81"/>
      <c r="AJ4" s="81"/>
      <c r="AK4" s="81"/>
      <c r="AL4" s="81"/>
      <c r="AM4" s="83"/>
      <c r="AN4" s="83"/>
      <c r="AO4" s="83"/>
      <c r="AP4" s="83"/>
      <c r="AX4" s="67" t="s">
        <v>168</v>
      </c>
    </row>
    <row r="5" spans="1:50" x14ac:dyDescent="0.2">
      <c r="A5" s="1" t="s">
        <v>4</v>
      </c>
      <c r="B5" s="166" t="s">
        <v>5</v>
      </c>
      <c r="C5" s="166"/>
      <c r="D5" s="166"/>
      <c r="E5" s="166"/>
      <c r="F5" s="166"/>
      <c r="G5" s="167" t="s">
        <v>6</v>
      </c>
      <c r="H5" s="167"/>
      <c r="I5" s="167"/>
      <c r="J5" s="167"/>
      <c r="K5" s="167"/>
      <c r="L5" s="166" t="s">
        <v>7</v>
      </c>
      <c r="M5" s="166"/>
      <c r="N5" s="166"/>
      <c r="O5" s="166"/>
      <c r="P5" s="166"/>
      <c r="Q5" s="167" t="s">
        <v>8</v>
      </c>
      <c r="R5" s="167"/>
      <c r="S5" s="167"/>
      <c r="T5" s="167"/>
      <c r="U5" s="167"/>
      <c r="V5" s="69"/>
      <c r="W5" s="166" t="s">
        <v>190</v>
      </c>
      <c r="X5" s="166"/>
      <c r="Y5" s="166"/>
      <c r="Z5" s="166"/>
      <c r="AA5" s="166"/>
      <c r="AB5" s="167" t="s">
        <v>6</v>
      </c>
      <c r="AC5" s="167"/>
      <c r="AD5" s="167"/>
      <c r="AE5" s="167"/>
      <c r="AF5" s="167"/>
      <c r="AG5" s="166" t="s">
        <v>7</v>
      </c>
      <c r="AH5" s="166"/>
      <c r="AI5" s="166"/>
      <c r="AJ5" s="166"/>
      <c r="AK5" s="166"/>
      <c r="AL5" s="167" t="s">
        <v>8</v>
      </c>
      <c r="AM5" s="167"/>
      <c r="AN5" s="167"/>
      <c r="AO5" s="167"/>
      <c r="AP5" s="167"/>
      <c r="AX5" s="67" t="s">
        <v>168</v>
      </c>
    </row>
    <row r="6" spans="1:50" s="19" customFormat="1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164</v>
      </c>
      <c r="F6" s="10" t="s">
        <v>195</v>
      </c>
      <c r="G6" s="10" t="s">
        <v>10</v>
      </c>
      <c r="H6" s="10" t="s">
        <v>11</v>
      </c>
      <c r="I6" s="10" t="s">
        <v>12</v>
      </c>
      <c r="J6" s="10" t="s">
        <v>164</v>
      </c>
      <c r="K6" s="10" t="s">
        <v>195</v>
      </c>
      <c r="L6" s="10" t="s">
        <v>10</v>
      </c>
      <c r="M6" s="10" t="s">
        <v>11</v>
      </c>
      <c r="N6" s="10" t="s">
        <v>12</v>
      </c>
      <c r="O6" s="10" t="s">
        <v>164</v>
      </c>
      <c r="P6" s="10" t="s">
        <v>195</v>
      </c>
      <c r="Q6" s="10" t="s">
        <v>10</v>
      </c>
      <c r="R6" s="10" t="s">
        <v>11</v>
      </c>
      <c r="S6" s="10" t="s">
        <v>12</v>
      </c>
      <c r="T6" s="10" t="s">
        <v>164</v>
      </c>
      <c r="U6" s="10" t="s">
        <v>195</v>
      </c>
      <c r="V6" s="10"/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165</v>
      </c>
      <c r="AB6" s="17" t="s">
        <v>13</v>
      </c>
      <c r="AC6" s="17" t="s">
        <v>14</v>
      </c>
      <c r="AD6" s="17" t="s">
        <v>15</v>
      </c>
      <c r="AE6" s="17" t="s">
        <v>16</v>
      </c>
      <c r="AF6" s="17" t="s">
        <v>165</v>
      </c>
      <c r="AG6" s="13" t="s">
        <v>13</v>
      </c>
      <c r="AH6" s="13" t="s">
        <v>14</v>
      </c>
      <c r="AI6" s="13" t="s">
        <v>15</v>
      </c>
      <c r="AJ6" s="13" t="s">
        <v>16</v>
      </c>
      <c r="AK6" s="13" t="s">
        <v>165</v>
      </c>
      <c r="AL6" s="13" t="s">
        <v>13</v>
      </c>
      <c r="AM6" s="13" t="s">
        <v>14</v>
      </c>
      <c r="AN6" s="13" t="s">
        <v>15</v>
      </c>
      <c r="AO6" s="13" t="s">
        <v>16</v>
      </c>
      <c r="AP6" s="13" t="s">
        <v>165</v>
      </c>
      <c r="AQ6" s="37"/>
      <c r="AW6" s="19" t="s">
        <v>168</v>
      </c>
      <c r="AX6" s="19" t="s">
        <v>168</v>
      </c>
    </row>
    <row r="7" spans="1:50" s="19" customFormat="1" x14ac:dyDescent="0.2">
      <c r="A7" s="18" t="s">
        <v>17</v>
      </c>
      <c r="B7" s="19">
        <v>14757</v>
      </c>
      <c r="C7" s="19">
        <v>14716</v>
      </c>
      <c r="D7" s="19">
        <v>13760</v>
      </c>
      <c r="E7" s="19">
        <v>14019</v>
      </c>
      <c r="F7" s="19">
        <v>14479</v>
      </c>
      <c r="G7" s="20">
        <v>2.3283054221731924E-3</v>
      </c>
      <c r="H7" s="20">
        <v>2.3105715241686E-3</v>
      </c>
      <c r="I7" s="20">
        <v>2.1340936662395376E-3</v>
      </c>
      <c r="J7" s="20">
        <v>2.1824044246502262E-3</v>
      </c>
      <c r="K7" s="20">
        <v>2.2312168800132648E-3</v>
      </c>
      <c r="L7" s="19">
        <v>14235</v>
      </c>
      <c r="M7" s="19">
        <v>14149</v>
      </c>
      <c r="N7" s="19">
        <v>13169</v>
      </c>
      <c r="O7" s="19">
        <v>13377</v>
      </c>
      <c r="P7" s="19">
        <v>13798</v>
      </c>
      <c r="Q7" s="20">
        <v>0.96462695669851595</v>
      </c>
      <c r="R7" s="20">
        <v>0.96147050829029623</v>
      </c>
      <c r="S7" s="20">
        <v>0.9570494186046512</v>
      </c>
      <c r="T7" s="20">
        <v>0.95420500748983528</v>
      </c>
      <c r="U7" s="20">
        <v>0.9529663650804614</v>
      </c>
      <c r="W7" s="19">
        <v>0</v>
      </c>
      <c r="X7" s="19">
        <v>4078</v>
      </c>
      <c r="Y7" s="19">
        <v>9482</v>
      </c>
      <c r="Z7" s="19">
        <v>13118</v>
      </c>
      <c r="AA7" s="19">
        <v>14019</v>
      </c>
      <c r="AB7" s="20">
        <v>0</v>
      </c>
      <c r="AC7" s="20">
        <v>6.6862236248316968E-4</v>
      </c>
      <c r="AD7" s="20">
        <v>1.5336458313283958E-3</v>
      </c>
      <c r="AE7" s="20">
        <v>2.0809152092883883E-3</v>
      </c>
      <c r="AF7" s="20">
        <v>2.1824044246502262E-3</v>
      </c>
      <c r="AG7" s="19">
        <v>0</v>
      </c>
      <c r="AH7" s="19">
        <v>4078</v>
      </c>
      <c r="AI7" s="19">
        <v>9468</v>
      </c>
      <c r="AJ7" s="19">
        <v>12675</v>
      </c>
      <c r="AK7" s="19">
        <v>13377</v>
      </c>
      <c r="AL7" s="20">
        <v>0</v>
      </c>
      <c r="AM7" s="20">
        <v>1</v>
      </c>
      <c r="AN7" s="20">
        <v>0.998523518245096</v>
      </c>
      <c r="AO7" s="20">
        <v>0.96622960817197745</v>
      </c>
      <c r="AP7" s="20">
        <v>0.95420500748983528</v>
      </c>
      <c r="AQ7" s="37"/>
      <c r="AW7" s="19" t="s">
        <v>168</v>
      </c>
      <c r="AX7" s="19" t="s">
        <v>168</v>
      </c>
    </row>
    <row r="8" spans="1:50" s="19" customFormat="1" x14ac:dyDescent="0.2">
      <c r="A8" s="18" t="s">
        <v>18</v>
      </c>
      <c r="B8" s="19">
        <v>178744</v>
      </c>
      <c r="C8" s="19">
        <v>175714</v>
      </c>
      <c r="D8" s="19">
        <v>173678</v>
      </c>
      <c r="E8" s="19">
        <v>171311</v>
      </c>
      <c r="F8" s="19">
        <v>170389</v>
      </c>
      <c r="G8" s="20">
        <v>2.8201573787417843E-2</v>
      </c>
      <c r="H8" s="20">
        <v>2.7589002772340405E-2</v>
      </c>
      <c r="I8" s="20">
        <v>2.6936418587583607E-2</v>
      </c>
      <c r="J8" s="20">
        <v>2.6668798373011976E-2</v>
      </c>
      <c r="K8" s="20">
        <v>2.6256979968822446E-2</v>
      </c>
      <c r="L8" s="19">
        <v>84268</v>
      </c>
      <c r="M8" s="19">
        <v>86911</v>
      </c>
      <c r="N8" s="19">
        <v>68828</v>
      </c>
      <c r="O8" s="19">
        <v>78247</v>
      </c>
      <c r="P8" s="19">
        <v>85596</v>
      </c>
      <c r="Q8" s="20">
        <v>0.47144519536320101</v>
      </c>
      <c r="R8" s="20">
        <v>0.49461625140853888</v>
      </c>
      <c r="S8" s="20">
        <v>0.396296594847937</v>
      </c>
      <c r="T8" s="20">
        <v>0.45675409051374399</v>
      </c>
      <c r="U8" s="20">
        <v>0.50235637277054268</v>
      </c>
      <c r="W8" s="19">
        <v>182478</v>
      </c>
      <c r="X8" s="19">
        <v>181283</v>
      </c>
      <c r="Y8" s="19">
        <v>180567</v>
      </c>
      <c r="Z8" s="19">
        <v>180579</v>
      </c>
      <c r="AA8" s="19">
        <v>171311</v>
      </c>
      <c r="AB8" s="20">
        <v>4.3934639525188661E-2</v>
      </c>
      <c r="AC8" s="20">
        <v>2.9722870950965288E-2</v>
      </c>
      <c r="AD8" s="20">
        <v>2.9205423626394687E-2</v>
      </c>
      <c r="AE8" s="20">
        <v>2.8645341330849814E-2</v>
      </c>
      <c r="AF8" s="20">
        <v>2.6668798373011976E-2</v>
      </c>
      <c r="AG8" s="19">
        <v>51974</v>
      </c>
      <c r="AH8" s="19">
        <v>47420</v>
      </c>
      <c r="AI8" s="19">
        <v>34719</v>
      </c>
      <c r="AJ8" s="19">
        <v>71987</v>
      </c>
      <c r="AK8" s="19">
        <v>78247</v>
      </c>
      <c r="AL8" s="20">
        <v>0.2848233759686099</v>
      </c>
      <c r="AM8" s="20">
        <v>0.26157996061406752</v>
      </c>
      <c r="AN8" s="20">
        <v>0.19227765870840186</v>
      </c>
      <c r="AO8" s="20">
        <v>0.39864546818843832</v>
      </c>
      <c r="AP8" s="20">
        <v>0.45675409051374399</v>
      </c>
      <c r="AQ8" s="37"/>
      <c r="AW8" s="19" t="s">
        <v>168</v>
      </c>
      <c r="AX8" s="19" t="s">
        <v>168</v>
      </c>
    </row>
    <row r="9" spans="1:50" s="19" customFormat="1" x14ac:dyDescent="0.2">
      <c r="A9" s="18" t="s">
        <v>19</v>
      </c>
      <c r="B9" s="19">
        <v>1375803</v>
      </c>
      <c r="C9" s="19">
        <v>1373750</v>
      </c>
      <c r="D9" s="19">
        <v>1381988</v>
      </c>
      <c r="E9" s="19">
        <v>1376845</v>
      </c>
      <c r="F9" s="19">
        <v>1375298</v>
      </c>
      <c r="G9" s="20">
        <v>0.21706915936451476</v>
      </c>
      <c r="H9" s="20">
        <v>0.21569364170471694</v>
      </c>
      <c r="I9" s="20">
        <v>0.21433806959440743</v>
      </c>
      <c r="J9" s="20">
        <v>0.2143400114171867</v>
      </c>
      <c r="K9" s="20">
        <v>0.2119337048586562</v>
      </c>
      <c r="L9" s="19">
        <v>1232875</v>
      </c>
      <c r="M9" s="19">
        <v>1231128</v>
      </c>
      <c r="N9" s="19">
        <v>1238710</v>
      </c>
      <c r="O9" s="19">
        <v>1238761</v>
      </c>
      <c r="P9" s="19">
        <v>1239617</v>
      </c>
      <c r="Q9" s="20">
        <v>0.89611303362472683</v>
      </c>
      <c r="R9" s="20">
        <v>0.89618052775250223</v>
      </c>
      <c r="S9" s="20">
        <v>0.89632471483109843</v>
      </c>
      <c r="T9" s="20">
        <v>0.89970984388220898</v>
      </c>
      <c r="U9" s="20">
        <v>0.90134429047377373</v>
      </c>
      <c r="W9" s="19">
        <v>1055795</v>
      </c>
      <c r="X9" s="19">
        <v>1406541</v>
      </c>
      <c r="Y9" s="19">
        <v>1411503</v>
      </c>
      <c r="Z9" s="19">
        <v>1378777</v>
      </c>
      <c r="AA9" s="19">
        <v>1376845</v>
      </c>
      <c r="AB9" s="20">
        <v>0.25420035696082027</v>
      </c>
      <c r="AC9" s="20">
        <v>0.23061421440643451</v>
      </c>
      <c r="AD9" s="20">
        <v>0.22830053700248099</v>
      </c>
      <c r="AE9" s="20">
        <v>0.21871611751158834</v>
      </c>
      <c r="AF9" s="20">
        <v>0.2143400114171867</v>
      </c>
      <c r="AG9" s="19">
        <v>916965</v>
      </c>
      <c r="AH9" s="19">
        <v>1183474</v>
      </c>
      <c r="AI9" s="19">
        <v>1218814</v>
      </c>
      <c r="AJ9" s="19">
        <v>1231097</v>
      </c>
      <c r="AK9" s="19">
        <v>1238761</v>
      </c>
      <c r="AL9" s="20">
        <v>0.86850667032899376</v>
      </c>
      <c r="AM9" s="20">
        <v>0.8414073958739916</v>
      </c>
      <c r="AN9" s="20">
        <v>0.86348665217147957</v>
      </c>
      <c r="AO9" s="20">
        <v>0.89289058346636185</v>
      </c>
      <c r="AP9" s="20">
        <v>0.89970984388220898</v>
      </c>
      <c r="AQ9" s="37"/>
      <c r="AW9" s="19" t="s">
        <v>168</v>
      </c>
      <c r="AX9" s="19" t="s">
        <v>168</v>
      </c>
    </row>
    <row r="10" spans="1:50" s="19" customFormat="1" x14ac:dyDescent="0.2">
      <c r="A10" s="18" t="s">
        <v>20</v>
      </c>
      <c r="B10" s="19">
        <v>267474</v>
      </c>
      <c r="C10" s="19">
        <v>290734</v>
      </c>
      <c r="D10" s="19">
        <v>299992</v>
      </c>
      <c r="E10" s="19">
        <v>316582</v>
      </c>
      <c r="F10" s="19">
        <v>347746</v>
      </c>
      <c r="G10" s="20">
        <v>4.2201068272030386E-2</v>
      </c>
      <c r="H10" s="20">
        <v>4.5648389610467098E-2</v>
      </c>
      <c r="I10" s="20">
        <v>4.6526964180416526E-2</v>
      </c>
      <c r="J10" s="20">
        <v>4.9283826062102708E-2</v>
      </c>
      <c r="K10" s="20">
        <v>5.3587730171772416E-2</v>
      </c>
      <c r="L10" s="19">
        <v>265692</v>
      </c>
      <c r="M10" s="19">
        <v>288880</v>
      </c>
      <c r="N10" s="19">
        <v>296729</v>
      </c>
      <c r="O10" s="19">
        <v>313227</v>
      </c>
      <c r="P10" s="19">
        <v>343139</v>
      </c>
      <c r="Q10" s="20">
        <v>0.99333767020345898</v>
      </c>
      <c r="R10" s="20">
        <v>0.99362303686531328</v>
      </c>
      <c r="S10" s="20">
        <v>0.98912304328115419</v>
      </c>
      <c r="T10" s="20">
        <v>0.98940242970225722</v>
      </c>
      <c r="U10" s="20">
        <v>0.9867518246076159</v>
      </c>
      <c r="W10" s="19">
        <v>32230</v>
      </c>
      <c r="X10" s="19">
        <v>45405</v>
      </c>
      <c r="Y10" s="19">
        <v>64903</v>
      </c>
      <c r="Z10" s="19">
        <v>240936</v>
      </c>
      <c r="AA10" s="19">
        <v>316582</v>
      </c>
      <c r="AB10" s="20">
        <v>7.7599131506090073E-3</v>
      </c>
      <c r="AC10" s="20">
        <v>7.4445312330917897E-3</v>
      </c>
      <c r="AD10" s="20">
        <v>1.0497597067149006E-2</v>
      </c>
      <c r="AE10" s="20">
        <v>3.8219803847012283E-2</v>
      </c>
      <c r="AF10" s="20">
        <v>4.9283826062102708E-2</v>
      </c>
      <c r="AG10" s="19">
        <v>30878</v>
      </c>
      <c r="AH10" s="19">
        <v>43563</v>
      </c>
      <c r="AI10" s="19">
        <v>64145</v>
      </c>
      <c r="AJ10" s="19">
        <v>239807</v>
      </c>
      <c r="AK10" s="19">
        <v>313227</v>
      </c>
      <c r="AL10" s="20">
        <v>0.958051504809184</v>
      </c>
      <c r="AM10" s="20">
        <v>0.95943178064089862</v>
      </c>
      <c r="AN10" s="20">
        <v>0.98832103292605888</v>
      </c>
      <c r="AO10" s="20">
        <v>0.99531410831092071</v>
      </c>
      <c r="AP10" s="20">
        <v>0.98940242970225722</v>
      </c>
      <c r="AQ10" s="37"/>
      <c r="AW10" s="19" t="s">
        <v>168</v>
      </c>
      <c r="AX10" s="19" t="s">
        <v>168</v>
      </c>
    </row>
    <row r="11" spans="1:50" s="19" customFormat="1" x14ac:dyDescent="0.2">
      <c r="A11" s="18" t="s">
        <v>21</v>
      </c>
      <c r="B11" s="19">
        <v>95983</v>
      </c>
      <c r="C11" s="19">
        <v>94348</v>
      </c>
      <c r="D11" s="19">
        <v>96273</v>
      </c>
      <c r="E11" s="19">
        <v>96325</v>
      </c>
      <c r="F11" s="19">
        <v>94275</v>
      </c>
      <c r="G11" s="20">
        <v>1.5143846265260523E-2</v>
      </c>
      <c r="H11" s="20">
        <v>1.4813658749813746E-2</v>
      </c>
      <c r="I11" s="20">
        <v>1.4931366244903998E-2</v>
      </c>
      <c r="J11" s="20">
        <v>1.4995371011087312E-2</v>
      </c>
      <c r="K11" s="20">
        <v>1.4527796903325544E-2</v>
      </c>
      <c r="L11" s="19">
        <v>94295</v>
      </c>
      <c r="M11" s="19">
        <v>92675</v>
      </c>
      <c r="N11" s="19">
        <v>93626</v>
      </c>
      <c r="O11" s="19">
        <v>93676</v>
      </c>
      <c r="P11" s="19">
        <v>91544</v>
      </c>
      <c r="Q11" s="20">
        <v>0.98241355239990413</v>
      </c>
      <c r="R11" s="20">
        <v>0.98226777462161363</v>
      </c>
      <c r="S11" s="20">
        <v>0.97250527146759735</v>
      </c>
      <c r="T11" s="20">
        <v>0.97249935115494424</v>
      </c>
      <c r="U11" s="20">
        <v>0.97103155661628215</v>
      </c>
      <c r="W11" s="19">
        <v>21410</v>
      </c>
      <c r="X11" s="19">
        <v>81064</v>
      </c>
      <c r="Y11" s="19">
        <v>96889</v>
      </c>
      <c r="Z11" s="19">
        <v>97198</v>
      </c>
      <c r="AA11" s="19">
        <v>96325</v>
      </c>
      <c r="AB11" s="20">
        <v>5.1548166476741812E-3</v>
      </c>
      <c r="AC11" s="20">
        <v>1.3291123882377555E-2</v>
      </c>
      <c r="AD11" s="20">
        <v>1.5671104297782845E-2</v>
      </c>
      <c r="AE11" s="20">
        <v>1.5418569638086046E-2</v>
      </c>
      <c r="AF11" s="20">
        <v>1.4995371011087312E-2</v>
      </c>
      <c r="AG11" s="19">
        <v>21214</v>
      </c>
      <c r="AH11" s="19">
        <v>79949</v>
      </c>
      <c r="AI11" s="19">
        <v>95446</v>
      </c>
      <c r="AJ11" s="19">
        <v>95535</v>
      </c>
      <c r="AK11" s="19">
        <v>93676</v>
      </c>
      <c r="AL11" s="20">
        <v>0.99084539934609994</v>
      </c>
      <c r="AM11" s="20">
        <v>0.98624543570512191</v>
      </c>
      <c r="AN11" s="20">
        <v>0.98510666845565542</v>
      </c>
      <c r="AO11" s="20">
        <v>0.98289059445667604</v>
      </c>
      <c r="AP11" s="20">
        <v>0.97249935115494424</v>
      </c>
      <c r="AQ11" s="37"/>
      <c r="AW11" s="19" t="s">
        <v>168</v>
      </c>
      <c r="AX11" s="19" t="s">
        <v>168</v>
      </c>
    </row>
    <row r="12" spans="1:50" s="19" customFormat="1" x14ac:dyDescent="0.2">
      <c r="A12" s="18" t="s">
        <v>196</v>
      </c>
      <c r="B12" s="19">
        <v>0</v>
      </c>
      <c r="C12" s="19">
        <v>0</v>
      </c>
      <c r="D12" s="19">
        <v>0</v>
      </c>
      <c r="E12" s="19">
        <v>0</v>
      </c>
      <c r="F12" s="19">
        <v>3441</v>
      </c>
      <c r="G12" s="20">
        <v>0</v>
      </c>
      <c r="H12" s="20">
        <v>0</v>
      </c>
      <c r="I12" s="20">
        <v>0</v>
      </c>
      <c r="J12" s="20">
        <v>0</v>
      </c>
      <c r="K12" s="20">
        <v>5.3025880821366421E-4</v>
      </c>
      <c r="L12" s="19">
        <v>0</v>
      </c>
      <c r="M12" s="19">
        <v>0</v>
      </c>
      <c r="N12" s="19">
        <v>0</v>
      </c>
      <c r="O12" s="19">
        <v>0</v>
      </c>
      <c r="P12" s="19">
        <v>3441</v>
      </c>
      <c r="Q12" s="20">
        <v>0</v>
      </c>
      <c r="R12" s="20">
        <v>0</v>
      </c>
      <c r="S12" s="20">
        <v>0</v>
      </c>
      <c r="T12" s="20">
        <v>0</v>
      </c>
      <c r="U12" s="20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37"/>
      <c r="AW12" s="19" t="s">
        <v>168</v>
      </c>
      <c r="AX12" s="19" t="s">
        <v>168</v>
      </c>
    </row>
    <row r="13" spans="1:50" s="19" customFormat="1" x14ac:dyDescent="0.2">
      <c r="A13" s="18" t="s">
        <v>22</v>
      </c>
      <c r="B13" s="19">
        <v>242198</v>
      </c>
      <c r="C13" s="19">
        <v>242752</v>
      </c>
      <c r="D13" s="19">
        <v>243938</v>
      </c>
      <c r="E13" s="19">
        <v>244488</v>
      </c>
      <c r="F13" s="19">
        <v>246735</v>
      </c>
      <c r="G13" s="20">
        <v>3.8213113548790596E-2</v>
      </c>
      <c r="H13" s="20">
        <v>3.8114695476690406E-2</v>
      </c>
      <c r="I13" s="20">
        <v>3.7833324182786364E-2</v>
      </c>
      <c r="J13" s="20">
        <v>3.806061009871492E-2</v>
      </c>
      <c r="K13" s="20">
        <v>3.8021914282068713E-2</v>
      </c>
      <c r="L13" s="19">
        <v>20479</v>
      </c>
      <c r="M13" s="19">
        <v>19711</v>
      </c>
      <c r="N13" s="19">
        <v>14549</v>
      </c>
      <c r="O13" s="19">
        <v>6989</v>
      </c>
      <c r="P13" s="19">
        <v>3575</v>
      </c>
      <c r="Q13" s="20">
        <v>8.4554785753804734E-2</v>
      </c>
      <c r="R13" s="20">
        <v>8.1198095175322962E-2</v>
      </c>
      <c r="S13" s="20">
        <v>5.9642204166632504E-2</v>
      </c>
      <c r="T13" s="20">
        <v>2.8586270082785248E-2</v>
      </c>
      <c r="U13" s="20">
        <v>1.4489229335116623E-2</v>
      </c>
      <c r="W13" s="19">
        <v>234548</v>
      </c>
      <c r="X13" s="19">
        <v>236432</v>
      </c>
      <c r="Y13" s="19">
        <v>238374</v>
      </c>
      <c r="Z13" s="19">
        <v>241125</v>
      </c>
      <c r="AA13" s="19">
        <v>244488</v>
      </c>
      <c r="AB13" s="20">
        <v>5.6471365487094055E-2</v>
      </c>
      <c r="AC13" s="20">
        <v>3.876501285105953E-2</v>
      </c>
      <c r="AD13" s="20">
        <v>3.8555293334431029E-2</v>
      </c>
      <c r="AE13" s="20">
        <v>3.8249785015982821E-2</v>
      </c>
      <c r="AF13" s="20">
        <v>3.806061009871492E-2</v>
      </c>
      <c r="AG13" s="19">
        <v>29612</v>
      </c>
      <c r="AH13" s="19">
        <v>26670</v>
      </c>
      <c r="AI13" s="19">
        <v>23641</v>
      </c>
      <c r="AJ13" s="19">
        <v>21076</v>
      </c>
      <c r="AK13" s="19">
        <v>6989</v>
      </c>
      <c r="AL13" s="20">
        <v>0.12625134300868052</v>
      </c>
      <c r="AM13" s="20">
        <v>0.11280198957839886</v>
      </c>
      <c r="AN13" s="20">
        <v>9.9176084640103371E-2</v>
      </c>
      <c r="AO13" s="20">
        <v>8.7406946604458274E-2</v>
      </c>
      <c r="AP13" s="20">
        <v>2.8586270082785248E-2</v>
      </c>
      <c r="AQ13" s="37"/>
      <c r="AW13" s="19" t="s">
        <v>168</v>
      </c>
      <c r="AX13" s="19" t="s">
        <v>168</v>
      </c>
    </row>
    <row r="14" spans="1:50" s="19" customFormat="1" x14ac:dyDescent="0.2">
      <c r="A14" s="18" t="s">
        <v>24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W14" s="19">
        <v>0</v>
      </c>
      <c r="X14" s="19">
        <v>0</v>
      </c>
      <c r="Y14" s="19">
        <v>1</v>
      </c>
      <c r="Z14" s="19">
        <v>0</v>
      </c>
      <c r="AA14" s="19">
        <v>0</v>
      </c>
      <c r="AB14" s="20">
        <v>0</v>
      </c>
      <c r="AC14" s="20">
        <v>0</v>
      </c>
      <c r="AD14" s="20">
        <v>1.6174286346007127E-7</v>
      </c>
      <c r="AE14" s="20">
        <v>0</v>
      </c>
      <c r="AF14" s="20">
        <v>0</v>
      </c>
      <c r="AG14" s="19">
        <v>0</v>
      </c>
      <c r="AH14" s="19">
        <v>0</v>
      </c>
      <c r="AI14" s="19">
        <v>1</v>
      </c>
      <c r="AJ14" s="19">
        <v>0</v>
      </c>
      <c r="AK14" s="19">
        <v>0</v>
      </c>
      <c r="AL14" s="20">
        <v>0</v>
      </c>
      <c r="AM14" s="20">
        <v>0</v>
      </c>
      <c r="AN14" s="20">
        <v>1</v>
      </c>
      <c r="AO14" s="20">
        <v>0</v>
      </c>
      <c r="AP14" s="20">
        <v>0</v>
      </c>
      <c r="AQ14" s="37"/>
      <c r="AW14" s="19" t="s">
        <v>168</v>
      </c>
      <c r="AX14" s="19" t="s">
        <v>168</v>
      </c>
    </row>
    <row r="15" spans="1:50" s="19" customFormat="1" x14ac:dyDescent="0.2">
      <c r="A15" s="18" t="s">
        <v>25</v>
      </c>
      <c r="B15" s="19">
        <v>3390</v>
      </c>
      <c r="C15" s="19">
        <v>3545</v>
      </c>
      <c r="D15" s="19">
        <v>3639</v>
      </c>
      <c r="E15" s="19">
        <v>3698</v>
      </c>
      <c r="F15" s="19">
        <v>3688</v>
      </c>
      <c r="G15" s="20">
        <v>5.3486178635001166E-4</v>
      </c>
      <c r="H15" s="20">
        <v>5.5660342845730416E-4</v>
      </c>
      <c r="I15" s="20">
        <v>5.6438712583180793E-4</v>
      </c>
      <c r="J15" s="20">
        <v>5.7568525303919934E-4</v>
      </c>
      <c r="K15" s="20">
        <v>5.6832155905027428E-4</v>
      </c>
      <c r="L15" s="19">
        <v>3285</v>
      </c>
      <c r="M15" s="19">
        <v>3473</v>
      </c>
      <c r="N15" s="19">
        <v>3528</v>
      </c>
      <c r="O15" s="19">
        <v>3567</v>
      </c>
      <c r="P15" s="19">
        <v>3564</v>
      </c>
      <c r="Q15" s="20">
        <v>0.96902654867256632</v>
      </c>
      <c r="R15" s="20">
        <v>0.97968970380818055</v>
      </c>
      <c r="S15" s="20">
        <v>0.96949711459192089</v>
      </c>
      <c r="T15" s="20">
        <v>0.9645754461871282</v>
      </c>
      <c r="U15" s="20">
        <v>0.96637744034707163</v>
      </c>
      <c r="W15" s="19">
        <v>2883</v>
      </c>
      <c r="X15" s="19">
        <v>3972</v>
      </c>
      <c r="Y15" s="19">
        <v>3016</v>
      </c>
      <c r="Z15" s="19">
        <v>3307</v>
      </c>
      <c r="AA15" s="19">
        <v>3698</v>
      </c>
      <c r="AB15" s="20">
        <v>6.9413061164150692E-4</v>
      </c>
      <c r="AC15" s="20">
        <v>6.5124277189385722E-4</v>
      </c>
      <c r="AD15" s="20">
        <v>4.8781647619557496E-4</v>
      </c>
      <c r="AE15" s="20">
        <v>5.2459114172257208E-4</v>
      </c>
      <c r="AF15" s="20">
        <v>5.7568525303919934E-4</v>
      </c>
      <c r="AG15" s="19">
        <v>2883</v>
      </c>
      <c r="AH15" s="19">
        <v>3926</v>
      </c>
      <c r="AI15" s="19">
        <v>2971</v>
      </c>
      <c r="AJ15" s="19">
        <v>3217</v>
      </c>
      <c r="AK15" s="19">
        <v>3567</v>
      </c>
      <c r="AL15" s="20">
        <v>1</v>
      </c>
      <c r="AM15" s="20">
        <v>0.98841893252769386</v>
      </c>
      <c r="AN15" s="20">
        <v>0.98507957559681703</v>
      </c>
      <c r="AO15" s="20">
        <v>0.97278500151194436</v>
      </c>
      <c r="AP15" s="20">
        <v>0.9645754461871282</v>
      </c>
      <c r="AQ15" s="37"/>
      <c r="AW15" s="19" t="s">
        <v>168</v>
      </c>
      <c r="AX15" s="19" t="s">
        <v>168</v>
      </c>
    </row>
    <row r="16" spans="1:50" s="19" customFormat="1" x14ac:dyDescent="0.2">
      <c r="A16" s="18" t="s">
        <v>26</v>
      </c>
      <c r="B16" s="19">
        <v>9996</v>
      </c>
      <c r="C16" s="19">
        <v>10061</v>
      </c>
      <c r="D16" s="19">
        <v>10101</v>
      </c>
      <c r="E16" s="19">
        <v>9646</v>
      </c>
      <c r="F16" s="19">
        <v>9584</v>
      </c>
      <c r="G16" s="20">
        <v>1.5771322762108309E-3</v>
      </c>
      <c r="H16" s="20">
        <v>1.5796860631054829E-3</v>
      </c>
      <c r="I16" s="20">
        <v>1.5666046600788933E-3</v>
      </c>
      <c r="J16" s="20">
        <v>1.5016387103342665E-3</v>
      </c>
      <c r="K16" s="20">
        <v>1.4768963725427951E-3</v>
      </c>
      <c r="L16" s="19">
        <v>6148</v>
      </c>
      <c r="M16" s="19">
        <v>6340</v>
      </c>
      <c r="N16" s="19">
        <v>6502</v>
      </c>
      <c r="O16" s="19">
        <v>6580</v>
      </c>
      <c r="P16" s="19">
        <v>6660</v>
      </c>
      <c r="Q16" s="20">
        <v>0.61504601840736295</v>
      </c>
      <c r="R16" s="20">
        <v>0.63015604810655002</v>
      </c>
      <c r="S16" s="20">
        <v>0.64369864369864371</v>
      </c>
      <c r="T16" s="20">
        <v>0.68214804063860668</v>
      </c>
      <c r="U16" s="20">
        <v>0.69490818030050083</v>
      </c>
      <c r="W16" s="19">
        <v>3792</v>
      </c>
      <c r="X16" s="19">
        <v>9540</v>
      </c>
      <c r="Y16" s="19">
        <v>11588</v>
      </c>
      <c r="Z16" s="19">
        <v>10158</v>
      </c>
      <c r="AA16" s="19">
        <v>9646</v>
      </c>
      <c r="AB16" s="20">
        <v>9.1298760990100392E-4</v>
      </c>
      <c r="AC16" s="20">
        <v>1.5641631530381164E-3</v>
      </c>
      <c r="AD16" s="20">
        <v>1.8742763017753059E-3</v>
      </c>
      <c r="AE16" s="20">
        <v>1.6113688592736277E-3</v>
      </c>
      <c r="AF16" s="20">
        <v>1.5016387103342665E-3</v>
      </c>
      <c r="AG16" s="19">
        <v>3789</v>
      </c>
      <c r="AH16" s="19">
        <v>5779</v>
      </c>
      <c r="AI16" s="19">
        <v>6097</v>
      </c>
      <c r="AJ16" s="19">
        <v>6056</v>
      </c>
      <c r="AK16" s="19">
        <v>6580</v>
      </c>
      <c r="AL16" s="20">
        <v>0.99920886075949367</v>
      </c>
      <c r="AM16" s="20">
        <v>0.60576519916142557</v>
      </c>
      <c r="AN16" s="20">
        <v>0.52614773904038659</v>
      </c>
      <c r="AO16" s="20">
        <v>0.59618035046268947</v>
      </c>
      <c r="AP16" s="20">
        <v>0.68214804063860668</v>
      </c>
      <c r="AQ16" s="37"/>
      <c r="AW16" s="19" t="s">
        <v>168</v>
      </c>
      <c r="AX16" s="19" t="s">
        <v>168</v>
      </c>
    </row>
    <row r="17" spans="1:50" s="19" customFormat="1" x14ac:dyDescent="0.2">
      <c r="A17" s="18" t="s">
        <v>27</v>
      </c>
      <c r="B17" s="19">
        <v>1</v>
      </c>
      <c r="C17" s="19">
        <v>2</v>
      </c>
      <c r="D17" s="19">
        <v>2</v>
      </c>
      <c r="E17" s="19">
        <v>14</v>
      </c>
      <c r="F17" s="19">
        <v>59</v>
      </c>
      <c r="G17" s="20">
        <v>1.5777633815634561E-7</v>
      </c>
      <c r="H17" s="20">
        <v>3.1402168037083447E-7</v>
      </c>
      <c r="I17" s="20">
        <v>3.1018803288365374E-7</v>
      </c>
      <c r="J17" s="20">
        <v>2.1794466042587321E-6</v>
      </c>
      <c r="K17" s="20">
        <v>9.091912143157858E-6</v>
      </c>
      <c r="L17" s="19">
        <v>0</v>
      </c>
      <c r="M17" s="19">
        <v>0</v>
      </c>
      <c r="N17" s="19">
        <v>2</v>
      </c>
      <c r="O17" s="19">
        <v>14</v>
      </c>
      <c r="P17" s="19">
        <v>58</v>
      </c>
      <c r="Q17" s="20">
        <v>0</v>
      </c>
      <c r="R17" s="20">
        <v>0</v>
      </c>
      <c r="S17" s="20">
        <v>1</v>
      </c>
      <c r="T17" s="20">
        <v>1</v>
      </c>
      <c r="U17" s="20">
        <v>0.98305084745762716</v>
      </c>
      <c r="W17" s="19">
        <v>0</v>
      </c>
      <c r="X17" s="19">
        <v>0</v>
      </c>
      <c r="Y17" s="19">
        <v>0</v>
      </c>
      <c r="Z17" s="19">
        <v>0</v>
      </c>
      <c r="AA17" s="19">
        <v>14</v>
      </c>
      <c r="AB17" s="20">
        <v>0</v>
      </c>
      <c r="AC17" s="20">
        <v>0</v>
      </c>
      <c r="AD17" s="20">
        <v>0</v>
      </c>
      <c r="AE17" s="20">
        <v>0</v>
      </c>
      <c r="AF17" s="20">
        <v>2.1794466042587321E-6</v>
      </c>
      <c r="AG17" s="19">
        <v>0</v>
      </c>
      <c r="AH17" s="19">
        <v>0</v>
      </c>
      <c r="AI17" s="19">
        <v>0</v>
      </c>
      <c r="AJ17" s="19">
        <v>0</v>
      </c>
      <c r="AK17" s="19">
        <v>14</v>
      </c>
      <c r="AL17" s="20">
        <v>0</v>
      </c>
      <c r="AM17" s="20">
        <v>0</v>
      </c>
      <c r="AN17" s="20">
        <v>0</v>
      </c>
      <c r="AO17" s="20">
        <v>0</v>
      </c>
      <c r="AP17" s="20">
        <v>1</v>
      </c>
      <c r="AQ17" s="37"/>
      <c r="AW17" s="19" t="s">
        <v>168</v>
      </c>
      <c r="AX17" s="19" t="s">
        <v>168</v>
      </c>
    </row>
    <row r="18" spans="1:50" s="19" customFormat="1" x14ac:dyDescent="0.2">
      <c r="A18" s="18" t="s">
        <v>28</v>
      </c>
      <c r="B18" s="19">
        <v>47726</v>
      </c>
      <c r="C18" s="19">
        <v>46949</v>
      </c>
      <c r="D18" s="19">
        <v>48095</v>
      </c>
      <c r="E18" s="19">
        <v>46964</v>
      </c>
      <c r="F18" s="19">
        <v>46256</v>
      </c>
      <c r="G18" s="20">
        <v>7.5300335148497516E-3</v>
      </c>
      <c r="H18" s="20">
        <v>7.3715019358651544E-3</v>
      </c>
      <c r="I18" s="20">
        <v>7.4592467207696637E-3</v>
      </c>
      <c r="J18" s="20">
        <v>7.3111093087433639E-3</v>
      </c>
      <c r="K18" s="20">
        <v>7.1280591202357614E-3</v>
      </c>
      <c r="L18" s="19">
        <v>46299</v>
      </c>
      <c r="M18" s="19">
        <v>45744</v>
      </c>
      <c r="N18" s="19">
        <v>46897</v>
      </c>
      <c r="O18" s="19">
        <v>45616</v>
      </c>
      <c r="P18" s="19">
        <v>45021</v>
      </c>
      <c r="Q18" s="20">
        <v>0.97010015505175373</v>
      </c>
      <c r="R18" s="20">
        <v>0.97433385162623276</v>
      </c>
      <c r="S18" s="20">
        <v>0.97509096579686039</v>
      </c>
      <c r="T18" s="20">
        <v>0.97129716378502684</v>
      </c>
      <c r="U18" s="20">
        <v>0.97330076098235907</v>
      </c>
      <c r="W18" s="19">
        <v>24729</v>
      </c>
      <c r="X18" s="19">
        <v>49193</v>
      </c>
      <c r="Y18" s="19">
        <v>57268</v>
      </c>
      <c r="Z18" s="19">
        <v>49269</v>
      </c>
      <c r="AA18" s="19">
        <v>46964</v>
      </c>
      <c r="AB18" s="20">
        <v>5.9539215731123224E-3</v>
      </c>
      <c r="AC18" s="20">
        <v>8.0656056590570294E-3</v>
      </c>
      <c r="AD18" s="20">
        <v>9.2626903046313606E-3</v>
      </c>
      <c r="AE18" s="20">
        <v>7.8155672698909592E-3</v>
      </c>
      <c r="AF18" s="20">
        <v>7.3111093087433639E-3</v>
      </c>
      <c r="AG18" s="19">
        <v>24390</v>
      </c>
      <c r="AH18" s="19">
        <v>48703</v>
      </c>
      <c r="AI18" s="19">
        <v>56040</v>
      </c>
      <c r="AJ18" s="19">
        <v>48085</v>
      </c>
      <c r="AK18" s="19">
        <v>45616</v>
      </c>
      <c r="AL18" s="20">
        <v>0.98629139876258642</v>
      </c>
      <c r="AM18" s="20">
        <v>0.99003923322423926</v>
      </c>
      <c r="AN18" s="20">
        <v>0.97855696025703709</v>
      </c>
      <c r="AO18" s="20">
        <v>0.97596866183604292</v>
      </c>
      <c r="AP18" s="20">
        <v>0.97129716378502684</v>
      </c>
      <c r="AQ18" s="37"/>
      <c r="AW18" s="19" t="s">
        <v>168</v>
      </c>
      <c r="AX18" s="19" t="s">
        <v>168</v>
      </c>
    </row>
    <row r="19" spans="1:50" s="19" customFormat="1" x14ac:dyDescent="0.2">
      <c r="A19" s="18" t="s">
        <v>197</v>
      </c>
      <c r="B19" s="19">
        <v>0</v>
      </c>
      <c r="C19" s="19">
        <v>0</v>
      </c>
      <c r="D19" s="19">
        <v>0</v>
      </c>
      <c r="E19" s="19">
        <v>0</v>
      </c>
      <c r="F19" s="19">
        <v>3</v>
      </c>
      <c r="G19" s="20">
        <v>0</v>
      </c>
      <c r="H19" s="20">
        <v>0</v>
      </c>
      <c r="I19" s="20">
        <v>0</v>
      </c>
      <c r="J19" s="20">
        <v>0</v>
      </c>
      <c r="K19" s="20">
        <v>4.6230061744870466E-7</v>
      </c>
      <c r="L19" s="19">
        <v>0</v>
      </c>
      <c r="M19" s="19">
        <v>0</v>
      </c>
      <c r="N19" s="19">
        <v>0</v>
      </c>
      <c r="O19" s="19">
        <v>0</v>
      </c>
      <c r="P19" s="19">
        <v>3</v>
      </c>
      <c r="Q19" s="20">
        <v>0</v>
      </c>
      <c r="R19" s="20">
        <v>0</v>
      </c>
      <c r="S19" s="20">
        <v>0</v>
      </c>
      <c r="T19" s="20">
        <v>0</v>
      </c>
      <c r="U19" s="20">
        <v>1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37"/>
      <c r="AW19" s="19" t="s">
        <v>168</v>
      </c>
      <c r="AX19" s="19" t="s">
        <v>168</v>
      </c>
    </row>
    <row r="20" spans="1:50" s="19" customFormat="1" x14ac:dyDescent="0.2">
      <c r="A20" s="18" t="s">
        <v>29</v>
      </c>
      <c r="B20" s="19">
        <v>5576</v>
      </c>
      <c r="C20" s="19">
        <v>6345</v>
      </c>
      <c r="D20" s="19">
        <v>7804</v>
      </c>
      <c r="E20" s="19">
        <v>14715</v>
      </c>
      <c r="F20" s="19">
        <v>17667</v>
      </c>
      <c r="G20" s="20">
        <v>8.797608615597832E-4</v>
      </c>
      <c r="H20" s="20">
        <v>9.9623378097647231E-4</v>
      </c>
      <c r="I20" s="20">
        <v>1.2103537043120169E-3</v>
      </c>
      <c r="J20" s="20">
        <v>2.2907540558333743E-3</v>
      </c>
      <c r="K20" s="20">
        <v>2.722488336155422E-3</v>
      </c>
      <c r="L20" s="19">
        <v>5512</v>
      </c>
      <c r="M20" s="19">
        <v>6245</v>
      </c>
      <c r="N20" s="19">
        <v>7725</v>
      </c>
      <c r="O20" s="19">
        <v>14609</v>
      </c>
      <c r="P20" s="19">
        <v>17528</v>
      </c>
      <c r="Q20" s="20">
        <v>0.98852223816355811</v>
      </c>
      <c r="R20" s="20">
        <v>0.98423955870764379</v>
      </c>
      <c r="S20" s="20">
        <v>0.98987698616094311</v>
      </c>
      <c r="T20" s="20">
        <v>0.99279646619096162</v>
      </c>
      <c r="U20" s="20">
        <v>0.99213222392030342</v>
      </c>
      <c r="W20" s="19">
        <v>0</v>
      </c>
      <c r="X20" s="19">
        <v>0</v>
      </c>
      <c r="Y20" s="19">
        <v>312</v>
      </c>
      <c r="Z20" s="19">
        <v>5084</v>
      </c>
      <c r="AA20" s="19">
        <v>14715</v>
      </c>
      <c r="AB20" s="20">
        <v>0</v>
      </c>
      <c r="AC20" s="20">
        <v>0</v>
      </c>
      <c r="AD20" s="20">
        <v>5.0463773399542238E-5</v>
      </c>
      <c r="AE20" s="20">
        <v>8.0647758225508204E-4</v>
      </c>
      <c r="AF20" s="20">
        <v>2.2907540558333743E-3</v>
      </c>
      <c r="AG20" s="19">
        <v>0</v>
      </c>
      <c r="AH20" s="19">
        <v>0</v>
      </c>
      <c r="AI20" s="19">
        <v>312</v>
      </c>
      <c r="AJ20" s="19">
        <v>5039</v>
      </c>
      <c r="AK20" s="19">
        <v>14609</v>
      </c>
      <c r="AL20" s="20">
        <v>0</v>
      </c>
      <c r="AM20" s="20">
        <v>0</v>
      </c>
      <c r="AN20" s="20">
        <v>1</v>
      </c>
      <c r="AO20" s="20">
        <v>0.99114870180959869</v>
      </c>
      <c r="AP20" s="20">
        <v>0.99279646619096162</v>
      </c>
      <c r="AQ20" s="37"/>
      <c r="AW20" s="19" t="s">
        <v>168</v>
      </c>
      <c r="AX20" s="19" t="s">
        <v>168</v>
      </c>
    </row>
    <row r="21" spans="1:50" s="19" customFormat="1" x14ac:dyDescent="0.2">
      <c r="A21" s="18" t="s">
        <v>30</v>
      </c>
      <c r="B21" s="19">
        <v>1067221</v>
      </c>
      <c r="C21" s="19">
        <v>1075326</v>
      </c>
      <c r="D21" s="19">
        <v>1119676</v>
      </c>
      <c r="E21" s="19">
        <v>1059276</v>
      </c>
      <c r="F21" s="19">
        <v>1066307</v>
      </c>
      <c r="G21" s="20">
        <v>0.16838222138355333</v>
      </c>
      <c r="H21" s="20">
        <v>0.16883783873322397</v>
      </c>
      <c r="I21" s="20">
        <v>0.17365504795351894</v>
      </c>
      <c r="J21" s="20">
        <v>0.16490253436948377</v>
      </c>
      <c r="K21" s="20">
        <v>0.16431812816329197</v>
      </c>
      <c r="L21" s="19">
        <v>905008</v>
      </c>
      <c r="M21" s="19">
        <v>921594</v>
      </c>
      <c r="N21" s="19">
        <v>970816</v>
      </c>
      <c r="O21" s="19">
        <v>921781</v>
      </c>
      <c r="P21" s="19">
        <v>933010</v>
      </c>
      <c r="Q21" s="20">
        <v>0.84800430276390737</v>
      </c>
      <c r="R21" s="20">
        <v>0.85703684278070091</v>
      </c>
      <c r="S21" s="20">
        <v>0.8670508254173529</v>
      </c>
      <c r="T21" s="20">
        <v>0.87019907937119312</v>
      </c>
      <c r="U21" s="20">
        <v>0.87499191133510335</v>
      </c>
      <c r="W21" s="19">
        <v>1006609</v>
      </c>
      <c r="X21" s="19">
        <v>1112349</v>
      </c>
      <c r="Y21" s="19">
        <v>1108680</v>
      </c>
      <c r="Z21" s="19">
        <v>1062092</v>
      </c>
      <c r="AA21" s="19">
        <v>1059276</v>
      </c>
      <c r="AB21" s="20">
        <v>0.24235800237733113</v>
      </c>
      <c r="AC21" s="20">
        <v>0.18237896426821759</v>
      </c>
      <c r="AD21" s="20">
        <v>0.17932107786091181</v>
      </c>
      <c r="AE21" s="20">
        <v>0.16848021012833686</v>
      </c>
      <c r="AF21" s="20">
        <v>0.16490253436948377</v>
      </c>
      <c r="AG21" s="19">
        <v>662019</v>
      </c>
      <c r="AH21" s="19">
        <v>831273</v>
      </c>
      <c r="AI21" s="19">
        <v>873273</v>
      </c>
      <c r="AJ21" s="19">
        <v>884920</v>
      </c>
      <c r="AK21" s="19">
        <v>921781</v>
      </c>
      <c r="AL21" s="20">
        <v>0.65767244282536719</v>
      </c>
      <c r="AM21" s="20">
        <v>0.74731311845472959</v>
      </c>
      <c r="AN21" s="20">
        <v>0.78766912003463574</v>
      </c>
      <c r="AO21" s="20">
        <v>0.83318582571001387</v>
      </c>
      <c r="AP21" s="20">
        <v>0.87019907937119312</v>
      </c>
      <c r="AQ21" s="37"/>
      <c r="AW21" s="19" t="s">
        <v>168</v>
      </c>
      <c r="AX21" s="19" t="s">
        <v>168</v>
      </c>
    </row>
    <row r="22" spans="1:50" s="19" customFormat="1" x14ac:dyDescent="0.2">
      <c r="A22" s="18" t="s">
        <v>31</v>
      </c>
      <c r="B22" s="19">
        <v>4561</v>
      </c>
      <c r="C22" s="19">
        <v>4561</v>
      </c>
      <c r="D22" s="19">
        <v>5217</v>
      </c>
      <c r="E22" s="19">
        <v>5451</v>
      </c>
      <c r="F22" s="19">
        <v>5974</v>
      </c>
      <c r="G22" s="20">
        <v>7.1961787833109241E-4</v>
      </c>
      <c r="H22" s="20">
        <v>7.1612644208568802E-4</v>
      </c>
      <c r="I22" s="20">
        <v>8.091254837770108E-4</v>
      </c>
      <c r="J22" s="20">
        <v>8.4858310284388204E-4</v>
      </c>
      <c r="K22" s="20">
        <v>9.2059462954618726E-4</v>
      </c>
      <c r="L22" s="19">
        <v>4472</v>
      </c>
      <c r="M22" s="19">
        <v>4472</v>
      </c>
      <c r="N22" s="19">
        <v>5169</v>
      </c>
      <c r="O22" s="19">
        <v>5403</v>
      </c>
      <c r="P22" s="19">
        <v>5921</v>
      </c>
      <c r="Q22" s="20">
        <v>0.98048673536505149</v>
      </c>
      <c r="R22" s="20">
        <v>0.98048673536505149</v>
      </c>
      <c r="S22" s="20">
        <v>0.99079930994824617</v>
      </c>
      <c r="T22" s="20">
        <v>0.99119427627958168</v>
      </c>
      <c r="U22" s="20">
        <v>0.99112822229661868</v>
      </c>
      <c r="W22" s="19">
        <v>0</v>
      </c>
      <c r="X22" s="19">
        <v>32</v>
      </c>
      <c r="Y22" s="19">
        <v>2435</v>
      </c>
      <c r="Z22" s="19">
        <v>4144</v>
      </c>
      <c r="AA22" s="19">
        <v>5451</v>
      </c>
      <c r="AB22" s="20">
        <v>0</v>
      </c>
      <c r="AC22" s="20">
        <v>5.2466688571509143E-6</v>
      </c>
      <c r="AD22" s="20">
        <v>3.9384387252527355E-4</v>
      </c>
      <c r="AE22" s="20">
        <v>6.5736489002066482E-4</v>
      </c>
      <c r="AF22" s="20">
        <v>8.4858310284388204E-4</v>
      </c>
      <c r="AG22" s="19">
        <v>0</v>
      </c>
      <c r="AH22" s="19">
        <v>32</v>
      </c>
      <c r="AI22" s="19">
        <v>2435</v>
      </c>
      <c r="AJ22" s="19">
        <v>4060</v>
      </c>
      <c r="AK22" s="19">
        <v>5403</v>
      </c>
      <c r="AL22" s="20">
        <v>0</v>
      </c>
      <c r="AM22" s="20">
        <v>1</v>
      </c>
      <c r="AN22" s="20">
        <v>1</v>
      </c>
      <c r="AO22" s="20">
        <v>0.97972972972972971</v>
      </c>
      <c r="AP22" s="20">
        <v>0.99119427627958168</v>
      </c>
      <c r="AQ22" s="37"/>
      <c r="AW22" s="19" t="s">
        <v>168</v>
      </c>
      <c r="AX22" s="19" t="s">
        <v>168</v>
      </c>
    </row>
    <row r="23" spans="1:50" s="19" customFormat="1" x14ac:dyDescent="0.2">
      <c r="A23" s="18" t="s">
        <v>32</v>
      </c>
      <c r="B23" s="19">
        <v>611879</v>
      </c>
      <c r="C23" s="19">
        <v>614172</v>
      </c>
      <c r="D23" s="19">
        <v>613919</v>
      </c>
      <c r="E23" s="19">
        <v>617542</v>
      </c>
      <c r="F23" s="19">
        <v>620345</v>
      </c>
      <c r="G23" s="20">
        <v>9.6540028014766605E-2</v>
      </c>
      <c r="H23" s="20">
        <v>9.6431661738358085E-2</v>
      </c>
      <c r="I23" s="20">
        <v>9.5215163479949905E-2</v>
      </c>
      <c r="J23" s="20">
        <v>9.6135701063367565E-2</v>
      </c>
      <c r="K23" s="20">
        <v>9.559529217707223E-2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W23" s="19">
        <v>0</v>
      </c>
      <c r="X23" s="19">
        <v>596617</v>
      </c>
      <c r="Y23" s="19">
        <v>598848</v>
      </c>
      <c r="Z23" s="19">
        <v>613300</v>
      </c>
      <c r="AA23" s="19">
        <v>617542</v>
      </c>
      <c r="AB23" s="20">
        <v>0</v>
      </c>
      <c r="AC23" s="20">
        <v>9.782036979833772E-2</v>
      </c>
      <c r="AD23" s="20">
        <v>9.6859390297336756E-2</v>
      </c>
      <c r="AE23" s="20">
        <v>9.728810015677454E-2</v>
      </c>
      <c r="AF23" s="20">
        <v>9.6135701063367565E-2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37"/>
      <c r="AW23" s="19" t="s">
        <v>168</v>
      </c>
      <c r="AX23" s="19" t="s">
        <v>168</v>
      </c>
    </row>
    <row r="24" spans="1:50" s="19" customFormat="1" x14ac:dyDescent="0.2">
      <c r="A24" s="18" t="s">
        <v>33</v>
      </c>
      <c r="B24" s="19">
        <v>124</v>
      </c>
      <c r="C24" s="19">
        <v>400</v>
      </c>
      <c r="D24" s="19">
        <v>601</v>
      </c>
      <c r="E24" s="19">
        <v>603</v>
      </c>
      <c r="F24" s="19">
        <v>628</v>
      </c>
      <c r="G24" s="20">
        <v>1.9564265931386857E-5</v>
      </c>
      <c r="H24" s="20">
        <v>6.2804336074166899E-5</v>
      </c>
      <c r="I24" s="20">
        <v>9.3211503881537947E-5</v>
      </c>
      <c r="J24" s="20">
        <v>9.3871878740572532E-5</v>
      </c>
      <c r="K24" s="20">
        <v>9.6774929252595505E-5</v>
      </c>
      <c r="L24" s="19">
        <v>124</v>
      </c>
      <c r="M24" s="19">
        <v>400</v>
      </c>
      <c r="N24" s="19">
        <v>601</v>
      </c>
      <c r="O24" s="19">
        <v>603</v>
      </c>
      <c r="P24" s="19">
        <v>628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W24" s="19">
        <v>0</v>
      </c>
      <c r="X24" s="19">
        <v>0</v>
      </c>
      <c r="Y24" s="19">
        <v>0</v>
      </c>
      <c r="Z24" s="19">
        <v>0</v>
      </c>
      <c r="AA24" s="19">
        <v>603</v>
      </c>
      <c r="AB24" s="20">
        <v>0</v>
      </c>
      <c r="AC24" s="20">
        <v>0</v>
      </c>
      <c r="AD24" s="20">
        <v>0</v>
      </c>
      <c r="AE24" s="20">
        <v>0</v>
      </c>
      <c r="AF24" s="20">
        <v>9.3871878740572532E-5</v>
      </c>
      <c r="AG24" s="19">
        <v>0</v>
      </c>
      <c r="AH24" s="19">
        <v>0</v>
      </c>
      <c r="AI24" s="19">
        <v>0</v>
      </c>
      <c r="AJ24" s="19">
        <v>0</v>
      </c>
      <c r="AK24" s="19">
        <v>603</v>
      </c>
      <c r="AL24" s="20">
        <v>0</v>
      </c>
      <c r="AM24" s="20">
        <v>0</v>
      </c>
      <c r="AN24" s="20">
        <v>0</v>
      </c>
      <c r="AO24" s="20">
        <v>0</v>
      </c>
      <c r="AP24" s="20">
        <v>1</v>
      </c>
      <c r="AQ24" s="37"/>
      <c r="AW24" s="19" t="s">
        <v>168</v>
      </c>
      <c r="AX24" s="19" t="s">
        <v>168</v>
      </c>
    </row>
    <row r="25" spans="1:50" s="19" customFormat="1" x14ac:dyDescent="0.2">
      <c r="A25" s="18" t="s">
        <v>34</v>
      </c>
      <c r="B25" s="19">
        <v>523</v>
      </c>
      <c r="C25" s="19">
        <v>2219</v>
      </c>
      <c r="D25" s="19">
        <v>2453</v>
      </c>
      <c r="E25" s="19">
        <v>3374</v>
      </c>
      <c r="F25" s="19">
        <v>4570</v>
      </c>
      <c r="G25" s="20">
        <v>8.2517024855768766E-5</v>
      </c>
      <c r="H25" s="20">
        <v>3.4840705437144085E-4</v>
      </c>
      <c r="I25" s="20">
        <v>3.8044562233180131E-4</v>
      </c>
      <c r="J25" s="20">
        <v>5.2524663162635446E-4</v>
      </c>
      <c r="K25" s="20">
        <v>7.042379405801934E-4</v>
      </c>
      <c r="L25" s="19">
        <v>523</v>
      </c>
      <c r="M25" s="19">
        <v>2219</v>
      </c>
      <c r="N25" s="19">
        <v>2453</v>
      </c>
      <c r="O25" s="19">
        <v>3374</v>
      </c>
      <c r="P25" s="19">
        <v>4570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W25" s="19">
        <v>0</v>
      </c>
      <c r="X25" s="19">
        <v>0</v>
      </c>
      <c r="Y25" s="19">
        <v>0</v>
      </c>
      <c r="Z25" s="19">
        <v>244</v>
      </c>
      <c r="AA25" s="19">
        <v>3374</v>
      </c>
      <c r="AB25" s="20">
        <v>0</v>
      </c>
      <c r="AC25" s="20">
        <v>0</v>
      </c>
      <c r="AD25" s="20">
        <v>0</v>
      </c>
      <c r="AE25" s="20">
        <v>3.870584777148702E-5</v>
      </c>
      <c r="AF25" s="20">
        <v>5.2524663162635446E-4</v>
      </c>
      <c r="AG25" s="19">
        <v>0</v>
      </c>
      <c r="AH25" s="19">
        <v>0</v>
      </c>
      <c r="AI25" s="19">
        <v>0</v>
      </c>
      <c r="AJ25" s="19">
        <v>244</v>
      </c>
      <c r="AK25" s="19">
        <v>3374</v>
      </c>
      <c r="AL25" s="20">
        <v>0</v>
      </c>
      <c r="AM25" s="20">
        <v>0</v>
      </c>
      <c r="AN25" s="20">
        <v>0</v>
      </c>
      <c r="AO25" s="20">
        <v>1</v>
      </c>
      <c r="AP25" s="20">
        <v>1</v>
      </c>
      <c r="AQ25" s="37"/>
      <c r="AW25" s="19" t="s">
        <v>168</v>
      </c>
      <c r="AX25" s="19" t="s">
        <v>168</v>
      </c>
    </row>
    <row r="26" spans="1:50" s="19" customFormat="1" x14ac:dyDescent="0.2">
      <c r="A26" s="18" t="s">
        <v>166</v>
      </c>
      <c r="B26" s="19">
        <v>0</v>
      </c>
      <c r="C26" s="19">
        <v>0</v>
      </c>
      <c r="D26" s="19">
        <v>0</v>
      </c>
      <c r="E26" s="19">
        <v>22</v>
      </c>
      <c r="F26" s="19">
        <v>172</v>
      </c>
      <c r="G26" s="20">
        <v>0</v>
      </c>
      <c r="H26" s="20">
        <v>0</v>
      </c>
      <c r="I26" s="20">
        <v>0</v>
      </c>
      <c r="J26" s="20">
        <v>3.4248446638351505E-6</v>
      </c>
      <c r="K26" s="20">
        <v>2.65052354003924E-5</v>
      </c>
      <c r="L26" s="19">
        <v>0</v>
      </c>
      <c r="M26" s="19">
        <v>0</v>
      </c>
      <c r="N26" s="19">
        <v>0</v>
      </c>
      <c r="O26" s="19">
        <v>22</v>
      </c>
      <c r="P26" s="19">
        <v>172</v>
      </c>
      <c r="Q26" s="20">
        <v>0</v>
      </c>
      <c r="R26" s="20">
        <v>0</v>
      </c>
      <c r="S26" s="20">
        <v>0</v>
      </c>
      <c r="T26" s="20">
        <v>1</v>
      </c>
      <c r="U26" s="20">
        <v>1</v>
      </c>
      <c r="W26" s="19">
        <v>0</v>
      </c>
      <c r="X26" s="19">
        <v>0</v>
      </c>
      <c r="Y26" s="19">
        <v>0</v>
      </c>
      <c r="Z26" s="19">
        <v>0</v>
      </c>
      <c r="AA26" s="19">
        <v>22</v>
      </c>
      <c r="AB26" s="20">
        <v>0</v>
      </c>
      <c r="AC26" s="20">
        <v>0</v>
      </c>
      <c r="AD26" s="20">
        <v>0</v>
      </c>
      <c r="AE26" s="20">
        <v>0</v>
      </c>
      <c r="AF26" s="20">
        <v>3.4248446638351505E-6</v>
      </c>
      <c r="AG26" s="19">
        <v>0</v>
      </c>
      <c r="AH26" s="19">
        <v>0</v>
      </c>
      <c r="AI26" s="19">
        <v>0</v>
      </c>
      <c r="AJ26" s="19">
        <v>0</v>
      </c>
      <c r="AK26" s="19">
        <v>22</v>
      </c>
      <c r="AL26" s="20">
        <v>0</v>
      </c>
      <c r="AM26" s="20">
        <v>0</v>
      </c>
      <c r="AN26" s="20">
        <v>0</v>
      </c>
      <c r="AO26" s="20">
        <v>0</v>
      </c>
      <c r="AP26" s="20">
        <v>1</v>
      </c>
      <c r="AQ26" s="37"/>
      <c r="AW26" s="19" t="s">
        <v>168</v>
      </c>
      <c r="AX26" s="19" t="s">
        <v>168</v>
      </c>
    </row>
    <row r="27" spans="1:50" s="19" customFormat="1" x14ac:dyDescent="0.2">
      <c r="A27" s="18" t="s">
        <v>172</v>
      </c>
      <c r="B27" s="19">
        <v>0</v>
      </c>
      <c r="C27" s="19">
        <v>0</v>
      </c>
      <c r="D27" s="19">
        <v>0</v>
      </c>
      <c r="E27" s="19">
        <v>0</v>
      </c>
      <c r="F27" s="19">
        <v>2</v>
      </c>
      <c r="G27" s="20">
        <v>0</v>
      </c>
      <c r="H27" s="20">
        <v>0</v>
      </c>
      <c r="I27" s="20">
        <v>0</v>
      </c>
      <c r="J27" s="20">
        <v>0</v>
      </c>
      <c r="K27" s="20">
        <v>3.0820041163246979E-7</v>
      </c>
      <c r="L27" s="19">
        <v>0</v>
      </c>
      <c r="M27" s="19">
        <v>0</v>
      </c>
      <c r="N27" s="19">
        <v>0</v>
      </c>
      <c r="O27" s="19">
        <v>0</v>
      </c>
      <c r="P27" s="19">
        <v>2</v>
      </c>
      <c r="Q27" s="20">
        <v>0</v>
      </c>
      <c r="R27" s="20">
        <v>0</v>
      </c>
      <c r="S27" s="20">
        <v>0</v>
      </c>
      <c r="T27" s="20">
        <v>0</v>
      </c>
      <c r="U27" s="20">
        <v>1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37"/>
      <c r="AW27" s="19" t="s">
        <v>168</v>
      </c>
      <c r="AX27" s="19" t="s">
        <v>168</v>
      </c>
    </row>
    <row r="28" spans="1:50" s="19" customFormat="1" x14ac:dyDescent="0.2">
      <c r="A28" s="18" t="s">
        <v>35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W28" s="19">
        <v>3</v>
      </c>
      <c r="X28" s="19">
        <v>0</v>
      </c>
      <c r="Y28" s="19">
        <v>0</v>
      </c>
      <c r="Z28" s="19">
        <v>0</v>
      </c>
      <c r="AA28" s="19">
        <v>0</v>
      </c>
      <c r="AB28" s="20">
        <v>7.2230032428876895E-7</v>
      </c>
      <c r="AC28" s="20">
        <v>0</v>
      </c>
      <c r="AD28" s="20">
        <v>0</v>
      </c>
      <c r="AE28" s="20">
        <v>0</v>
      </c>
      <c r="AF28" s="20">
        <v>0</v>
      </c>
      <c r="AG28" s="19">
        <v>3</v>
      </c>
      <c r="AH28" s="19">
        <v>0</v>
      </c>
      <c r="AI28" s="19">
        <v>0</v>
      </c>
      <c r="AJ28" s="19">
        <v>0</v>
      </c>
      <c r="AK28" s="19">
        <v>0</v>
      </c>
      <c r="AL28" s="20">
        <v>1</v>
      </c>
      <c r="AM28" s="20">
        <v>0</v>
      </c>
      <c r="AN28" s="20">
        <v>0</v>
      </c>
      <c r="AO28" s="20">
        <v>0</v>
      </c>
      <c r="AP28" s="20">
        <v>0</v>
      </c>
      <c r="AQ28" s="37"/>
      <c r="AW28" s="19" t="s">
        <v>168</v>
      </c>
      <c r="AX28" s="19" t="s">
        <v>168</v>
      </c>
    </row>
    <row r="29" spans="1:50" s="19" customFormat="1" x14ac:dyDescent="0.2">
      <c r="A29" s="18" t="s">
        <v>36</v>
      </c>
      <c r="B29" s="19">
        <v>16448</v>
      </c>
      <c r="C29" s="19">
        <v>18115</v>
      </c>
      <c r="D29" s="19">
        <v>18671</v>
      </c>
      <c r="E29" s="19">
        <v>20165</v>
      </c>
      <c r="F29" s="19">
        <v>21202</v>
      </c>
      <c r="G29" s="20">
        <v>2.5951052099955729E-3</v>
      </c>
      <c r="H29" s="20">
        <v>2.8442513699588334E-3</v>
      </c>
      <c r="I29" s="20">
        <v>2.8957603809853494E-3</v>
      </c>
      <c r="J29" s="20">
        <v>3.1391814839198096E-3</v>
      </c>
      <c r="K29" s="20">
        <v>3.267232563715812E-3</v>
      </c>
      <c r="L29" s="19">
        <v>16448</v>
      </c>
      <c r="M29" s="19">
        <v>18115</v>
      </c>
      <c r="N29" s="19">
        <v>18671</v>
      </c>
      <c r="O29" s="19">
        <v>20165</v>
      </c>
      <c r="P29" s="19">
        <v>21202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W29" s="19">
        <v>0</v>
      </c>
      <c r="X29" s="19">
        <v>2961</v>
      </c>
      <c r="Y29" s="19">
        <v>8166</v>
      </c>
      <c r="Z29" s="19">
        <v>15120</v>
      </c>
      <c r="AA29" s="19">
        <v>20165</v>
      </c>
      <c r="AB29" s="20">
        <v>0</v>
      </c>
      <c r="AC29" s="20">
        <v>4.8548082768824557E-4</v>
      </c>
      <c r="AD29" s="20">
        <v>1.3207922230149419E-3</v>
      </c>
      <c r="AE29" s="20">
        <v>2.3984935176429661E-3</v>
      </c>
      <c r="AF29" s="20">
        <v>3.1391814839198096E-3</v>
      </c>
      <c r="AG29" s="19">
        <v>0</v>
      </c>
      <c r="AH29" s="19">
        <v>2961</v>
      </c>
      <c r="AI29" s="19">
        <v>8166</v>
      </c>
      <c r="AJ29" s="19">
        <v>15120</v>
      </c>
      <c r="AK29" s="19">
        <v>20165</v>
      </c>
      <c r="AL29" s="20">
        <v>0</v>
      </c>
      <c r="AM29" s="20">
        <v>1</v>
      </c>
      <c r="AN29" s="20">
        <v>1</v>
      </c>
      <c r="AO29" s="20">
        <v>1</v>
      </c>
      <c r="AP29" s="20">
        <v>1</v>
      </c>
      <c r="AQ29" s="37"/>
      <c r="AW29" s="19" t="s">
        <v>168</v>
      </c>
      <c r="AX29" s="19" t="s">
        <v>168</v>
      </c>
    </row>
    <row r="30" spans="1:50" s="19" customFormat="1" x14ac:dyDescent="0.2">
      <c r="A30" s="18" t="s">
        <v>37</v>
      </c>
      <c r="B30" s="19">
        <v>34500</v>
      </c>
      <c r="C30" s="19">
        <v>34903</v>
      </c>
      <c r="D30" s="19">
        <v>35939</v>
      </c>
      <c r="E30" s="19">
        <v>36694</v>
      </c>
      <c r="F30" s="19">
        <v>38006</v>
      </c>
      <c r="G30" s="20">
        <v>5.4432836663939237E-3</v>
      </c>
      <c r="H30" s="20">
        <v>5.4801493549916178E-3</v>
      </c>
      <c r="I30" s="20">
        <v>5.5739238569028158E-3</v>
      </c>
      <c r="J30" s="20">
        <v>5.7123295497621364E-3</v>
      </c>
      <c r="K30" s="20">
        <v>5.8567324222518228E-3</v>
      </c>
      <c r="L30" s="19">
        <v>33814</v>
      </c>
      <c r="M30" s="19">
        <v>34337</v>
      </c>
      <c r="N30" s="19">
        <v>35426</v>
      </c>
      <c r="O30" s="19">
        <v>36613</v>
      </c>
      <c r="P30" s="19">
        <v>37928</v>
      </c>
      <c r="Q30" s="20">
        <v>0.98011594202898555</v>
      </c>
      <c r="R30" s="20">
        <v>0.98378362891441995</v>
      </c>
      <c r="S30" s="20">
        <v>0.98572581318344976</v>
      </c>
      <c r="T30" s="20">
        <v>0.99779255464108574</v>
      </c>
      <c r="U30" s="20">
        <v>0.99794769246961001</v>
      </c>
      <c r="W30" s="19">
        <v>93166</v>
      </c>
      <c r="X30" s="19">
        <v>119481</v>
      </c>
      <c r="Y30" s="19">
        <v>47488</v>
      </c>
      <c r="Z30" s="19">
        <v>35082</v>
      </c>
      <c r="AA30" s="19">
        <v>36694</v>
      </c>
      <c r="AB30" s="20">
        <v>2.2431277337562481E-2</v>
      </c>
      <c r="AC30" s="20">
        <v>1.9589913803789012E-2</v>
      </c>
      <c r="AD30" s="20">
        <v>7.6808450999918641E-3</v>
      </c>
      <c r="AE30" s="20">
        <v>5.5650760308168347E-3</v>
      </c>
      <c r="AF30" s="20">
        <v>5.7123295497621364E-3</v>
      </c>
      <c r="AG30" s="19">
        <v>88343</v>
      </c>
      <c r="AH30" s="19">
        <v>111961</v>
      </c>
      <c r="AI30" s="19">
        <v>45738</v>
      </c>
      <c r="AJ30" s="19">
        <v>34327</v>
      </c>
      <c r="AK30" s="19">
        <v>36613</v>
      </c>
      <c r="AL30" s="20">
        <v>0.94823218770796214</v>
      </c>
      <c r="AM30" s="20">
        <v>0.93706112268896313</v>
      </c>
      <c r="AN30" s="20">
        <v>0.96314858490566035</v>
      </c>
      <c r="AO30" s="20">
        <v>0.97847899207570832</v>
      </c>
      <c r="AP30" s="20">
        <v>0.99779255464108574</v>
      </c>
      <c r="AQ30" s="37"/>
      <c r="AW30" s="19" t="s">
        <v>168</v>
      </c>
      <c r="AX30" s="19" t="s">
        <v>168</v>
      </c>
    </row>
    <row r="31" spans="1:50" s="19" customFormat="1" x14ac:dyDescent="0.2">
      <c r="A31" s="18" t="s">
        <v>38</v>
      </c>
      <c r="B31" s="19">
        <v>12262</v>
      </c>
      <c r="C31" s="19">
        <v>12628</v>
      </c>
      <c r="D31" s="19">
        <v>12922</v>
      </c>
      <c r="E31" s="19">
        <v>13069</v>
      </c>
      <c r="F31" s="19">
        <v>13346</v>
      </c>
      <c r="G31" s="20">
        <v>1.9346534584731101E-3</v>
      </c>
      <c r="H31" s="20">
        <v>1.9827328898614489E-3</v>
      </c>
      <c r="I31" s="20">
        <v>2.0041248804612867E-3</v>
      </c>
      <c r="J31" s="20">
        <v>2.0345134050755265E-3</v>
      </c>
      <c r="K31" s="20">
        <v>2.0566213468234708E-3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W31" s="19">
        <v>0</v>
      </c>
      <c r="X31" s="19">
        <v>9305</v>
      </c>
      <c r="Y31" s="19">
        <v>10939</v>
      </c>
      <c r="Z31" s="19">
        <v>11598</v>
      </c>
      <c r="AA31" s="19">
        <v>13069</v>
      </c>
      <c r="AB31" s="20">
        <v>0</v>
      </c>
      <c r="AC31" s="20">
        <v>1.5256329286184144E-3</v>
      </c>
      <c r="AD31" s="20">
        <v>1.7693051833897195E-3</v>
      </c>
      <c r="AE31" s="20">
        <v>1.8397968133348624E-3</v>
      </c>
      <c r="AF31" s="20">
        <v>2.0345134050755265E-3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37"/>
      <c r="AW31" s="19" t="s">
        <v>168</v>
      </c>
      <c r="AX31" s="19" t="s">
        <v>168</v>
      </c>
    </row>
    <row r="32" spans="1:50" s="19" customFormat="1" x14ac:dyDescent="0.2">
      <c r="A32" s="18" t="s">
        <v>39</v>
      </c>
      <c r="B32" s="19">
        <v>3384</v>
      </c>
      <c r="C32" s="19">
        <v>3054</v>
      </c>
      <c r="D32" s="19">
        <v>2786</v>
      </c>
      <c r="E32" s="19">
        <v>2576</v>
      </c>
      <c r="F32" s="19">
        <v>3681</v>
      </c>
      <c r="G32" s="20">
        <v>5.3391512832107353E-4</v>
      </c>
      <c r="H32" s="20">
        <v>4.7951110592626424E-4</v>
      </c>
      <c r="I32" s="20">
        <v>4.3209192980692965E-4</v>
      </c>
      <c r="J32" s="20">
        <v>4.0101817518360672E-4</v>
      </c>
      <c r="K32" s="20">
        <v>5.6724285760956065E-4</v>
      </c>
      <c r="L32" s="19">
        <v>3302</v>
      </c>
      <c r="M32" s="19">
        <v>2994</v>
      </c>
      <c r="N32" s="19">
        <v>2735</v>
      </c>
      <c r="O32" s="19">
        <v>2540</v>
      </c>
      <c r="P32" s="19">
        <v>3559</v>
      </c>
      <c r="Q32" s="20">
        <v>0.97576832151300241</v>
      </c>
      <c r="R32" s="20">
        <v>0.98035363457760316</v>
      </c>
      <c r="S32" s="20">
        <v>0.9816941852117731</v>
      </c>
      <c r="T32" s="20">
        <v>0.9860248447204969</v>
      </c>
      <c r="U32" s="20">
        <v>0.96685683238250475</v>
      </c>
      <c r="W32" s="19">
        <v>0</v>
      </c>
      <c r="X32" s="19">
        <v>722</v>
      </c>
      <c r="Y32" s="19">
        <v>6464</v>
      </c>
      <c r="Z32" s="19">
        <v>3787</v>
      </c>
      <c r="AA32" s="19">
        <v>2576</v>
      </c>
      <c r="AB32" s="20">
        <v>0</v>
      </c>
      <c r="AC32" s="20">
        <v>1.1837796608946751E-4</v>
      </c>
      <c r="AD32" s="20">
        <v>1.0455058694059007E-3</v>
      </c>
      <c r="AE32" s="20">
        <v>6.0073379307631696E-4</v>
      </c>
      <c r="AF32" s="20">
        <v>4.0101817518360672E-4</v>
      </c>
      <c r="AG32" s="19">
        <v>0</v>
      </c>
      <c r="AH32" s="19">
        <v>722</v>
      </c>
      <c r="AI32" s="19">
        <v>6406</v>
      </c>
      <c r="AJ32" s="19">
        <v>3694</v>
      </c>
      <c r="AK32" s="19">
        <v>2540</v>
      </c>
      <c r="AL32" s="20">
        <v>0</v>
      </c>
      <c r="AM32" s="20">
        <v>1</v>
      </c>
      <c r="AN32" s="20">
        <v>0.9910272277227723</v>
      </c>
      <c r="AO32" s="20">
        <v>0.9754423026142065</v>
      </c>
      <c r="AP32" s="20">
        <v>0.9860248447204969</v>
      </c>
      <c r="AQ32" s="37"/>
      <c r="AW32" s="19" t="s">
        <v>168</v>
      </c>
      <c r="AX32" s="19" t="s">
        <v>168</v>
      </c>
    </row>
    <row r="33" spans="1:50" s="19" customFormat="1" x14ac:dyDescent="0.2">
      <c r="A33" s="18" t="s">
        <v>40</v>
      </c>
      <c r="B33" s="19">
        <v>9496</v>
      </c>
      <c r="C33" s="19">
        <v>11352</v>
      </c>
      <c r="D33" s="19">
        <v>15178</v>
      </c>
      <c r="E33" s="19">
        <v>19907</v>
      </c>
      <c r="F33" s="19">
        <v>23684</v>
      </c>
      <c r="G33" s="20">
        <v>1.4982441071326581E-3</v>
      </c>
      <c r="H33" s="20">
        <v>1.7823870577848566E-3</v>
      </c>
      <c r="I33" s="20">
        <v>2.3540169815540481E-3</v>
      </c>
      <c r="J33" s="20">
        <v>3.0990173964984698E-3</v>
      </c>
      <c r="K33" s="20">
        <v>3.649709274551707E-3</v>
      </c>
      <c r="L33" s="19">
        <v>9182</v>
      </c>
      <c r="M33" s="19">
        <v>11046</v>
      </c>
      <c r="N33" s="19">
        <v>15127</v>
      </c>
      <c r="O33" s="19">
        <v>19864</v>
      </c>
      <c r="P33" s="19">
        <v>23643</v>
      </c>
      <c r="Q33" s="20">
        <v>0.9669334456613311</v>
      </c>
      <c r="R33" s="20">
        <v>0.97304439746300209</v>
      </c>
      <c r="S33" s="20">
        <v>0.99663987350112004</v>
      </c>
      <c r="T33" s="20">
        <v>0.99783995579444418</v>
      </c>
      <c r="U33" s="20">
        <v>0.99826887350109783</v>
      </c>
      <c r="W33" s="19">
        <v>13731</v>
      </c>
      <c r="X33" s="19">
        <v>13858</v>
      </c>
      <c r="Y33" s="19">
        <v>12073</v>
      </c>
      <c r="Z33" s="19">
        <v>9444</v>
      </c>
      <c r="AA33" s="19">
        <v>19907</v>
      </c>
      <c r="AB33" s="20">
        <v>3.3059685842696954E-3</v>
      </c>
      <c r="AC33" s="20">
        <v>2.2721355319499179E-3</v>
      </c>
      <c r="AD33" s="20">
        <v>1.9527215905534405E-3</v>
      </c>
      <c r="AE33" s="20">
        <v>1.498106665384932E-3</v>
      </c>
      <c r="AF33" s="20">
        <v>3.0990173964984698E-3</v>
      </c>
      <c r="AG33" s="19">
        <v>13616</v>
      </c>
      <c r="AH33" s="19">
        <v>13529</v>
      </c>
      <c r="AI33" s="19">
        <v>11681</v>
      </c>
      <c r="AJ33" s="19">
        <v>9130</v>
      </c>
      <c r="AK33" s="19">
        <v>19864</v>
      </c>
      <c r="AL33" s="20">
        <v>0.99162479061976549</v>
      </c>
      <c r="AM33" s="20">
        <v>0.97625920046182713</v>
      </c>
      <c r="AN33" s="20">
        <v>0.96753085397167238</v>
      </c>
      <c r="AO33" s="20">
        <v>0.96675137653536636</v>
      </c>
      <c r="AP33" s="20">
        <v>0.99783995579444418</v>
      </c>
      <c r="AQ33" s="37"/>
      <c r="AW33" s="19" t="s">
        <v>168</v>
      </c>
      <c r="AX33" s="19" t="s">
        <v>168</v>
      </c>
    </row>
    <row r="34" spans="1:50" s="19" customFormat="1" x14ac:dyDescent="0.2">
      <c r="A34" s="18" t="s">
        <v>41</v>
      </c>
      <c r="B34" s="19">
        <v>126</v>
      </c>
      <c r="C34" s="19">
        <v>126</v>
      </c>
      <c r="D34" s="19">
        <v>102</v>
      </c>
      <c r="E34" s="19">
        <v>88</v>
      </c>
      <c r="F34" s="19">
        <v>81</v>
      </c>
      <c r="G34" s="20">
        <v>1.9879818607699548E-5</v>
      </c>
      <c r="H34" s="20">
        <v>1.9783365863362572E-5</v>
      </c>
      <c r="I34" s="20">
        <v>1.581958967706634E-5</v>
      </c>
      <c r="J34" s="20">
        <v>1.3699378655340602E-5</v>
      </c>
      <c r="K34" s="20">
        <v>1.2482116671115027E-5</v>
      </c>
      <c r="L34" s="19">
        <v>125</v>
      </c>
      <c r="M34" s="19">
        <v>124</v>
      </c>
      <c r="N34" s="19">
        <v>98</v>
      </c>
      <c r="O34" s="19">
        <v>85</v>
      </c>
      <c r="P34" s="19">
        <v>78</v>
      </c>
      <c r="Q34" s="20">
        <v>0.99206349206349209</v>
      </c>
      <c r="R34" s="20">
        <v>0.98412698412698407</v>
      </c>
      <c r="S34" s="20">
        <v>0.96078431372549022</v>
      </c>
      <c r="T34" s="20">
        <v>0.96590909090909094</v>
      </c>
      <c r="U34" s="20">
        <v>0.96296296296296291</v>
      </c>
      <c r="W34" s="19">
        <v>71</v>
      </c>
      <c r="X34" s="19">
        <v>170</v>
      </c>
      <c r="Y34" s="19">
        <v>199</v>
      </c>
      <c r="Z34" s="19">
        <v>141</v>
      </c>
      <c r="AA34" s="19">
        <v>88</v>
      </c>
      <c r="AB34" s="20">
        <v>1.7094441008167531E-5</v>
      </c>
      <c r="AC34" s="20">
        <v>2.7872928303614232E-5</v>
      </c>
      <c r="AD34" s="20">
        <v>3.2186829828554179E-5</v>
      </c>
      <c r="AE34" s="20">
        <v>2.2366903835162583E-5</v>
      </c>
      <c r="AF34" s="20">
        <v>1.3699378655340602E-5</v>
      </c>
      <c r="AG34" s="19">
        <v>71</v>
      </c>
      <c r="AH34" s="19">
        <v>163</v>
      </c>
      <c r="AI34" s="19">
        <v>196</v>
      </c>
      <c r="AJ34" s="19">
        <v>138</v>
      </c>
      <c r="AK34" s="19">
        <v>85</v>
      </c>
      <c r="AL34" s="20">
        <v>1</v>
      </c>
      <c r="AM34" s="20">
        <v>0.95882352941176474</v>
      </c>
      <c r="AN34" s="20">
        <v>0.98492462311557794</v>
      </c>
      <c r="AO34" s="20">
        <v>0.97872340425531912</v>
      </c>
      <c r="AP34" s="20">
        <v>0.96590909090909094</v>
      </c>
      <c r="AQ34" s="37"/>
      <c r="AW34" s="19" t="s">
        <v>168</v>
      </c>
      <c r="AX34" s="19" t="s">
        <v>168</v>
      </c>
    </row>
    <row r="35" spans="1:50" s="19" customFormat="1" x14ac:dyDescent="0.2">
      <c r="A35" s="18" t="s">
        <v>42</v>
      </c>
      <c r="B35" s="19">
        <v>4804</v>
      </c>
      <c r="C35" s="19">
        <v>5739</v>
      </c>
      <c r="D35" s="19">
        <v>6284</v>
      </c>
      <c r="E35" s="19">
        <v>6442</v>
      </c>
      <c r="F35" s="19">
        <v>6217</v>
      </c>
      <c r="G35" s="20">
        <v>7.5795752850308436E-4</v>
      </c>
      <c r="H35" s="20">
        <v>9.0108521182410951E-4</v>
      </c>
      <c r="I35" s="20">
        <v>9.7461079932044002E-4</v>
      </c>
      <c r="J35" s="20">
        <v>1.0028567874739108E-3</v>
      </c>
      <c r="K35" s="20">
        <v>9.5804097955953229E-4</v>
      </c>
      <c r="L35" s="19">
        <v>2699</v>
      </c>
      <c r="M35" s="19">
        <v>3838</v>
      </c>
      <c r="N35" s="19">
        <v>4596</v>
      </c>
      <c r="O35" s="19">
        <v>4893</v>
      </c>
      <c r="P35" s="19">
        <v>6217</v>
      </c>
      <c r="Q35" s="20">
        <v>0.56182348043297248</v>
      </c>
      <c r="R35" s="20">
        <v>0.66875762327931698</v>
      </c>
      <c r="S35" s="20">
        <v>0.73138128580521966</v>
      </c>
      <c r="T35" s="20">
        <v>0.75954672461968331</v>
      </c>
      <c r="U35" s="20">
        <v>1</v>
      </c>
      <c r="W35" s="19">
        <v>0</v>
      </c>
      <c r="X35" s="19">
        <v>0</v>
      </c>
      <c r="Y35" s="19">
        <v>1532</v>
      </c>
      <c r="Z35" s="19">
        <v>4062</v>
      </c>
      <c r="AA35" s="19">
        <v>6442</v>
      </c>
      <c r="AB35" s="20">
        <v>0</v>
      </c>
      <c r="AC35" s="20">
        <v>0</v>
      </c>
      <c r="AD35" s="20">
        <v>2.4779006682082915E-4</v>
      </c>
      <c r="AE35" s="20">
        <v>6.443571870810667E-4</v>
      </c>
      <c r="AF35" s="20">
        <v>1.0028567874739108E-3</v>
      </c>
      <c r="AG35" s="19">
        <v>0</v>
      </c>
      <c r="AH35" s="19">
        <v>0</v>
      </c>
      <c r="AI35" s="19">
        <v>1532</v>
      </c>
      <c r="AJ35" s="19">
        <v>1656</v>
      </c>
      <c r="AK35" s="19">
        <v>4893</v>
      </c>
      <c r="AL35" s="20">
        <v>0</v>
      </c>
      <c r="AM35" s="20">
        <v>0</v>
      </c>
      <c r="AN35" s="20">
        <v>1</v>
      </c>
      <c r="AO35" s="20">
        <v>0.40768094534711963</v>
      </c>
      <c r="AP35" s="20">
        <v>0.75954672461968331</v>
      </c>
      <c r="AQ35" s="37"/>
      <c r="AW35" s="19" t="s">
        <v>168</v>
      </c>
      <c r="AX35" s="19" t="s">
        <v>168</v>
      </c>
    </row>
    <row r="36" spans="1:50" s="19" customFormat="1" x14ac:dyDescent="0.2">
      <c r="A36" s="18" t="s">
        <v>43</v>
      </c>
      <c r="B36" s="19">
        <v>1860728</v>
      </c>
      <c r="C36" s="19">
        <v>1844710</v>
      </c>
      <c r="D36" s="19">
        <v>1832373</v>
      </c>
      <c r="E36" s="19">
        <v>1826581</v>
      </c>
      <c r="F36" s="19">
        <v>1822863</v>
      </c>
      <c r="G36" s="20">
        <v>0.2935788501449807</v>
      </c>
      <c r="H36" s="20">
        <v>0.28963946699844106</v>
      </c>
      <c r="I36" s="20">
        <v>0.28419008818955965</v>
      </c>
      <c r="J36" s="20">
        <v>0.28435255413239424</v>
      </c>
      <c r="K36" s="20">
        <v>0.28090356347479939</v>
      </c>
      <c r="L36" s="19">
        <v>1480533</v>
      </c>
      <c r="M36" s="19">
        <v>1485393</v>
      </c>
      <c r="N36" s="19">
        <v>1481523</v>
      </c>
      <c r="O36" s="19">
        <v>1495443</v>
      </c>
      <c r="P36" s="19">
        <v>1506293</v>
      </c>
      <c r="Q36" s="20">
        <v>0.79567405875549779</v>
      </c>
      <c r="R36" s="20">
        <v>0.80521762228209315</v>
      </c>
      <c r="S36" s="20">
        <v>0.808526975675804</v>
      </c>
      <c r="T36" s="20">
        <v>0.8187115709623608</v>
      </c>
      <c r="U36" s="20">
        <v>0.82633363011921357</v>
      </c>
      <c r="W36" s="19">
        <v>1270132</v>
      </c>
      <c r="X36" s="19">
        <v>1932530</v>
      </c>
      <c r="Y36" s="19">
        <v>1903767</v>
      </c>
      <c r="Z36" s="19">
        <v>1869626</v>
      </c>
      <c r="AA36" s="19">
        <v>1826581</v>
      </c>
      <c r="AB36" s="20">
        <v>0.3058055851631809</v>
      </c>
      <c r="AC36" s="20">
        <v>0.31685453020343302</v>
      </c>
      <c r="AD36" s="20">
        <v>0.30792072594078951</v>
      </c>
      <c r="AE36" s="20">
        <v>0.2965797514164516</v>
      </c>
      <c r="AF36" s="20">
        <v>0.28435255413239424</v>
      </c>
      <c r="AG36" s="19">
        <v>758575</v>
      </c>
      <c r="AH36" s="19">
        <v>1261468</v>
      </c>
      <c r="AI36" s="19">
        <v>1337392</v>
      </c>
      <c r="AJ36" s="19">
        <v>1467824</v>
      </c>
      <c r="AK36" s="19">
        <v>1495443</v>
      </c>
      <c r="AL36" s="20">
        <v>0.59724107415607197</v>
      </c>
      <c r="AM36" s="20">
        <v>0.65275467909941887</v>
      </c>
      <c r="AN36" s="20">
        <v>0.70249773212793376</v>
      </c>
      <c r="AO36" s="20">
        <v>0.78508963824850531</v>
      </c>
      <c r="AP36" s="20">
        <v>0.8187115709623608</v>
      </c>
      <c r="AQ36" s="37"/>
      <c r="AW36" s="19" t="s">
        <v>168</v>
      </c>
      <c r="AX36" s="19" t="s">
        <v>168</v>
      </c>
    </row>
    <row r="37" spans="1:50" s="19" customFormat="1" x14ac:dyDescent="0.2">
      <c r="A37" s="18" t="s">
        <v>44</v>
      </c>
      <c r="B37" s="19">
        <v>542</v>
      </c>
      <c r="C37" s="19">
        <v>524</v>
      </c>
      <c r="D37" s="19">
        <v>510</v>
      </c>
      <c r="E37" s="19">
        <v>487</v>
      </c>
      <c r="F37" s="19">
        <v>461</v>
      </c>
      <c r="G37" s="20">
        <v>8.5514775280739328E-5</v>
      </c>
      <c r="H37" s="20">
        <v>8.227368025715863E-5</v>
      </c>
      <c r="I37" s="20">
        <v>7.9097948385331698E-5</v>
      </c>
      <c r="J37" s="20">
        <v>7.5813606876714464E-5</v>
      </c>
      <c r="K37" s="20">
        <v>7.1040194881284285E-5</v>
      </c>
      <c r="L37" s="19">
        <v>530</v>
      </c>
      <c r="M37" s="19">
        <v>516</v>
      </c>
      <c r="N37" s="19">
        <v>499</v>
      </c>
      <c r="O37" s="19">
        <v>476</v>
      </c>
      <c r="P37" s="19">
        <v>458</v>
      </c>
      <c r="Q37" s="20">
        <v>0.97785977859778594</v>
      </c>
      <c r="R37" s="20">
        <v>0.98473282442748089</v>
      </c>
      <c r="S37" s="20">
        <v>0.97843137254901957</v>
      </c>
      <c r="T37" s="20">
        <v>0.97741273100616022</v>
      </c>
      <c r="U37" s="20">
        <v>0.99349240780911063</v>
      </c>
      <c r="W37" s="19">
        <v>0</v>
      </c>
      <c r="X37" s="19">
        <v>0</v>
      </c>
      <c r="Y37" s="19">
        <v>677</v>
      </c>
      <c r="Z37" s="19">
        <v>569</v>
      </c>
      <c r="AA37" s="19">
        <v>487</v>
      </c>
      <c r="AB37" s="20">
        <v>0</v>
      </c>
      <c r="AC37" s="20">
        <v>0</v>
      </c>
      <c r="AD37" s="20">
        <v>1.0949991856246825E-4</v>
      </c>
      <c r="AE37" s="20">
        <v>9.0260767958918496E-5</v>
      </c>
      <c r="AF37" s="20">
        <v>7.5813606876714464E-5</v>
      </c>
      <c r="AG37" s="19">
        <v>0</v>
      </c>
      <c r="AH37" s="19">
        <v>0</v>
      </c>
      <c r="AI37" s="19">
        <v>649</v>
      </c>
      <c r="AJ37" s="19">
        <v>555</v>
      </c>
      <c r="AK37" s="19">
        <v>476</v>
      </c>
      <c r="AL37" s="20">
        <v>0</v>
      </c>
      <c r="AM37" s="20">
        <v>0</v>
      </c>
      <c r="AN37" s="20">
        <v>0.95864106351550959</v>
      </c>
      <c r="AO37" s="20">
        <v>0.97539543057996481</v>
      </c>
      <c r="AP37" s="20">
        <v>0.97741273100616022</v>
      </c>
      <c r="AQ37" s="37"/>
      <c r="AW37" s="19" t="s">
        <v>168</v>
      </c>
      <c r="AX37" s="19" t="s">
        <v>168</v>
      </c>
    </row>
    <row r="38" spans="1:50" s="19" customFormat="1" x14ac:dyDescent="0.2">
      <c r="A38" s="18" t="s">
        <v>45</v>
      </c>
      <c r="B38" s="19">
        <v>652</v>
      </c>
      <c r="C38" s="19">
        <v>854</v>
      </c>
      <c r="D38" s="19">
        <v>1110</v>
      </c>
      <c r="E38" s="19">
        <v>1190</v>
      </c>
      <c r="F38" s="19">
        <v>1364</v>
      </c>
      <c r="G38" s="20">
        <v>1.0287017247793735E-4</v>
      </c>
      <c r="H38" s="20">
        <v>1.3408725751834632E-4</v>
      </c>
      <c r="I38" s="20">
        <v>1.7215435825042782E-4</v>
      </c>
      <c r="J38" s="20">
        <v>1.8525296136199222E-4</v>
      </c>
      <c r="K38" s="20">
        <v>2.1019268073334439E-4</v>
      </c>
      <c r="L38" s="19">
        <v>652</v>
      </c>
      <c r="M38" s="19">
        <v>854</v>
      </c>
      <c r="N38" s="19">
        <v>1110</v>
      </c>
      <c r="O38" s="19">
        <v>1190</v>
      </c>
      <c r="P38" s="19">
        <v>1364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W38" s="19">
        <v>51</v>
      </c>
      <c r="X38" s="19">
        <v>172</v>
      </c>
      <c r="Y38" s="19">
        <v>221</v>
      </c>
      <c r="Z38" s="19">
        <v>518</v>
      </c>
      <c r="AA38" s="19">
        <v>1190</v>
      </c>
      <c r="AB38" s="20">
        <v>1.2279105512909073E-5</v>
      </c>
      <c r="AC38" s="20">
        <v>2.8200845107186164E-5</v>
      </c>
      <c r="AD38" s="20">
        <v>3.5745172824675751E-5</v>
      </c>
      <c r="AE38" s="20">
        <v>8.2170611252583103E-5</v>
      </c>
      <c r="AF38" s="20">
        <v>1.8525296136199222E-4</v>
      </c>
      <c r="AG38" s="19">
        <v>51</v>
      </c>
      <c r="AH38" s="19">
        <v>172</v>
      </c>
      <c r="AI38" s="19">
        <v>221</v>
      </c>
      <c r="AJ38" s="19">
        <v>518</v>
      </c>
      <c r="AK38" s="19">
        <v>1190</v>
      </c>
      <c r="AL38" s="20">
        <v>1</v>
      </c>
      <c r="AM38" s="20">
        <v>1</v>
      </c>
      <c r="AN38" s="20">
        <v>1</v>
      </c>
      <c r="AO38" s="20">
        <v>1</v>
      </c>
      <c r="AP38" s="20">
        <v>1</v>
      </c>
      <c r="AQ38" s="37"/>
      <c r="AW38" s="19" t="s">
        <v>168</v>
      </c>
      <c r="AX38" s="19" t="s">
        <v>168</v>
      </c>
    </row>
    <row r="39" spans="1:50" s="19" customFormat="1" x14ac:dyDescent="0.2">
      <c r="A39" s="18" t="s">
        <v>46</v>
      </c>
      <c r="B39" s="19">
        <v>0</v>
      </c>
      <c r="C39" s="19">
        <v>5</v>
      </c>
      <c r="D39" s="19">
        <v>7</v>
      </c>
      <c r="E39" s="19">
        <v>137</v>
      </c>
      <c r="F39" s="19">
        <v>374</v>
      </c>
      <c r="G39" s="20">
        <v>0</v>
      </c>
      <c r="H39" s="20">
        <v>7.8505420092708624E-7</v>
      </c>
      <c r="I39" s="20">
        <v>1.0856581150927881E-6</v>
      </c>
      <c r="J39" s="20">
        <v>2.1327441770246165E-5</v>
      </c>
      <c r="K39" s="20">
        <v>5.7633476975271849E-5</v>
      </c>
      <c r="L39" s="19">
        <v>0</v>
      </c>
      <c r="M39" s="19">
        <v>5</v>
      </c>
      <c r="N39" s="19">
        <v>7</v>
      </c>
      <c r="O39" s="19">
        <v>137</v>
      </c>
      <c r="P39" s="19">
        <v>374</v>
      </c>
      <c r="Q39" s="20">
        <v>0</v>
      </c>
      <c r="R39" s="20">
        <v>1</v>
      </c>
      <c r="S39" s="20">
        <v>1</v>
      </c>
      <c r="T39" s="20">
        <v>1</v>
      </c>
      <c r="U39" s="20">
        <v>1</v>
      </c>
      <c r="W39" s="19">
        <v>0</v>
      </c>
      <c r="X39" s="19">
        <v>0</v>
      </c>
      <c r="Y39" s="19">
        <v>0</v>
      </c>
      <c r="Z39" s="19">
        <v>0</v>
      </c>
      <c r="AA39" s="19">
        <v>137</v>
      </c>
      <c r="AB39" s="20">
        <v>0</v>
      </c>
      <c r="AC39" s="20">
        <v>0</v>
      </c>
      <c r="AD39" s="20">
        <v>0</v>
      </c>
      <c r="AE39" s="20">
        <v>0</v>
      </c>
      <c r="AF39" s="20">
        <v>2.1327441770246165E-5</v>
      </c>
      <c r="AG39" s="19">
        <v>0</v>
      </c>
      <c r="AH39" s="19">
        <v>0</v>
      </c>
      <c r="AI39" s="19">
        <v>0</v>
      </c>
      <c r="AJ39" s="19">
        <v>0</v>
      </c>
      <c r="AK39" s="19">
        <v>137</v>
      </c>
      <c r="AL39" s="20">
        <v>0</v>
      </c>
      <c r="AM39" s="20">
        <v>0</v>
      </c>
      <c r="AN39" s="20">
        <v>0</v>
      </c>
      <c r="AO39" s="20">
        <v>0</v>
      </c>
      <c r="AP39" s="20">
        <v>1</v>
      </c>
      <c r="AQ39" s="37"/>
      <c r="AW39" s="19" t="s">
        <v>168</v>
      </c>
      <c r="AX39" s="19" t="s">
        <v>168</v>
      </c>
    </row>
    <row r="40" spans="1:50" s="19" customFormat="1" x14ac:dyDescent="0.2">
      <c r="A40" s="18" t="s">
        <v>126</v>
      </c>
      <c r="B40" s="19">
        <v>40507</v>
      </c>
      <c r="C40" s="19">
        <v>44714</v>
      </c>
      <c r="D40" s="19">
        <v>46969</v>
      </c>
      <c r="E40" s="19">
        <v>47568</v>
      </c>
      <c r="F40" s="19">
        <v>48069</v>
      </c>
      <c r="G40" s="20">
        <v>6.3910461296990918E-3</v>
      </c>
      <c r="H40" s="20">
        <v>7.0205827080507465E-3</v>
      </c>
      <c r="I40" s="20">
        <v>7.2846108582561662E-3</v>
      </c>
      <c r="J40" s="20">
        <v>7.405136862241383E-3</v>
      </c>
      <c r="K40" s="20">
        <v>7.4074427933805949E-3</v>
      </c>
      <c r="L40" s="19">
        <v>39372</v>
      </c>
      <c r="M40" s="19">
        <v>43612</v>
      </c>
      <c r="N40" s="19">
        <v>45798</v>
      </c>
      <c r="O40" s="19">
        <v>46554</v>
      </c>
      <c r="P40" s="19">
        <v>47050</v>
      </c>
      <c r="Q40" s="20">
        <v>0.97198015157873952</v>
      </c>
      <c r="R40" s="20">
        <v>0.97535447510846718</v>
      </c>
      <c r="S40" s="20">
        <v>0.97506866230918265</v>
      </c>
      <c r="T40" s="20">
        <v>0.97868314833501513</v>
      </c>
      <c r="U40" s="20">
        <v>0.97880130645530383</v>
      </c>
      <c r="W40" s="19">
        <v>33537</v>
      </c>
      <c r="X40" s="19">
        <v>45458</v>
      </c>
      <c r="Y40" s="19">
        <v>38490</v>
      </c>
      <c r="Z40" s="19">
        <v>35748</v>
      </c>
      <c r="AA40" s="19">
        <v>47568</v>
      </c>
      <c r="AB40" s="20">
        <v>8.0745953252241483E-3</v>
      </c>
      <c r="AC40" s="20">
        <v>7.4532210283864463E-3</v>
      </c>
      <c r="AD40" s="20">
        <v>6.2254828145781428E-3</v>
      </c>
      <c r="AE40" s="20">
        <v>5.6707239595701559E-3</v>
      </c>
      <c r="AF40" s="20">
        <v>7.405136862241383E-3</v>
      </c>
      <c r="AG40" s="19">
        <v>32522</v>
      </c>
      <c r="AH40" s="19">
        <v>44177</v>
      </c>
      <c r="AI40" s="19">
        <v>37026</v>
      </c>
      <c r="AJ40" s="19">
        <v>34477</v>
      </c>
      <c r="AK40" s="19">
        <v>46554</v>
      </c>
      <c r="AL40" s="20">
        <v>0.96973491964099356</v>
      </c>
      <c r="AM40" s="20">
        <v>0.97182014166923314</v>
      </c>
      <c r="AN40" s="20">
        <v>0.96196414653156659</v>
      </c>
      <c r="AO40" s="20">
        <v>0.96444556338816156</v>
      </c>
      <c r="AP40" s="20">
        <v>0.97868314833501513</v>
      </c>
      <c r="AQ40" s="37"/>
    </row>
    <row r="41" spans="1:50" s="19" customFormat="1" x14ac:dyDescent="0.2">
      <c r="A41" s="18" t="s">
        <v>47</v>
      </c>
      <c r="B41" s="19">
        <v>0</v>
      </c>
      <c r="C41" s="19">
        <v>38</v>
      </c>
      <c r="D41" s="19">
        <v>40</v>
      </c>
      <c r="E41" s="19">
        <v>40</v>
      </c>
      <c r="F41" s="19">
        <v>87</v>
      </c>
      <c r="G41" s="20">
        <v>0</v>
      </c>
      <c r="H41" s="20">
        <v>5.9664119270458549E-6</v>
      </c>
      <c r="I41" s="20">
        <v>6.2037606576730749E-6</v>
      </c>
      <c r="J41" s="20">
        <v>6.2269902978820913E-6</v>
      </c>
      <c r="K41" s="20">
        <v>1.3406717906012436E-5</v>
      </c>
      <c r="L41" s="19">
        <v>0</v>
      </c>
      <c r="M41" s="19">
        <v>38</v>
      </c>
      <c r="N41" s="19">
        <v>40</v>
      </c>
      <c r="O41" s="19">
        <v>40</v>
      </c>
      <c r="P41" s="19">
        <v>83</v>
      </c>
      <c r="Q41" s="20">
        <v>0</v>
      </c>
      <c r="R41" s="20">
        <v>1</v>
      </c>
      <c r="S41" s="20">
        <v>1</v>
      </c>
      <c r="T41" s="20">
        <v>1</v>
      </c>
      <c r="U41" s="20">
        <v>0.95402298850574707</v>
      </c>
      <c r="W41" s="19">
        <v>0</v>
      </c>
      <c r="X41" s="19">
        <v>0</v>
      </c>
      <c r="Y41" s="19">
        <v>0</v>
      </c>
      <c r="Z41" s="19">
        <v>0</v>
      </c>
      <c r="AA41" s="19">
        <v>40</v>
      </c>
      <c r="AB41" s="20">
        <v>0</v>
      </c>
      <c r="AC41" s="20">
        <v>0</v>
      </c>
      <c r="AD41" s="20">
        <v>0</v>
      </c>
      <c r="AE41" s="20">
        <v>0</v>
      </c>
      <c r="AF41" s="20">
        <v>6.2269902978820913E-6</v>
      </c>
      <c r="AG41" s="19">
        <v>0</v>
      </c>
      <c r="AH41" s="19">
        <v>0</v>
      </c>
      <c r="AI41" s="19">
        <v>0</v>
      </c>
      <c r="AJ41" s="19">
        <v>0</v>
      </c>
      <c r="AK41" s="19">
        <v>40</v>
      </c>
      <c r="AL41" s="20">
        <v>0</v>
      </c>
      <c r="AM41" s="20">
        <v>0</v>
      </c>
      <c r="AN41" s="20">
        <v>0</v>
      </c>
      <c r="AO41" s="20">
        <v>0</v>
      </c>
      <c r="AP41" s="20">
        <v>1</v>
      </c>
      <c r="AQ41" s="37"/>
    </row>
    <row r="42" spans="1:50" s="19" customFormat="1" x14ac:dyDescent="0.2">
      <c r="A42" s="18" t="s">
        <v>48</v>
      </c>
      <c r="B42" s="19">
        <v>36663</v>
      </c>
      <c r="C42" s="19">
        <v>35636</v>
      </c>
      <c r="D42" s="19">
        <v>37520</v>
      </c>
      <c r="E42" s="19">
        <v>40043</v>
      </c>
      <c r="F42" s="19">
        <v>41947</v>
      </c>
      <c r="G42" s="20">
        <v>5.7845538858260995E-3</v>
      </c>
      <c r="H42" s="20">
        <v>5.595238300847529E-3</v>
      </c>
      <c r="I42" s="20">
        <v>5.8191274968973439E-3</v>
      </c>
      <c r="J42" s="20">
        <v>6.2336843124523146E-3</v>
      </c>
      <c r="K42" s="20">
        <v>6.464041333373605E-3</v>
      </c>
      <c r="L42" s="19">
        <v>36663</v>
      </c>
      <c r="M42" s="19">
        <v>35636</v>
      </c>
      <c r="N42" s="19">
        <v>37364</v>
      </c>
      <c r="O42" s="19">
        <v>39954</v>
      </c>
      <c r="P42" s="19">
        <v>41278</v>
      </c>
      <c r="Q42" s="20">
        <v>1</v>
      </c>
      <c r="R42" s="20">
        <v>1</v>
      </c>
      <c r="S42" s="20">
        <v>0.99584221748400847</v>
      </c>
      <c r="T42" s="20">
        <v>0.99777738930649551</v>
      </c>
      <c r="U42" s="20">
        <v>0.98405130283452924</v>
      </c>
      <c r="W42" s="19">
        <v>8199</v>
      </c>
      <c r="X42" s="19">
        <v>21776</v>
      </c>
      <c r="Y42" s="19">
        <v>34807</v>
      </c>
      <c r="Z42" s="19">
        <v>34748</v>
      </c>
      <c r="AA42" s="19">
        <v>40043</v>
      </c>
      <c r="AB42" s="20">
        <v>1.9740467862812056E-3</v>
      </c>
      <c r="AC42" s="20">
        <v>3.5703581572911975E-3</v>
      </c>
      <c r="AD42" s="20">
        <v>5.6297838484547008E-3</v>
      </c>
      <c r="AE42" s="20">
        <v>5.5120934359165208E-3</v>
      </c>
      <c r="AF42" s="20">
        <v>6.2336843124523146E-3</v>
      </c>
      <c r="AG42" s="19">
        <v>8199</v>
      </c>
      <c r="AH42" s="19">
        <v>21776</v>
      </c>
      <c r="AI42" s="19">
        <v>34807</v>
      </c>
      <c r="AJ42" s="19">
        <v>34748</v>
      </c>
      <c r="AK42" s="19">
        <v>39954</v>
      </c>
      <c r="AL42" s="20">
        <v>1</v>
      </c>
      <c r="AM42" s="20">
        <v>1</v>
      </c>
      <c r="AN42" s="20">
        <v>1</v>
      </c>
      <c r="AO42" s="20">
        <v>1</v>
      </c>
      <c r="AP42" s="20">
        <v>0.99777738930649551</v>
      </c>
      <c r="AQ42" s="37"/>
    </row>
    <row r="43" spans="1:50" s="19" customFormat="1" x14ac:dyDescent="0.2">
      <c r="A43" s="18" t="s">
        <v>49</v>
      </c>
      <c r="B43" s="19">
        <v>5728</v>
      </c>
      <c r="C43" s="19">
        <v>6196</v>
      </c>
      <c r="D43" s="19">
        <v>5912</v>
      </c>
      <c r="E43" s="19">
        <v>5638</v>
      </c>
      <c r="F43" s="19">
        <v>5460</v>
      </c>
      <c r="G43" s="20">
        <v>9.0374286495954769E-4</v>
      </c>
      <c r="H43" s="20">
        <v>9.7283916578884519E-4</v>
      </c>
      <c r="I43" s="20">
        <v>9.1691582520408044E-4</v>
      </c>
      <c r="J43" s="20">
        <v>8.7769428248648087E-4</v>
      </c>
      <c r="K43" s="20">
        <v>8.4138712375664249E-4</v>
      </c>
      <c r="L43" s="19">
        <v>5313</v>
      </c>
      <c r="M43" s="19">
        <v>5816</v>
      </c>
      <c r="N43" s="19">
        <v>5565</v>
      </c>
      <c r="O43" s="19">
        <v>5307</v>
      </c>
      <c r="P43" s="19">
        <v>5149</v>
      </c>
      <c r="Q43" s="20">
        <v>0.92754888268156421</v>
      </c>
      <c r="R43" s="20">
        <v>0.93867010974822462</v>
      </c>
      <c r="S43" s="20">
        <v>0.94130581867388363</v>
      </c>
      <c r="T43" s="20">
        <v>0.94129123802766934</v>
      </c>
      <c r="U43" s="20">
        <v>0.94304029304029302</v>
      </c>
      <c r="W43" s="19">
        <v>1068</v>
      </c>
      <c r="X43" s="19">
        <v>2335</v>
      </c>
      <c r="Y43" s="19">
        <v>1852</v>
      </c>
      <c r="Z43" s="19">
        <v>4396</v>
      </c>
      <c r="AA43" s="19">
        <v>5638</v>
      </c>
      <c r="AB43" s="20">
        <v>2.5713891544680171E-4</v>
      </c>
      <c r="AC43" s="20">
        <v>3.8284286817023079E-4</v>
      </c>
      <c r="AD43" s="20">
        <v>2.9954778312805199E-4</v>
      </c>
      <c r="AE43" s="20">
        <v>6.9733978198138085E-4</v>
      </c>
      <c r="AF43" s="20">
        <v>8.7769428248648087E-4</v>
      </c>
      <c r="AG43" s="19">
        <v>763</v>
      </c>
      <c r="AH43" s="19">
        <v>797</v>
      </c>
      <c r="AI43" s="19">
        <v>872</v>
      </c>
      <c r="AJ43" s="19">
        <v>3904</v>
      </c>
      <c r="AK43" s="19">
        <v>5307</v>
      </c>
      <c r="AL43" s="20">
        <v>0.71441947565543074</v>
      </c>
      <c r="AM43" s="20">
        <v>0.34132762312633835</v>
      </c>
      <c r="AN43" s="20">
        <v>0.47084233261339092</v>
      </c>
      <c r="AO43" s="20">
        <v>0.88808007279344858</v>
      </c>
      <c r="AP43" s="20">
        <v>0.94129123802766934</v>
      </c>
      <c r="AQ43" s="37"/>
    </row>
    <row r="44" spans="1:50" s="19" customFormat="1" x14ac:dyDescent="0.2">
      <c r="A44" s="18" t="s">
        <v>50</v>
      </c>
      <c r="B44" s="19">
        <v>394</v>
      </c>
      <c r="C44" s="19">
        <v>523</v>
      </c>
      <c r="D44" s="19">
        <v>598</v>
      </c>
      <c r="E44" s="19">
        <v>614</v>
      </c>
      <c r="F44" s="19">
        <v>588</v>
      </c>
      <c r="G44" s="20">
        <v>6.2163877233600181E-5</v>
      </c>
      <c r="H44" s="20">
        <v>8.2116669416973213E-5</v>
      </c>
      <c r="I44" s="20">
        <v>9.2746221832212467E-5</v>
      </c>
      <c r="J44" s="20">
        <v>9.5584301072490111E-5</v>
      </c>
      <c r="K44" s="20">
        <v>9.0610921019946116E-5</v>
      </c>
      <c r="L44" s="19">
        <v>394</v>
      </c>
      <c r="M44" s="19">
        <v>523</v>
      </c>
      <c r="N44" s="19">
        <v>554</v>
      </c>
      <c r="O44" s="19">
        <v>614</v>
      </c>
      <c r="P44" s="19">
        <v>588</v>
      </c>
      <c r="Q44" s="20">
        <v>1</v>
      </c>
      <c r="R44" s="20">
        <v>1</v>
      </c>
      <c r="S44" s="20">
        <v>0.9264214046822743</v>
      </c>
      <c r="T44" s="20">
        <v>1</v>
      </c>
      <c r="U44" s="20">
        <v>1</v>
      </c>
      <c r="W44" s="19">
        <v>0</v>
      </c>
      <c r="X44" s="19">
        <v>0</v>
      </c>
      <c r="Y44" s="19">
        <v>0</v>
      </c>
      <c r="Z44" s="19">
        <v>363</v>
      </c>
      <c r="AA44" s="19">
        <v>614</v>
      </c>
      <c r="AB44" s="20">
        <v>0</v>
      </c>
      <c r="AC44" s="20">
        <v>0</v>
      </c>
      <c r="AD44" s="20">
        <v>0</v>
      </c>
      <c r="AE44" s="20">
        <v>5.7582880086269627E-5</v>
      </c>
      <c r="AF44" s="20">
        <v>9.5584301072490111E-5</v>
      </c>
      <c r="AG44" s="19">
        <v>0</v>
      </c>
      <c r="AH44" s="19">
        <v>0</v>
      </c>
      <c r="AI44" s="19">
        <v>0</v>
      </c>
      <c r="AJ44" s="19">
        <v>363</v>
      </c>
      <c r="AK44" s="19">
        <v>614</v>
      </c>
      <c r="AL44" s="20">
        <v>0</v>
      </c>
      <c r="AM44" s="20">
        <v>0</v>
      </c>
      <c r="AN44" s="20">
        <v>0</v>
      </c>
      <c r="AO44" s="20">
        <v>1</v>
      </c>
      <c r="AP44" s="20">
        <v>1</v>
      </c>
      <c r="AQ44" s="37"/>
    </row>
    <row r="45" spans="1:50" s="19" customFormat="1" x14ac:dyDescent="0.2">
      <c r="A45" s="18" t="s">
        <v>51</v>
      </c>
      <c r="B45" s="19">
        <v>5</v>
      </c>
      <c r="C45" s="19">
        <v>20</v>
      </c>
      <c r="D45" s="19">
        <v>397</v>
      </c>
      <c r="E45" s="19">
        <v>930</v>
      </c>
      <c r="F45" s="19">
        <v>3042</v>
      </c>
      <c r="G45" s="20">
        <v>7.8888169078172813E-7</v>
      </c>
      <c r="H45" s="20">
        <v>3.1402168037083449E-6</v>
      </c>
      <c r="I45" s="20">
        <v>6.1572324527405274E-5</v>
      </c>
      <c r="J45" s="20">
        <v>1.4477752442575864E-4</v>
      </c>
      <c r="K45" s="20">
        <v>4.6877282609298656E-4</v>
      </c>
      <c r="L45" s="19">
        <v>5</v>
      </c>
      <c r="M45" s="19">
        <v>20</v>
      </c>
      <c r="N45" s="19">
        <v>397</v>
      </c>
      <c r="O45" s="19">
        <v>930</v>
      </c>
      <c r="P45" s="19">
        <v>3042</v>
      </c>
      <c r="Q45" s="20">
        <v>1</v>
      </c>
      <c r="R45" s="20">
        <v>1</v>
      </c>
      <c r="S45" s="20">
        <v>1</v>
      </c>
      <c r="T45" s="20">
        <v>1</v>
      </c>
      <c r="U45" s="20">
        <v>1</v>
      </c>
      <c r="W45" s="19">
        <v>0</v>
      </c>
      <c r="X45" s="19">
        <v>0</v>
      </c>
      <c r="Y45" s="19">
        <v>0</v>
      </c>
      <c r="Z45" s="19">
        <v>0</v>
      </c>
      <c r="AA45" s="19">
        <v>930</v>
      </c>
      <c r="AB45" s="20">
        <v>0</v>
      </c>
      <c r="AC45" s="20">
        <v>0</v>
      </c>
      <c r="AD45" s="20">
        <v>0</v>
      </c>
      <c r="AE45" s="20">
        <v>0</v>
      </c>
      <c r="AF45" s="20">
        <v>1.4477752442575864E-4</v>
      </c>
      <c r="AG45" s="19">
        <v>0</v>
      </c>
      <c r="AH45" s="19">
        <v>0</v>
      </c>
      <c r="AI45" s="19">
        <v>0</v>
      </c>
      <c r="AJ45" s="19">
        <v>0</v>
      </c>
      <c r="AK45" s="19">
        <v>930</v>
      </c>
      <c r="AL45" s="20">
        <v>0</v>
      </c>
      <c r="AM45" s="20">
        <v>0</v>
      </c>
      <c r="AN45" s="20">
        <v>0</v>
      </c>
      <c r="AO45" s="20">
        <v>0</v>
      </c>
      <c r="AP45" s="20">
        <v>1</v>
      </c>
      <c r="AQ45" s="37"/>
    </row>
    <row r="46" spans="1:50" s="19" customFormat="1" x14ac:dyDescent="0.2">
      <c r="A46" s="18" t="s">
        <v>52</v>
      </c>
      <c r="B46" s="19">
        <v>255211</v>
      </c>
      <c r="C46" s="19">
        <v>261198</v>
      </c>
      <c r="D46" s="19">
        <v>271879</v>
      </c>
      <c r="E46" s="19">
        <v>279068</v>
      </c>
      <c r="F46" s="19">
        <v>288507</v>
      </c>
      <c r="G46" s="20">
        <v>4.0266257037219123E-2</v>
      </c>
      <c r="H46" s="20">
        <v>4.1010917434750611E-2</v>
      </c>
      <c r="I46" s="20">
        <v>4.2166806096187448E-2</v>
      </c>
      <c r="J46" s="20">
        <v>4.3443843211233991E-2</v>
      </c>
      <c r="K46" s="20">
        <v>4.4458988079424479E-2</v>
      </c>
      <c r="L46" s="19">
        <v>254412</v>
      </c>
      <c r="M46" s="19">
        <v>260455</v>
      </c>
      <c r="N46" s="19">
        <v>271176</v>
      </c>
      <c r="O46" s="19">
        <v>278345</v>
      </c>
      <c r="P46" s="19">
        <v>287855</v>
      </c>
      <c r="Q46" s="20">
        <v>0.99686925720286357</v>
      </c>
      <c r="R46" s="20">
        <v>0.99715541466626845</v>
      </c>
      <c r="S46" s="20">
        <v>0.99741429091617961</v>
      </c>
      <c r="T46" s="20">
        <v>0.99740923359181277</v>
      </c>
      <c r="U46" s="20">
        <v>0.99774008949522885</v>
      </c>
      <c r="W46" s="19">
        <v>70074</v>
      </c>
      <c r="X46" s="19">
        <v>113955</v>
      </c>
      <c r="Y46" s="19">
        <v>214698</v>
      </c>
      <c r="Z46" s="19">
        <v>248176</v>
      </c>
      <c r="AA46" s="19">
        <v>279068</v>
      </c>
      <c r="AB46" s="20">
        <v>1.6871490974737065E-2</v>
      </c>
      <c r="AC46" s="20">
        <v>1.8683879675519766E-2</v>
      </c>
      <c r="AD46" s="20">
        <v>3.4725869299150378E-2</v>
      </c>
      <c r="AE46" s="20">
        <v>3.9368288838264598E-2</v>
      </c>
      <c r="AF46" s="20">
        <v>4.3443843211233991E-2</v>
      </c>
      <c r="AG46" s="19">
        <v>69973</v>
      </c>
      <c r="AH46" s="19">
        <v>113735</v>
      </c>
      <c r="AI46" s="19">
        <v>212630</v>
      </c>
      <c r="AJ46" s="19">
        <v>247258</v>
      </c>
      <c r="AK46" s="19">
        <v>278345</v>
      </c>
      <c r="AL46" s="20">
        <v>0.99855866655250169</v>
      </c>
      <c r="AM46" s="20">
        <v>0.99806941336492472</v>
      </c>
      <c r="AN46" s="20">
        <v>0.9903678655599959</v>
      </c>
      <c r="AO46" s="20">
        <v>0.99630101218490108</v>
      </c>
      <c r="AP46" s="20">
        <v>0.99740923359181277</v>
      </c>
      <c r="AQ46" s="37"/>
    </row>
    <row r="47" spans="1:50" s="19" customFormat="1" x14ac:dyDescent="0.2">
      <c r="A47" s="18" t="s">
        <v>53</v>
      </c>
      <c r="B47" s="19">
        <v>2863</v>
      </c>
      <c r="C47" s="19">
        <v>2896</v>
      </c>
      <c r="D47" s="19">
        <v>2387</v>
      </c>
      <c r="E47" s="19">
        <v>2211</v>
      </c>
      <c r="F47" s="19">
        <v>1113</v>
      </c>
      <c r="G47" s="20">
        <v>4.5171365614161751E-4</v>
      </c>
      <c r="H47" s="20">
        <v>4.5470339317696835E-4</v>
      </c>
      <c r="I47" s="20">
        <v>3.7020941724664075E-4</v>
      </c>
      <c r="J47" s="20">
        <v>3.4419688871543263E-4</v>
      </c>
      <c r="K47" s="20">
        <v>1.7151352907346943E-4</v>
      </c>
      <c r="L47" s="19">
        <v>2393</v>
      </c>
      <c r="M47" s="19">
        <v>2432</v>
      </c>
      <c r="N47" s="19">
        <v>2078</v>
      </c>
      <c r="O47" s="19">
        <v>1980</v>
      </c>
      <c r="P47" s="19">
        <v>986</v>
      </c>
      <c r="Q47" s="20">
        <v>0.83583653510303879</v>
      </c>
      <c r="R47" s="20">
        <v>0.83977900552486184</v>
      </c>
      <c r="S47" s="20">
        <v>0.87054880603267704</v>
      </c>
      <c r="T47" s="20">
        <v>0.89552238805970152</v>
      </c>
      <c r="U47" s="20">
        <v>0.88589398023360288</v>
      </c>
      <c r="W47" s="19">
        <v>5356</v>
      </c>
      <c r="X47" s="19">
        <v>6215</v>
      </c>
      <c r="Y47" s="19">
        <v>3939</v>
      </c>
      <c r="Z47" s="19">
        <v>3393</v>
      </c>
      <c r="AA47" s="19">
        <v>2211</v>
      </c>
      <c r="AB47" s="20">
        <v>1.2895468456302155E-3</v>
      </c>
      <c r="AC47" s="20">
        <v>1.0190014670997793E-3</v>
      </c>
      <c r="AD47" s="20">
        <v>6.3710513916922075E-4</v>
      </c>
      <c r="AE47" s="20">
        <v>5.3823336675678471E-4</v>
      </c>
      <c r="AF47" s="20">
        <v>3.4419688871543263E-4</v>
      </c>
      <c r="AG47" s="19">
        <v>5247</v>
      </c>
      <c r="AH47" s="19">
        <v>5156</v>
      </c>
      <c r="AI47" s="19">
        <v>2483</v>
      </c>
      <c r="AJ47" s="19">
        <v>2847</v>
      </c>
      <c r="AK47" s="19">
        <v>1980</v>
      </c>
      <c r="AL47" s="20">
        <v>0.97964899178491416</v>
      </c>
      <c r="AM47" s="20">
        <v>0.82960579243765087</v>
      </c>
      <c r="AN47" s="20">
        <v>0.63036303630363033</v>
      </c>
      <c r="AO47" s="20">
        <v>0.83908045977011492</v>
      </c>
      <c r="AP47" s="20">
        <v>0.89552238805970152</v>
      </c>
      <c r="AQ47" s="37"/>
    </row>
    <row r="48" spans="1:50" s="19" customFormat="1" x14ac:dyDescent="0.2">
      <c r="A48" s="18" t="s">
        <v>54</v>
      </c>
      <c r="B48" s="19">
        <v>1897</v>
      </c>
      <c r="C48" s="19">
        <v>2073</v>
      </c>
      <c r="D48" s="19">
        <v>2465</v>
      </c>
      <c r="E48" s="19">
        <v>2591</v>
      </c>
      <c r="F48" s="19">
        <v>2933</v>
      </c>
      <c r="G48" s="20">
        <v>2.9930171348258765E-4</v>
      </c>
      <c r="H48" s="20">
        <v>3.2548347170436996E-4</v>
      </c>
      <c r="I48" s="20">
        <v>3.8230675052910323E-4</v>
      </c>
      <c r="J48" s="20">
        <v>4.0335329654531246E-4</v>
      </c>
      <c r="K48" s="20">
        <v>4.5197590365901694E-4</v>
      </c>
      <c r="L48" s="19">
        <v>1897</v>
      </c>
      <c r="M48" s="19">
        <v>2073</v>
      </c>
      <c r="N48" s="19">
        <v>2361</v>
      </c>
      <c r="O48" s="19">
        <v>2560</v>
      </c>
      <c r="P48" s="19">
        <v>2899</v>
      </c>
      <c r="Q48" s="20">
        <v>1</v>
      </c>
      <c r="R48" s="20">
        <v>1</v>
      </c>
      <c r="S48" s="20">
        <v>0.95780933062880325</v>
      </c>
      <c r="T48" s="20">
        <v>0.98803550752605174</v>
      </c>
      <c r="U48" s="20">
        <v>0.98840777361063759</v>
      </c>
      <c r="W48" s="19">
        <v>0</v>
      </c>
      <c r="X48" s="19">
        <v>1183</v>
      </c>
      <c r="Y48" s="19">
        <v>1408</v>
      </c>
      <c r="Z48" s="19">
        <v>1781</v>
      </c>
      <c r="AA48" s="19">
        <v>2591</v>
      </c>
      <c r="AB48" s="20">
        <v>0</v>
      </c>
      <c r="AC48" s="20">
        <v>1.9396278931279787E-4</v>
      </c>
      <c r="AD48" s="20">
        <v>2.2773395175178034E-4</v>
      </c>
      <c r="AE48" s="20">
        <v>2.8252096262712452E-4</v>
      </c>
      <c r="AF48" s="20">
        <v>4.0335329654531246E-4</v>
      </c>
      <c r="AG48" s="19">
        <v>0</v>
      </c>
      <c r="AH48" s="19">
        <v>1183</v>
      </c>
      <c r="AI48" s="19">
        <v>0</v>
      </c>
      <c r="AJ48" s="19">
        <v>1781</v>
      </c>
      <c r="AK48" s="19">
        <v>2560</v>
      </c>
      <c r="AL48" s="20">
        <v>0</v>
      </c>
      <c r="AM48" s="20">
        <v>1</v>
      </c>
      <c r="AN48" s="20">
        <v>0</v>
      </c>
      <c r="AO48" s="20">
        <v>1</v>
      </c>
      <c r="AP48" s="20">
        <v>0.98803550752605174</v>
      </c>
      <c r="AQ48" s="37"/>
    </row>
    <row r="49" spans="1:55" s="19" customFormat="1" x14ac:dyDescent="0.2">
      <c r="A49" s="18" t="s">
        <v>55</v>
      </c>
      <c r="B49" s="19">
        <v>124922</v>
      </c>
      <c r="C49" s="19">
        <v>124783</v>
      </c>
      <c r="D49" s="19">
        <v>125678</v>
      </c>
      <c r="E49" s="19">
        <v>129855</v>
      </c>
      <c r="F49" s="19">
        <v>130500</v>
      </c>
      <c r="G49" s="20">
        <v>1.9709735715167008E-2</v>
      </c>
      <c r="H49" s="20">
        <v>1.9592283670856921E-2</v>
      </c>
      <c r="I49" s="20">
        <v>1.9491905798375918E-2</v>
      </c>
      <c r="J49" s="20">
        <v>2.0215145628286975E-2</v>
      </c>
      <c r="K49" s="20">
        <v>2.0110076859018652E-2</v>
      </c>
      <c r="L49" s="19">
        <v>124170</v>
      </c>
      <c r="M49" s="19">
        <v>124095</v>
      </c>
      <c r="N49" s="19">
        <v>124900</v>
      </c>
      <c r="O49" s="19">
        <v>128943</v>
      </c>
      <c r="P49" s="19">
        <v>129497</v>
      </c>
      <c r="Q49" s="20">
        <v>0.9939802436720514</v>
      </c>
      <c r="R49" s="20">
        <v>0.99448642843977142</v>
      </c>
      <c r="S49" s="20">
        <v>0.99380957685513771</v>
      </c>
      <c r="T49" s="20">
        <v>0.99297678179507909</v>
      </c>
      <c r="U49" s="20">
        <v>0.99231417624521068</v>
      </c>
      <c r="W49" s="19">
        <v>93497</v>
      </c>
      <c r="X49" s="19">
        <v>102435</v>
      </c>
      <c r="Y49" s="19">
        <v>112044</v>
      </c>
      <c r="Z49" s="19">
        <v>125240</v>
      </c>
      <c r="AA49" s="19">
        <v>129855</v>
      </c>
      <c r="AB49" s="20">
        <v>2.2510971140009009E-2</v>
      </c>
      <c r="AC49" s="20">
        <v>1.6795078886945435E-2</v>
      </c>
      <c r="AD49" s="20">
        <v>1.8122317393520226E-2</v>
      </c>
      <c r="AE49" s="20">
        <v>1.9866886782381288E-2</v>
      </c>
      <c r="AF49" s="20">
        <v>2.0215145628286975E-2</v>
      </c>
      <c r="AG49" s="19">
        <v>92451</v>
      </c>
      <c r="AH49" s="19">
        <v>101399</v>
      </c>
      <c r="AI49" s="19">
        <v>110973</v>
      </c>
      <c r="AJ49" s="19">
        <v>124421</v>
      </c>
      <c r="AK49" s="19">
        <v>128943</v>
      </c>
      <c r="AL49" s="20">
        <v>0.98881247526658611</v>
      </c>
      <c r="AM49" s="20">
        <v>0.98988626934153368</v>
      </c>
      <c r="AN49" s="20">
        <v>0.99044125522116311</v>
      </c>
      <c r="AO49" s="20">
        <v>0.99346055573299263</v>
      </c>
      <c r="AP49" s="20">
        <v>0.99297678179507909</v>
      </c>
      <c r="AQ49" s="37"/>
    </row>
    <row r="50" spans="1:55" s="19" customFormat="1" x14ac:dyDescent="0.2">
      <c r="A50" s="18" t="s">
        <v>56</v>
      </c>
      <c r="B50" s="19">
        <v>25</v>
      </c>
      <c r="C50" s="19">
        <v>1942</v>
      </c>
      <c r="D50" s="19">
        <v>5264</v>
      </c>
      <c r="E50" s="19">
        <v>4886</v>
      </c>
      <c r="F50" s="19">
        <v>5451</v>
      </c>
      <c r="G50" s="20">
        <v>3.9444084539086401E-6</v>
      </c>
      <c r="H50" s="20">
        <v>3.0491505164008029E-4</v>
      </c>
      <c r="I50" s="20">
        <v>8.1641490254977668E-4</v>
      </c>
      <c r="J50" s="20">
        <v>7.6062686488629749E-4</v>
      </c>
      <c r="K50" s="20">
        <v>8.4000022190429641E-4</v>
      </c>
      <c r="L50" s="19">
        <v>25</v>
      </c>
      <c r="M50" s="19">
        <v>1942</v>
      </c>
      <c r="N50" s="19">
        <v>5263</v>
      </c>
      <c r="O50" s="19">
        <v>4853</v>
      </c>
      <c r="P50" s="19">
        <v>5413</v>
      </c>
      <c r="Q50" s="20">
        <v>1</v>
      </c>
      <c r="R50" s="20">
        <v>1</v>
      </c>
      <c r="S50" s="20">
        <v>0.99981003039513683</v>
      </c>
      <c r="T50" s="20">
        <v>0.99324600900532134</v>
      </c>
      <c r="U50" s="20">
        <v>0.99302880205466881</v>
      </c>
      <c r="W50" s="19">
        <v>0</v>
      </c>
      <c r="X50" s="19">
        <v>0</v>
      </c>
      <c r="Y50" s="19">
        <v>0</v>
      </c>
      <c r="Z50" s="19">
        <v>0</v>
      </c>
      <c r="AA50" s="19">
        <v>4886</v>
      </c>
      <c r="AB50" s="20">
        <v>0</v>
      </c>
      <c r="AC50" s="20">
        <v>0</v>
      </c>
      <c r="AD50" s="20">
        <v>0</v>
      </c>
      <c r="AE50" s="20">
        <v>0</v>
      </c>
      <c r="AF50" s="20">
        <v>7.6062686488629749E-4</v>
      </c>
      <c r="AG50" s="19">
        <v>0</v>
      </c>
      <c r="AH50" s="19">
        <v>0</v>
      </c>
      <c r="AI50" s="19">
        <v>0</v>
      </c>
      <c r="AJ50" s="19">
        <v>0</v>
      </c>
      <c r="AK50" s="19">
        <v>4853</v>
      </c>
      <c r="AL50" s="20">
        <v>0</v>
      </c>
      <c r="AM50" s="20">
        <v>0</v>
      </c>
      <c r="AN50" s="20">
        <v>0</v>
      </c>
      <c r="AO50" s="20">
        <v>0</v>
      </c>
      <c r="AP50" s="20">
        <v>0.99324600900532134</v>
      </c>
      <c r="AQ50" s="37"/>
    </row>
    <row r="51" spans="1:55" s="19" customFormat="1" x14ac:dyDescent="0.2">
      <c r="A51" s="18" t="s">
        <v>176</v>
      </c>
      <c r="B51" s="19">
        <v>0</v>
      </c>
      <c r="C51" s="19">
        <v>0</v>
      </c>
      <c r="D51" s="19">
        <v>0</v>
      </c>
      <c r="E51" s="19">
        <v>0</v>
      </c>
      <c r="F51" s="19">
        <v>30</v>
      </c>
      <c r="G51" s="20">
        <v>0</v>
      </c>
      <c r="H51" s="20">
        <v>0</v>
      </c>
      <c r="I51" s="20">
        <v>0</v>
      </c>
      <c r="J51" s="20">
        <v>0</v>
      </c>
      <c r="K51" s="20">
        <v>4.6230061744870467E-6</v>
      </c>
      <c r="L51" s="19">
        <v>0</v>
      </c>
      <c r="M51" s="19">
        <v>0</v>
      </c>
      <c r="N51" s="19">
        <v>0</v>
      </c>
      <c r="O51" s="19">
        <v>0</v>
      </c>
      <c r="P51" s="19">
        <v>30</v>
      </c>
      <c r="Q51" s="20">
        <v>0</v>
      </c>
      <c r="R51" s="20">
        <v>0</v>
      </c>
      <c r="S51" s="20">
        <v>0</v>
      </c>
      <c r="T51" s="20">
        <v>0</v>
      </c>
      <c r="U51" s="20">
        <v>1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37"/>
    </row>
    <row r="52" spans="1:55" s="19" customFormat="1" x14ac:dyDescent="0.2">
      <c r="A52" s="18" t="s">
        <v>58</v>
      </c>
      <c r="B52" s="19">
        <v>20</v>
      </c>
      <c r="C52" s="19">
        <v>15</v>
      </c>
      <c r="D52" s="19">
        <v>39</v>
      </c>
      <c r="E52" s="19">
        <v>16</v>
      </c>
      <c r="F52" s="19">
        <v>10</v>
      </c>
      <c r="G52" s="20">
        <v>3.1555267631269125E-6</v>
      </c>
      <c r="H52" s="20">
        <v>2.3551626027812587E-6</v>
      </c>
      <c r="I52" s="20">
        <v>6.0486666412312483E-6</v>
      </c>
      <c r="J52" s="20">
        <v>2.4907961191528364E-6</v>
      </c>
      <c r="K52" s="20">
        <v>1.5410020581623489E-6</v>
      </c>
      <c r="L52" s="19">
        <v>20</v>
      </c>
      <c r="M52" s="19">
        <v>0</v>
      </c>
      <c r="N52" s="19">
        <v>28</v>
      </c>
      <c r="O52" s="19">
        <v>7</v>
      </c>
      <c r="P52" s="19">
        <v>7</v>
      </c>
      <c r="Q52" s="20">
        <v>1</v>
      </c>
      <c r="R52" s="20">
        <v>0</v>
      </c>
      <c r="S52" s="20">
        <v>0.71794871794871795</v>
      </c>
      <c r="T52" s="20">
        <v>0.4375</v>
      </c>
      <c r="U52" s="20">
        <v>0.7</v>
      </c>
      <c r="W52" s="19">
        <v>38</v>
      </c>
      <c r="X52" s="19">
        <v>46</v>
      </c>
      <c r="Y52" s="19">
        <v>23</v>
      </c>
      <c r="Z52" s="19">
        <v>21</v>
      </c>
      <c r="AA52" s="19">
        <v>16</v>
      </c>
      <c r="AB52" s="20">
        <v>9.1491374409910731E-6</v>
      </c>
      <c r="AC52" s="20">
        <v>7.5420864821544396E-6</v>
      </c>
      <c r="AD52" s="20">
        <v>3.7200858595816391E-6</v>
      </c>
      <c r="AE52" s="20">
        <v>3.3312409967263418E-6</v>
      </c>
      <c r="AF52" s="20">
        <v>2.4907961191528364E-6</v>
      </c>
      <c r="AG52" s="19">
        <v>38</v>
      </c>
      <c r="AH52" s="19">
        <v>45</v>
      </c>
      <c r="AI52" s="19">
        <v>23</v>
      </c>
      <c r="AJ52" s="19">
        <v>21</v>
      </c>
      <c r="AK52" s="19">
        <v>7</v>
      </c>
      <c r="AL52" s="20">
        <v>1</v>
      </c>
      <c r="AM52" s="20">
        <v>0.97826086956521741</v>
      </c>
      <c r="AN52" s="20">
        <v>1</v>
      </c>
      <c r="AO52" s="20">
        <v>1</v>
      </c>
      <c r="AP52" s="20">
        <v>0.4375</v>
      </c>
      <c r="AQ52" s="37"/>
    </row>
    <row r="53" spans="1:55" s="19" customFormat="1" x14ac:dyDescent="0.2">
      <c r="A53" s="18" t="s">
        <v>59</v>
      </c>
      <c r="B53" s="19">
        <v>0</v>
      </c>
      <c r="C53" s="19">
        <v>0</v>
      </c>
      <c r="D53" s="19">
        <v>4</v>
      </c>
      <c r="E53" s="19">
        <v>30</v>
      </c>
      <c r="F53" s="19">
        <v>52</v>
      </c>
      <c r="G53" s="20">
        <v>0</v>
      </c>
      <c r="H53" s="20">
        <v>0</v>
      </c>
      <c r="I53" s="20">
        <v>6.2037606576730747E-7</v>
      </c>
      <c r="J53" s="20">
        <v>4.6702427234115689E-6</v>
      </c>
      <c r="K53" s="20">
        <v>8.0132107024442136E-6</v>
      </c>
      <c r="L53" s="19">
        <v>0</v>
      </c>
      <c r="M53" s="19">
        <v>0</v>
      </c>
      <c r="N53" s="19">
        <v>4</v>
      </c>
      <c r="O53" s="19">
        <v>30</v>
      </c>
      <c r="P53" s="19">
        <v>52</v>
      </c>
      <c r="Q53" s="20">
        <v>0</v>
      </c>
      <c r="R53" s="20">
        <v>0</v>
      </c>
      <c r="S53" s="20">
        <v>1</v>
      </c>
      <c r="T53" s="20">
        <v>1</v>
      </c>
      <c r="U53" s="20">
        <v>1</v>
      </c>
      <c r="W53" s="19">
        <v>0</v>
      </c>
      <c r="X53" s="19">
        <v>0</v>
      </c>
      <c r="Y53" s="19">
        <v>0</v>
      </c>
      <c r="Z53" s="19">
        <v>0</v>
      </c>
      <c r="AA53" s="19">
        <v>30</v>
      </c>
      <c r="AB53" s="20">
        <v>0</v>
      </c>
      <c r="AC53" s="20">
        <v>0</v>
      </c>
      <c r="AD53" s="20">
        <v>0</v>
      </c>
      <c r="AE53" s="20">
        <v>0</v>
      </c>
      <c r="AF53" s="20">
        <v>4.6702427234115689E-6</v>
      </c>
      <c r="AG53" s="19">
        <v>0</v>
      </c>
      <c r="AH53" s="19">
        <v>0</v>
      </c>
      <c r="AI53" s="19">
        <v>0</v>
      </c>
      <c r="AJ53" s="19">
        <v>0</v>
      </c>
      <c r="AK53" s="19">
        <v>30</v>
      </c>
      <c r="AL53" s="20">
        <v>0</v>
      </c>
      <c r="AM53" s="20">
        <v>0</v>
      </c>
      <c r="AN53" s="20">
        <v>0</v>
      </c>
      <c r="AO53" s="20">
        <v>0</v>
      </c>
      <c r="AP53" s="20">
        <v>1</v>
      </c>
      <c r="AQ53" s="37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</row>
    <row r="54" spans="1:55" s="19" customFormat="1" x14ac:dyDescent="0.2">
      <c r="A54" s="18" t="s">
        <v>61</v>
      </c>
      <c r="B54" s="19">
        <v>953</v>
      </c>
      <c r="C54" s="19">
        <v>1349</v>
      </c>
      <c r="D54" s="19">
        <v>1532</v>
      </c>
      <c r="E54" s="19">
        <v>1948</v>
      </c>
      <c r="F54" s="19">
        <v>2598</v>
      </c>
      <c r="G54" s="20">
        <v>1.5036085026299737E-4</v>
      </c>
      <c r="H54" s="20">
        <v>2.1180762341012786E-4</v>
      </c>
      <c r="I54" s="20">
        <v>2.3760403318887877E-4</v>
      </c>
      <c r="J54" s="20">
        <v>3.0325442750685786E-4</v>
      </c>
      <c r="K54" s="20">
        <v>4.0035233471057824E-4</v>
      </c>
      <c r="L54" s="19">
        <v>953</v>
      </c>
      <c r="M54" s="19">
        <v>1349</v>
      </c>
      <c r="N54" s="19">
        <v>1532</v>
      </c>
      <c r="O54" s="19">
        <v>1948</v>
      </c>
      <c r="P54" s="19">
        <v>2598</v>
      </c>
      <c r="Q54" s="20">
        <v>1</v>
      </c>
      <c r="R54" s="20">
        <v>1</v>
      </c>
      <c r="S54" s="20">
        <v>1</v>
      </c>
      <c r="T54" s="20">
        <v>1</v>
      </c>
      <c r="U54" s="20">
        <v>1</v>
      </c>
      <c r="W54" s="19">
        <v>0</v>
      </c>
      <c r="X54" s="19">
        <v>0</v>
      </c>
      <c r="Y54" s="19">
        <v>0</v>
      </c>
      <c r="Z54" s="19">
        <v>813</v>
      </c>
      <c r="AA54" s="19">
        <v>1948</v>
      </c>
      <c r="AB54" s="20">
        <v>0</v>
      </c>
      <c r="AC54" s="20">
        <v>0</v>
      </c>
      <c r="AD54" s="20">
        <v>0</v>
      </c>
      <c r="AE54" s="20">
        <v>1.2896661573040552E-4</v>
      </c>
      <c r="AF54" s="20">
        <v>3.0325442750685786E-4</v>
      </c>
      <c r="AG54" s="19">
        <v>0</v>
      </c>
      <c r="AH54" s="19">
        <v>0</v>
      </c>
      <c r="AI54" s="19">
        <v>0</v>
      </c>
      <c r="AJ54" s="19">
        <v>813</v>
      </c>
      <c r="AK54" s="19">
        <v>1948</v>
      </c>
      <c r="AL54" s="20">
        <v>0</v>
      </c>
      <c r="AM54" s="20">
        <v>0</v>
      </c>
      <c r="AN54" s="20">
        <v>0</v>
      </c>
      <c r="AO54" s="20">
        <v>1</v>
      </c>
      <c r="AP54" s="20">
        <v>1</v>
      </c>
      <c r="AQ54" s="37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</row>
    <row r="55" spans="1:55" s="21" customFormat="1" x14ac:dyDescent="0.2">
      <c r="A55" s="1" t="s">
        <v>62</v>
      </c>
      <c r="B55" s="21">
        <v>6338086</v>
      </c>
      <c r="C55" s="21">
        <v>6368987</v>
      </c>
      <c r="D55" s="21">
        <v>6447702</v>
      </c>
      <c r="E55" s="21">
        <v>6423649</v>
      </c>
      <c r="F55" s="21">
        <v>6489284</v>
      </c>
      <c r="G55" s="22">
        <v>1</v>
      </c>
      <c r="H55" s="22">
        <v>1</v>
      </c>
      <c r="I55" s="22">
        <v>1</v>
      </c>
      <c r="J55" s="22">
        <v>1</v>
      </c>
      <c r="K55" s="22">
        <v>1</v>
      </c>
      <c r="L55" s="21">
        <v>4696117</v>
      </c>
      <c r="M55" s="21">
        <v>4759154</v>
      </c>
      <c r="N55" s="21">
        <v>4826156</v>
      </c>
      <c r="O55" s="21">
        <v>4839317</v>
      </c>
      <c r="P55" s="21">
        <v>4925490</v>
      </c>
      <c r="Q55" s="22">
        <v>0.74093614381376338</v>
      </c>
      <c r="R55" s="22">
        <v>0.74723876811178924</v>
      </c>
      <c r="S55" s="22">
        <v>0.74850791801482142</v>
      </c>
      <c r="T55" s="22">
        <v>0.75335950018439679</v>
      </c>
      <c r="U55" s="22">
        <v>0.75901902274580679</v>
      </c>
      <c r="W55" s="21">
        <v>4153397</v>
      </c>
      <c r="X55" s="21">
        <v>6099108</v>
      </c>
      <c r="Y55" s="21">
        <v>6182653</v>
      </c>
      <c r="Z55" s="21">
        <v>6303957</v>
      </c>
      <c r="AA55" s="21">
        <v>6423649</v>
      </c>
      <c r="AB55" s="22">
        <v>1</v>
      </c>
      <c r="AC55" s="22">
        <v>1</v>
      </c>
      <c r="AD55" s="22">
        <v>1</v>
      </c>
      <c r="AE55" s="22">
        <v>1</v>
      </c>
      <c r="AF55" s="22">
        <v>1</v>
      </c>
      <c r="AG55" s="21">
        <v>2813576</v>
      </c>
      <c r="AH55" s="21">
        <v>3954111</v>
      </c>
      <c r="AI55" s="21">
        <v>4198157</v>
      </c>
      <c r="AJ55" s="21">
        <v>4607393</v>
      </c>
      <c r="AK55" s="21">
        <v>4839317</v>
      </c>
      <c r="AL55" s="22">
        <v>0.67741561907036574</v>
      </c>
      <c r="AM55" s="22">
        <v>0.64830972004430809</v>
      </c>
      <c r="AN55" s="22">
        <v>0.67902193443494241</v>
      </c>
      <c r="AO55" s="22">
        <v>0.73087316426809379</v>
      </c>
      <c r="AP55" s="22">
        <v>0.75335950018439679</v>
      </c>
      <c r="AQ55" s="37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</row>
    <row r="56" spans="1:55" s="19" customFormat="1" x14ac:dyDescent="0.2">
      <c r="A56" s="23"/>
      <c r="AQ56" s="37"/>
    </row>
    <row r="57" spans="1:55" s="19" customFormat="1" x14ac:dyDescent="0.2">
      <c r="A57" s="1" t="s">
        <v>63</v>
      </c>
      <c r="AQ57" s="37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</row>
    <row r="58" spans="1:55" s="25" customFormat="1" x14ac:dyDescent="0.2">
      <c r="A58" s="24" t="s">
        <v>64</v>
      </c>
      <c r="B58" s="25" t="s">
        <v>10</v>
      </c>
      <c r="C58" s="25" t="s">
        <v>11</v>
      </c>
      <c r="D58" s="25" t="s">
        <v>12</v>
      </c>
      <c r="E58" s="25" t="s">
        <v>164</v>
      </c>
      <c r="F58" s="25" t="s">
        <v>195</v>
      </c>
      <c r="G58" s="25" t="s">
        <v>10</v>
      </c>
      <c r="H58" s="25" t="s">
        <v>11</v>
      </c>
      <c r="I58" s="25" t="s">
        <v>12</v>
      </c>
      <c r="J58" s="25" t="s">
        <v>164</v>
      </c>
      <c r="K58" s="25" t="s">
        <v>195</v>
      </c>
      <c r="L58" s="25" t="s">
        <v>10</v>
      </c>
      <c r="M58" s="25" t="s">
        <v>11</v>
      </c>
      <c r="N58" s="25" t="s">
        <v>12</v>
      </c>
      <c r="O58" s="25" t="s">
        <v>164</v>
      </c>
      <c r="P58" s="25" t="s">
        <v>195</v>
      </c>
      <c r="Q58" s="25" t="s">
        <v>10</v>
      </c>
      <c r="R58" s="25" t="s">
        <v>11</v>
      </c>
      <c r="S58" s="25" t="s">
        <v>12</v>
      </c>
      <c r="T58" s="25" t="s">
        <v>164</v>
      </c>
      <c r="U58" s="25" t="s">
        <v>195</v>
      </c>
      <c r="W58" s="25" t="s">
        <v>13</v>
      </c>
      <c r="X58" s="25" t="s">
        <v>14</v>
      </c>
      <c r="Y58" s="25" t="s">
        <v>15</v>
      </c>
      <c r="Z58" s="25" t="s">
        <v>16</v>
      </c>
      <c r="AA58" s="25" t="s">
        <v>165</v>
      </c>
      <c r="AB58" s="25" t="s">
        <v>13</v>
      </c>
      <c r="AC58" s="25" t="s">
        <v>14</v>
      </c>
      <c r="AD58" s="25" t="s">
        <v>15</v>
      </c>
      <c r="AE58" s="25" t="s">
        <v>16</v>
      </c>
      <c r="AF58" s="25" t="s">
        <v>165</v>
      </c>
      <c r="AG58" s="25" t="s">
        <v>13</v>
      </c>
      <c r="AH58" s="25" t="s">
        <v>14</v>
      </c>
      <c r="AI58" s="25" t="s">
        <v>15</v>
      </c>
      <c r="AJ58" s="25" t="s">
        <v>16</v>
      </c>
      <c r="AK58" s="25" t="s">
        <v>165</v>
      </c>
      <c r="AL58" s="25" t="s">
        <v>13</v>
      </c>
      <c r="AM58" s="25" t="s">
        <v>14</v>
      </c>
      <c r="AN58" s="25" t="s">
        <v>15</v>
      </c>
      <c r="AO58" s="25" t="s">
        <v>16</v>
      </c>
      <c r="AP58" s="25" t="s">
        <v>165</v>
      </c>
      <c r="AQ58" s="37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</row>
    <row r="59" spans="1:55" s="19" customFormat="1" x14ac:dyDescent="0.2">
      <c r="A59" s="18" t="s">
        <v>18</v>
      </c>
      <c r="B59" s="19">
        <v>150283</v>
      </c>
      <c r="C59" s="19">
        <v>147730</v>
      </c>
      <c r="D59" s="19">
        <v>146008</v>
      </c>
      <c r="E59" s="19">
        <v>144049</v>
      </c>
      <c r="F59" s="19">
        <v>143641</v>
      </c>
      <c r="G59" s="20">
        <v>0.86762464494376834</v>
      </c>
      <c r="H59" s="20">
        <v>0.85018588644237525</v>
      </c>
      <c r="I59" s="20">
        <v>0.83110673444179439</v>
      </c>
      <c r="J59" s="20">
        <v>0.81879984311674725</v>
      </c>
      <c r="K59" s="20">
        <v>0.81057852918604123</v>
      </c>
      <c r="L59" s="19">
        <v>59792</v>
      </c>
      <c r="M59" s="19">
        <v>62137</v>
      </c>
      <c r="N59" s="19">
        <v>51211</v>
      </c>
      <c r="O59" s="19">
        <v>58677</v>
      </c>
      <c r="P59" s="19">
        <v>65845</v>
      </c>
      <c r="Q59" s="20">
        <v>0.39786269904114235</v>
      </c>
      <c r="R59" s="20">
        <v>0.42061192716442158</v>
      </c>
      <c r="S59" s="20">
        <v>0.35074105528464194</v>
      </c>
      <c r="T59" s="20">
        <v>0.4073405577268846</v>
      </c>
      <c r="U59" s="20">
        <v>0.45839976051405934</v>
      </c>
      <c r="W59" s="19">
        <v>153235</v>
      </c>
      <c r="X59" s="19">
        <v>152243</v>
      </c>
      <c r="Y59" s="19">
        <v>152349</v>
      </c>
      <c r="Z59" s="19">
        <v>151987</v>
      </c>
      <c r="AA59" s="19">
        <v>144049</v>
      </c>
      <c r="AB59" s="20">
        <v>0.95316737578064736</v>
      </c>
      <c r="AC59" s="20">
        <v>0.92674003822788198</v>
      </c>
      <c r="AD59" s="20">
        <v>0.90701744985622179</v>
      </c>
      <c r="AE59" s="20">
        <v>0.88329613873584867</v>
      </c>
      <c r="AF59" s="20">
        <v>0.81879984311674725</v>
      </c>
      <c r="AG59" s="19">
        <v>32780</v>
      </c>
      <c r="AH59" s="19">
        <v>28376</v>
      </c>
      <c r="AI59" s="19">
        <v>19792</v>
      </c>
      <c r="AJ59" s="19">
        <v>48069</v>
      </c>
      <c r="AK59" s="19">
        <v>58677</v>
      </c>
      <c r="AL59" s="20">
        <v>0.2139197963911639</v>
      </c>
      <c r="AM59" s="20">
        <v>0.18638623779090008</v>
      </c>
      <c r="AN59" s="20">
        <v>0.12991224097302903</v>
      </c>
      <c r="AO59" s="20">
        <v>0.31627047050076651</v>
      </c>
      <c r="AP59" s="20">
        <v>0.4073405577268846</v>
      </c>
      <c r="AQ59" s="37"/>
    </row>
    <row r="60" spans="1:55" s="19" customFormat="1" x14ac:dyDescent="0.2">
      <c r="A60" s="18" t="s">
        <v>29</v>
      </c>
      <c r="B60" s="19">
        <v>78</v>
      </c>
      <c r="C60" s="19">
        <v>32</v>
      </c>
      <c r="D60" s="19">
        <v>259</v>
      </c>
      <c r="E60" s="19">
        <v>298</v>
      </c>
      <c r="F60" s="19">
        <v>466</v>
      </c>
      <c r="G60" s="20">
        <v>4.503152206544581E-4</v>
      </c>
      <c r="H60" s="20">
        <v>1.841599429104177E-4</v>
      </c>
      <c r="I60" s="20">
        <v>1.4742797943977368E-3</v>
      </c>
      <c r="J60" s="20">
        <v>1.6938843952321134E-3</v>
      </c>
      <c r="K60" s="20">
        <v>2.6296781183693736E-3</v>
      </c>
      <c r="L60" s="19">
        <v>78</v>
      </c>
      <c r="M60" s="19">
        <v>32</v>
      </c>
      <c r="N60" s="19">
        <v>257</v>
      </c>
      <c r="O60" s="19">
        <v>297</v>
      </c>
      <c r="P60" s="19">
        <v>462</v>
      </c>
      <c r="Q60" s="20">
        <v>1</v>
      </c>
      <c r="R60" s="20">
        <v>1</v>
      </c>
      <c r="S60" s="20">
        <v>0.99227799227799229</v>
      </c>
      <c r="T60" s="20">
        <v>0.99664429530201337</v>
      </c>
      <c r="U60" s="20">
        <v>0.99141630901287559</v>
      </c>
      <c r="W60" s="19">
        <v>0</v>
      </c>
      <c r="X60" s="19">
        <v>0</v>
      </c>
      <c r="Y60" s="19">
        <v>0</v>
      </c>
      <c r="Z60" s="19">
        <v>0</v>
      </c>
      <c r="AA60" s="19">
        <v>298</v>
      </c>
      <c r="AB60" s="20">
        <v>0</v>
      </c>
      <c r="AC60" s="20">
        <v>0</v>
      </c>
      <c r="AD60" s="20">
        <v>0</v>
      </c>
      <c r="AE60" s="20">
        <v>0</v>
      </c>
      <c r="AF60" s="20">
        <v>1.6938843952321134E-3</v>
      </c>
      <c r="AG60" s="19">
        <v>0</v>
      </c>
      <c r="AH60" s="19">
        <v>0</v>
      </c>
      <c r="AI60" s="19">
        <v>0</v>
      </c>
      <c r="AJ60" s="19">
        <v>0</v>
      </c>
      <c r="AK60" s="19">
        <v>297</v>
      </c>
      <c r="AL60" s="20">
        <v>0</v>
      </c>
      <c r="AM60" s="20">
        <v>0</v>
      </c>
      <c r="AN60" s="20">
        <v>0</v>
      </c>
      <c r="AO60" s="20">
        <v>0</v>
      </c>
      <c r="AP60" s="20">
        <v>0.99664429530201337</v>
      </c>
      <c r="AQ60" s="37"/>
    </row>
    <row r="61" spans="1:55" s="19" customFormat="1" x14ac:dyDescent="0.2">
      <c r="A61" s="18" t="s">
        <v>30</v>
      </c>
      <c r="B61" s="19">
        <v>6786</v>
      </c>
      <c r="C61" s="19">
        <v>7089</v>
      </c>
      <c r="D61" s="19">
        <v>7852</v>
      </c>
      <c r="E61" s="19">
        <v>7609</v>
      </c>
      <c r="F61" s="19">
        <v>7484</v>
      </c>
      <c r="G61" s="20">
        <v>3.9177424196937857E-2</v>
      </c>
      <c r="H61" s="20">
        <v>4.0797182352873468E-2</v>
      </c>
      <c r="I61" s="20">
        <v>4.4695154230158414E-2</v>
      </c>
      <c r="J61" s="20">
        <v>4.3250893836648152E-2</v>
      </c>
      <c r="K61" s="20">
        <v>4.2232856304455779E-2</v>
      </c>
      <c r="L61" s="19">
        <v>6525</v>
      </c>
      <c r="M61" s="19">
        <v>6835</v>
      </c>
      <c r="N61" s="19">
        <v>7585</v>
      </c>
      <c r="O61" s="19">
        <v>7373</v>
      </c>
      <c r="P61" s="19">
        <v>7261</v>
      </c>
      <c r="Q61" s="20">
        <v>0.96153846153846156</v>
      </c>
      <c r="R61" s="20">
        <v>0.96416984059810973</v>
      </c>
      <c r="S61" s="20">
        <v>0.96599592460519612</v>
      </c>
      <c r="T61" s="20">
        <v>0.96898409777894601</v>
      </c>
      <c r="U61" s="20">
        <v>0.97020309994655263</v>
      </c>
      <c r="W61" s="19">
        <v>5420</v>
      </c>
      <c r="X61" s="19">
        <v>5359</v>
      </c>
      <c r="Y61" s="19">
        <v>5555</v>
      </c>
      <c r="Z61" s="19">
        <v>6583</v>
      </c>
      <c r="AA61" s="19">
        <v>7609</v>
      </c>
      <c r="AB61" s="20">
        <v>3.3714015575626387E-2</v>
      </c>
      <c r="AC61" s="20">
        <v>3.2621531793666836E-2</v>
      </c>
      <c r="AD61" s="20">
        <v>3.3071972470782952E-2</v>
      </c>
      <c r="AE61" s="20">
        <v>3.8258130506543926E-2</v>
      </c>
      <c r="AF61" s="20">
        <v>4.3250893836648152E-2</v>
      </c>
      <c r="AG61" s="19">
        <v>5012</v>
      </c>
      <c r="AH61" s="19">
        <v>4892</v>
      </c>
      <c r="AI61" s="19">
        <v>5211</v>
      </c>
      <c r="AJ61" s="19">
        <v>6309</v>
      </c>
      <c r="AK61" s="19">
        <v>7373</v>
      </c>
      <c r="AL61" s="20">
        <v>0.92472324723247235</v>
      </c>
      <c r="AM61" s="20">
        <v>0.91285687628288859</v>
      </c>
      <c r="AN61" s="20">
        <v>0.93807380738073809</v>
      </c>
      <c r="AO61" s="20">
        <v>0.95837763937414555</v>
      </c>
      <c r="AP61" s="20">
        <v>0.96898409777894601</v>
      </c>
      <c r="AQ61" s="37"/>
    </row>
    <row r="62" spans="1:55" s="19" customFormat="1" x14ac:dyDescent="0.2">
      <c r="A62" s="18" t="s">
        <v>40</v>
      </c>
      <c r="B62" s="19">
        <v>0</v>
      </c>
      <c r="C62" s="19">
        <v>0</v>
      </c>
      <c r="D62" s="19">
        <v>1</v>
      </c>
      <c r="E62" s="19">
        <v>0</v>
      </c>
      <c r="F62" s="19">
        <v>0</v>
      </c>
      <c r="G62" s="20">
        <v>0</v>
      </c>
      <c r="H62" s="20">
        <v>0</v>
      </c>
      <c r="I62" s="20">
        <v>5.6921999783696401E-6</v>
      </c>
      <c r="J62" s="20">
        <v>0</v>
      </c>
      <c r="K62" s="20">
        <v>0</v>
      </c>
      <c r="L62" s="19">
        <v>0</v>
      </c>
      <c r="M62" s="19">
        <v>0</v>
      </c>
      <c r="N62" s="19">
        <v>1</v>
      </c>
      <c r="O62" s="19">
        <v>0</v>
      </c>
      <c r="P62" s="19">
        <v>0</v>
      </c>
      <c r="Q62" s="20">
        <v>0</v>
      </c>
      <c r="R62" s="20">
        <v>0</v>
      </c>
      <c r="S62" s="20">
        <v>1</v>
      </c>
      <c r="T62" s="20">
        <v>0</v>
      </c>
      <c r="U62" s="20">
        <v>0</v>
      </c>
      <c r="W62" s="19">
        <v>0</v>
      </c>
      <c r="X62" s="19">
        <v>0</v>
      </c>
      <c r="Y62" s="19">
        <v>0</v>
      </c>
      <c r="Z62" s="19">
        <v>1</v>
      </c>
      <c r="AA62" s="19">
        <v>0</v>
      </c>
      <c r="AB62" s="20">
        <v>0</v>
      </c>
      <c r="AC62" s="20">
        <v>0</v>
      </c>
      <c r="AD62" s="20">
        <v>0</v>
      </c>
      <c r="AE62" s="20">
        <v>5.8116558569867728E-6</v>
      </c>
      <c r="AF62" s="20">
        <v>0</v>
      </c>
      <c r="AG62" s="19">
        <v>0</v>
      </c>
      <c r="AH62" s="19">
        <v>0</v>
      </c>
      <c r="AI62" s="19">
        <v>0</v>
      </c>
      <c r="AJ62" s="19">
        <v>1</v>
      </c>
      <c r="AK62" s="19">
        <v>0</v>
      </c>
      <c r="AL62" s="20">
        <v>0</v>
      </c>
      <c r="AM62" s="20">
        <v>0</v>
      </c>
      <c r="AN62" s="20">
        <v>0</v>
      </c>
      <c r="AO62" s="20">
        <v>1</v>
      </c>
      <c r="AP62" s="20">
        <v>0</v>
      </c>
      <c r="AQ62" s="37"/>
    </row>
    <row r="63" spans="1:55" s="19" customFormat="1" x14ac:dyDescent="0.2">
      <c r="A63" s="18" t="s">
        <v>43</v>
      </c>
      <c r="B63" s="19">
        <v>16014</v>
      </c>
      <c r="C63" s="19">
        <v>18862</v>
      </c>
      <c r="D63" s="19">
        <v>21515</v>
      </c>
      <c r="E63" s="19">
        <v>23908</v>
      </c>
      <c r="F63" s="19">
        <v>25522</v>
      </c>
      <c r="G63" s="20">
        <v>9.2453178763596058E-2</v>
      </c>
      <c r="H63" s="20">
        <v>0.10855077634925933</v>
      </c>
      <c r="I63" s="20">
        <v>0.12246768253462281</v>
      </c>
      <c r="J63" s="20">
        <v>0.13589727557452808</v>
      </c>
      <c r="K63" s="20">
        <v>0.14402284321249606</v>
      </c>
      <c r="L63" s="19">
        <v>15317</v>
      </c>
      <c r="M63" s="19">
        <v>18047</v>
      </c>
      <c r="N63" s="19">
        <v>20593</v>
      </c>
      <c r="O63" s="19">
        <v>22921</v>
      </c>
      <c r="P63" s="19">
        <v>24579</v>
      </c>
      <c r="Q63" s="20">
        <v>0.95647558386411891</v>
      </c>
      <c r="R63" s="20">
        <v>0.95679143250980803</v>
      </c>
      <c r="S63" s="20">
        <v>0.95714617708575411</v>
      </c>
      <c r="T63" s="20">
        <v>0.95871674753220681</v>
      </c>
      <c r="U63" s="20">
        <v>0.96305148499333904</v>
      </c>
      <c r="W63" s="19">
        <v>2104</v>
      </c>
      <c r="X63" s="19">
        <v>6671</v>
      </c>
      <c r="Y63" s="19">
        <v>10037</v>
      </c>
      <c r="Z63" s="19">
        <v>13445</v>
      </c>
      <c r="AA63" s="19">
        <v>23908</v>
      </c>
      <c r="AB63" s="20">
        <v>1.3087507153342788E-2</v>
      </c>
      <c r="AC63" s="20">
        <v>4.0607993766663825E-2</v>
      </c>
      <c r="AD63" s="20">
        <v>5.975578536260099E-2</v>
      </c>
      <c r="AE63" s="20">
        <v>7.8137712997187164E-2</v>
      </c>
      <c r="AF63" s="20">
        <v>0.13589727557452808</v>
      </c>
      <c r="AG63" s="19">
        <v>2047</v>
      </c>
      <c r="AH63" s="19">
        <v>6542</v>
      </c>
      <c r="AI63" s="19">
        <v>9704</v>
      </c>
      <c r="AJ63" s="19">
        <v>12768</v>
      </c>
      <c r="AK63" s="19">
        <v>22921</v>
      </c>
      <c r="AL63" s="20">
        <v>0.97290874524714832</v>
      </c>
      <c r="AM63" s="20">
        <v>0.98066256932993556</v>
      </c>
      <c r="AN63" s="20">
        <v>0.96682275580352695</v>
      </c>
      <c r="AO63" s="20">
        <v>0.9496467088136854</v>
      </c>
      <c r="AP63" s="20">
        <v>0.95871674753220681</v>
      </c>
      <c r="AQ63" s="37"/>
    </row>
    <row r="64" spans="1:55" s="19" customFormat="1" x14ac:dyDescent="0.2">
      <c r="A64" s="18" t="s">
        <v>46</v>
      </c>
      <c r="B64" s="19">
        <v>0</v>
      </c>
      <c r="C64" s="19">
        <v>0</v>
      </c>
      <c r="D64" s="19">
        <v>0</v>
      </c>
      <c r="E64" s="19">
        <v>2</v>
      </c>
      <c r="F64" s="19">
        <v>4</v>
      </c>
      <c r="G64" s="20">
        <v>0</v>
      </c>
      <c r="H64" s="20">
        <v>0</v>
      </c>
      <c r="I64" s="20">
        <v>0</v>
      </c>
      <c r="J64" s="20">
        <v>1.1368351645853109E-5</v>
      </c>
      <c r="K64" s="20">
        <v>2.2572344363685611E-5</v>
      </c>
      <c r="L64" s="19">
        <v>0</v>
      </c>
      <c r="M64" s="19">
        <v>0</v>
      </c>
      <c r="N64" s="19">
        <v>0</v>
      </c>
      <c r="O64" s="19">
        <v>2</v>
      </c>
      <c r="P64" s="19">
        <v>4</v>
      </c>
      <c r="Q64" s="20">
        <v>0</v>
      </c>
      <c r="R64" s="20">
        <v>0</v>
      </c>
      <c r="S64" s="20">
        <v>0</v>
      </c>
      <c r="T64" s="20">
        <v>1</v>
      </c>
      <c r="U64" s="20">
        <v>1</v>
      </c>
      <c r="W64" s="19">
        <v>0</v>
      </c>
      <c r="X64" s="19">
        <v>0</v>
      </c>
      <c r="Y64" s="19">
        <v>0</v>
      </c>
      <c r="Z64" s="19">
        <v>0</v>
      </c>
      <c r="AA64" s="19">
        <v>2</v>
      </c>
      <c r="AB64" s="20">
        <v>0</v>
      </c>
      <c r="AC64" s="20">
        <v>0</v>
      </c>
      <c r="AD64" s="20">
        <v>0</v>
      </c>
      <c r="AE64" s="20">
        <v>0</v>
      </c>
      <c r="AF64" s="20">
        <v>1.1368351645853109E-5</v>
      </c>
      <c r="AG64" s="19">
        <v>0</v>
      </c>
      <c r="AH64" s="19">
        <v>0</v>
      </c>
      <c r="AI64" s="19">
        <v>0</v>
      </c>
      <c r="AJ64" s="19">
        <v>0</v>
      </c>
      <c r="AK64" s="19">
        <v>2</v>
      </c>
      <c r="AL64" s="20">
        <v>0</v>
      </c>
      <c r="AM64" s="20">
        <v>0</v>
      </c>
      <c r="AN64" s="20">
        <v>0</v>
      </c>
      <c r="AO64" s="20">
        <v>0</v>
      </c>
      <c r="AP64" s="20">
        <v>1</v>
      </c>
      <c r="AQ64" s="37"/>
    </row>
    <row r="65" spans="1:55" s="19" customFormat="1" x14ac:dyDescent="0.2">
      <c r="A65" s="18" t="s">
        <v>52</v>
      </c>
      <c r="B65" s="19">
        <v>4</v>
      </c>
      <c r="C65" s="19">
        <v>4</v>
      </c>
      <c r="D65" s="19">
        <v>4</v>
      </c>
      <c r="E65" s="19">
        <v>22</v>
      </c>
      <c r="F65" s="19">
        <v>54</v>
      </c>
      <c r="G65" s="20">
        <v>2.3093088238690159E-5</v>
      </c>
      <c r="H65" s="20">
        <v>2.3019992863802212E-5</v>
      </c>
      <c r="I65" s="20">
        <v>2.2768799913478561E-5</v>
      </c>
      <c r="J65" s="20">
        <v>1.2505186810438421E-4</v>
      </c>
      <c r="K65" s="20">
        <v>3.0472664890975575E-4</v>
      </c>
      <c r="L65" s="19">
        <v>4</v>
      </c>
      <c r="M65" s="19">
        <v>4</v>
      </c>
      <c r="N65" s="19">
        <v>4</v>
      </c>
      <c r="O65" s="19">
        <v>22</v>
      </c>
      <c r="P65" s="19">
        <v>54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W65" s="19">
        <v>5</v>
      </c>
      <c r="X65" s="19">
        <v>5</v>
      </c>
      <c r="Y65" s="19">
        <v>4</v>
      </c>
      <c r="Z65" s="19">
        <v>4</v>
      </c>
      <c r="AA65" s="19">
        <v>22</v>
      </c>
      <c r="AB65" s="20">
        <v>3.1101490383419174E-5</v>
      </c>
      <c r="AC65" s="20">
        <v>3.04362117873361E-5</v>
      </c>
      <c r="AD65" s="20">
        <v>2.3814201599123638E-5</v>
      </c>
      <c r="AE65" s="20">
        <v>2.3246623427947091E-5</v>
      </c>
      <c r="AF65" s="20">
        <v>1.2505186810438421E-4</v>
      </c>
      <c r="AG65" s="19">
        <v>5</v>
      </c>
      <c r="AH65" s="19">
        <v>5</v>
      </c>
      <c r="AI65" s="19">
        <v>4</v>
      </c>
      <c r="AJ65" s="19">
        <v>4</v>
      </c>
      <c r="AK65" s="19">
        <v>22</v>
      </c>
      <c r="AL65" s="20">
        <v>1</v>
      </c>
      <c r="AM65" s="20">
        <v>1</v>
      </c>
      <c r="AN65" s="20">
        <v>1</v>
      </c>
      <c r="AO65" s="20">
        <v>1</v>
      </c>
      <c r="AP65" s="20">
        <v>1</v>
      </c>
      <c r="AQ65" s="37"/>
    </row>
    <row r="66" spans="1:55" s="19" customFormat="1" x14ac:dyDescent="0.2">
      <c r="A66" s="18" t="s">
        <v>55</v>
      </c>
      <c r="B66" s="19">
        <v>47</v>
      </c>
      <c r="C66" s="19">
        <v>45</v>
      </c>
      <c r="D66" s="19">
        <v>40</v>
      </c>
      <c r="E66" s="19">
        <v>39</v>
      </c>
      <c r="F66" s="19">
        <v>37</v>
      </c>
      <c r="G66" s="20">
        <v>2.7134378680460937E-4</v>
      </c>
      <c r="H66" s="20">
        <v>2.589749197177749E-4</v>
      </c>
      <c r="I66" s="20">
        <v>2.2768799913478561E-4</v>
      </c>
      <c r="J66" s="20">
        <v>2.2168285709413564E-4</v>
      </c>
      <c r="K66" s="20">
        <v>2.0879418536409191E-4</v>
      </c>
      <c r="L66" s="19">
        <v>47</v>
      </c>
      <c r="M66" s="19">
        <v>45</v>
      </c>
      <c r="N66" s="19">
        <v>40</v>
      </c>
      <c r="O66" s="19">
        <v>39</v>
      </c>
      <c r="P66" s="19">
        <v>37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W66" s="19">
        <v>0</v>
      </c>
      <c r="X66" s="19">
        <v>0</v>
      </c>
      <c r="Y66" s="19">
        <v>22</v>
      </c>
      <c r="Z66" s="19">
        <v>48</v>
      </c>
      <c r="AA66" s="19">
        <v>39</v>
      </c>
      <c r="AB66" s="20">
        <v>0</v>
      </c>
      <c r="AC66" s="20">
        <v>0</v>
      </c>
      <c r="AD66" s="20">
        <v>1.3097810879518E-4</v>
      </c>
      <c r="AE66" s="20">
        <v>2.7895948113536507E-4</v>
      </c>
      <c r="AF66" s="20">
        <v>2.2168285709413564E-4</v>
      </c>
      <c r="AG66" s="19">
        <v>0</v>
      </c>
      <c r="AH66" s="19">
        <v>0</v>
      </c>
      <c r="AI66" s="19">
        <v>22</v>
      </c>
      <c r="AJ66" s="19">
        <v>48</v>
      </c>
      <c r="AK66" s="19">
        <v>39</v>
      </c>
      <c r="AL66" s="20">
        <v>0</v>
      </c>
      <c r="AM66" s="20">
        <v>0</v>
      </c>
      <c r="AN66" s="20">
        <v>1</v>
      </c>
      <c r="AO66" s="20">
        <v>1</v>
      </c>
      <c r="AP66" s="20">
        <v>1</v>
      </c>
      <c r="AQ66" s="37"/>
    </row>
    <row r="67" spans="1:55" s="27" customFormat="1" x14ac:dyDescent="0.2">
      <c r="A67" s="26" t="s">
        <v>65</v>
      </c>
      <c r="B67" s="27">
        <v>173212</v>
      </c>
      <c r="C67" s="27">
        <v>173762</v>
      </c>
      <c r="D67" s="27">
        <v>175679</v>
      </c>
      <c r="E67" s="27">
        <v>175927</v>
      </c>
      <c r="F67" s="27">
        <v>177208</v>
      </c>
      <c r="G67" s="22">
        <v>1</v>
      </c>
      <c r="H67" s="22">
        <v>1</v>
      </c>
      <c r="I67" s="22">
        <v>1</v>
      </c>
      <c r="J67" s="22">
        <v>1</v>
      </c>
      <c r="K67" s="22">
        <v>1</v>
      </c>
      <c r="L67" s="27">
        <v>81763</v>
      </c>
      <c r="M67" s="27">
        <v>87100</v>
      </c>
      <c r="N67" s="27">
        <v>79691</v>
      </c>
      <c r="O67" s="27">
        <v>89331</v>
      </c>
      <c r="P67" s="27">
        <v>98242</v>
      </c>
      <c r="Q67" s="22">
        <v>0.47204004341500588</v>
      </c>
      <c r="R67" s="22">
        <v>0.50126034460929314</v>
      </c>
      <c r="S67" s="22">
        <v>0.45361710847625497</v>
      </c>
      <c r="T67" s="22">
        <v>0.50777311043785212</v>
      </c>
      <c r="U67" s="22">
        <v>0.5543880637443005</v>
      </c>
      <c r="W67" s="27">
        <v>160764</v>
      </c>
      <c r="X67" s="27">
        <v>164278</v>
      </c>
      <c r="Y67" s="27">
        <v>167967</v>
      </c>
      <c r="Z67" s="27">
        <v>172068</v>
      </c>
      <c r="AA67" s="27">
        <v>175927</v>
      </c>
      <c r="AB67" s="22">
        <v>1</v>
      </c>
      <c r="AC67" s="22">
        <v>1</v>
      </c>
      <c r="AD67" s="22">
        <v>1</v>
      </c>
      <c r="AE67" s="22">
        <v>1</v>
      </c>
      <c r="AF67" s="22">
        <v>1</v>
      </c>
      <c r="AG67" s="27">
        <v>39844</v>
      </c>
      <c r="AH67" s="27">
        <v>39815</v>
      </c>
      <c r="AI67" s="27">
        <v>34733</v>
      </c>
      <c r="AJ67" s="27">
        <v>67199</v>
      </c>
      <c r="AK67" s="27">
        <v>89331</v>
      </c>
      <c r="AL67" s="22">
        <v>0.24784155656739071</v>
      </c>
      <c r="AM67" s="22">
        <v>0.24236355446255736</v>
      </c>
      <c r="AN67" s="22">
        <v>0.20678466603559031</v>
      </c>
      <c r="AO67" s="22">
        <v>0.39053746193365413</v>
      </c>
      <c r="AP67" s="22">
        <v>0.50777311043785212</v>
      </c>
      <c r="AQ67" s="37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</row>
    <row r="68" spans="1:55" s="19" customFormat="1" x14ac:dyDescent="0.2">
      <c r="A68" s="18"/>
      <c r="AB68" s="20"/>
      <c r="AC68" s="20"/>
      <c r="AD68" s="20"/>
      <c r="AE68" s="20"/>
      <c r="AF68" s="20"/>
      <c r="AL68" s="20"/>
      <c r="AM68" s="20"/>
      <c r="AN68" s="20"/>
      <c r="AO68" s="20"/>
      <c r="AP68" s="20"/>
      <c r="AQ68" s="37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</row>
    <row r="69" spans="1:55" s="25" customFormat="1" x14ac:dyDescent="0.2">
      <c r="A69" s="28" t="s">
        <v>66</v>
      </c>
      <c r="B69" s="25" t="s">
        <v>10</v>
      </c>
      <c r="C69" s="25" t="s">
        <v>11</v>
      </c>
      <c r="D69" s="25" t="s">
        <v>12</v>
      </c>
      <c r="E69" s="25" t="s">
        <v>164</v>
      </c>
      <c r="F69" s="25" t="s">
        <v>195</v>
      </c>
      <c r="G69" s="25" t="s">
        <v>10</v>
      </c>
      <c r="H69" s="25" t="s">
        <v>11</v>
      </c>
      <c r="I69" s="25" t="s">
        <v>12</v>
      </c>
      <c r="J69" s="25" t="s">
        <v>164</v>
      </c>
      <c r="K69" s="25" t="s">
        <v>195</v>
      </c>
      <c r="L69" s="25" t="s">
        <v>10</v>
      </c>
      <c r="M69" s="25" t="s">
        <v>11</v>
      </c>
      <c r="N69" s="25" t="s">
        <v>12</v>
      </c>
      <c r="O69" s="25" t="s">
        <v>164</v>
      </c>
      <c r="P69" s="25" t="s">
        <v>195</v>
      </c>
      <c r="Q69" s="25" t="s">
        <v>10</v>
      </c>
      <c r="R69" s="25" t="s">
        <v>11</v>
      </c>
      <c r="S69" s="25" t="s">
        <v>12</v>
      </c>
      <c r="T69" s="25" t="s">
        <v>164</v>
      </c>
      <c r="U69" s="25" t="s">
        <v>195</v>
      </c>
      <c r="W69" s="25" t="s">
        <v>13</v>
      </c>
      <c r="X69" s="25" t="s">
        <v>14</v>
      </c>
      <c r="Y69" s="25" t="s">
        <v>15</v>
      </c>
      <c r="Z69" s="25" t="s">
        <v>16</v>
      </c>
      <c r="AA69" s="25" t="s">
        <v>165</v>
      </c>
      <c r="AB69" s="25" t="s">
        <v>13</v>
      </c>
      <c r="AC69" s="25" t="s">
        <v>14</v>
      </c>
      <c r="AD69" s="25" t="s">
        <v>15</v>
      </c>
      <c r="AE69" s="25" t="s">
        <v>16</v>
      </c>
      <c r="AF69" s="25" t="s">
        <v>165</v>
      </c>
      <c r="AG69" s="25" t="s">
        <v>13</v>
      </c>
      <c r="AH69" s="25" t="s">
        <v>14</v>
      </c>
      <c r="AI69" s="25" t="s">
        <v>15</v>
      </c>
      <c r="AJ69" s="25" t="s">
        <v>16</v>
      </c>
      <c r="AK69" s="25" t="s">
        <v>165</v>
      </c>
      <c r="AL69" s="25" t="s">
        <v>13</v>
      </c>
      <c r="AM69" s="25" t="s">
        <v>14</v>
      </c>
      <c r="AN69" s="25" t="s">
        <v>15</v>
      </c>
      <c r="AO69" s="25" t="s">
        <v>16</v>
      </c>
      <c r="AP69" s="25" t="s">
        <v>165</v>
      </c>
      <c r="AQ69" s="37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</row>
    <row r="70" spans="1:55" s="19" customFormat="1" x14ac:dyDescent="0.2">
      <c r="A70" s="18" t="s">
        <v>17</v>
      </c>
      <c r="B70" s="19">
        <v>10034</v>
      </c>
      <c r="C70" s="19">
        <v>9645</v>
      </c>
      <c r="D70" s="19">
        <v>8875</v>
      </c>
      <c r="E70" s="19">
        <v>8732</v>
      </c>
      <c r="F70" s="19">
        <v>8642</v>
      </c>
      <c r="G70" s="20">
        <v>3.1738972415182704E-3</v>
      </c>
      <c r="H70" s="20">
        <v>3.0356468980850403E-3</v>
      </c>
      <c r="I70" s="20">
        <v>2.7426368313103748E-3</v>
      </c>
      <c r="J70" s="20">
        <v>2.720211934789679E-3</v>
      </c>
      <c r="K70" s="20">
        <v>2.6614263483672202E-3</v>
      </c>
      <c r="L70" s="19">
        <v>9590</v>
      </c>
      <c r="M70" s="19">
        <v>9194</v>
      </c>
      <c r="N70" s="19">
        <v>8399</v>
      </c>
      <c r="O70" s="19">
        <v>8229</v>
      </c>
      <c r="P70" s="19">
        <v>8085</v>
      </c>
      <c r="Q70" s="20">
        <v>0.95575044847518442</v>
      </c>
      <c r="R70" s="20">
        <v>0.95324002073613268</v>
      </c>
      <c r="S70" s="20">
        <v>0.94636619718309856</v>
      </c>
      <c r="T70" s="20">
        <v>0.94239578561612458</v>
      </c>
      <c r="U70" s="20">
        <v>0.9355473270076371</v>
      </c>
      <c r="W70" s="19">
        <v>0</v>
      </c>
      <c r="X70" s="19">
        <v>4078</v>
      </c>
      <c r="Y70" s="19">
        <v>9482</v>
      </c>
      <c r="Z70" s="19">
        <v>9993</v>
      </c>
      <c r="AA70" s="19">
        <v>8732</v>
      </c>
      <c r="AB70" s="20">
        <v>0</v>
      </c>
      <c r="AC70" s="20">
        <v>1.3390401794143095E-3</v>
      </c>
      <c r="AD70" s="20">
        <v>3.0751019547750509E-3</v>
      </c>
      <c r="AE70" s="20">
        <v>3.1828743333179388E-3</v>
      </c>
      <c r="AF70" s="20">
        <v>2.720211934789679E-3</v>
      </c>
      <c r="AG70" s="19">
        <v>0</v>
      </c>
      <c r="AH70" s="19">
        <v>4078</v>
      </c>
      <c r="AI70" s="19">
        <v>9468</v>
      </c>
      <c r="AJ70" s="19">
        <v>9585</v>
      </c>
      <c r="AK70" s="19">
        <v>8229</v>
      </c>
      <c r="AL70" s="20">
        <v>0</v>
      </c>
      <c r="AM70" s="20">
        <v>1</v>
      </c>
      <c r="AN70" s="20">
        <v>0.998523518245096</v>
      </c>
      <c r="AO70" s="20">
        <v>0.9591714199939958</v>
      </c>
      <c r="AP70" s="20">
        <v>0.94239578561612458</v>
      </c>
      <c r="AQ70" s="37"/>
    </row>
    <row r="71" spans="1:55" s="19" customFormat="1" x14ac:dyDescent="0.2">
      <c r="A71" s="18" t="s">
        <v>18</v>
      </c>
      <c r="B71" s="19">
        <v>28461</v>
      </c>
      <c r="C71" s="19">
        <v>27984</v>
      </c>
      <c r="D71" s="19">
        <v>27670</v>
      </c>
      <c r="E71" s="19">
        <v>27262</v>
      </c>
      <c r="F71" s="19">
        <v>26748</v>
      </c>
      <c r="G71" s="20">
        <v>9.0026200309798188E-3</v>
      </c>
      <c r="H71" s="20">
        <v>8.807624965890281E-3</v>
      </c>
      <c r="I71" s="20">
        <v>8.5508463236459789E-3</v>
      </c>
      <c r="J71" s="20">
        <v>8.4927184798713039E-3</v>
      </c>
      <c r="K71" s="20">
        <v>8.2374255920072206E-3</v>
      </c>
      <c r="L71" s="19">
        <v>24476</v>
      </c>
      <c r="M71" s="19">
        <v>24774</v>
      </c>
      <c r="N71" s="19">
        <v>17617</v>
      </c>
      <c r="O71" s="19">
        <v>19570</v>
      </c>
      <c r="P71" s="19">
        <v>19751</v>
      </c>
      <c r="Q71" s="20">
        <v>0.85998383753206142</v>
      </c>
      <c r="R71" s="20">
        <v>0.88529159519725553</v>
      </c>
      <c r="S71" s="20">
        <v>0.63668232743043007</v>
      </c>
      <c r="T71" s="20">
        <v>0.71784902061477518</v>
      </c>
      <c r="U71" s="20">
        <v>0.73841034843726638</v>
      </c>
      <c r="W71" s="19">
        <v>29243</v>
      </c>
      <c r="X71" s="19">
        <v>29040</v>
      </c>
      <c r="Y71" s="19">
        <v>28218</v>
      </c>
      <c r="Z71" s="19">
        <v>28592</v>
      </c>
      <c r="AA71" s="19">
        <v>27262</v>
      </c>
      <c r="AB71" s="20">
        <v>9.7211926187682207E-3</v>
      </c>
      <c r="AC71" s="20">
        <v>9.5354896542892472E-3</v>
      </c>
      <c r="AD71" s="20">
        <v>9.1513633157395465E-3</v>
      </c>
      <c r="AE71" s="20">
        <v>9.1068490881843801E-3</v>
      </c>
      <c r="AF71" s="20">
        <v>8.4927184798713039E-3</v>
      </c>
      <c r="AG71" s="19">
        <v>19194</v>
      </c>
      <c r="AH71" s="19">
        <v>19044</v>
      </c>
      <c r="AI71" s="19">
        <v>14927</v>
      </c>
      <c r="AJ71" s="19">
        <v>23918</v>
      </c>
      <c r="AK71" s="19">
        <v>19570</v>
      </c>
      <c r="AL71" s="20">
        <v>0.65636220633997877</v>
      </c>
      <c r="AM71" s="20">
        <v>0.65578512396694211</v>
      </c>
      <c r="AN71" s="20">
        <v>0.52898858884400024</v>
      </c>
      <c r="AO71" s="20">
        <v>0.83652770005595967</v>
      </c>
      <c r="AP71" s="20">
        <v>0.71784902061477518</v>
      </c>
      <c r="AQ71" s="37"/>
    </row>
    <row r="72" spans="1:55" s="19" customFormat="1" x14ac:dyDescent="0.2">
      <c r="A72" s="18" t="s">
        <v>19</v>
      </c>
      <c r="B72" s="19">
        <v>742930</v>
      </c>
      <c r="C72" s="19">
        <v>742921</v>
      </c>
      <c r="D72" s="19">
        <v>747957</v>
      </c>
      <c r="E72" s="19">
        <v>745267</v>
      </c>
      <c r="F72" s="19">
        <v>746512</v>
      </c>
      <c r="G72" s="20">
        <v>0.23499934997420457</v>
      </c>
      <c r="H72" s="20">
        <v>0.23382538405103537</v>
      </c>
      <c r="I72" s="20">
        <v>0.23114077931677904</v>
      </c>
      <c r="J72" s="20">
        <v>0.23216722262997019</v>
      </c>
      <c r="K72" s="20">
        <v>0.22989894771723099</v>
      </c>
      <c r="L72" s="19">
        <v>708034</v>
      </c>
      <c r="M72" s="19">
        <v>705648</v>
      </c>
      <c r="N72" s="19">
        <v>708001</v>
      </c>
      <c r="O72" s="19">
        <v>707059</v>
      </c>
      <c r="P72" s="19">
        <v>707098</v>
      </c>
      <c r="Q72" s="20">
        <v>0.953029222133983</v>
      </c>
      <c r="R72" s="20">
        <v>0.94982912045829904</v>
      </c>
      <c r="S72" s="20">
        <v>0.94657981675417169</v>
      </c>
      <c r="T72" s="20">
        <v>0.94873246769278663</v>
      </c>
      <c r="U72" s="20">
        <v>0.94720245622307475</v>
      </c>
      <c r="W72" s="19">
        <v>709348</v>
      </c>
      <c r="X72" s="19">
        <v>720909</v>
      </c>
      <c r="Y72" s="19">
        <v>727458</v>
      </c>
      <c r="Z72" s="19">
        <v>742043</v>
      </c>
      <c r="AA72" s="19">
        <v>745267</v>
      </c>
      <c r="AB72" s="20">
        <v>0.2358071518564443</v>
      </c>
      <c r="AC72" s="20">
        <v>0.23671557545399471</v>
      </c>
      <c r="AD72" s="20">
        <v>0.23592148468854135</v>
      </c>
      <c r="AE72" s="20">
        <v>0.23634840577586741</v>
      </c>
      <c r="AF72" s="20">
        <v>0.23216722262997019</v>
      </c>
      <c r="AG72" s="19">
        <v>671155</v>
      </c>
      <c r="AH72" s="19">
        <v>671844</v>
      </c>
      <c r="AI72" s="19">
        <v>685862</v>
      </c>
      <c r="AJ72" s="19">
        <v>706684</v>
      </c>
      <c r="AK72" s="19">
        <v>707059</v>
      </c>
      <c r="AL72" s="20">
        <v>0.94615759824514911</v>
      </c>
      <c r="AM72" s="20">
        <v>0.93194009230013775</v>
      </c>
      <c r="AN72" s="20">
        <v>0.94282006658803674</v>
      </c>
      <c r="AO72" s="20">
        <v>0.95234912262496918</v>
      </c>
      <c r="AP72" s="20">
        <v>0.94873246769278663</v>
      </c>
      <c r="AQ72" s="37"/>
    </row>
    <row r="73" spans="1:55" s="19" customFormat="1" x14ac:dyDescent="0.2">
      <c r="A73" s="18" t="s">
        <v>20</v>
      </c>
      <c r="B73" s="19">
        <v>73482</v>
      </c>
      <c r="C73" s="19">
        <v>80975</v>
      </c>
      <c r="D73" s="19">
        <v>81399</v>
      </c>
      <c r="E73" s="19">
        <v>86488</v>
      </c>
      <c r="F73" s="19">
        <v>95738</v>
      </c>
      <c r="G73" s="20">
        <v>2.3243404136061945E-2</v>
      </c>
      <c r="H73" s="20">
        <v>2.5485900214871553E-2</v>
      </c>
      <c r="I73" s="20">
        <v>2.5154692443023458E-2</v>
      </c>
      <c r="J73" s="20">
        <v>2.6942932869455996E-2</v>
      </c>
      <c r="K73" s="20">
        <v>2.948387361027319E-2</v>
      </c>
      <c r="L73" s="19">
        <v>72634</v>
      </c>
      <c r="M73" s="19">
        <v>79833</v>
      </c>
      <c r="N73" s="19">
        <v>79249</v>
      </c>
      <c r="O73" s="19">
        <v>84982</v>
      </c>
      <c r="P73" s="19">
        <v>93618</v>
      </c>
      <c r="Q73" s="20">
        <v>0.98845975885250814</v>
      </c>
      <c r="R73" s="20">
        <v>0.98589688175362766</v>
      </c>
      <c r="S73" s="20">
        <v>0.97358689910195462</v>
      </c>
      <c r="T73" s="20">
        <v>0.98258717972435483</v>
      </c>
      <c r="U73" s="20">
        <v>0.9778562326348994</v>
      </c>
      <c r="W73" s="19">
        <v>0</v>
      </c>
      <c r="X73" s="19">
        <v>7824</v>
      </c>
      <c r="Y73" s="19">
        <v>28710</v>
      </c>
      <c r="Z73" s="19">
        <v>66116</v>
      </c>
      <c r="AA73" s="19">
        <v>86488</v>
      </c>
      <c r="AB73" s="20">
        <v>0</v>
      </c>
      <c r="AC73" s="20">
        <v>2.5690658076845409E-3</v>
      </c>
      <c r="AD73" s="20">
        <v>9.3109235521611176E-3</v>
      </c>
      <c r="AE73" s="20">
        <v>2.1058632985254563E-2</v>
      </c>
      <c r="AF73" s="20">
        <v>2.6942932869455996E-2</v>
      </c>
      <c r="AG73" s="19">
        <v>0</v>
      </c>
      <c r="AH73" s="19">
        <v>7762</v>
      </c>
      <c r="AI73" s="19">
        <v>28685</v>
      </c>
      <c r="AJ73" s="19">
        <v>65659</v>
      </c>
      <c r="AK73" s="19">
        <v>84982</v>
      </c>
      <c r="AL73" s="20">
        <v>0</v>
      </c>
      <c r="AM73" s="20">
        <v>0.99207566462167684</v>
      </c>
      <c r="AN73" s="20">
        <v>0.99912922326715425</v>
      </c>
      <c r="AO73" s="20">
        <v>0.99308790610442255</v>
      </c>
      <c r="AP73" s="20">
        <v>0.98258717972435483</v>
      </c>
      <c r="AQ73" s="37"/>
    </row>
    <row r="74" spans="1:55" s="19" customFormat="1" x14ac:dyDescent="0.2">
      <c r="A74" s="18" t="s">
        <v>21</v>
      </c>
      <c r="B74" s="19">
        <v>47271</v>
      </c>
      <c r="C74" s="19">
        <v>47693</v>
      </c>
      <c r="D74" s="19">
        <v>50604</v>
      </c>
      <c r="E74" s="19">
        <v>52012</v>
      </c>
      <c r="F74" s="19">
        <v>51518</v>
      </c>
      <c r="G74" s="20">
        <v>1.4952491180367766E-2</v>
      </c>
      <c r="H74" s="20">
        <v>1.5010793935756333E-2</v>
      </c>
      <c r="I74" s="20">
        <v>1.5638128925254107E-2</v>
      </c>
      <c r="J74" s="20">
        <v>1.6202893169065594E-2</v>
      </c>
      <c r="K74" s="20">
        <v>1.5865698057762376E-2</v>
      </c>
      <c r="L74" s="19">
        <v>46419</v>
      </c>
      <c r="M74" s="19">
        <v>46755</v>
      </c>
      <c r="N74" s="19">
        <v>49054</v>
      </c>
      <c r="O74" s="19">
        <v>50356</v>
      </c>
      <c r="P74" s="19">
        <v>49811</v>
      </c>
      <c r="Q74" s="20">
        <v>0.98197626451735731</v>
      </c>
      <c r="R74" s="20">
        <v>0.98033254355985155</v>
      </c>
      <c r="S74" s="20">
        <v>0.96937001027586756</v>
      </c>
      <c r="T74" s="20">
        <v>0.9681611935707144</v>
      </c>
      <c r="U74" s="20">
        <v>0.96686594976513063</v>
      </c>
      <c r="W74" s="19">
        <v>21410</v>
      </c>
      <c r="X74" s="19">
        <v>25415</v>
      </c>
      <c r="Y74" s="19">
        <v>33454</v>
      </c>
      <c r="Z74" s="19">
        <v>45624</v>
      </c>
      <c r="AA74" s="19">
        <v>52012</v>
      </c>
      <c r="AB74" s="20">
        <v>7.1172839300970361E-3</v>
      </c>
      <c r="AC74" s="20">
        <v>8.3451952329118874E-3</v>
      </c>
      <c r="AD74" s="20">
        <v>1.0849447457819506E-2</v>
      </c>
      <c r="AE74" s="20">
        <v>1.4531718060972445E-2</v>
      </c>
      <c r="AF74" s="20">
        <v>1.6202893169065594E-2</v>
      </c>
      <c r="AG74" s="19">
        <v>21214</v>
      </c>
      <c r="AH74" s="19">
        <v>25078</v>
      </c>
      <c r="AI74" s="19">
        <v>32891</v>
      </c>
      <c r="AJ74" s="19">
        <v>44841</v>
      </c>
      <c r="AK74" s="19">
        <v>50356</v>
      </c>
      <c r="AL74" s="20">
        <v>0.99084539934609994</v>
      </c>
      <c r="AM74" s="20">
        <v>0.98674011410584306</v>
      </c>
      <c r="AN74" s="20">
        <v>0.98317092126502059</v>
      </c>
      <c r="AO74" s="20">
        <v>0.98283798001052081</v>
      </c>
      <c r="AP74" s="20">
        <v>0.9681611935707144</v>
      </c>
      <c r="AQ74" s="37"/>
    </row>
    <row r="75" spans="1:55" s="19" customFormat="1" x14ac:dyDescent="0.2">
      <c r="A75" s="18" t="s">
        <v>196</v>
      </c>
      <c r="B75" s="19">
        <v>0</v>
      </c>
      <c r="C75" s="19">
        <v>0</v>
      </c>
      <c r="D75" s="19">
        <v>0</v>
      </c>
      <c r="E75" s="19">
        <v>0</v>
      </c>
      <c r="F75" s="19">
        <v>3441</v>
      </c>
      <c r="G75" s="20">
        <v>0</v>
      </c>
      <c r="H75" s="20">
        <v>0</v>
      </c>
      <c r="I75" s="20">
        <v>0</v>
      </c>
      <c r="J75" s="20">
        <v>0</v>
      </c>
      <c r="K75" s="20">
        <v>1.0597047054769272E-3</v>
      </c>
      <c r="L75" s="19">
        <v>0</v>
      </c>
      <c r="M75" s="19">
        <v>0</v>
      </c>
      <c r="N75" s="19">
        <v>0</v>
      </c>
      <c r="O75" s="19">
        <v>0</v>
      </c>
      <c r="P75" s="19">
        <v>3441</v>
      </c>
      <c r="Q75" s="20">
        <v>0</v>
      </c>
      <c r="R75" s="20">
        <v>0</v>
      </c>
      <c r="S75" s="20">
        <v>0</v>
      </c>
      <c r="T75" s="20">
        <v>0</v>
      </c>
      <c r="U75" s="20">
        <v>1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37"/>
    </row>
    <row r="76" spans="1:55" s="19" customFormat="1" x14ac:dyDescent="0.2">
      <c r="A76" s="18" t="s">
        <v>24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W76" s="19">
        <v>0</v>
      </c>
      <c r="X76" s="19">
        <v>0</v>
      </c>
      <c r="Y76" s="19">
        <v>1</v>
      </c>
      <c r="Z76" s="19">
        <v>0</v>
      </c>
      <c r="AA76" s="19">
        <v>0</v>
      </c>
      <c r="AB76" s="20">
        <v>0</v>
      </c>
      <c r="AC76" s="20">
        <v>0</v>
      </c>
      <c r="AD76" s="20">
        <v>3.2430942362107685E-7</v>
      </c>
      <c r="AE76" s="20">
        <v>0</v>
      </c>
      <c r="AF76" s="20">
        <v>0</v>
      </c>
      <c r="AG76" s="19">
        <v>0</v>
      </c>
      <c r="AH76" s="19">
        <v>0</v>
      </c>
      <c r="AI76" s="19">
        <v>1</v>
      </c>
      <c r="AJ76" s="19">
        <v>0</v>
      </c>
      <c r="AK76" s="19">
        <v>0</v>
      </c>
      <c r="AL76" s="20">
        <v>0</v>
      </c>
      <c r="AM76" s="20">
        <v>0</v>
      </c>
      <c r="AN76" s="20">
        <v>1</v>
      </c>
      <c r="AO76" s="20">
        <v>0</v>
      </c>
      <c r="AP76" s="20">
        <v>0</v>
      </c>
      <c r="AQ76" s="37"/>
    </row>
    <row r="77" spans="1:55" s="19" customFormat="1" x14ac:dyDescent="0.2">
      <c r="A77" s="18" t="s">
        <v>25</v>
      </c>
      <c r="B77" s="19">
        <v>3390</v>
      </c>
      <c r="C77" s="19">
        <v>3545</v>
      </c>
      <c r="D77" s="19">
        <v>3639</v>
      </c>
      <c r="E77" s="19">
        <v>3698</v>
      </c>
      <c r="F77" s="19">
        <v>3688</v>
      </c>
      <c r="G77" s="20">
        <v>1.0723053267636972E-3</v>
      </c>
      <c r="H77" s="20">
        <v>1.1157458013179335E-3</v>
      </c>
      <c r="I77" s="20">
        <v>1.1245583582127835E-3</v>
      </c>
      <c r="J77" s="20">
        <v>1.1520091313390096E-3</v>
      </c>
      <c r="K77" s="20">
        <v>1.1357718552161894E-3</v>
      </c>
      <c r="L77" s="19">
        <v>3285</v>
      </c>
      <c r="M77" s="19">
        <v>3473</v>
      </c>
      <c r="N77" s="19">
        <v>3528</v>
      </c>
      <c r="O77" s="19">
        <v>3567</v>
      </c>
      <c r="P77" s="19">
        <v>3564</v>
      </c>
      <c r="Q77" s="20">
        <v>0.96902654867256632</v>
      </c>
      <c r="R77" s="20">
        <v>0.97968970380818055</v>
      </c>
      <c r="S77" s="20">
        <v>0.96949711459192089</v>
      </c>
      <c r="T77" s="20">
        <v>0.9645754461871282</v>
      </c>
      <c r="U77" s="20">
        <v>0.96637744034707163</v>
      </c>
      <c r="W77" s="19">
        <v>2883</v>
      </c>
      <c r="X77" s="19">
        <v>3972</v>
      </c>
      <c r="Y77" s="19">
        <v>3016</v>
      </c>
      <c r="Z77" s="19">
        <v>3307</v>
      </c>
      <c r="AA77" s="19">
        <v>3698</v>
      </c>
      <c r="AB77" s="20">
        <v>9.5838998460858263E-4</v>
      </c>
      <c r="AC77" s="20">
        <v>1.3042343287478267E-3</v>
      </c>
      <c r="AD77" s="20">
        <v>9.7811722164116779E-4</v>
      </c>
      <c r="AE77" s="20">
        <v>1.0533138617314544E-3</v>
      </c>
      <c r="AF77" s="20">
        <v>1.1520091313390096E-3</v>
      </c>
      <c r="AG77" s="19">
        <v>2883</v>
      </c>
      <c r="AH77" s="19">
        <v>3926</v>
      </c>
      <c r="AI77" s="19">
        <v>2971</v>
      </c>
      <c r="AJ77" s="19">
        <v>3217</v>
      </c>
      <c r="AK77" s="19">
        <v>3567</v>
      </c>
      <c r="AL77" s="20">
        <v>1</v>
      </c>
      <c r="AM77" s="20">
        <v>0.98841893252769386</v>
      </c>
      <c r="AN77" s="20">
        <v>0.98507957559681703</v>
      </c>
      <c r="AO77" s="20">
        <v>0.97278500151194436</v>
      </c>
      <c r="AP77" s="20">
        <v>0.9645754461871282</v>
      </c>
      <c r="AQ77" s="37"/>
    </row>
    <row r="78" spans="1:55" s="19" customFormat="1" x14ac:dyDescent="0.2">
      <c r="A78" s="18" t="s">
        <v>26</v>
      </c>
      <c r="B78" s="19">
        <v>3579</v>
      </c>
      <c r="C78" s="19">
        <v>3574</v>
      </c>
      <c r="D78" s="19">
        <v>3591</v>
      </c>
      <c r="E78" s="19">
        <v>3335</v>
      </c>
      <c r="F78" s="19">
        <v>3348</v>
      </c>
      <c r="G78" s="20">
        <v>1.1320887210876909E-3</v>
      </c>
      <c r="H78" s="20">
        <v>1.124873199974695E-3</v>
      </c>
      <c r="I78" s="20">
        <v>1.1097249421110485E-3</v>
      </c>
      <c r="J78" s="20">
        <v>1.0389265692308267E-3</v>
      </c>
      <c r="K78" s="20">
        <v>1.0310640377613346E-3</v>
      </c>
      <c r="L78" s="19">
        <v>3538</v>
      </c>
      <c r="M78" s="19">
        <v>3534</v>
      </c>
      <c r="N78" s="19">
        <v>3531</v>
      </c>
      <c r="O78" s="19">
        <v>3299</v>
      </c>
      <c r="P78" s="19">
        <v>3292</v>
      </c>
      <c r="Q78" s="20">
        <v>0.98854428611343947</v>
      </c>
      <c r="R78" s="20">
        <v>0.98880805819809736</v>
      </c>
      <c r="S78" s="20">
        <v>0.98329156223893066</v>
      </c>
      <c r="T78" s="20">
        <v>0.98920539730134938</v>
      </c>
      <c r="U78" s="20">
        <v>0.98327359617682197</v>
      </c>
      <c r="W78" s="19">
        <v>2995</v>
      </c>
      <c r="X78" s="19">
        <v>3885</v>
      </c>
      <c r="Y78" s="19">
        <v>4718</v>
      </c>
      <c r="Z78" s="19">
        <v>3633</v>
      </c>
      <c r="AA78" s="19">
        <v>3335</v>
      </c>
      <c r="AB78" s="20">
        <v>9.9562192296313032E-4</v>
      </c>
      <c r="AC78" s="20">
        <v>1.2756672626347701E-3</v>
      </c>
      <c r="AD78" s="20">
        <v>1.5300918606442407E-3</v>
      </c>
      <c r="AE78" s="20">
        <v>1.1571482490687552E-3</v>
      </c>
      <c r="AF78" s="20">
        <v>1.0389265692308267E-3</v>
      </c>
      <c r="AG78" s="19">
        <v>2992</v>
      </c>
      <c r="AH78" s="19">
        <v>3879</v>
      </c>
      <c r="AI78" s="19">
        <v>4671</v>
      </c>
      <c r="AJ78" s="19">
        <v>3589</v>
      </c>
      <c r="AK78" s="19">
        <v>3299</v>
      </c>
      <c r="AL78" s="20">
        <v>0.99899833055091825</v>
      </c>
      <c r="AM78" s="20">
        <v>0.9984555984555985</v>
      </c>
      <c r="AN78" s="20">
        <v>0.99003815175922005</v>
      </c>
      <c r="AO78" s="20">
        <v>0.987888797137352</v>
      </c>
      <c r="AP78" s="20">
        <v>0.98920539730134938</v>
      </c>
      <c r="AQ78" s="37"/>
    </row>
    <row r="79" spans="1:55" s="19" customFormat="1" x14ac:dyDescent="0.2">
      <c r="A79" s="18" t="s">
        <v>27</v>
      </c>
      <c r="B79" s="19">
        <v>0</v>
      </c>
      <c r="C79" s="19">
        <v>0</v>
      </c>
      <c r="D79" s="19">
        <v>0</v>
      </c>
      <c r="E79" s="19">
        <v>9</v>
      </c>
      <c r="F79" s="19">
        <v>55</v>
      </c>
      <c r="G79" s="20">
        <v>0</v>
      </c>
      <c r="H79" s="20">
        <v>0</v>
      </c>
      <c r="I79" s="20">
        <v>0</v>
      </c>
      <c r="J79" s="20">
        <v>2.8036998869797424E-6</v>
      </c>
      <c r="K79" s="20">
        <v>1.6938029294167684E-5</v>
      </c>
      <c r="L79" s="19">
        <v>0</v>
      </c>
      <c r="M79" s="19">
        <v>0</v>
      </c>
      <c r="N79" s="19">
        <v>0</v>
      </c>
      <c r="O79" s="19">
        <v>9</v>
      </c>
      <c r="P79" s="19">
        <v>54</v>
      </c>
      <c r="Q79" s="20">
        <v>0</v>
      </c>
      <c r="R79" s="20">
        <v>0</v>
      </c>
      <c r="S79" s="20">
        <v>0</v>
      </c>
      <c r="T79" s="20">
        <v>1</v>
      </c>
      <c r="U79" s="20">
        <v>0.98181818181818181</v>
      </c>
      <c r="W79" s="19">
        <v>0</v>
      </c>
      <c r="X79" s="19">
        <v>0</v>
      </c>
      <c r="Y79" s="19">
        <v>0</v>
      </c>
      <c r="Z79" s="19">
        <v>0</v>
      </c>
      <c r="AA79" s="19">
        <v>9</v>
      </c>
      <c r="AB79" s="20">
        <v>0</v>
      </c>
      <c r="AC79" s="20">
        <v>0</v>
      </c>
      <c r="AD79" s="20">
        <v>0</v>
      </c>
      <c r="AE79" s="20">
        <v>0</v>
      </c>
      <c r="AF79" s="20">
        <v>2.8036998869797424E-6</v>
      </c>
      <c r="AG79" s="19">
        <v>0</v>
      </c>
      <c r="AH79" s="19">
        <v>0</v>
      </c>
      <c r="AI79" s="19">
        <v>0</v>
      </c>
      <c r="AJ79" s="19">
        <v>0</v>
      </c>
      <c r="AK79" s="19">
        <v>9</v>
      </c>
      <c r="AL79" s="20">
        <v>0</v>
      </c>
      <c r="AM79" s="20">
        <v>0</v>
      </c>
      <c r="AN79" s="20">
        <v>0</v>
      </c>
      <c r="AO79" s="20">
        <v>0</v>
      </c>
      <c r="AP79" s="20">
        <v>1</v>
      </c>
      <c r="AQ79" s="37"/>
    </row>
    <row r="80" spans="1:55" s="19" customFormat="1" x14ac:dyDescent="0.2">
      <c r="A80" s="18" t="s">
        <v>28</v>
      </c>
      <c r="B80" s="19">
        <v>31393</v>
      </c>
      <c r="C80" s="19">
        <v>31074</v>
      </c>
      <c r="D80" s="19">
        <v>32036</v>
      </c>
      <c r="E80" s="19">
        <v>31392</v>
      </c>
      <c r="F80" s="19">
        <v>30974</v>
      </c>
      <c r="G80" s="20">
        <v>9.9300534286409278E-3</v>
      </c>
      <c r="H80" s="20">
        <v>9.7801650296624725E-3</v>
      </c>
      <c r="I80" s="20">
        <v>9.900069129899625E-3</v>
      </c>
      <c r="J80" s="20">
        <v>9.7793052057853404E-3</v>
      </c>
      <c r="K80" s="20">
        <v>9.5388821701372691E-3</v>
      </c>
      <c r="L80" s="19">
        <v>30457</v>
      </c>
      <c r="M80" s="19">
        <v>30270</v>
      </c>
      <c r="N80" s="19">
        <v>31208</v>
      </c>
      <c r="O80" s="19">
        <v>30482</v>
      </c>
      <c r="P80" s="19">
        <v>30132</v>
      </c>
      <c r="Q80" s="20">
        <v>0.97018443602076898</v>
      </c>
      <c r="R80" s="20">
        <v>0.97412627920447958</v>
      </c>
      <c r="S80" s="20">
        <v>0.97415407666375331</v>
      </c>
      <c r="T80" s="20">
        <v>0.97101172273190617</v>
      </c>
      <c r="U80" s="20">
        <v>0.9728159101181636</v>
      </c>
      <c r="W80" s="19">
        <v>21995</v>
      </c>
      <c r="X80" s="19">
        <v>28340</v>
      </c>
      <c r="Y80" s="19">
        <v>34078</v>
      </c>
      <c r="Z80" s="19">
        <v>32150</v>
      </c>
      <c r="AA80" s="19">
        <v>31392</v>
      </c>
      <c r="AB80" s="20">
        <v>7.3117543223953432E-3</v>
      </c>
      <c r="AC80" s="20">
        <v>9.3056396970577562E-3</v>
      </c>
      <c r="AD80" s="20">
        <v>1.1051816538159058E-2</v>
      </c>
      <c r="AE80" s="20">
        <v>1.0240109057957743E-2</v>
      </c>
      <c r="AF80" s="20">
        <v>9.7793052057853404E-3</v>
      </c>
      <c r="AG80" s="19">
        <v>21662</v>
      </c>
      <c r="AH80" s="19">
        <v>28031</v>
      </c>
      <c r="AI80" s="19">
        <v>33348</v>
      </c>
      <c r="AJ80" s="19">
        <v>31400</v>
      </c>
      <c r="AK80" s="19">
        <v>30482</v>
      </c>
      <c r="AL80" s="20">
        <v>0.98486019549897708</v>
      </c>
      <c r="AM80" s="20">
        <v>0.98909668313338039</v>
      </c>
      <c r="AN80" s="20">
        <v>0.9785785550795234</v>
      </c>
      <c r="AO80" s="20">
        <v>0.97667185069984452</v>
      </c>
      <c r="AP80" s="20">
        <v>0.97101172273190617</v>
      </c>
      <c r="AQ80" s="37"/>
    </row>
    <row r="81" spans="1:43" s="19" customFormat="1" x14ac:dyDescent="0.2">
      <c r="A81" s="18" t="s">
        <v>197</v>
      </c>
      <c r="B81" s="19">
        <v>0</v>
      </c>
      <c r="C81" s="19">
        <v>0</v>
      </c>
      <c r="D81" s="19">
        <v>0</v>
      </c>
      <c r="E81" s="19">
        <v>0</v>
      </c>
      <c r="F81" s="19">
        <v>3</v>
      </c>
      <c r="G81" s="20">
        <v>0</v>
      </c>
      <c r="H81" s="20">
        <v>0</v>
      </c>
      <c r="I81" s="20">
        <v>0</v>
      </c>
      <c r="J81" s="20">
        <v>0</v>
      </c>
      <c r="K81" s="20">
        <v>9.2389250695460082E-7</v>
      </c>
      <c r="L81" s="19">
        <v>0</v>
      </c>
      <c r="M81" s="19">
        <v>0</v>
      </c>
      <c r="N81" s="19">
        <v>0</v>
      </c>
      <c r="O81" s="19">
        <v>0</v>
      </c>
      <c r="P81" s="19">
        <v>3</v>
      </c>
      <c r="Q81" s="20">
        <v>0</v>
      </c>
      <c r="R81" s="20">
        <v>0</v>
      </c>
      <c r="S81" s="20">
        <v>0</v>
      </c>
      <c r="T81" s="20">
        <v>0</v>
      </c>
      <c r="U81" s="20">
        <v>1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37"/>
    </row>
    <row r="82" spans="1:43" s="19" customFormat="1" x14ac:dyDescent="0.2">
      <c r="A82" s="18" t="s">
        <v>29</v>
      </c>
      <c r="B82" s="19">
        <v>3904</v>
      </c>
      <c r="C82" s="19">
        <v>4253</v>
      </c>
      <c r="D82" s="19">
        <v>4594</v>
      </c>
      <c r="E82" s="19">
        <v>11169</v>
      </c>
      <c r="F82" s="19">
        <v>13505</v>
      </c>
      <c r="G82" s="20">
        <v>1.2348908541845055E-3</v>
      </c>
      <c r="H82" s="20">
        <v>1.3385802236968042E-3</v>
      </c>
      <c r="I82" s="20">
        <v>1.4196815327368857E-3</v>
      </c>
      <c r="J82" s="20">
        <v>3.4793915597418601E-3</v>
      </c>
      <c r="K82" s="20">
        <v>4.1590561021406279E-3</v>
      </c>
      <c r="L82" s="19">
        <v>3850</v>
      </c>
      <c r="M82" s="19">
        <v>4182</v>
      </c>
      <c r="N82" s="19">
        <v>4535</v>
      </c>
      <c r="O82" s="19">
        <v>11098</v>
      </c>
      <c r="P82" s="19">
        <v>13403</v>
      </c>
      <c r="Q82" s="20">
        <v>0.98616803278688525</v>
      </c>
      <c r="R82" s="20">
        <v>0.9833059017164355</v>
      </c>
      <c r="S82" s="20">
        <v>0.98715716151501964</v>
      </c>
      <c r="T82" s="20">
        <v>0.99364311934819594</v>
      </c>
      <c r="U82" s="20">
        <v>0.99244724176231025</v>
      </c>
      <c r="W82" s="19">
        <v>0</v>
      </c>
      <c r="X82" s="19">
        <v>0</v>
      </c>
      <c r="Y82" s="19">
        <v>132</v>
      </c>
      <c r="Z82" s="19">
        <v>3551</v>
      </c>
      <c r="AA82" s="19">
        <v>11169</v>
      </c>
      <c r="AB82" s="20">
        <v>0</v>
      </c>
      <c r="AC82" s="20">
        <v>0</v>
      </c>
      <c r="AD82" s="20">
        <v>4.2808843917982148E-5</v>
      </c>
      <c r="AE82" s="20">
        <v>1.1310303970391274E-3</v>
      </c>
      <c r="AF82" s="20">
        <v>3.4793915597418601E-3</v>
      </c>
      <c r="AG82" s="19">
        <v>0</v>
      </c>
      <c r="AH82" s="19">
        <v>0</v>
      </c>
      <c r="AI82" s="19">
        <v>132</v>
      </c>
      <c r="AJ82" s="19">
        <v>3519</v>
      </c>
      <c r="AK82" s="19">
        <v>11098</v>
      </c>
      <c r="AL82" s="20">
        <v>0</v>
      </c>
      <c r="AM82" s="20">
        <v>0</v>
      </c>
      <c r="AN82" s="20">
        <v>1</v>
      </c>
      <c r="AO82" s="20">
        <v>0.99098845395663193</v>
      </c>
      <c r="AP82" s="20">
        <v>0.99364311934819594</v>
      </c>
      <c r="AQ82" s="37"/>
    </row>
    <row r="83" spans="1:43" s="19" customFormat="1" x14ac:dyDescent="0.2">
      <c r="A83" s="18" t="s">
        <v>30</v>
      </c>
      <c r="B83" s="19">
        <v>893882</v>
      </c>
      <c r="C83" s="19">
        <v>900200</v>
      </c>
      <c r="D83" s="19">
        <v>935217</v>
      </c>
      <c r="E83" s="19">
        <v>887224</v>
      </c>
      <c r="F83" s="19">
        <v>893490</v>
      </c>
      <c r="G83" s="20">
        <v>0.28274761949799032</v>
      </c>
      <c r="H83" s="20">
        <v>0.28332704382127044</v>
      </c>
      <c r="I83" s="20">
        <v>0.28900964388367262</v>
      </c>
      <c r="J83" s="20">
        <v>0.27638998094730166</v>
      </c>
      <c r="K83" s="20">
        <v>0.27516290534628879</v>
      </c>
      <c r="L83" s="19">
        <v>734431</v>
      </c>
      <c r="M83" s="19">
        <v>749168</v>
      </c>
      <c r="N83" s="19">
        <v>789154</v>
      </c>
      <c r="O83" s="19">
        <v>752190</v>
      </c>
      <c r="P83" s="19">
        <v>762767</v>
      </c>
      <c r="Q83" s="20">
        <v>0.82161963212146572</v>
      </c>
      <c r="R83" s="20">
        <v>0.83222395023328144</v>
      </c>
      <c r="S83" s="20">
        <v>0.84381913502427774</v>
      </c>
      <c r="T83" s="20">
        <v>0.84780168255141886</v>
      </c>
      <c r="U83" s="20">
        <v>0.85369394173409885</v>
      </c>
      <c r="W83" s="19">
        <v>921500</v>
      </c>
      <c r="X83" s="19">
        <v>923432</v>
      </c>
      <c r="Y83" s="19">
        <v>914228</v>
      </c>
      <c r="Z83" s="19">
        <v>888321</v>
      </c>
      <c r="AA83" s="19">
        <v>887224</v>
      </c>
      <c r="AB83" s="20">
        <v>0.3063324213724623</v>
      </c>
      <c r="AC83" s="20">
        <v>0.30321543672312767</v>
      </c>
      <c r="AD83" s="20">
        <v>0.29649275573824985</v>
      </c>
      <c r="AE83" s="20">
        <v>0.28293946869281744</v>
      </c>
      <c r="AF83" s="20">
        <v>0.27638998094730166</v>
      </c>
      <c r="AG83" s="19">
        <v>578316</v>
      </c>
      <c r="AH83" s="19">
        <v>646631</v>
      </c>
      <c r="AI83" s="19">
        <v>682774</v>
      </c>
      <c r="AJ83" s="19">
        <v>714048</v>
      </c>
      <c r="AK83" s="19">
        <v>752190</v>
      </c>
      <c r="AL83" s="20">
        <v>0.62758111774281067</v>
      </c>
      <c r="AM83" s="20">
        <v>0.7002475547739303</v>
      </c>
      <c r="AN83" s="20">
        <v>0.74683120621989263</v>
      </c>
      <c r="AO83" s="20">
        <v>0.80381753893018404</v>
      </c>
      <c r="AP83" s="20">
        <v>0.84780168255141886</v>
      </c>
      <c r="AQ83" s="37"/>
    </row>
    <row r="84" spans="1:43" s="19" customFormat="1" x14ac:dyDescent="0.2">
      <c r="A84" s="18" t="s">
        <v>31</v>
      </c>
      <c r="B84" s="19">
        <v>4561</v>
      </c>
      <c r="C84" s="19">
        <v>4561</v>
      </c>
      <c r="D84" s="19">
        <v>5217</v>
      </c>
      <c r="E84" s="19">
        <v>5451</v>
      </c>
      <c r="F84" s="19">
        <v>5974</v>
      </c>
      <c r="G84" s="20">
        <v>1.4427093201679123E-3</v>
      </c>
      <c r="H84" s="20">
        <v>1.4355194921893072E-3</v>
      </c>
      <c r="I84" s="20">
        <v>1.6122069125573211E-3</v>
      </c>
      <c r="J84" s="20">
        <v>1.6981075648807306E-3</v>
      </c>
      <c r="K84" s="20">
        <v>1.8397779455155952E-3</v>
      </c>
      <c r="L84" s="19">
        <v>4472</v>
      </c>
      <c r="M84" s="19">
        <v>4472</v>
      </c>
      <c r="N84" s="19">
        <v>5169</v>
      </c>
      <c r="O84" s="19">
        <v>5403</v>
      </c>
      <c r="P84" s="19">
        <v>5921</v>
      </c>
      <c r="Q84" s="20">
        <v>0.98048673536505149</v>
      </c>
      <c r="R84" s="20">
        <v>0.98048673536505149</v>
      </c>
      <c r="S84" s="20">
        <v>0.99079930994824617</v>
      </c>
      <c r="T84" s="20">
        <v>0.99119427627958168</v>
      </c>
      <c r="U84" s="20">
        <v>0.99112822229661868</v>
      </c>
      <c r="W84" s="19">
        <v>0</v>
      </c>
      <c r="X84" s="19">
        <v>32</v>
      </c>
      <c r="Y84" s="19">
        <v>2435</v>
      </c>
      <c r="Z84" s="19">
        <v>4144</v>
      </c>
      <c r="AA84" s="19">
        <v>5451</v>
      </c>
      <c r="AB84" s="20">
        <v>0</v>
      </c>
      <c r="AC84" s="20">
        <v>1.050742661629669E-5</v>
      </c>
      <c r="AD84" s="20">
        <v>7.896934465173222E-4</v>
      </c>
      <c r="AE84" s="20">
        <v>1.3199070586680213E-3</v>
      </c>
      <c r="AF84" s="20">
        <v>1.6981075648807306E-3</v>
      </c>
      <c r="AG84" s="19">
        <v>0</v>
      </c>
      <c r="AH84" s="19">
        <v>32</v>
      </c>
      <c r="AI84" s="19">
        <v>2435</v>
      </c>
      <c r="AJ84" s="19">
        <v>4060</v>
      </c>
      <c r="AK84" s="19">
        <v>5403</v>
      </c>
      <c r="AL84" s="20">
        <v>0</v>
      </c>
      <c r="AM84" s="20">
        <v>1</v>
      </c>
      <c r="AN84" s="20">
        <v>1</v>
      </c>
      <c r="AO84" s="20">
        <v>0.97972972972972971</v>
      </c>
      <c r="AP84" s="20">
        <v>0.99119427627958168</v>
      </c>
      <c r="AQ84" s="37"/>
    </row>
    <row r="85" spans="1:43" s="19" customFormat="1" x14ac:dyDescent="0.2">
      <c r="A85" s="18" t="s">
        <v>33</v>
      </c>
      <c r="B85" s="19">
        <v>124</v>
      </c>
      <c r="C85" s="19">
        <v>400</v>
      </c>
      <c r="D85" s="19">
        <v>601</v>
      </c>
      <c r="E85" s="19">
        <v>603</v>
      </c>
      <c r="F85" s="19">
        <v>628</v>
      </c>
      <c r="G85" s="20">
        <v>3.9222967704630808E-5</v>
      </c>
      <c r="H85" s="20">
        <v>1.2589515388636765E-4</v>
      </c>
      <c r="I85" s="20">
        <v>1.8572673077380677E-4</v>
      </c>
      <c r="J85" s="20">
        <v>1.8784789242764274E-4</v>
      </c>
      <c r="K85" s="20">
        <v>1.9340149812249643E-4</v>
      </c>
      <c r="L85" s="19">
        <v>124</v>
      </c>
      <c r="M85" s="19">
        <v>400</v>
      </c>
      <c r="N85" s="19">
        <v>601</v>
      </c>
      <c r="O85" s="19">
        <v>603</v>
      </c>
      <c r="P85" s="19">
        <v>628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W85" s="19">
        <v>0</v>
      </c>
      <c r="X85" s="19">
        <v>0</v>
      </c>
      <c r="Y85" s="19">
        <v>0</v>
      </c>
      <c r="Z85" s="19">
        <v>0</v>
      </c>
      <c r="AA85" s="19">
        <v>603</v>
      </c>
      <c r="AB85" s="20">
        <v>0</v>
      </c>
      <c r="AC85" s="20">
        <v>0</v>
      </c>
      <c r="AD85" s="20">
        <v>0</v>
      </c>
      <c r="AE85" s="20">
        <v>0</v>
      </c>
      <c r="AF85" s="20">
        <v>1.8784789242764274E-4</v>
      </c>
      <c r="AG85" s="19">
        <v>0</v>
      </c>
      <c r="AH85" s="19">
        <v>0</v>
      </c>
      <c r="AI85" s="19">
        <v>0</v>
      </c>
      <c r="AJ85" s="19">
        <v>0</v>
      </c>
      <c r="AK85" s="19">
        <v>603</v>
      </c>
      <c r="AL85" s="20">
        <v>0</v>
      </c>
      <c r="AM85" s="20">
        <v>0</v>
      </c>
      <c r="AN85" s="20">
        <v>0</v>
      </c>
      <c r="AO85" s="20">
        <v>0</v>
      </c>
      <c r="AP85" s="20">
        <v>1</v>
      </c>
      <c r="AQ85" s="37"/>
    </row>
    <row r="86" spans="1:43" s="19" customFormat="1" x14ac:dyDescent="0.2">
      <c r="A86" s="18" t="s">
        <v>34</v>
      </c>
      <c r="B86" s="19">
        <v>5</v>
      </c>
      <c r="C86" s="19">
        <v>200</v>
      </c>
      <c r="D86" s="19">
        <v>468</v>
      </c>
      <c r="E86" s="19">
        <v>1156</v>
      </c>
      <c r="F86" s="19">
        <v>1627</v>
      </c>
      <c r="G86" s="20">
        <v>1.5815712784125326E-6</v>
      </c>
      <c r="H86" s="20">
        <v>6.2947576943183826E-5</v>
      </c>
      <c r="I86" s="20">
        <v>1.4462580699191609E-4</v>
      </c>
      <c r="J86" s="20">
        <v>3.601196743720647E-4</v>
      </c>
      <c r="K86" s="20">
        <v>5.0105770293837858E-4</v>
      </c>
      <c r="L86" s="19">
        <v>5</v>
      </c>
      <c r="M86" s="19">
        <v>200</v>
      </c>
      <c r="N86" s="19">
        <v>468</v>
      </c>
      <c r="O86" s="19">
        <v>1156</v>
      </c>
      <c r="P86" s="19">
        <v>1627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W86" s="19">
        <v>0</v>
      </c>
      <c r="X86" s="19">
        <v>0</v>
      </c>
      <c r="Y86" s="19">
        <v>0</v>
      </c>
      <c r="Z86" s="19">
        <v>0</v>
      </c>
      <c r="AA86" s="19">
        <v>1156</v>
      </c>
      <c r="AB86" s="20">
        <v>0</v>
      </c>
      <c r="AC86" s="20">
        <v>0</v>
      </c>
      <c r="AD86" s="20">
        <v>0</v>
      </c>
      <c r="AE86" s="20">
        <v>0</v>
      </c>
      <c r="AF86" s="20">
        <v>3.601196743720647E-4</v>
      </c>
      <c r="AG86" s="19">
        <v>0</v>
      </c>
      <c r="AH86" s="19">
        <v>0</v>
      </c>
      <c r="AI86" s="19">
        <v>0</v>
      </c>
      <c r="AJ86" s="19">
        <v>0</v>
      </c>
      <c r="AK86" s="19">
        <v>1156</v>
      </c>
      <c r="AL86" s="20">
        <v>0</v>
      </c>
      <c r="AM86" s="20">
        <v>0</v>
      </c>
      <c r="AN86" s="20">
        <v>0</v>
      </c>
      <c r="AO86" s="20">
        <v>0</v>
      </c>
      <c r="AP86" s="20">
        <v>1</v>
      </c>
      <c r="AQ86" s="37"/>
    </row>
    <row r="87" spans="1:43" s="19" customFormat="1" x14ac:dyDescent="0.2">
      <c r="A87" s="18" t="s">
        <v>166</v>
      </c>
      <c r="B87" s="19">
        <v>0</v>
      </c>
      <c r="C87" s="19">
        <v>0</v>
      </c>
      <c r="D87" s="19">
        <v>0</v>
      </c>
      <c r="E87" s="19">
        <v>0</v>
      </c>
      <c r="F87" s="19">
        <v>42</v>
      </c>
      <c r="G87" s="20">
        <v>0</v>
      </c>
      <c r="H87" s="20">
        <v>0</v>
      </c>
      <c r="I87" s="20">
        <v>0</v>
      </c>
      <c r="J87" s="20">
        <v>0</v>
      </c>
      <c r="K87" s="20">
        <v>1.2934495097364412E-5</v>
      </c>
      <c r="L87" s="19">
        <v>0</v>
      </c>
      <c r="M87" s="19">
        <v>0</v>
      </c>
      <c r="N87" s="19">
        <v>0</v>
      </c>
      <c r="O87" s="19">
        <v>0</v>
      </c>
      <c r="P87" s="19">
        <v>42</v>
      </c>
      <c r="Q87" s="20">
        <v>0</v>
      </c>
      <c r="R87" s="20">
        <v>0</v>
      </c>
      <c r="S87" s="20">
        <v>0</v>
      </c>
      <c r="T87" s="20">
        <v>0</v>
      </c>
      <c r="U87" s="20">
        <v>1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37"/>
    </row>
    <row r="88" spans="1:43" s="19" customFormat="1" x14ac:dyDescent="0.2">
      <c r="A88" s="18" t="s">
        <v>172</v>
      </c>
      <c r="B88" s="19">
        <v>0</v>
      </c>
      <c r="C88" s="19">
        <v>0</v>
      </c>
      <c r="D88" s="19">
        <v>0</v>
      </c>
      <c r="E88" s="19">
        <v>0</v>
      </c>
      <c r="F88" s="19">
        <v>2</v>
      </c>
      <c r="G88" s="20">
        <v>0</v>
      </c>
      <c r="H88" s="20">
        <v>0</v>
      </c>
      <c r="I88" s="20">
        <v>0</v>
      </c>
      <c r="J88" s="20">
        <v>0</v>
      </c>
      <c r="K88" s="20">
        <v>6.1592833796973391E-7</v>
      </c>
      <c r="L88" s="19">
        <v>0</v>
      </c>
      <c r="M88" s="19">
        <v>0</v>
      </c>
      <c r="N88" s="19">
        <v>0</v>
      </c>
      <c r="O88" s="19">
        <v>0</v>
      </c>
      <c r="P88" s="19">
        <v>2</v>
      </c>
      <c r="Q88" s="20">
        <v>0</v>
      </c>
      <c r="R88" s="20">
        <v>0</v>
      </c>
      <c r="S88" s="20">
        <v>0</v>
      </c>
      <c r="T88" s="20">
        <v>0</v>
      </c>
      <c r="U88" s="20">
        <v>1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37"/>
    </row>
    <row r="89" spans="1:43" s="19" customFormat="1" x14ac:dyDescent="0.2">
      <c r="A89" s="18" t="s">
        <v>35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W89" s="19">
        <v>3</v>
      </c>
      <c r="X89" s="19">
        <v>0</v>
      </c>
      <c r="Y89" s="19">
        <v>0</v>
      </c>
      <c r="Z89" s="19">
        <v>0</v>
      </c>
      <c r="AA89" s="19">
        <v>0</v>
      </c>
      <c r="AB89" s="20">
        <v>9.9728406306824424E-7</v>
      </c>
      <c r="AC89" s="20">
        <v>0</v>
      </c>
      <c r="AD89" s="20">
        <v>0</v>
      </c>
      <c r="AE89" s="20">
        <v>0</v>
      </c>
      <c r="AF89" s="20">
        <v>0</v>
      </c>
      <c r="AG89" s="19">
        <v>3</v>
      </c>
      <c r="AH89" s="19">
        <v>0</v>
      </c>
      <c r="AI89" s="19">
        <v>0</v>
      </c>
      <c r="AJ89" s="19">
        <v>0</v>
      </c>
      <c r="AK89" s="19">
        <v>0</v>
      </c>
      <c r="AL89" s="20">
        <v>1</v>
      </c>
      <c r="AM89" s="20">
        <v>0</v>
      </c>
      <c r="AN89" s="20">
        <v>0</v>
      </c>
      <c r="AO89" s="20">
        <v>0</v>
      </c>
      <c r="AP89" s="20">
        <v>0</v>
      </c>
      <c r="AQ89" s="37"/>
    </row>
    <row r="90" spans="1:43" s="19" customFormat="1" x14ac:dyDescent="0.2">
      <c r="A90" s="18" t="s">
        <v>36</v>
      </c>
      <c r="B90" s="19">
        <v>463</v>
      </c>
      <c r="C90" s="19">
        <v>463</v>
      </c>
      <c r="D90" s="19">
        <v>467</v>
      </c>
      <c r="E90" s="19">
        <v>503</v>
      </c>
      <c r="F90" s="19">
        <v>519</v>
      </c>
      <c r="G90" s="20">
        <v>1.4645350038100053E-4</v>
      </c>
      <c r="H90" s="20">
        <v>1.4572364062347056E-4</v>
      </c>
      <c r="I90" s="20">
        <v>1.4431677748979663E-4</v>
      </c>
      <c r="J90" s="20">
        <v>1.5669567146120116E-4</v>
      </c>
      <c r="K90" s="20">
        <v>1.5983340370314596E-4</v>
      </c>
      <c r="L90" s="19">
        <v>463</v>
      </c>
      <c r="M90" s="19">
        <v>463</v>
      </c>
      <c r="N90" s="19">
        <v>467</v>
      </c>
      <c r="O90" s="19">
        <v>503</v>
      </c>
      <c r="P90" s="19">
        <v>519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W90" s="19">
        <v>0</v>
      </c>
      <c r="X90" s="19">
        <v>0</v>
      </c>
      <c r="Y90" s="19">
        <v>215</v>
      </c>
      <c r="Z90" s="19">
        <v>463</v>
      </c>
      <c r="AA90" s="19">
        <v>503</v>
      </c>
      <c r="AB90" s="20">
        <v>0</v>
      </c>
      <c r="AC90" s="20">
        <v>0</v>
      </c>
      <c r="AD90" s="20">
        <v>6.972652607853153E-5</v>
      </c>
      <c r="AE90" s="20">
        <v>1.4747031085021571E-4</v>
      </c>
      <c r="AF90" s="20">
        <v>1.5669567146120116E-4</v>
      </c>
      <c r="AG90" s="19">
        <v>0</v>
      </c>
      <c r="AH90" s="19">
        <v>0</v>
      </c>
      <c r="AI90" s="19">
        <v>215</v>
      </c>
      <c r="AJ90" s="19">
        <v>463</v>
      </c>
      <c r="AK90" s="19">
        <v>503</v>
      </c>
      <c r="AL90" s="20">
        <v>0</v>
      </c>
      <c r="AM90" s="20">
        <v>0</v>
      </c>
      <c r="AN90" s="20">
        <v>1</v>
      </c>
      <c r="AO90" s="20">
        <v>1</v>
      </c>
      <c r="AP90" s="20">
        <v>1</v>
      </c>
      <c r="AQ90" s="37"/>
    </row>
    <row r="91" spans="1:43" s="19" customFormat="1" x14ac:dyDescent="0.2">
      <c r="A91" s="18" t="s">
        <v>37</v>
      </c>
      <c r="B91" s="19">
        <v>378</v>
      </c>
      <c r="C91" s="19">
        <v>326</v>
      </c>
      <c r="D91" s="19">
        <v>76</v>
      </c>
      <c r="E91" s="19">
        <v>0</v>
      </c>
      <c r="F91" s="19">
        <v>0</v>
      </c>
      <c r="G91" s="20">
        <v>1.1956678864798746E-4</v>
      </c>
      <c r="H91" s="20">
        <v>1.0260455041738964E-4</v>
      </c>
      <c r="I91" s="20">
        <v>2.3486242161080392E-5</v>
      </c>
      <c r="J91" s="20">
        <v>0</v>
      </c>
      <c r="K91" s="20">
        <v>0</v>
      </c>
      <c r="L91" s="19">
        <v>366</v>
      </c>
      <c r="M91" s="19">
        <v>316</v>
      </c>
      <c r="N91" s="19">
        <v>65</v>
      </c>
      <c r="O91" s="19">
        <v>0</v>
      </c>
      <c r="P91" s="19">
        <v>0</v>
      </c>
      <c r="Q91" s="20">
        <v>0.96825396825396826</v>
      </c>
      <c r="R91" s="20">
        <v>0.96932515337423308</v>
      </c>
      <c r="S91" s="20">
        <v>0.85526315789473684</v>
      </c>
      <c r="T91" s="20">
        <v>0</v>
      </c>
      <c r="U91" s="20">
        <v>0</v>
      </c>
      <c r="W91" s="19">
        <v>50631</v>
      </c>
      <c r="X91" s="19">
        <v>26309</v>
      </c>
      <c r="Y91" s="19">
        <v>2334</v>
      </c>
      <c r="Z91" s="19">
        <v>446</v>
      </c>
      <c r="AA91" s="19">
        <v>0</v>
      </c>
      <c r="AB91" s="20">
        <v>1.6831163132402755E-2</v>
      </c>
      <c r="AC91" s="20">
        <v>8.6387464640046759E-3</v>
      </c>
      <c r="AD91" s="20">
        <v>7.5693819473159345E-4</v>
      </c>
      <c r="AE91" s="20">
        <v>1.4205563420992701E-4</v>
      </c>
      <c r="AF91" s="20">
        <v>0</v>
      </c>
      <c r="AG91" s="19">
        <v>48036</v>
      </c>
      <c r="AH91" s="19">
        <v>24761</v>
      </c>
      <c r="AI91" s="19">
        <v>2216</v>
      </c>
      <c r="AJ91" s="19">
        <v>428</v>
      </c>
      <c r="AK91" s="19">
        <v>0</v>
      </c>
      <c r="AL91" s="20">
        <v>0.94874681519227355</v>
      </c>
      <c r="AM91" s="20">
        <v>0.94116081949142882</v>
      </c>
      <c r="AN91" s="20">
        <v>0.94944301628106254</v>
      </c>
      <c r="AO91" s="20">
        <v>0.95964125560538116</v>
      </c>
      <c r="AP91" s="20">
        <v>0</v>
      </c>
      <c r="AQ91" s="37"/>
    </row>
    <row r="92" spans="1:43" s="19" customFormat="1" x14ac:dyDescent="0.2">
      <c r="A92" s="18" t="s">
        <v>39</v>
      </c>
      <c r="B92" s="19">
        <v>2680</v>
      </c>
      <c r="C92" s="19">
        <v>2425</v>
      </c>
      <c r="D92" s="19">
        <v>2234</v>
      </c>
      <c r="E92" s="19">
        <v>2081</v>
      </c>
      <c r="F92" s="19">
        <v>2656</v>
      </c>
      <c r="G92" s="20">
        <v>8.4772220522911753E-4</v>
      </c>
      <c r="H92" s="20">
        <v>7.6323937043610397E-4</v>
      </c>
      <c r="I92" s="20">
        <v>6.9037190773491572E-4</v>
      </c>
      <c r="J92" s="20">
        <v>6.4827771831164926E-4</v>
      </c>
      <c r="K92" s="20">
        <v>8.179528328238066E-4</v>
      </c>
      <c r="L92" s="19">
        <v>2621</v>
      </c>
      <c r="M92" s="19">
        <v>2384</v>
      </c>
      <c r="N92" s="19">
        <v>2195</v>
      </c>
      <c r="O92" s="19">
        <v>2054</v>
      </c>
      <c r="P92" s="19">
        <v>2617</v>
      </c>
      <c r="Q92" s="20">
        <v>0.97798507462686568</v>
      </c>
      <c r="R92" s="20">
        <v>0.98309278350515461</v>
      </c>
      <c r="S92" s="20">
        <v>0.98254252461951652</v>
      </c>
      <c r="T92" s="20">
        <v>0.98702546852474771</v>
      </c>
      <c r="U92" s="20">
        <v>0.98531626506024095</v>
      </c>
      <c r="W92" s="19">
        <v>0</v>
      </c>
      <c r="X92" s="19">
        <v>722</v>
      </c>
      <c r="Y92" s="19">
        <v>4683</v>
      </c>
      <c r="Z92" s="19">
        <v>2961</v>
      </c>
      <c r="AA92" s="19">
        <v>2081</v>
      </c>
      <c r="AB92" s="20">
        <v>0</v>
      </c>
      <c r="AC92" s="20">
        <v>2.3707381303019408E-4</v>
      </c>
      <c r="AD92" s="20">
        <v>1.5187410308175029E-3</v>
      </c>
      <c r="AE92" s="20">
        <v>9.431092665820491E-4</v>
      </c>
      <c r="AF92" s="20">
        <v>6.4827771831164926E-4</v>
      </c>
      <c r="AG92" s="19">
        <v>0</v>
      </c>
      <c r="AH92" s="19">
        <v>722</v>
      </c>
      <c r="AI92" s="19">
        <v>4645</v>
      </c>
      <c r="AJ92" s="19">
        <v>2901</v>
      </c>
      <c r="AK92" s="19">
        <v>2054</v>
      </c>
      <c r="AL92" s="20">
        <v>0</v>
      </c>
      <c r="AM92" s="20">
        <v>1</v>
      </c>
      <c r="AN92" s="20">
        <v>0.9918855434550502</v>
      </c>
      <c r="AO92" s="20">
        <v>0.97973657548125637</v>
      </c>
      <c r="AP92" s="20">
        <v>0.98702546852474771</v>
      </c>
      <c r="AQ92" s="37"/>
    </row>
    <row r="93" spans="1:43" s="19" customFormat="1" x14ac:dyDescent="0.2">
      <c r="A93" s="18" t="s">
        <v>40</v>
      </c>
      <c r="B93" s="19">
        <v>6007</v>
      </c>
      <c r="C93" s="19">
        <v>7723</v>
      </c>
      <c r="D93" s="19">
        <v>11477</v>
      </c>
      <c r="E93" s="19">
        <v>16204</v>
      </c>
      <c r="F93" s="19">
        <v>19790</v>
      </c>
      <c r="G93" s="20">
        <v>1.9000997338848168E-3</v>
      </c>
      <c r="H93" s="20">
        <v>2.4307206836610435E-3</v>
      </c>
      <c r="I93" s="20">
        <v>3.5467315958252585E-3</v>
      </c>
      <c r="J93" s="20">
        <v>5.0479058854021935E-3</v>
      </c>
      <c r="K93" s="20">
        <v>6.0946109042105167E-3</v>
      </c>
      <c r="L93" s="19">
        <v>5809</v>
      </c>
      <c r="M93" s="19">
        <v>7539</v>
      </c>
      <c r="N93" s="19">
        <v>11439</v>
      </c>
      <c r="O93" s="19">
        <v>16172</v>
      </c>
      <c r="P93" s="19">
        <v>19761</v>
      </c>
      <c r="Q93" s="20">
        <v>0.9670384551356751</v>
      </c>
      <c r="R93" s="20">
        <v>0.97617506150459665</v>
      </c>
      <c r="S93" s="20">
        <v>0.99668903023438182</v>
      </c>
      <c r="T93" s="20">
        <v>0.99802517896815601</v>
      </c>
      <c r="U93" s="20">
        <v>0.99853461344113192</v>
      </c>
      <c r="W93" s="19">
        <v>8229</v>
      </c>
      <c r="X93" s="19">
        <v>8488</v>
      </c>
      <c r="Y93" s="19">
        <v>7296</v>
      </c>
      <c r="Z93" s="19">
        <v>5830</v>
      </c>
      <c r="AA93" s="19">
        <v>16204</v>
      </c>
      <c r="AB93" s="20">
        <v>2.7355501849961935E-3</v>
      </c>
      <c r="AC93" s="20">
        <v>2.787094909972697E-3</v>
      </c>
      <c r="AD93" s="20">
        <v>2.3661615547393767E-3</v>
      </c>
      <c r="AE93" s="20">
        <v>1.8569155772284181E-3</v>
      </c>
      <c r="AF93" s="20">
        <v>5.0479058854021935E-3</v>
      </c>
      <c r="AG93" s="19">
        <v>8201</v>
      </c>
      <c r="AH93" s="19">
        <v>8269</v>
      </c>
      <c r="AI93" s="19">
        <v>7015</v>
      </c>
      <c r="AJ93" s="19">
        <v>5636</v>
      </c>
      <c r="AK93" s="19">
        <v>16172</v>
      </c>
      <c r="AL93" s="20">
        <v>0.99659739944100134</v>
      </c>
      <c r="AM93" s="20">
        <v>0.97419886899151742</v>
      </c>
      <c r="AN93" s="20">
        <v>0.9614857456140351</v>
      </c>
      <c r="AO93" s="20">
        <v>0.96672384219554031</v>
      </c>
      <c r="AP93" s="20">
        <v>0.99802517896815601</v>
      </c>
      <c r="AQ93" s="37"/>
    </row>
    <row r="94" spans="1:43" s="19" customFormat="1" x14ac:dyDescent="0.2">
      <c r="A94" s="18" t="s">
        <v>41</v>
      </c>
      <c r="B94" s="19">
        <v>126</v>
      </c>
      <c r="C94" s="19">
        <v>126</v>
      </c>
      <c r="D94" s="19">
        <v>102</v>
      </c>
      <c r="E94" s="19">
        <v>88</v>
      </c>
      <c r="F94" s="19">
        <v>81</v>
      </c>
      <c r="G94" s="20">
        <v>3.9855596215995821E-5</v>
      </c>
      <c r="H94" s="20">
        <v>3.9656973474205815E-5</v>
      </c>
      <c r="I94" s="20">
        <v>3.152100921618684E-5</v>
      </c>
      <c r="J94" s="20">
        <v>2.7413954450468591E-5</v>
      </c>
      <c r="K94" s="20">
        <v>2.4945097687774224E-5</v>
      </c>
      <c r="L94" s="19">
        <v>125</v>
      </c>
      <c r="M94" s="19">
        <v>124</v>
      </c>
      <c r="N94" s="19">
        <v>98</v>
      </c>
      <c r="O94" s="19">
        <v>85</v>
      </c>
      <c r="P94" s="19">
        <v>78</v>
      </c>
      <c r="Q94" s="20">
        <v>0.99206349206349209</v>
      </c>
      <c r="R94" s="20">
        <v>0.98412698412698407</v>
      </c>
      <c r="S94" s="20">
        <v>0.96078431372549022</v>
      </c>
      <c r="T94" s="20">
        <v>0.96590909090909094</v>
      </c>
      <c r="U94" s="20">
        <v>0.96296296296296291</v>
      </c>
      <c r="W94" s="19">
        <v>71</v>
      </c>
      <c r="X94" s="19">
        <v>169</v>
      </c>
      <c r="Y94" s="19">
        <v>199</v>
      </c>
      <c r="Z94" s="19">
        <v>139</v>
      </c>
      <c r="AA94" s="19">
        <v>88</v>
      </c>
      <c r="AB94" s="20">
        <v>2.360238949261511E-5</v>
      </c>
      <c r="AC94" s="20">
        <v>5.5492346817316893E-5</v>
      </c>
      <c r="AD94" s="20">
        <v>6.4537575300594295E-5</v>
      </c>
      <c r="AE94" s="20">
        <v>4.4272944294125233E-5</v>
      </c>
      <c r="AF94" s="20">
        <v>2.7413954450468591E-5</v>
      </c>
      <c r="AG94" s="19">
        <v>71</v>
      </c>
      <c r="AH94" s="19">
        <v>162</v>
      </c>
      <c r="AI94" s="19">
        <v>196</v>
      </c>
      <c r="AJ94" s="19">
        <v>136</v>
      </c>
      <c r="AK94" s="19">
        <v>85</v>
      </c>
      <c r="AL94" s="20">
        <v>1</v>
      </c>
      <c r="AM94" s="20">
        <v>0.95857988165680474</v>
      </c>
      <c r="AN94" s="20">
        <v>0.98492462311557794</v>
      </c>
      <c r="AO94" s="20">
        <v>0.97841726618705038</v>
      </c>
      <c r="AP94" s="20">
        <v>0.96590909090909094</v>
      </c>
      <c r="AQ94" s="37"/>
    </row>
    <row r="95" spans="1:43" s="19" customFormat="1" x14ac:dyDescent="0.2">
      <c r="A95" s="18" t="s">
        <v>42</v>
      </c>
      <c r="B95" s="19">
        <v>3961</v>
      </c>
      <c r="C95" s="19">
        <v>4798</v>
      </c>
      <c r="D95" s="19">
        <v>5342</v>
      </c>
      <c r="E95" s="19">
        <v>5447</v>
      </c>
      <c r="F95" s="19">
        <v>5316</v>
      </c>
      <c r="G95" s="20">
        <v>1.2529207667584083E-3</v>
      </c>
      <c r="H95" s="20">
        <v>1.5101123708669802E-3</v>
      </c>
      <c r="I95" s="20">
        <v>1.6508356003222559E-3</v>
      </c>
      <c r="J95" s="20">
        <v>1.696861476042073E-3</v>
      </c>
      <c r="K95" s="20">
        <v>1.6371375223235528E-3</v>
      </c>
      <c r="L95" s="19">
        <v>2066</v>
      </c>
      <c r="M95" s="19">
        <v>3079</v>
      </c>
      <c r="N95" s="19">
        <v>3785</v>
      </c>
      <c r="O95" s="19">
        <v>4023</v>
      </c>
      <c r="P95" s="19">
        <v>5316</v>
      </c>
      <c r="Q95" s="20">
        <v>0.52158545821762181</v>
      </c>
      <c r="R95" s="20">
        <v>0.64172571904960396</v>
      </c>
      <c r="S95" s="20">
        <v>0.70853612879071504</v>
      </c>
      <c r="T95" s="20">
        <v>0.73857169083899399</v>
      </c>
      <c r="U95" s="20">
        <v>1</v>
      </c>
      <c r="W95" s="19">
        <v>0</v>
      </c>
      <c r="X95" s="19">
        <v>0</v>
      </c>
      <c r="Y95" s="19">
        <v>1515</v>
      </c>
      <c r="Z95" s="19">
        <v>3322</v>
      </c>
      <c r="AA95" s="19">
        <v>5447</v>
      </c>
      <c r="AB95" s="20">
        <v>0</v>
      </c>
      <c r="AC95" s="20">
        <v>0</v>
      </c>
      <c r="AD95" s="20">
        <v>4.9132877678593144E-4</v>
      </c>
      <c r="AE95" s="20">
        <v>1.0580915175905327E-3</v>
      </c>
      <c r="AF95" s="20">
        <v>1.696861476042073E-3</v>
      </c>
      <c r="AG95" s="19">
        <v>0</v>
      </c>
      <c r="AH95" s="19">
        <v>0</v>
      </c>
      <c r="AI95" s="19">
        <v>1515</v>
      </c>
      <c r="AJ95" s="19">
        <v>1165</v>
      </c>
      <c r="AK95" s="19">
        <v>4023</v>
      </c>
      <c r="AL95" s="20">
        <v>0</v>
      </c>
      <c r="AM95" s="20">
        <v>0</v>
      </c>
      <c r="AN95" s="20">
        <v>1</v>
      </c>
      <c r="AO95" s="20">
        <v>0.35069235400361226</v>
      </c>
      <c r="AP95" s="20">
        <v>0.73857169083899399</v>
      </c>
      <c r="AQ95" s="37"/>
    </row>
    <row r="96" spans="1:43" s="19" customFormat="1" x14ac:dyDescent="0.2">
      <c r="A96" s="18" t="s">
        <v>43</v>
      </c>
      <c r="B96" s="19">
        <v>1017477</v>
      </c>
      <c r="C96" s="19">
        <v>1006915</v>
      </c>
      <c r="D96" s="19">
        <v>1001769</v>
      </c>
      <c r="E96" s="19">
        <v>998959</v>
      </c>
      <c r="F96" s="19">
        <v>996938</v>
      </c>
      <c r="G96" s="20">
        <v>0.32184247992906967</v>
      </c>
      <c r="H96" s="20">
        <v>0.31691429718872977</v>
      </c>
      <c r="I96" s="20">
        <v>0.30957617530872822</v>
      </c>
      <c r="J96" s="20">
        <v>0.31119791504415517</v>
      </c>
      <c r="K96" s="20">
        <v>0.30702118269943529</v>
      </c>
      <c r="L96" s="19">
        <v>778280</v>
      </c>
      <c r="M96" s="19">
        <v>781658</v>
      </c>
      <c r="N96" s="19">
        <v>782390</v>
      </c>
      <c r="O96" s="19">
        <v>791984</v>
      </c>
      <c r="P96" s="19">
        <v>798878</v>
      </c>
      <c r="Q96" s="20">
        <v>0.76491163928029826</v>
      </c>
      <c r="R96" s="20">
        <v>0.7762899549614416</v>
      </c>
      <c r="S96" s="20">
        <v>0.78100839614721562</v>
      </c>
      <c r="T96" s="20">
        <v>0.79280931449639069</v>
      </c>
      <c r="U96" s="20">
        <v>0.80133167759680135</v>
      </c>
      <c r="W96" s="19">
        <v>1120218</v>
      </c>
      <c r="X96" s="19">
        <v>1081250</v>
      </c>
      <c r="Y96" s="19">
        <v>1040813</v>
      </c>
      <c r="Z96" s="19">
        <v>1024501</v>
      </c>
      <c r="AA96" s="19">
        <v>998959</v>
      </c>
      <c r="AB96" s="20">
        <v>0.37239185285406079</v>
      </c>
      <c r="AC96" s="20">
        <v>0.35503609465221236</v>
      </c>
      <c r="AD96" s="20">
        <v>0.33754546412732389</v>
      </c>
      <c r="AE96" s="20">
        <v>0.32631421368543595</v>
      </c>
      <c r="AF96" s="20">
        <v>0.31119791504415517</v>
      </c>
      <c r="AG96" s="19">
        <v>616647</v>
      </c>
      <c r="AH96" s="19">
        <v>650726</v>
      </c>
      <c r="AI96" s="19">
        <v>687979</v>
      </c>
      <c r="AJ96" s="19">
        <v>771932</v>
      </c>
      <c r="AK96" s="19">
        <v>791984</v>
      </c>
      <c r="AL96" s="20">
        <v>0.55047053341403196</v>
      </c>
      <c r="AM96" s="20">
        <v>0.60182751445086702</v>
      </c>
      <c r="AN96" s="20">
        <v>0.66100154398532684</v>
      </c>
      <c r="AO96" s="20">
        <v>0.75347120207788965</v>
      </c>
      <c r="AP96" s="20">
        <v>0.79280931449639069</v>
      </c>
      <c r="AQ96" s="37"/>
    </row>
    <row r="97" spans="1:55" s="19" customFormat="1" x14ac:dyDescent="0.2">
      <c r="A97" s="18" t="s">
        <v>44</v>
      </c>
      <c r="B97" s="19">
        <v>422</v>
      </c>
      <c r="C97" s="19">
        <v>408</v>
      </c>
      <c r="D97" s="19">
        <v>398</v>
      </c>
      <c r="E97" s="19">
        <v>378</v>
      </c>
      <c r="F97" s="19">
        <v>362</v>
      </c>
      <c r="G97" s="20">
        <v>1.3348461589801776E-4</v>
      </c>
      <c r="H97" s="20">
        <v>1.2841305696409503E-4</v>
      </c>
      <c r="I97" s="20">
        <v>1.2299374184355258E-4</v>
      </c>
      <c r="J97" s="20">
        <v>1.1775539525314918E-4</v>
      </c>
      <c r="K97" s="20">
        <v>1.1148302917252184E-4</v>
      </c>
      <c r="L97" s="19">
        <v>411</v>
      </c>
      <c r="M97" s="19">
        <v>400</v>
      </c>
      <c r="N97" s="19">
        <v>387</v>
      </c>
      <c r="O97" s="19">
        <v>367</v>
      </c>
      <c r="P97" s="19">
        <v>360</v>
      </c>
      <c r="Q97" s="20">
        <v>0.97393364928909953</v>
      </c>
      <c r="R97" s="20">
        <v>0.98039215686274506</v>
      </c>
      <c r="S97" s="20">
        <v>0.97236180904522618</v>
      </c>
      <c r="T97" s="20">
        <v>0.97089947089947093</v>
      </c>
      <c r="U97" s="20">
        <v>0.99447513812154698</v>
      </c>
      <c r="W97" s="19">
        <v>0</v>
      </c>
      <c r="X97" s="19">
        <v>0</v>
      </c>
      <c r="Y97" s="19">
        <v>524</v>
      </c>
      <c r="Z97" s="19">
        <v>445</v>
      </c>
      <c r="AA97" s="19">
        <v>378</v>
      </c>
      <c r="AB97" s="20">
        <v>0</v>
      </c>
      <c r="AC97" s="20">
        <v>0</v>
      </c>
      <c r="AD97" s="20">
        <v>1.6993813797744429E-4</v>
      </c>
      <c r="AE97" s="20">
        <v>1.4173712381932181E-4</v>
      </c>
      <c r="AF97" s="20">
        <v>1.1775539525314918E-4</v>
      </c>
      <c r="AG97" s="19">
        <v>0</v>
      </c>
      <c r="AH97" s="19">
        <v>0</v>
      </c>
      <c r="AI97" s="19">
        <v>496</v>
      </c>
      <c r="AJ97" s="19">
        <v>433</v>
      </c>
      <c r="AK97" s="19">
        <v>367</v>
      </c>
      <c r="AL97" s="20">
        <v>0</v>
      </c>
      <c r="AM97" s="20">
        <v>0</v>
      </c>
      <c r="AN97" s="20">
        <v>0.94656488549618323</v>
      </c>
      <c r="AO97" s="20">
        <v>0.97303370786516852</v>
      </c>
      <c r="AP97" s="20">
        <v>0.97089947089947093</v>
      </c>
      <c r="AQ97" s="37"/>
    </row>
    <row r="98" spans="1:55" s="19" customFormat="1" x14ac:dyDescent="0.2">
      <c r="A98" s="18" t="s">
        <v>45</v>
      </c>
      <c r="B98" s="19">
        <v>652</v>
      </c>
      <c r="C98" s="19">
        <v>854</v>
      </c>
      <c r="D98" s="19">
        <v>1110</v>
      </c>
      <c r="E98" s="19">
        <v>1190</v>
      </c>
      <c r="F98" s="19">
        <v>1364</v>
      </c>
      <c r="G98" s="20">
        <v>2.0623689470499425E-4</v>
      </c>
      <c r="H98" s="20">
        <v>2.6878615354739498E-4</v>
      </c>
      <c r="I98" s="20">
        <v>3.4302274735262153E-4</v>
      </c>
      <c r="J98" s="20">
        <v>3.7071142950065484E-4</v>
      </c>
      <c r="K98" s="20">
        <v>4.2006312649535849E-4</v>
      </c>
      <c r="L98" s="19">
        <v>652</v>
      </c>
      <c r="M98" s="19">
        <v>854</v>
      </c>
      <c r="N98" s="19">
        <v>1110</v>
      </c>
      <c r="O98" s="19">
        <v>1190</v>
      </c>
      <c r="P98" s="19">
        <v>1364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W98" s="19">
        <v>51</v>
      </c>
      <c r="X98" s="19">
        <v>172</v>
      </c>
      <c r="Y98" s="19">
        <v>221</v>
      </c>
      <c r="Z98" s="19">
        <v>518</v>
      </c>
      <c r="AA98" s="19">
        <v>1190</v>
      </c>
      <c r="AB98" s="20">
        <v>1.6953829072160149E-5</v>
      </c>
      <c r="AC98" s="20">
        <v>5.647741806259471E-5</v>
      </c>
      <c r="AD98" s="20">
        <v>7.1672382620257988E-5</v>
      </c>
      <c r="AE98" s="20">
        <v>1.6498838233350267E-4</v>
      </c>
      <c r="AF98" s="20">
        <v>3.7071142950065484E-4</v>
      </c>
      <c r="AG98" s="19">
        <v>51</v>
      </c>
      <c r="AH98" s="19">
        <v>172</v>
      </c>
      <c r="AI98" s="19">
        <v>221</v>
      </c>
      <c r="AJ98" s="19">
        <v>518</v>
      </c>
      <c r="AK98" s="19">
        <v>1190</v>
      </c>
      <c r="AL98" s="20">
        <v>1</v>
      </c>
      <c r="AM98" s="20">
        <v>1</v>
      </c>
      <c r="AN98" s="20">
        <v>1</v>
      </c>
      <c r="AO98" s="20">
        <v>1</v>
      </c>
      <c r="AP98" s="20">
        <v>1</v>
      </c>
      <c r="AQ98" s="37"/>
    </row>
    <row r="99" spans="1:55" s="19" customFormat="1" x14ac:dyDescent="0.2">
      <c r="A99" s="18" t="s">
        <v>46</v>
      </c>
      <c r="B99" s="19">
        <v>0</v>
      </c>
      <c r="C99" s="19">
        <v>5</v>
      </c>
      <c r="D99" s="19">
        <v>3</v>
      </c>
      <c r="E99" s="19">
        <v>17</v>
      </c>
      <c r="F99" s="19">
        <v>63</v>
      </c>
      <c r="G99" s="20">
        <v>0</v>
      </c>
      <c r="H99" s="20">
        <v>1.5736894235795958E-6</v>
      </c>
      <c r="I99" s="20">
        <v>9.270885063584365E-7</v>
      </c>
      <c r="J99" s="20">
        <v>5.2958775642950689E-6</v>
      </c>
      <c r="K99" s="20">
        <v>1.9401742646046617E-5</v>
      </c>
      <c r="L99" s="19">
        <v>0</v>
      </c>
      <c r="M99" s="19">
        <v>5</v>
      </c>
      <c r="N99" s="19">
        <v>3</v>
      </c>
      <c r="O99" s="19">
        <v>17</v>
      </c>
      <c r="P99" s="19">
        <v>63</v>
      </c>
      <c r="Q99" s="20">
        <v>0</v>
      </c>
      <c r="R99" s="20">
        <v>1</v>
      </c>
      <c r="S99" s="20">
        <v>1</v>
      </c>
      <c r="T99" s="20">
        <v>1</v>
      </c>
      <c r="U99" s="20">
        <v>1</v>
      </c>
      <c r="W99" s="19">
        <v>0</v>
      </c>
      <c r="X99" s="19">
        <v>0</v>
      </c>
      <c r="Y99" s="19">
        <v>0</v>
      </c>
      <c r="Z99" s="19">
        <v>0</v>
      </c>
      <c r="AA99" s="19">
        <v>17</v>
      </c>
      <c r="AB99" s="20">
        <v>0</v>
      </c>
      <c r="AC99" s="20">
        <v>0</v>
      </c>
      <c r="AD99" s="20">
        <v>0</v>
      </c>
      <c r="AE99" s="20">
        <v>0</v>
      </c>
      <c r="AF99" s="20">
        <v>5.2958775642950689E-6</v>
      </c>
      <c r="AG99" s="19">
        <v>0</v>
      </c>
      <c r="AH99" s="19">
        <v>0</v>
      </c>
      <c r="AI99" s="19">
        <v>0</v>
      </c>
      <c r="AJ99" s="19">
        <v>0</v>
      </c>
      <c r="AK99" s="19">
        <v>17</v>
      </c>
      <c r="AL99" s="20">
        <v>0</v>
      </c>
      <c r="AM99" s="20">
        <v>0</v>
      </c>
      <c r="AN99" s="20">
        <v>0</v>
      </c>
      <c r="AO99" s="20">
        <v>0</v>
      </c>
      <c r="AP99" s="20">
        <v>1</v>
      </c>
      <c r="AQ99" s="37"/>
    </row>
    <row r="100" spans="1:55" s="19" customFormat="1" x14ac:dyDescent="0.2">
      <c r="A100" s="18" t="s">
        <v>126</v>
      </c>
      <c r="B100" s="19">
        <v>13976</v>
      </c>
      <c r="C100" s="19">
        <v>16304</v>
      </c>
      <c r="D100" s="19">
        <v>17472</v>
      </c>
      <c r="E100" s="19">
        <v>18136</v>
      </c>
      <c r="F100" s="19">
        <v>18082</v>
      </c>
      <c r="G100" s="20">
        <v>4.4208080374187114E-3</v>
      </c>
      <c r="H100" s="20">
        <v>5.1314864724083462E-3</v>
      </c>
      <c r="I100" s="20">
        <v>5.399363461031534E-3</v>
      </c>
      <c r="J100" s="20">
        <v>5.6497667944738449E-3</v>
      </c>
      <c r="K100" s="20">
        <v>5.5686081035843642E-3</v>
      </c>
      <c r="L100" s="19">
        <v>13556</v>
      </c>
      <c r="M100" s="19">
        <v>15876</v>
      </c>
      <c r="N100" s="19">
        <v>16972</v>
      </c>
      <c r="O100" s="19">
        <v>17732</v>
      </c>
      <c r="P100" s="19">
        <v>17641</v>
      </c>
      <c r="Q100" s="20">
        <v>0.96994848311390958</v>
      </c>
      <c r="R100" s="20">
        <v>0.97374877330716392</v>
      </c>
      <c r="S100" s="20">
        <v>0.97138278388278387</v>
      </c>
      <c r="T100" s="20">
        <v>0.9777238641376268</v>
      </c>
      <c r="U100" s="20">
        <v>0.9756111049662648</v>
      </c>
      <c r="W100" s="19">
        <v>15357</v>
      </c>
      <c r="X100" s="19">
        <v>14473</v>
      </c>
      <c r="Y100" s="19">
        <v>11350</v>
      </c>
      <c r="Z100" s="19">
        <v>10188</v>
      </c>
      <c r="AA100" s="19">
        <v>18136</v>
      </c>
      <c r="AB100" s="20">
        <v>5.1050971188463419E-3</v>
      </c>
      <c r="AC100" s="20">
        <v>4.7523120443019378E-3</v>
      </c>
      <c r="AD100" s="20">
        <v>3.6809119580992226E-3</v>
      </c>
      <c r="AE100" s="20">
        <v>3.2449838594859563E-3</v>
      </c>
      <c r="AF100" s="20">
        <v>5.6497667944738449E-3</v>
      </c>
      <c r="AG100" s="19">
        <v>14826</v>
      </c>
      <c r="AH100" s="19">
        <v>14023</v>
      </c>
      <c r="AI100" s="19">
        <v>10945</v>
      </c>
      <c r="AJ100" s="19">
        <v>9706</v>
      </c>
      <c r="AK100" s="19">
        <v>17732</v>
      </c>
      <c r="AL100" s="20">
        <v>0.96542293416682945</v>
      </c>
      <c r="AM100" s="20">
        <v>0.96890762108754236</v>
      </c>
      <c r="AN100" s="20">
        <v>0.9643171806167401</v>
      </c>
      <c r="AO100" s="20">
        <v>0.95268943855516297</v>
      </c>
      <c r="AP100" s="20">
        <v>0.9777238641376268</v>
      </c>
      <c r="AQ100" s="37"/>
    </row>
    <row r="101" spans="1:55" s="19" customFormat="1" x14ac:dyDescent="0.2">
      <c r="A101" s="18" t="s">
        <v>48</v>
      </c>
      <c r="B101" s="19">
        <v>30616</v>
      </c>
      <c r="C101" s="19">
        <v>29158</v>
      </c>
      <c r="D101" s="19">
        <v>29976</v>
      </c>
      <c r="E101" s="19">
        <v>31061</v>
      </c>
      <c r="F101" s="19">
        <v>32675</v>
      </c>
      <c r="G101" s="20">
        <v>9.684277251975619E-3</v>
      </c>
      <c r="H101" s="20">
        <v>9.1771272425467711E-3</v>
      </c>
      <c r="I101" s="20">
        <v>9.2634683555334971E-3</v>
      </c>
      <c r="J101" s="20">
        <v>9.6761913543864202E-3</v>
      </c>
      <c r="K101" s="20">
        <v>1.0062729221580528E-2</v>
      </c>
      <c r="L101" s="19">
        <v>30616</v>
      </c>
      <c r="M101" s="19">
        <v>29158</v>
      </c>
      <c r="N101" s="19">
        <v>29835</v>
      </c>
      <c r="O101" s="19">
        <v>30978</v>
      </c>
      <c r="P101" s="19">
        <v>32079</v>
      </c>
      <c r="Q101" s="20">
        <v>1</v>
      </c>
      <c r="R101" s="20">
        <v>1</v>
      </c>
      <c r="S101" s="20">
        <v>0.99529623698959169</v>
      </c>
      <c r="T101" s="20">
        <v>0.9973278387688741</v>
      </c>
      <c r="U101" s="20">
        <v>0.98175975516449887</v>
      </c>
      <c r="W101" s="19">
        <v>8199</v>
      </c>
      <c r="X101" s="19">
        <v>21776</v>
      </c>
      <c r="Y101" s="19">
        <v>31074</v>
      </c>
      <c r="Z101" s="19">
        <v>29451</v>
      </c>
      <c r="AA101" s="19">
        <v>31061</v>
      </c>
      <c r="AB101" s="20">
        <v>2.7255773443655112E-3</v>
      </c>
      <c r="AC101" s="20">
        <v>7.1503038123898978E-3</v>
      </c>
      <c r="AD101" s="20">
        <v>1.0077591029601343E-2</v>
      </c>
      <c r="AE101" s="20">
        <v>9.3804495137142611E-3</v>
      </c>
      <c r="AF101" s="20">
        <v>9.6761913543864202E-3</v>
      </c>
      <c r="AG101" s="19">
        <v>8199</v>
      </c>
      <c r="AH101" s="19">
        <v>21776</v>
      </c>
      <c r="AI101" s="19">
        <v>31074</v>
      </c>
      <c r="AJ101" s="19">
        <v>29451</v>
      </c>
      <c r="AK101" s="19">
        <v>30978</v>
      </c>
      <c r="AL101" s="20">
        <v>1</v>
      </c>
      <c r="AM101" s="20">
        <v>1</v>
      </c>
      <c r="AN101" s="20">
        <v>1</v>
      </c>
      <c r="AO101" s="20">
        <v>1</v>
      </c>
      <c r="AP101" s="20">
        <v>0.9973278387688741</v>
      </c>
      <c r="AQ101" s="37"/>
    </row>
    <row r="102" spans="1:55" s="19" customFormat="1" x14ac:dyDescent="0.2">
      <c r="A102" s="18" t="s">
        <v>49</v>
      </c>
      <c r="B102" s="19">
        <v>3691</v>
      </c>
      <c r="C102" s="19">
        <v>3905</v>
      </c>
      <c r="D102" s="19">
        <v>3695</v>
      </c>
      <c r="E102" s="19">
        <v>3525</v>
      </c>
      <c r="F102" s="19">
        <v>3378</v>
      </c>
      <c r="G102" s="20">
        <v>1.1675159177241315E-3</v>
      </c>
      <c r="H102" s="20">
        <v>1.2290514398156642E-3</v>
      </c>
      <c r="I102" s="20">
        <v>1.1418640103314744E-3</v>
      </c>
      <c r="J102" s="20">
        <v>1.0981157890670658E-3</v>
      </c>
      <c r="K102" s="20">
        <v>1.0403029628308805E-3</v>
      </c>
      <c r="L102" s="19">
        <v>3615</v>
      </c>
      <c r="M102" s="19">
        <v>3826</v>
      </c>
      <c r="N102" s="19">
        <v>3614</v>
      </c>
      <c r="O102" s="19">
        <v>3430</v>
      </c>
      <c r="P102" s="19">
        <v>3281</v>
      </c>
      <c r="Q102" s="20">
        <v>0.97940937415334595</v>
      </c>
      <c r="R102" s="20">
        <v>0.97976952624839952</v>
      </c>
      <c r="S102" s="20">
        <v>0.97807848443843026</v>
      </c>
      <c r="T102" s="20">
        <v>0.97304964539007088</v>
      </c>
      <c r="U102" s="20">
        <v>0.97128478389579631</v>
      </c>
      <c r="W102" s="19">
        <v>932</v>
      </c>
      <c r="X102" s="19">
        <v>894</v>
      </c>
      <c r="Y102" s="19">
        <v>784</v>
      </c>
      <c r="Z102" s="19">
        <v>2634</v>
      </c>
      <c r="AA102" s="19">
        <v>3525</v>
      </c>
      <c r="AB102" s="20">
        <v>3.0982291559320121E-4</v>
      </c>
      <c r="AC102" s="20">
        <v>2.9355123109278881E-4</v>
      </c>
      <c r="AD102" s="20">
        <v>2.5425858811892427E-4</v>
      </c>
      <c r="AE102" s="20">
        <v>8.3895636885414294E-4</v>
      </c>
      <c r="AF102" s="20">
        <v>1.0981157890670658E-3</v>
      </c>
      <c r="AG102" s="19">
        <v>682</v>
      </c>
      <c r="AH102" s="19">
        <v>621</v>
      </c>
      <c r="AI102" s="19">
        <v>661</v>
      </c>
      <c r="AJ102" s="19">
        <v>2553</v>
      </c>
      <c r="AK102" s="19">
        <v>3430</v>
      </c>
      <c r="AL102" s="20">
        <v>0.73175965665236054</v>
      </c>
      <c r="AM102" s="20">
        <v>0.69463087248322153</v>
      </c>
      <c r="AN102" s="20">
        <v>0.84311224489795922</v>
      </c>
      <c r="AO102" s="20">
        <v>0.96924829157175396</v>
      </c>
      <c r="AP102" s="20">
        <v>0.97304964539007088</v>
      </c>
      <c r="AQ102" s="37"/>
    </row>
    <row r="103" spans="1:55" s="19" customFormat="1" x14ac:dyDescent="0.2">
      <c r="A103" s="18" t="s">
        <v>50</v>
      </c>
      <c r="B103" s="19">
        <v>394</v>
      </c>
      <c r="C103" s="19">
        <v>523</v>
      </c>
      <c r="D103" s="19">
        <v>598</v>
      </c>
      <c r="E103" s="19">
        <v>614</v>
      </c>
      <c r="F103" s="19">
        <v>588</v>
      </c>
      <c r="G103" s="20">
        <v>1.2462781673890758E-4</v>
      </c>
      <c r="H103" s="20">
        <v>1.6460791370642572E-4</v>
      </c>
      <c r="I103" s="20">
        <v>1.8479964226744835E-4</v>
      </c>
      <c r="J103" s="20">
        <v>1.912746367339513E-4</v>
      </c>
      <c r="K103" s="20">
        <v>1.8108293136310177E-4</v>
      </c>
      <c r="L103" s="19">
        <v>394</v>
      </c>
      <c r="M103" s="19">
        <v>523</v>
      </c>
      <c r="N103" s="19">
        <v>554</v>
      </c>
      <c r="O103" s="19">
        <v>614</v>
      </c>
      <c r="P103" s="19">
        <v>588</v>
      </c>
      <c r="Q103" s="20">
        <v>1</v>
      </c>
      <c r="R103" s="20">
        <v>1</v>
      </c>
      <c r="S103" s="20">
        <v>0.9264214046822743</v>
      </c>
      <c r="T103" s="20">
        <v>1</v>
      </c>
      <c r="U103" s="20">
        <v>1</v>
      </c>
      <c r="W103" s="19">
        <v>0</v>
      </c>
      <c r="X103" s="19">
        <v>0</v>
      </c>
      <c r="Y103" s="19">
        <v>0</v>
      </c>
      <c r="Z103" s="19">
        <v>363</v>
      </c>
      <c r="AA103" s="19">
        <v>614</v>
      </c>
      <c r="AB103" s="20">
        <v>0</v>
      </c>
      <c r="AC103" s="20">
        <v>0</v>
      </c>
      <c r="AD103" s="20">
        <v>0</v>
      </c>
      <c r="AE103" s="20">
        <v>1.1561927178969396E-4</v>
      </c>
      <c r="AF103" s="20">
        <v>1.912746367339513E-4</v>
      </c>
      <c r="AG103" s="19">
        <v>0</v>
      </c>
      <c r="AH103" s="19">
        <v>0</v>
      </c>
      <c r="AI103" s="19">
        <v>0</v>
      </c>
      <c r="AJ103" s="19">
        <v>363</v>
      </c>
      <c r="AK103" s="19">
        <v>614</v>
      </c>
      <c r="AL103" s="20">
        <v>0</v>
      </c>
      <c r="AM103" s="20">
        <v>0</v>
      </c>
      <c r="AN103" s="20">
        <v>0</v>
      </c>
      <c r="AO103" s="20">
        <v>1</v>
      </c>
      <c r="AP103" s="20">
        <v>1</v>
      </c>
      <c r="AQ103" s="37"/>
    </row>
    <row r="104" spans="1:55" s="19" customFormat="1" x14ac:dyDescent="0.2">
      <c r="A104" s="18" t="s">
        <v>51</v>
      </c>
      <c r="B104" s="19">
        <v>3</v>
      </c>
      <c r="C104" s="19">
        <v>16</v>
      </c>
      <c r="D104" s="19">
        <v>173</v>
      </c>
      <c r="E104" s="19">
        <v>408</v>
      </c>
      <c r="F104" s="19">
        <v>1737</v>
      </c>
      <c r="G104" s="20">
        <v>9.4894276704751956E-7</v>
      </c>
      <c r="H104" s="20">
        <v>5.0358061554547065E-6</v>
      </c>
      <c r="I104" s="20">
        <v>5.346210386666984E-5</v>
      </c>
      <c r="J104" s="20">
        <v>1.2710106154308165E-4</v>
      </c>
      <c r="K104" s="20">
        <v>5.3493376152671389E-4</v>
      </c>
      <c r="L104" s="19">
        <v>3</v>
      </c>
      <c r="M104" s="19">
        <v>16</v>
      </c>
      <c r="N104" s="19">
        <v>173</v>
      </c>
      <c r="O104" s="19">
        <v>408</v>
      </c>
      <c r="P104" s="19">
        <v>1737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W104" s="19">
        <v>0</v>
      </c>
      <c r="X104" s="19">
        <v>0</v>
      </c>
      <c r="Y104" s="19">
        <v>0</v>
      </c>
      <c r="Z104" s="19">
        <v>0</v>
      </c>
      <c r="AA104" s="19">
        <v>408</v>
      </c>
      <c r="AB104" s="20">
        <v>0</v>
      </c>
      <c r="AC104" s="20">
        <v>0</v>
      </c>
      <c r="AD104" s="20">
        <v>0</v>
      </c>
      <c r="AE104" s="20">
        <v>0</v>
      </c>
      <c r="AF104" s="20">
        <v>1.2710106154308165E-4</v>
      </c>
      <c r="AG104" s="19">
        <v>0</v>
      </c>
      <c r="AH104" s="19">
        <v>0</v>
      </c>
      <c r="AI104" s="19">
        <v>0</v>
      </c>
      <c r="AJ104" s="19">
        <v>0</v>
      </c>
      <c r="AK104" s="19">
        <v>408</v>
      </c>
      <c r="AL104" s="20">
        <v>0</v>
      </c>
      <c r="AM104" s="20">
        <v>0</v>
      </c>
      <c r="AN104" s="20">
        <v>0</v>
      </c>
      <c r="AO104" s="20">
        <v>0</v>
      </c>
      <c r="AP104" s="20">
        <v>1</v>
      </c>
      <c r="AQ104" s="37"/>
    </row>
    <row r="105" spans="1:55" s="19" customFormat="1" x14ac:dyDescent="0.2">
      <c r="A105" s="18" t="s">
        <v>52</v>
      </c>
      <c r="B105" s="19">
        <v>203930</v>
      </c>
      <c r="C105" s="19">
        <v>210485</v>
      </c>
      <c r="D105" s="19">
        <v>220363</v>
      </c>
      <c r="E105" s="19">
        <v>227999</v>
      </c>
      <c r="F105" s="19">
        <v>236955</v>
      </c>
      <c r="G105" s="20">
        <v>6.4505966161333556E-2</v>
      </c>
      <c r="H105" s="20">
        <v>6.6247603664430249E-2</v>
      </c>
      <c r="I105" s="20">
        <v>6.8098668175554711E-2</v>
      </c>
      <c r="J105" s="20">
        <v>7.1026752281277139E-2</v>
      </c>
      <c r="K105" s="20">
        <v>7.2973649661809151E-2</v>
      </c>
      <c r="L105" s="19">
        <v>203383</v>
      </c>
      <c r="M105" s="19">
        <v>209987</v>
      </c>
      <c r="N105" s="19">
        <v>219895</v>
      </c>
      <c r="O105" s="19">
        <v>227549</v>
      </c>
      <c r="P105" s="19">
        <v>236544</v>
      </c>
      <c r="Q105" s="20">
        <v>0.99731770705634282</v>
      </c>
      <c r="R105" s="20">
        <v>0.99763403567950215</v>
      </c>
      <c r="S105" s="20">
        <v>0.99787623149076754</v>
      </c>
      <c r="T105" s="20">
        <v>0.99802630713292606</v>
      </c>
      <c r="U105" s="20">
        <v>0.9982654934481231</v>
      </c>
      <c r="W105" s="19">
        <v>67101</v>
      </c>
      <c r="X105" s="19">
        <v>111209</v>
      </c>
      <c r="Y105" s="19">
        <v>163024</v>
      </c>
      <c r="Z105" s="19">
        <v>196905</v>
      </c>
      <c r="AA105" s="19">
        <v>227999</v>
      </c>
      <c r="AB105" s="20">
        <v>2.2306252638647418E-2</v>
      </c>
      <c r="AC105" s="20">
        <v>3.6516262705366835E-2</v>
      </c>
      <c r="AD105" s="20">
        <v>5.2870219476402434E-2</v>
      </c>
      <c r="AE105" s="20">
        <v>6.2716288462120351E-2</v>
      </c>
      <c r="AF105" s="20">
        <v>7.1026752281277139E-2</v>
      </c>
      <c r="AG105" s="19">
        <v>67006</v>
      </c>
      <c r="AH105" s="19">
        <v>110994</v>
      </c>
      <c r="AI105" s="19">
        <v>161671</v>
      </c>
      <c r="AJ105" s="19">
        <v>196276</v>
      </c>
      <c r="AK105" s="19">
        <v>227549</v>
      </c>
      <c r="AL105" s="20">
        <v>0.99858422378205991</v>
      </c>
      <c r="AM105" s="20">
        <v>0.99806670323445046</v>
      </c>
      <c r="AN105" s="20">
        <v>0.99170060849936204</v>
      </c>
      <c r="AO105" s="20">
        <v>0.99680556613595384</v>
      </c>
      <c r="AP105" s="20">
        <v>0.99802630713292606</v>
      </c>
      <c r="AQ105" s="37"/>
    </row>
    <row r="106" spans="1:55" s="19" customFormat="1" x14ac:dyDescent="0.2">
      <c r="A106" s="18" t="s">
        <v>53</v>
      </c>
      <c r="B106" s="19">
        <v>1502</v>
      </c>
      <c r="C106" s="19">
        <v>1524</v>
      </c>
      <c r="D106" s="19">
        <v>1217</v>
      </c>
      <c r="E106" s="19">
        <v>1124</v>
      </c>
      <c r="F106" s="19">
        <v>397</v>
      </c>
      <c r="G106" s="20">
        <v>4.7510401203512481E-4</v>
      </c>
      <c r="H106" s="20">
        <v>4.796605363070608E-4</v>
      </c>
      <c r="I106" s="20">
        <v>3.7608890407940575E-4</v>
      </c>
      <c r="J106" s="20">
        <v>3.5015096366280339E-4</v>
      </c>
      <c r="K106" s="20">
        <v>1.2226177508699217E-4</v>
      </c>
      <c r="L106" s="19">
        <v>1319</v>
      </c>
      <c r="M106" s="19">
        <v>1347</v>
      </c>
      <c r="N106" s="19">
        <v>1124</v>
      </c>
      <c r="O106" s="19">
        <v>1064</v>
      </c>
      <c r="P106" s="19">
        <v>358</v>
      </c>
      <c r="Q106" s="20">
        <v>0.87816245006657789</v>
      </c>
      <c r="R106" s="20">
        <v>0.88385826771653542</v>
      </c>
      <c r="S106" s="20">
        <v>0.92358258011503702</v>
      </c>
      <c r="T106" s="20">
        <v>0.94661921708185048</v>
      </c>
      <c r="U106" s="20">
        <v>0.90176322418136023</v>
      </c>
      <c r="W106" s="19">
        <v>4748</v>
      </c>
      <c r="X106" s="19">
        <v>3868</v>
      </c>
      <c r="Y106" s="19">
        <v>2494</v>
      </c>
      <c r="Z106" s="19">
        <v>1766</v>
      </c>
      <c r="AA106" s="19">
        <v>1124</v>
      </c>
      <c r="AB106" s="20">
        <v>1.5783682438160077E-3</v>
      </c>
      <c r="AC106" s="20">
        <v>1.2700851922448624E-3</v>
      </c>
      <c r="AD106" s="20">
        <v>8.0882770251096566E-4</v>
      </c>
      <c r="AE106" s="20">
        <v>5.6248934980881419E-4</v>
      </c>
      <c r="AF106" s="20">
        <v>3.5015096366280339E-4</v>
      </c>
      <c r="AG106" s="19">
        <v>4641</v>
      </c>
      <c r="AH106" s="19">
        <v>3240</v>
      </c>
      <c r="AI106" s="19">
        <v>1144</v>
      </c>
      <c r="AJ106" s="19">
        <v>1569</v>
      </c>
      <c r="AK106" s="19">
        <v>1064</v>
      </c>
      <c r="AL106" s="20">
        <v>0.97746419545071606</v>
      </c>
      <c r="AM106" s="20">
        <v>0.8376421923474664</v>
      </c>
      <c r="AN106" s="20">
        <v>0.45870088211708099</v>
      </c>
      <c r="AO106" s="20">
        <v>0.88844847112117775</v>
      </c>
      <c r="AP106" s="20">
        <v>0.94661921708185048</v>
      </c>
      <c r="AQ106" s="37"/>
    </row>
    <row r="107" spans="1:55" s="19" customFormat="1" x14ac:dyDescent="0.2">
      <c r="A107" s="18" t="s">
        <v>54</v>
      </c>
      <c r="B107" s="19">
        <v>128</v>
      </c>
      <c r="C107" s="19">
        <v>128</v>
      </c>
      <c r="D107" s="19">
        <v>128</v>
      </c>
      <c r="E107" s="19">
        <v>128</v>
      </c>
      <c r="F107" s="19">
        <v>210</v>
      </c>
      <c r="G107" s="20">
        <v>4.0488224727360834E-5</v>
      </c>
      <c r="H107" s="20">
        <v>4.0286449243637652E-5</v>
      </c>
      <c r="I107" s="20">
        <v>3.9555776271293289E-5</v>
      </c>
      <c r="J107" s="20">
        <v>3.9874842837045224E-5</v>
      </c>
      <c r="K107" s="20">
        <v>6.4672475486822055E-5</v>
      </c>
      <c r="L107" s="19">
        <v>128</v>
      </c>
      <c r="M107" s="19">
        <v>128</v>
      </c>
      <c r="N107" s="19">
        <v>128</v>
      </c>
      <c r="O107" s="19">
        <v>128</v>
      </c>
      <c r="P107" s="19">
        <v>210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W107" s="19">
        <v>0</v>
      </c>
      <c r="X107" s="19">
        <v>0</v>
      </c>
      <c r="Y107" s="19">
        <v>128</v>
      </c>
      <c r="Z107" s="19">
        <v>128</v>
      </c>
      <c r="AA107" s="19">
        <v>128</v>
      </c>
      <c r="AB107" s="20">
        <v>0</v>
      </c>
      <c r="AC107" s="20">
        <v>0</v>
      </c>
      <c r="AD107" s="20">
        <v>4.1511606223497836E-5</v>
      </c>
      <c r="AE107" s="20">
        <v>4.0769329997467844E-5</v>
      </c>
      <c r="AF107" s="20">
        <v>3.9874842837045224E-5</v>
      </c>
      <c r="AG107" s="19">
        <v>0</v>
      </c>
      <c r="AH107" s="19">
        <v>0</v>
      </c>
      <c r="AI107" s="19">
        <v>0</v>
      </c>
      <c r="AJ107" s="19">
        <v>128</v>
      </c>
      <c r="AK107" s="19">
        <v>128</v>
      </c>
      <c r="AL107" s="20">
        <v>0</v>
      </c>
      <c r="AM107" s="20">
        <v>0</v>
      </c>
      <c r="AN107" s="20">
        <v>0</v>
      </c>
      <c r="AO107" s="20">
        <v>1</v>
      </c>
      <c r="AP107" s="20">
        <v>1</v>
      </c>
      <c r="AQ107" s="37"/>
    </row>
    <row r="108" spans="1:55" s="19" customFormat="1" x14ac:dyDescent="0.2">
      <c r="A108" s="18" t="s">
        <v>55</v>
      </c>
      <c r="B108" s="19">
        <v>31013</v>
      </c>
      <c r="C108" s="19">
        <v>30845</v>
      </c>
      <c r="D108" s="19">
        <v>30874</v>
      </c>
      <c r="E108" s="19">
        <v>31690</v>
      </c>
      <c r="F108" s="19">
        <v>32279</v>
      </c>
      <c r="G108" s="20">
        <v>9.8098540114815742E-3</v>
      </c>
      <c r="H108" s="20">
        <v>9.7080900540625261E-3</v>
      </c>
      <c r="I108" s="20">
        <v>9.5409768484367892E-3</v>
      </c>
      <c r="J108" s="20">
        <v>9.8721388242653373E-3</v>
      </c>
      <c r="K108" s="20">
        <v>9.9407754106625203E-3</v>
      </c>
      <c r="L108" s="19">
        <v>30861</v>
      </c>
      <c r="M108" s="19">
        <v>30716</v>
      </c>
      <c r="N108" s="19">
        <v>30665</v>
      </c>
      <c r="O108" s="19">
        <v>31392</v>
      </c>
      <c r="P108" s="19">
        <v>31917</v>
      </c>
      <c r="Q108" s="20">
        <v>0.99509882952310325</v>
      </c>
      <c r="R108" s="20">
        <v>0.99581779867077325</v>
      </c>
      <c r="S108" s="20">
        <v>0.99323054997732718</v>
      </c>
      <c r="T108" s="20">
        <v>0.9905964026506785</v>
      </c>
      <c r="U108" s="20">
        <v>0.98878527835434804</v>
      </c>
      <c r="W108" s="19">
        <v>23256</v>
      </c>
      <c r="X108" s="19">
        <v>29208</v>
      </c>
      <c r="Y108" s="19">
        <v>30891</v>
      </c>
      <c r="Z108" s="19">
        <v>31268</v>
      </c>
      <c r="AA108" s="19">
        <v>31690</v>
      </c>
      <c r="AB108" s="20">
        <v>7.7309460569050283E-3</v>
      </c>
      <c r="AC108" s="20">
        <v>9.5906536440248033E-3</v>
      </c>
      <c r="AD108" s="20">
        <v>1.0018242405078686E-2</v>
      </c>
      <c r="AE108" s="20">
        <v>9.9591828934439408E-3</v>
      </c>
      <c r="AF108" s="20">
        <v>9.8721388242653373E-3</v>
      </c>
      <c r="AG108" s="19">
        <v>23227</v>
      </c>
      <c r="AH108" s="19">
        <v>29111</v>
      </c>
      <c r="AI108" s="19">
        <v>30705</v>
      </c>
      <c r="AJ108" s="19">
        <v>31105</v>
      </c>
      <c r="AK108" s="19">
        <v>31392</v>
      </c>
      <c r="AL108" s="20">
        <v>0.9987530099759202</v>
      </c>
      <c r="AM108" s="20">
        <v>0.99667899205697075</v>
      </c>
      <c r="AN108" s="20">
        <v>0.99397882878508304</v>
      </c>
      <c r="AO108" s="20">
        <v>0.99478700268645259</v>
      </c>
      <c r="AP108" s="20">
        <v>0.9905964026506785</v>
      </c>
      <c r="AQ108" s="37"/>
    </row>
    <row r="109" spans="1:55" s="19" customFormat="1" x14ac:dyDescent="0.2">
      <c r="A109" s="18" t="s">
        <v>56</v>
      </c>
      <c r="B109" s="19">
        <v>25</v>
      </c>
      <c r="C109" s="19">
        <v>1942</v>
      </c>
      <c r="D109" s="19">
        <v>5264</v>
      </c>
      <c r="E109" s="19">
        <v>4886</v>
      </c>
      <c r="F109" s="19">
        <v>5451</v>
      </c>
      <c r="G109" s="20">
        <v>7.907856392062663E-6</v>
      </c>
      <c r="H109" s="20">
        <v>6.1122097211831498E-4</v>
      </c>
      <c r="I109" s="20">
        <v>1.6267312991569366E-3</v>
      </c>
      <c r="J109" s="20">
        <v>1.5220975164203356E-3</v>
      </c>
      <c r="K109" s="20">
        <v>1.6787126851365098E-3</v>
      </c>
      <c r="L109" s="19">
        <v>25</v>
      </c>
      <c r="M109" s="19">
        <v>1942</v>
      </c>
      <c r="N109" s="19">
        <v>5263</v>
      </c>
      <c r="O109" s="19">
        <v>4853</v>
      </c>
      <c r="P109" s="19">
        <v>5413</v>
      </c>
      <c r="Q109" s="20">
        <v>1</v>
      </c>
      <c r="R109" s="20">
        <v>1</v>
      </c>
      <c r="S109" s="20">
        <v>0.99981003039513683</v>
      </c>
      <c r="T109" s="20">
        <v>0.99324600900532134</v>
      </c>
      <c r="U109" s="20">
        <v>0.99302880205466881</v>
      </c>
      <c r="W109" s="19">
        <v>0</v>
      </c>
      <c r="X109" s="19">
        <v>0</v>
      </c>
      <c r="Y109" s="19">
        <v>0</v>
      </c>
      <c r="Z109" s="19">
        <v>0</v>
      </c>
      <c r="AA109" s="19">
        <v>4886</v>
      </c>
      <c r="AB109" s="20">
        <v>0</v>
      </c>
      <c r="AC109" s="20">
        <v>0</v>
      </c>
      <c r="AD109" s="20">
        <v>0</v>
      </c>
      <c r="AE109" s="20">
        <v>0</v>
      </c>
      <c r="AF109" s="20">
        <v>1.5220975164203356E-3</v>
      </c>
      <c r="AG109" s="19">
        <v>0</v>
      </c>
      <c r="AH109" s="19">
        <v>0</v>
      </c>
      <c r="AI109" s="19">
        <v>0</v>
      </c>
      <c r="AJ109" s="19">
        <v>0</v>
      </c>
      <c r="AK109" s="19">
        <v>4853</v>
      </c>
      <c r="AL109" s="20">
        <v>0</v>
      </c>
      <c r="AM109" s="20">
        <v>0</v>
      </c>
      <c r="AN109" s="20">
        <v>0</v>
      </c>
      <c r="AO109" s="20">
        <v>0</v>
      </c>
      <c r="AP109" s="20">
        <v>0.99324600900532134</v>
      </c>
      <c r="AQ109" s="37"/>
    </row>
    <row r="110" spans="1:55" s="19" customFormat="1" x14ac:dyDescent="0.2">
      <c r="A110" s="18" t="s">
        <v>59</v>
      </c>
      <c r="B110" s="19">
        <v>0</v>
      </c>
      <c r="C110" s="19">
        <v>0</v>
      </c>
      <c r="D110" s="19">
        <v>0</v>
      </c>
      <c r="E110" s="19">
        <v>19</v>
      </c>
      <c r="F110" s="19">
        <v>35</v>
      </c>
      <c r="G110" s="20">
        <v>0</v>
      </c>
      <c r="H110" s="20">
        <v>0</v>
      </c>
      <c r="I110" s="20">
        <v>0</v>
      </c>
      <c r="J110" s="20">
        <v>5.9189219836239008E-6</v>
      </c>
      <c r="K110" s="20">
        <v>1.0778745914470343E-5</v>
      </c>
      <c r="L110" s="19">
        <v>0</v>
      </c>
      <c r="M110" s="19">
        <v>0</v>
      </c>
      <c r="N110" s="19">
        <v>0</v>
      </c>
      <c r="O110" s="19">
        <v>19</v>
      </c>
      <c r="P110" s="19">
        <v>35</v>
      </c>
      <c r="Q110" s="20">
        <v>0</v>
      </c>
      <c r="R110" s="20">
        <v>0</v>
      </c>
      <c r="S110" s="20">
        <v>0</v>
      </c>
      <c r="T110" s="20">
        <v>1</v>
      </c>
      <c r="U110" s="20">
        <v>1</v>
      </c>
      <c r="W110" s="19">
        <v>0</v>
      </c>
      <c r="X110" s="19">
        <v>0</v>
      </c>
      <c r="Y110" s="19">
        <v>0</v>
      </c>
      <c r="Z110" s="19">
        <v>0</v>
      </c>
      <c r="AA110" s="19">
        <v>19</v>
      </c>
      <c r="AB110" s="20">
        <v>0</v>
      </c>
      <c r="AC110" s="20">
        <v>0</v>
      </c>
      <c r="AD110" s="20">
        <v>0</v>
      </c>
      <c r="AE110" s="20">
        <v>0</v>
      </c>
      <c r="AF110" s="20">
        <v>5.9189219836239008E-6</v>
      </c>
      <c r="AG110" s="19">
        <v>0</v>
      </c>
      <c r="AH110" s="19">
        <v>0</v>
      </c>
      <c r="AI110" s="19">
        <v>0</v>
      </c>
      <c r="AJ110" s="19">
        <v>0</v>
      </c>
      <c r="AK110" s="19">
        <v>19</v>
      </c>
      <c r="AL110" s="20">
        <v>0</v>
      </c>
      <c r="AM110" s="20">
        <v>0</v>
      </c>
      <c r="AN110" s="20">
        <v>0</v>
      </c>
      <c r="AO110" s="20">
        <v>0</v>
      </c>
      <c r="AP110" s="20">
        <v>1</v>
      </c>
      <c r="AQ110" s="37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</row>
    <row r="111" spans="1:55" s="19" customFormat="1" x14ac:dyDescent="0.2">
      <c r="A111" s="18" t="s">
        <v>61</v>
      </c>
      <c r="B111" s="19">
        <v>953</v>
      </c>
      <c r="C111" s="19">
        <v>1349</v>
      </c>
      <c r="D111" s="19">
        <v>1331</v>
      </c>
      <c r="E111" s="19">
        <v>1789</v>
      </c>
      <c r="F111" s="19">
        <v>2320</v>
      </c>
      <c r="G111" s="20">
        <v>3.0144748566542871E-4</v>
      </c>
      <c r="H111" s="20">
        <v>4.2458140648177494E-4</v>
      </c>
      <c r="I111" s="20">
        <v>4.1131826732102635E-4</v>
      </c>
      <c r="J111" s="20">
        <v>5.5731323308963986E-4</v>
      </c>
      <c r="K111" s="20">
        <v>7.1447687204489129E-4</v>
      </c>
      <c r="L111" s="19">
        <v>953</v>
      </c>
      <c r="M111" s="19">
        <v>1349</v>
      </c>
      <c r="N111" s="19">
        <v>1331</v>
      </c>
      <c r="O111" s="19">
        <v>1789</v>
      </c>
      <c r="P111" s="19">
        <v>2320</v>
      </c>
      <c r="Q111" s="20">
        <v>1</v>
      </c>
      <c r="R111" s="20">
        <v>1</v>
      </c>
      <c r="S111" s="20">
        <v>1</v>
      </c>
      <c r="T111" s="20">
        <v>1</v>
      </c>
      <c r="U111" s="20">
        <v>1</v>
      </c>
      <c r="W111" s="19">
        <v>0</v>
      </c>
      <c r="X111" s="19">
        <v>0</v>
      </c>
      <c r="Y111" s="19">
        <v>0</v>
      </c>
      <c r="Z111" s="19">
        <v>813</v>
      </c>
      <c r="AA111" s="19">
        <v>1789</v>
      </c>
      <c r="AB111" s="20">
        <v>0</v>
      </c>
      <c r="AC111" s="20">
        <v>0</v>
      </c>
      <c r="AD111" s="20">
        <v>0</v>
      </c>
      <c r="AE111" s="20">
        <v>2.5894894756204185E-4</v>
      </c>
      <c r="AF111" s="20">
        <v>5.5731323308963986E-4</v>
      </c>
      <c r="AG111" s="19">
        <v>0</v>
      </c>
      <c r="AH111" s="19">
        <v>0</v>
      </c>
      <c r="AI111" s="19">
        <v>0</v>
      </c>
      <c r="AJ111" s="19">
        <v>813</v>
      </c>
      <c r="AK111" s="19">
        <v>1789</v>
      </c>
      <c r="AL111" s="20">
        <v>0</v>
      </c>
      <c r="AM111" s="20">
        <v>0</v>
      </c>
      <c r="AN111" s="20">
        <v>0</v>
      </c>
      <c r="AO111" s="20">
        <v>1</v>
      </c>
      <c r="AP111" s="20">
        <v>1</v>
      </c>
      <c r="AQ111" s="37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</row>
    <row r="112" spans="1:55" s="21" customFormat="1" x14ac:dyDescent="0.2">
      <c r="A112" s="29" t="s">
        <v>67</v>
      </c>
      <c r="B112" s="27">
        <v>3161413</v>
      </c>
      <c r="C112" s="27">
        <v>3177247</v>
      </c>
      <c r="D112" s="27">
        <v>3235937</v>
      </c>
      <c r="E112" s="27">
        <v>3210044</v>
      </c>
      <c r="F112" s="27">
        <v>3247131</v>
      </c>
      <c r="G112" s="22">
        <v>1</v>
      </c>
      <c r="H112" s="22">
        <v>1</v>
      </c>
      <c r="I112" s="22">
        <v>1</v>
      </c>
      <c r="J112" s="22">
        <v>1</v>
      </c>
      <c r="K112" s="22">
        <v>1</v>
      </c>
      <c r="L112" s="27">
        <v>2716961</v>
      </c>
      <c r="M112" s="27">
        <v>2753593</v>
      </c>
      <c r="N112" s="27">
        <v>2812007</v>
      </c>
      <c r="O112" s="27">
        <v>2814354</v>
      </c>
      <c r="P112" s="27">
        <v>2864318</v>
      </c>
      <c r="Q112" s="22">
        <v>0.85941349643339859</v>
      </c>
      <c r="R112" s="22">
        <v>0.86666003618856202</v>
      </c>
      <c r="S112" s="22">
        <v>0.86899312316648936</v>
      </c>
      <c r="T112" s="22">
        <v>0.87673377685788734</v>
      </c>
      <c r="U112" s="22">
        <v>0.88210731257839614</v>
      </c>
      <c r="W112" s="27">
        <v>3008170</v>
      </c>
      <c r="X112" s="27">
        <v>3045465</v>
      </c>
      <c r="Y112" s="27">
        <v>3083475</v>
      </c>
      <c r="Z112" s="27">
        <v>3139615</v>
      </c>
      <c r="AA112" s="27">
        <v>3210044</v>
      </c>
      <c r="AB112" s="22">
        <v>1</v>
      </c>
      <c r="AC112" s="22">
        <v>1</v>
      </c>
      <c r="AD112" s="22">
        <v>1</v>
      </c>
      <c r="AE112" s="22">
        <v>1</v>
      </c>
      <c r="AF112" s="22">
        <v>1</v>
      </c>
      <c r="AG112" s="27">
        <v>2109006</v>
      </c>
      <c r="AH112" s="27">
        <v>2274882</v>
      </c>
      <c r="AI112" s="27">
        <v>2438863</v>
      </c>
      <c r="AJ112" s="27">
        <v>2666096</v>
      </c>
      <c r="AK112" s="27">
        <v>2814354</v>
      </c>
      <c r="AL112" s="22">
        <v>0.70109269090510173</v>
      </c>
      <c r="AM112" s="22">
        <v>0.74697361486669522</v>
      </c>
      <c r="AN112" s="22">
        <v>0.79094625382077044</v>
      </c>
      <c r="AO112" s="22">
        <v>0.84917927835100804</v>
      </c>
      <c r="AP112" s="22">
        <v>0.87673377685788734</v>
      </c>
      <c r="AQ112" s="37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</row>
    <row r="113" spans="1:55" s="19" customFormat="1" x14ac:dyDescent="0.2">
      <c r="A113" s="18"/>
      <c r="AQ113" s="37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</row>
    <row r="114" spans="1:55" s="25" customFormat="1" x14ac:dyDescent="0.2">
      <c r="A114" s="28" t="s">
        <v>68</v>
      </c>
      <c r="B114" s="25" t="s">
        <v>10</v>
      </c>
      <c r="C114" s="25" t="s">
        <v>11</v>
      </c>
      <c r="D114" s="25" t="s">
        <v>12</v>
      </c>
      <c r="E114" s="25" t="s">
        <v>164</v>
      </c>
      <c r="F114" s="25" t="s">
        <v>195</v>
      </c>
      <c r="G114" s="25" t="s">
        <v>10</v>
      </c>
      <c r="H114" s="25" t="s">
        <v>11</v>
      </c>
      <c r="I114" s="25" t="s">
        <v>12</v>
      </c>
      <c r="J114" s="25" t="s">
        <v>164</v>
      </c>
      <c r="K114" s="25" t="s">
        <v>195</v>
      </c>
      <c r="L114" s="25" t="s">
        <v>10</v>
      </c>
      <c r="M114" s="25" t="s">
        <v>11</v>
      </c>
      <c r="N114" s="25" t="s">
        <v>12</v>
      </c>
      <c r="O114" s="25" t="s">
        <v>164</v>
      </c>
      <c r="P114" s="25" t="s">
        <v>195</v>
      </c>
      <c r="Q114" s="25" t="s">
        <v>10</v>
      </c>
      <c r="R114" s="25" t="s">
        <v>11</v>
      </c>
      <c r="S114" s="25" t="s">
        <v>12</v>
      </c>
      <c r="T114" s="25" t="s">
        <v>164</v>
      </c>
      <c r="U114" s="25" t="s">
        <v>195</v>
      </c>
      <c r="W114" s="25" t="s">
        <v>13</v>
      </c>
      <c r="X114" s="25" t="s">
        <v>14</v>
      </c>
      <c r="Y114" s="25" t="s">
        <v>15</v>
      </c>
      <c r="Z114" s="25" t="s">
        <v>16</v>
      </c>
      <c r="AA114" s="25" t="s">
        <v>165</v>
      </c>
      <c r="AB114" s="25" t="s">
        <v>13</v>
      </c>
      <c r="AC114" s="25" t="s">
        <v>14</v>
      </c>
      <c r="AD114" s="25" t="s">
        <v>15</v>
      </c>
      <c r="AE114" s="25" t="s">
        <v>16</v>
      </c>
      <c r="AF114" s="25" t="s">
        <v>165</v>
      </c>
      <c r="AG114" s="25" t="s">
        <v>13</v>
      </c>
      <c r="AH114" s="25" t="s">
        <v>14</v>
      </c>
      <c r="AI114" s="25" t="s">
        <v>15</v>
      </c>
      <c r="AJ114" s="25" t="s">
        <v>16</v>
      </c>
      <c r="AK114" s="25" t="s">
        <v>165</v>
      </c>
      <c r="AL114" s="25" t="s">
        <v>13</v>
      </c>
      <c r="AM114" s="25" t="s">
        <v>14</v>
      </c>
      <c r="AN114" s="25" t="s">
        <v>15</v>
      </c>
      <c r="AO114" s="25" t="s">
        <v>16</v>
      </c>
      <c r="AP114" s="25" t="s">
        <v>165</v>
      </c>
      <c r="AQ114" s="37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</row>
    <row r="115" spans="1:55" s="19" customFormat="1" x14ac:dyDescent="0.2">
      <c r="A115" s="18" t="s">
        <v>17</v>
      </c>
      <c r="B115" s="19">
        <v>4723</v>
      </c>
      <c r="C115" s="19">
        <v>5071</v>
      </c>
      <c r="D115" s="19">
        <v>4816</v>
      </c>
      <c r="E115" s="19">
        <v>4493</v>
      </c>
      <c r="F115" s="19">
        <v>4253</v>
      </c>
      <c r="G115" s="20">
        <v>2.3760174667216694E-3</v>
      </c>
      <c r="H115" s="20">
        <v>2.535588745606096E-3</v>
      </c>
      <c r="I115" s="20">
        <v>2.3929495438439934E-3</v>
      </c>
      <c r="J115" s="20">
        <v>2.2291527334284598E-3</v>
      </c>
      <c r="K115" s="20">
        <v>2.0904542965643411E-3</v>
      </c>
      <c r="L115" s="19">
        <v>4645</v>
      </c>
      <c r="M115" s="19">
        <v>4955</v>
      </c>
      <c r="N115" s="19">
        <v>4701</v>
      </c>
      <c r="O115" s="19">
        <v>4354</v>
      </c>
      <c r="P115" s="19">
        <v>4129</v>
      </c>
      <c r="Q115" s="20">
        <v>0.98348507304679234</v>
      </c>
      <c r="R115" s="20">
        <v>0.97712482745020701</v>
      </c>
      <c r="S115" s="20">
        <v>0.97612126245847175</v>
      </c>
      <c r="T115" s="20">
        <v>0.96906298686846204</v>
      </c>
      <c r="U115" s="20">
        <v>0.97084411003997173</v>
      </c>
      <c r="W115" s="19">
        <v>0</v>
      </c>
      <c r="X115" s="19">
        <v>0</v>
      </c>
      <c r="Y115" s="19">
        <v>0</v>
      </c>
      <c r="Z115" s="19">
        <v>3125</v>
      </c>
      <c r="AA115" s="19">
        <v>4493</v>
      </c>
      <c r="AB115" s="20">
        <v>0</v>
      </c>
      <c r="AC115" s="20">
        <v>0</v>
      </c>
      <c r="AD115" s="20">
        <v>0</v>
      </c>
      <c r="AE115" s="20">
        <v>1.5781393610681857E-3</v>
      </c>
      <c r="AF115" s="20">
        <v>2.2291527334284598E-3</v>
      </c>
      <c r="AG115" s="19">
        <v>0</v>
      </c>
      <c r="AH115" s="19">
        <v>0</v>
      </c>
      <c r="AI115" s="19">
        <v>0</v>
      </c>
      <c r="AJ115" s="19">
        <v>3090</v>
      </c>
      <c r="AK115" s="19">
        <v>4354</v>
      </c>
      <c r="AL115" s="20">
        <v>0</v>
      </c>
      <c r="AM115" s="20">
        <v>0</v>
      </c>
      <c r="AN115" s="20">
        <v>0</v>
      </c>
      <c r="AO115" s="20">
        <v>0.98880000000000001</v>
      </c>
      <c r="AP115" s="20">
        <v>0.96906298686846204</v>
      </c>
      <c r="AQ115" s="37"/>
    </row>
    <row r="116" spans="1:55" s="19" customFormat="1" x14ac:dyDescent="0.2">
      <c r="A116" s="18" t="s">
        <v>19</v>
      </c>
      <c r="B116" s="19">
        <v>332672</v>
      </c>
      <c r="C116" s="19">
        <v>331857</v>
      </c>
      <c r="D116" s="19">
        <v>335497</v>
      </c>
      <c r="E116" s="19">
        <v>335423</v>
      </c>
      <c r="F116" s="19">
        <v>334961</v>
      </c>
      <c r="G116" s="20">
        <v>0.16735856080652789</v>
      </c>
      <c r="H116" s="20">
        <v>0.16593430770076953</v>
      </c>
      <c r="I116" s="20">
        <v>0.16670004009780487</v>
      </c>
      <c r="J116" s="20">
        <v>0.16641644720782867</v>
      </c>
      <c r="K116" s="20">
        <v>0.16464158514730501</v>
      </c>
      <c r="L116" s="19">
        <v>282828</v>
      </c>
      <c r="M116" s="19">
        <v>283779</v>
      </c>
      <c r="N116" s="19">
        <v>288634</v>
      </c>
      <c r="O116" s="19">
        <v>290412</v>
      </c>
      <c r="P116" s="19">
        <v>291269</v>
      </c>
      <c r="Q116" s="20">
        <v>0.85017073874567139</v>
      </c>
      <c r="R116" s="20">
        <v>0.85512434572722584</v>
      </c>
      <c r="S116" s="20">
        <v>0.86031767795241088</v>
      </c>
      <c r="T116" s="20">
        <v>0.86580824809270684</v>
      </c>
      <c r="U116" s="20">
        <v>0.86956093395947587</v>
      </c>
      <c r="W116" s="19">
        <v>0</v>
      </c>
      <c r="X116" s="19">
        <v>346968</v>
      </c>
      <c r="Y116" s="19">
        <v>360451</v>
      </c>
      <c r="Z116" s="19">
        <v>334304</v>
      </c>
      <c r="AA116" s="19">
        <v>335423</v>
      </c>
      <c r="AB116" s="20">
        <v>0</v>
      </c>
      <c r="AC116" s="20">
        <v>0.18294905216268886</v>
      </c>
      <c r="AD116" s="20">
        <v>0.18654141937727581</v>
      </c>
      <c r="AE116" s="20">
        <v>0.16882505630801239</v>
      </c>
      <c r="AF116" s="20">
        <v>0.16641644720782867</v>
      </c>
      <c r="AG116" s="19">
        <v>0</v>
      </c>
      <c r="AH116" s="19">
        <v>263592</v>
      </c>
      <c r="AI116" s="19">
        <v>288566</v>
      </c>
      <c r="AJ116" s="19">
        <v>282301</v>
      </c>
      <c r="AK116" s="19">
        <v>290412</v>
      </c>
      <c r="AL116" s="20">
        <v>0</v>
      </c>
      <c r="AM116" s="20">
        <v>0.75970118281801202</v>
      </c>
      <c r="AN116" s="20">
        <v>0.80056928681013506</v>
      </c>
      <c r="AO116" s="20">
        <v>0.84444397913276537</v>
      </c>
      <c r="AP116" s="20">
        <v>0.86580824809270684</v>
      </c>
      <c r="AQ116" s="37"/>
    </row>
    <row r="117" spans="1:55" s="19" customFormat="1" x14ac:dyDescent="0.2">
      <c r="A117" s="18" t="s">
        <v>20</v>
      </c>
      <c r="B117" s="19">
        <v>143315</v>
      </c>
      <c r="C117" s="19">
        <v>158503</v>
      </c>
      <c r="D117" s="19">
        <v>168088</v>
      </c>
      <c r="E117" s="19">
        <v>180228</v>
      </c>
      <c r="F117" s="19">
        <v>199927</v>
      </c>
      <c r="G117" s="20">
        <v>7.2098018895451213E-2</v>
      </c>
      <c r="H117" s="20">
        <v>7.9254273899586489E-2</v>
      </c>
      <c r="I117" s="20">
        <v>8.3518709079246078E-2</v>
      </c>
      <c r="J117" s="20">
        <v>8.9418147972478171E-2</v>
      </c>
      <c r="K117" s="20">
        <v>9.8269046825586417E-2</v>
      </c>
      <c r="L117" s="19">
        <v>143083</v>
      </c>
      <c r="M117" s="19">
        <v>158492</v>
      </c>
      <c r="N117" s="19">
        <v>168010</v>
      </c>
      <c r="O117" s="19">
        <v>179091</v>
      </c>
      <c r="P117" s="19">
        <v>198249</v>
      </c>
      <c r="Q117" s="20">
        <v>0.99838118829152567</v>
      </c>
      <c r="R117" s="20">
        <v>0.99993060068263695</v>
      </c>
      <c r="S117" s="20">
        <v>0.9995359573556708</v>
      </c>
      <c r="T117" s="20">
        <v>0.99369132432252483</v>
      </c>
      <c r="U117" s="20">
        <v>0.99160693653183407</v>
      </c>
      <c r="W117" s="19">
        <v>0</v>
      </c>
      <c r="X117" s="19">
        <v>0</v>
      </c>
      <c r="Y117" s="19">
        <v>2</v>
      </c>
      <c r="Z117" s="19">
        <v>124966</v>
      </c>
      <c r="AA117" s="19">
        <v>180228</v>
      </c>
      <c r="AB117" s="20">
        <v>0</v>
      </c>
      <c r="AC117" s="20">
        <v>0</v>
      </c>
      <c r="AD117" s="20">
        <v>1.0350445379664688E-6</v>
      </c>
      <c r="AE117" s="20">
        <v>6.3108404286479E-2</v>
      </c>
      <c r="AF117" s="20">
        <v>8.9418147972478171E-2</v>
      </c>
      <c r="AG117" s="19">
        <v>0</v>
      </c>
      <c r="AH117" s="19">
        <v>0</v>
      </c>
      <c r="AI117" s="19">
        <v>2</v>
      </c>
      <c r="AJ117" s="19">
        <v>124873</v>
      </c>
      <c r="AK117" s="19">
        <v>179091</v>
      </c>
      <c r="AL117" s="20">
        <v>0</v>
      </c>
      <c r="AM117" s="20">
        <v>0</v>
      </c>
      <c r="AN117" s="20">
        <v>1</v>
      </c>
      <c r="AO117" s="20">
        <v>0.99925579757694094</v>
      </c>
      <c r="AP117" s="20">
        <v>0.99369132432252483</v>
      </c>
      <c r="AQ117" s="37"/>
    </row>
    <row r="118" spans="1:55" s="19" customFormat="1" x14ac:dyDescent="0.2">
      <c r="A118" s="18" t="s">
        <v>21</v>
      </c>
      <c r="B118" s="19">
        <v>42446</v>
      </c>
      <c r="C118" s="19">
        <v>40527</v>
      </c>
      <c r="D118" s="19">
        <v>39385</v>
      </c>
      <c r="E118" s="19">
        <v>38029</v>
      </c>
      <c r="F118" s="19">
        <v>36859</v>
      </c>
      <c r="G118" s="20">
        <v>2.1353469699866182E-2</v>
      </c>
      <c r="H118" s="20">
        <v>2.0264209247323656E-2</v>
      </c>
      <c r="I118" s="20">
        <v>1.9569418144579666E-2</v>
      </c>
      <c r="J118" s="20">
        <v>1.8867671778221878E-2</v>
      </c>
      <c r="K118" s="20">
        <v>1.8117106728677414E-2</v>
      </c>
      <c r="L118" s="19">
        <v>41677</v>
      </c>
      <c r="M118" s="19">
        <v>39864</v>
      </c>
      <c r="N118" s="19">
        <v>38392</v>
      </c>
      <c r="O118" s="19">
        <v>37136</v>
      </c>
      <c r="P118" s="19">
        <v>35930</v>
      </c>
      <c r="Q118" s="20">
        <v>0.981882862931725</v>
      </c>
      <c r="R118" s="20">
        <v>0.98364053593900358</v>
      </c>
      <c r="S118" s="20">
        <v>0.97478735559223051</v>
      </c>
      <c r="T118" s="20">
        <v>0.97651792053432906</v>
      </c>
      <c r="U118" s="20">
        <v>0.97479584362028271</v>
      </c>
      <c r="W118" s="19">
        <v>0</v>
      </c>
      <c r="X118" s="19">
        <v>54006</v>
      </c>
      <c r="Y118" s="19">
        <v>59664</v>
      </c>
      <c r="Z118" s="19">
        <v>45837</v>
      </c>
      <c r="AA118" s="19">
        <v>38029</v>
      </c>
      <c r="AB118" s="20">
        <v>0</v>
      </c>
      <c r="AC118" s="20">
        <v>2.8476247121054895E-2</v>
      </c>
      <c r="AD118" s="20">
        <v>3.0877448656615694E-2</v>
      </c>
      <c r="AE118" s="20">
        <v>2.3147895645850378E-2</v>
      </c>
      <c r="AF118" s="20">
        <v>1.8867671778221878E-2</v>
      </c>
      <c r="AG118" s="19">
        <v>0</v>
      </c>
      <c r="AH118" s="19">
        <v>53232</v>
      </c>
      <c r="AI118" s="19">
        <v>58825</v>
      </c>
      <c r="AJ118" s="19">
        <v>45016</v>
      </c>
      <c r="AK118" s="19">
        <v>37136</v>
      </c>
      <c r="AL118" s="20">
        <v>0</v>
      </c>
      <c r="AM118" s="20">
        <v>0.98566825908232414</v>
      </c>
      <c r="AN118" s="20">
        <v>0.98593791901314021</v>
      </c>
      <c r="AO118" s="20">
        <v>0.98208870563082229</v>
      </c>
      <c r="AP118" s="20">
        <v>0.97651792053432906</v>
      </c>
      <c r="AQ118" s="37"/>
    </row>
    <row r="119" spans="1:55" s="19" customFormat="1" x14ac:dyDescent="0.2">
      <c r="A119" s="18" t="s">
        <v>26</v>
      </c>
      <c r="B119" s="19">
        <v>4500</v>
      </c>
      <c r="C119" s="19">
        <v>4529</v>
      </c>
      <c r="D119" s="19">
        <v>4535</v>
      </c>
      <c r="E119" s="19">
        <v>4319</v>
      </c>
      <c r="F119" s="19">
        <v>4288</v>
      </c>
      <c r="G119" s="20">
        <v>2.2638320136031151E-3</v>
      </c>
      <c r="H119" s="20">
        <v>2.2645792602741096E-3</v>
      </c>
      <c r="I119" s="20">
        <v>2.2533276954594082E-3</v>
      </c>
      <c r="J119" s="20">
        <v>2.1428245394341234E-3</v>
      </c>
      <c r="K119" s="20">
        <v>2.1076576589861024E-3</v>
      </c>
      <c r="L119" s="19">
        <v>700</v>
      </c>
      <c r="M119" s="19">
        <v>856</v>
      </c>
      <c r="N119" s="19">
        <v>1004</v>
      </c>
      <c r="O119" s="19">
        <v>1293</v>
      </c>
      <c r="P119" s="19">
        <v>1422</v>
      </c>
      <c r="Q119" s="20">
        <v>0.15555555555555556</v>
      </c>
      <c r="R119" s="20">
        <v>0.18900419518657541</v>
      </c>
      <c r="S119" s="20">
        <v>0.22138919514884234</v>
      </c>
      <c r="T119" s="20">
        <v>0.2993748552905765</v>
      </c>
      <c r="U119" s="20">
        <v>0.33162313432835822</v>
      </c>
      <c r="W119" s="19">
        <v>0</v>
      </c>
      <c r="X119" s="19">
        <v>4231</v>
      </c>
      <c r="Y119" s="19">
        <v>6278</v>
      </c>
      <c r="Z119" s="19">
        <v>4632</v>
      </c>
      <c r="AA119" s="19">
        <v>4319</v>
      </c>
      <c r="AB119" s="20">
        <v>0</v>
      </c>
      <c r="AC119" s="20">
        <v>2.2309188158571875E-3</v>
      </c>
      <c r="AD119" s="20">
        <v>3.2490048046767452E-3</v>
      </c>
      <c r="AE119" s="20">
        <v>2.3391812865497076E-3</v>
      </c>
      <c r="AF119" s="20">
        <v>2.1428245394341234E-3</v>
      </c>
      <c r="AG119" s="19">
        <v>0</v>
      </c>
      <c r="AH119" s="19">
        <v>477</v>
      </c>
      <c r="AI119" s="19">
        <v>845</v>
      </c>
      <c r="AJ119" s="19">
        <v>582</v>
      </c>
      <c r="AK119" s="19">
        <v>1293</v>
      </c>
      <c r="AL119" s="20">
        <v>0</v>
      </c>
      <c r="AM119" s="20">
        <v>0.11273930512881115</v>
      </c>
      <c r="AN119" s="20">
        <v>0.13459700541573749</v>
      </c>
      <c r="AO119" s="20">
        <v>0.12564766839378239</v>
      </c>
      <c r="AP119" s="20">
        <v>0.2993748552905765</v>
      </c>
      <c r="AQ119" s="37"/>
    </row>
    <row r="120" spans="1:55" s="19" customFormat="1" x14ac:dyDescent="0.2">
      <c r="A120" s="18" t="s">
        <v>27</v>
      </c>
      <c r="B120" s="19">
        <v>1</v>
      </c>
      <c r="C120" s="19">
        <v>2</v>
      </c>
      <c r="D120" s="19">
        <v>2</v>
      </c>
      <c r="E120" s="19">
        <v>5</v>
      </c>
      <c r="F120" s="19">
        <v>4</v>
      </c>
      <c r="G120" s="20">
        <v>5.0307378080069227E-7</v>
      </c>
      <c r="H120" s="20">
        <v>1.0000350012250429E-6</v>
      </c>
      <c r="I120" s="20">
        <v>9.9374981056644244E-7</v>
      </c>
      <c r="J120" s="20">
        <v>2.4806952297223012E-6</v>
      </c>
      <c r="K120" s="20">
        <v>1.9660985624870361E-6</v>
      </c>
      <c r="L120" s="19">
        <v>0</v>
      </c>
      <c r="M120" s="19">
        <v>0</v>
      </c>
      <c r="N120" s="19">
        <v>2</v>
      </c>
      <c r="O120" s="19">
        <v>5</v>
      </c>
      <c r="P120" s="19">
        <v>4</v>
      </c>
      <c r="Q120" s="20">
        <v>0</v>
      </c>
      <c r="R120" s="20">
        <v>0</v>
      </c>
      <c r="S120" s="20">
        <v>1</v>
      </c>
      <c r="T120" s="20">
        <v>1</v>
      </c>
      <c r="U120" s="20">
        <v>1</v>
      </c>
      <c r="W120" s="19">
        <v>0</v>
      </c>
      <c r="X120" s="19">
        <v>0</v>
      </c>
      <c r="Y120" s="19">
        <v>0</v>
      </c>
      <c r="Z120" s="19">
        <v>0</v>
      </c>
      <c r="AA120" s="19">
        <v>5</v>
      </c>
      <c r="AB120" s="20">
        <v>0</v>
      </c>
      <c r="AC120" s="20">
        <v>0</v>
      </c>
      <c r="AD120" s="20">
        <v>0</v>
      </c>
      <c r="AE120" s="20">
        <v>0</v>
      </c>
      <c r="AF120" s="20">
        <v>2.4806952297223012E-6</v>
      </c>
      <c r="AG120" s="19">
        <v>0</v>
      </c>
      <c r="AH120" s="19">
        <v>0</v>
      </c>
      <c r="AI120" s="19">
        <v>0</v>
      </c>
      <c r="AJ120" s="19">
        <v>0</v>
      </c>
      <c r="AK120" s="19">
        <v>5</v>
      </c>
      <c r="AL120" s="20">
        <v>0</v>
      </c>
      <c r="AM120" s="20">
        <v>0</v>
      </c>
      <c r="AN120" s="20">
        <v>0</v>
      </c>
      <c r="AO120" s="20">
        <v>0</v>
      </c>
      <c r="AP120" s="20">
        <v>1</v>
      </c>
      <c r="AQ120" s="37"/>
    </row>
    <row r="121" spans="1:55" s="19" customFormat="1" x14ac:dyDescent="0.2">
      <c r="A121" s="18" t="s">
        <v>28</v>
      </c>
      <c r="B121" s="19">
        <v>11608</v>
      </c>
      <c r="C121" s="19">
        <v>11200</v>
      </c>
      <c r="D121" s="19">
        <v>11274</v>
      </c>
      <c r="E121" s="19">
        <v>10896</v>
      </c>
      <c r="F121" s="19">
        <v>10765</v>
      </c>
      <c r="G121" s="20">
        <v>5.8396804475344356E-3</v>
      </c>
      <c r="H121" s="20">
        <v>5.6001960068602398E-3</v>
      </c>
      <c r="I121" s="20">
        <v>5.6017676821630358E-3</v>
      </c>
      <c r="J121" s="20">
        <v>5.4059310446108386E-3</v>
      </c>
      <c r="K121" s="20">
        <v>5.2912627562932361E-3</v>
      </c>
      <c r="L121" s="19">
        <v>11221</v>
      </c>
      <c r="M121" s="19">
        <v>10863</v>
      </c>
      <c r="N121" s="19">
        <v>10978</v>
      </c>
      <c r="O121" s="19">
        <v>10533</v>
      </c>
      <c r="P121" s="19">
        <v>10452</v>
      </c>
      <c r="Q121" s="20">
        <v>0.96666092350103372</v>
      </c>
      <c r="R121" s="20">
        <v>0.96991071428571429</v>
      </c>
      <c r="S121" s="20">
        <v>0.97374489976938083</v>
      </c>
      <c r="T121" s="20">
        <v>0.9666850220264317</v>
      </c>
      <c r="U121" s="20">
        <v>0.97092429168601946</v>
      </c>
      <c r="W121" s="19">
        <v>0</v>
      </c>
      <c r="X121" s="19">
        <v>16218</v>
      </c>
      <c r="Y121" s="19">
        <v>18040</v>
      </c>
      <c r="Z121" s="19">
        <v>12287</v>
      </c>
      <c r="AA121" s="19">
        <v>10896</v>
      </c>
      <c r="AB121" s="20">
        <v>0</v>
      </c>
      <c r="AC121" s="20">
        <v>8.5514160613500041E-3</v>
      </c>
      <c r="AD121" s="20">
        <v>9.3361017324575472E-3</v>
      </c>
      <c r="AE121" s="20">
        <v>6.2049914654223352E-3</v>
      </c>
      <c r="AF121" s="20">
        <v>5.4059310446108386E-3</v>
      </c>
      <c r="AG121" s="19">
        <v>0</v>
      </c>
      <c r="AH121" s="19">
        <v>16074</v>
      </c>
      <c r="AI121" s="19">
        <v>17642</v>
      </c>
      <c r="AJ121" s="19">
        <v>11940</v>
      </c>
      <c r="AK121" s="19">
        <v>10533</v>
      </c>
      <c r="AL121" s="20">
        <v>0</v>
      </c>
      <c r="AM121" s="20">
        <v>0.99112097669256383</v>
      </c>
      <c r="AN121" s="20">
        <v>0.97793791574279376</v>
      </c>
      <c r="AO121" s="20">
        <v>0.97175876943110606</v>
      </c>
      <c r="AP121" s="20">
        <v>0.9666850220264317</v>
      </c>
      <c r="AQ121" s="37"/>
    </row>
    <row r="122" spans="1:55" s="19" customFormat="1" x14ac:dyDescent="0.2">
      <c r="A122" s="18" t="s">
        <v>29</v>
      </c>
      <c r="B122" s="19">
        <v>1571</v>
      </c>
      <c r="C122" s="19">
        <v>1665</v>
      </c>
      <c r="D122" s="19">
        <v>1702</v>
      </c>
      <c r="E122" s="19">
        <v>1682</v>
      </c>
      <c r="F122" s="19">
        <v>1705</v>
      </c>
      <c r="G122" s="20">
        <v>7.9032890963788745E-4</v>
      </c>
      <c r="H122" s="20">
        <v>8.3252913851984819E-4</v>
      </c>
      <c r="I122" s="20">
        <v>8.4568108879204244E-4</v>
      </c>
      <c r="J122" s="20">
        <v>8.3450587527858207E-4</v>
      </c>
      <c r="K122" s="20">
        <v>8.3804951226009914E-4</v>
      </c>
      <c r="L122" s="19">
        <v>1561</v>
      </c>
      <c r="M122" s="19">
        <v>1637</v>
      </c>
      <c r="N122" s="19">
        <v>1685</v>
      </c>
      <c r="O122" s="19">
        <v>1661</v>
      </c>
      <c r="P122" s="19">
        <v>1685</v>
      </c>
      <c r="Q122" s="20">
        <v>0.99363462762571608</v>
      </c>
      <c r="R122" s="20">
        <v>0.98318318318318321</v>
      </c>
      <c r="S122" s="20">
        <v>0.9900117508813161</v>
      </c>
      <c r="T122" s="20">
        <v>0.98751486325802618</v>
      </c>
      <c r="U122" s="20">
        <v>0.98826979472140764</v>
      </c>
      <c r="W122" s="19">
        <v>0</v>
      </c>
      <c r="X122" s="19">
        <v>0</v>
      </c>
      <c r="Y122" s="19">
        <v>180</v>
      </c>
      <c r="Z122" s="19">
        <v>1520</v>
      </c>
      <c r="AA122" s="19">
        <v>1682</v>
      </c>
      <c r="AB122" s="20">
        <v>0</v>
      </c>
      <c r="AC122" s="20">
        <v>0</v>
      </c>
      <c r="AD122" s="20">
        <v>9.3154008416982182E-5</v>
      </c>
      <c r="AE122" s="20">
        <v>7.6760698522356549E-4</v>
      </c>
      <c r="AF122" s="20">
        <v>8.3450587527858207E-4</v>
      </c>
      <c r="AG122" s="19">
        <v>0</v>
      </c>
      <c r="AH122" s="19">
        <v>0</v>
      </c>
      <c r="AI122" s="19">
        <v>180</v>
      </c>
      <c r="AJ122" s="19">
        <v>1507</v>
      </c>
      <c r="AK122" s="19">
        <v>1661</v>
      </c>
      <c r="AL122" s="20">
        <v>0</v>
      </c>
      <c r="AM122" s="20">
        <v>0</v>
      </c>
      <c r="AN122" s="20">
        <v>1</v>
      </c>
      <c r="AO122" s="20">
        <v>0.99144736842105263</v>
      </c>
      <c r="AP122" s="20">
        <v>0.98751486325802618</v>
      </c>
      <c r="AQ122" s="37"/>
    </row>
    <row r="123" spans="1:55" s="19" customFormat="1" x14ac:dyDescent="0.2">
      <c r="A123" s="18" t="s">
        <v>30</v>
      </c>
      <c r="B123" s="19">
        <v>100036</v>
      </c>
      <c r="C123" s="19">
        <v>103085</v>
      </c>
      <c r="D123" s="19">
        <v>110172</v>
      </c>
      <c r="E123" s="19">
        <v>103586</v>
      </c>
      <c r="F123" s="19">
        <v>105715</v>
      </c>
      <c r="G123" s="20">
        <v>5.0325488736178051E-2</v>
      </c>
      <c r="H123" s="20">
        <v>5.1544304050641775E-2</v>
      </c>
      <c r="I123" s="20">
        <v>5.4741702064863042E-2</v>
      </c>
      <c r="J123" s="20">
        <v>5.1393059213202856E-2</v>
      </c>
      <c r="K123" s="20">
        <v>5.1961527383329251E-2</v>
      </c>
      <c r="L123" s="19">
        <v>98329</v>
      </c>
      <c r="M123" s="19">
        <v>101474</v>
      </c>
      <c r="N123" s="19">
        <v>108580</v>
      </c>
      <c r="O123" s="19">
        <v>102226</v>
      </c>
      <c r="P123" s="19">
        <v>104274</v>
      </c>
      <c r="Q123" s="20">
        <v>0.98293614298852416</v>
      </c>
      <c r="R123" s="20">
        <v>0.98437212009506714</v>
      </c>
      <c r="S123" s="20">
        <v>0.98554986747994044</v>
      </c>
      <c r="T123" s="20">
        <v>0.98687081265808119</v>
      </c>
      <c r="U123" s="20">
        <v>0.98636901102019581</v>
      </c>
      <c r="W123" s="19">
        <v>0</v>
      </c>
      <c r="X123" s="19">
        <v>103342</v>
      </c>
      <c r="Y123" s="19">
        <v>109808</v>
      </c>
      <c r="Z123" s="19">
        <v>97842</v>
      </c>
      <c r="AA123" s="19">
        <v>103586</v>
      </c>
      <c r="AB123" s="20">
        <v>0</v>
      </c>
      <c r="AC123" s="20">
        <v>5.4490099803430267E-2</v>
      </c>
      <c r="AD123" s="20">
        <v>5.6828085312510997E-2</v>
      </c>
      <c r="AE123" s="20">
        <v>4.9410659637002696E-2</v>
      </c>
      <c r="AF123" s="20">
        <v>5.1393059213202856E-2</v>
      </c>
      <c r="AG123" s="19">
        <v>0</v>
      </c>
      <c r="AH123" s="19">
        <v>100468</v>
      </c>
      <c r="AI123" s="19">
        <v>107171</v>
      </c>
      <c r="AJ123" s="19">
        <v>96017</v>
      </c>
      <c r="AK123" s="19">
        <v>102226</v>
      </c>
      <c r="AL123" s="20">
        <v>0</v>
      </c>
      <c r="AM123" s="20">
        <v>0.9721894292736738</v>
      </c>
      <c r="AN123" s="20">
        <v>0.97598535625819616</v>
      </c>
      <c r="AO123" s="20">
        <v>0.98134747858792748</v>
      </c>
      <c r="AP123" s="20">
        <v>0.98687081265808119</v>
      </c>
      <c r="AQ123" s="37"/>
    </row>
    <row r="124" spans="1:55" s="19" customFormat="1" x14ac:dyDescent="0.2">
      <c r="A124" s="18" t="s">
        <v>32</v>
      </c>
      <c r="B124" s="19">
        <v>611879</v>
      </c>
      <c r="C124" s="19">
        <v>614172</v>
      </c>
      <c r="D124" s="19">
        <v>613919</v>
      </c>
      <c r="E124" s="19">
        <v>617542</v>
      </c>
      <c r="F124" s="19">
        <v>620345</v>
      </c>
      <c r="G124" s="20">
        <v>0.30782028192254673</v>
      </c>
      <c r="H124" s="20">
        <v>0.3070967483861935</v>
      </c>
      <c r="I124" s="20">
        <v>0.30504094497656986</v>
      </c>
      <c r="J124" s="20">
        <v>0.30638669871063384</v>
      </c>
      <c r="K124" s="20">
        <v>0.30491485318650507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W124" s="19">
        <v>0</v>
      </c>
      <c r="X124" s="19">
        <v>596617</v>
      </c>
      <c r="Y124" s="19">
        <v>598848</v>
      </c>
      <c r="Z124" s="19">
        <v>613300</v>
      </c>
      <c r="AA124" s="19">
        <v>617542</v>
      </c>
      <c r="AB124" s="20">
        <v>0</v>
      </c>
      <c r="AC124" s="20">
        <v>0.31458380788472406</v>
      </c>
      <c r="AD124" s="20">
        <v>0.30991717573607191</v>
      </c>
      <c r="AE124" s="20">
        <v>0.30971931844579786</v>
      </c>
      <c r="AF124" s="20">
        <v>0.30638669871063384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37"/>
    </row>
    <row r="125" spans="1:55" s="19" customFormat="1" x14ac:dyDescent="0.2">
      <c r="A125" s="18" t="s">
        <v>34</v>
      </c>
      <c r="B125" s="19">
        <v>518</v>
      </c>
      <c r="C125" s="19">
        <v>2019</v>
      </c>
      <c r="D125" s="19">
        <v>1985</v>
      </c>
      <c r="E125" s="19">
        <v>2218</v>
      </c>
      <c r="F125" s="19">
        <v>2943</v>
      </c>
      <c r="G125" s="20">
        <v>2.605922184547586E-4</v>
      </c>
      <c r="H125" s="20">
        <v>1.0095353337366809E-3</v>
      </c>
      <c r="I125" s="20">
        <v>9.8629668698719413E-4</v>
      </c>
      <c r="J125" s="20">
        <v>1.1004364039048128E-3</v>
      </c>
      <c r="K125" s="20">
        <v>1.4465570173498369E-3</v>
      </c>
      <c r="L125" s="19">
        <v>518</v>
      </c>
      <c r="M125" s="19">
        <v>2019</v>
      </c>
      <c r="N125" s="19">
        <v>1985</v>
      </c>
      <c r="O125" s="19">
        <v>2218</v>
      </c>
      <c r="P125" s="19">
        <v>2943</v>
      </c>
      <c r="Q125" s="20">
        <v>1</v>
      </c>
      <c r="R125" s="20">
        <v>1</v>
      </c>
      <c r="S125" s="20">
        <v>1</v>
      </c>
      <c r="T125" s="20">
        <v>1</v>
      </c>
      <c r="U125" s="20">
        <v>1</v>
      </c>
      <c r="W125" s="19">
        <v>0</v>
      </c>
      <c r="X125" s="19">
        <v>0</v>
      </c>
      <c r="Y125" s="19">
        <v>0</v>
      </c>
      <c r="Z125" s="19">
        <v>244</v>
      </c>
      <c r="AA125" s="19">
        <v>2218</v>
      </c>
      <c r="AB125" s="20">
        <v>0</v>
      </c>
      <c r="AC125" s="20">
        <v>0</v>
      </c>
      <c r="AD125" s="20">
        <v>0</v>
      </c>
      <c r="AE125" s="20">
        <v>1.2322112131220395E-4</v>
      </c>
      <c r="AF125" s="20">
        <v>1.1004364039048128E-3</v>
      </c>
      <c r="AG125" s="19">
        <v>0</v>
      </c>
      <c r="AH125" s="19">
        <v>0</v>
      </c>
      <c r="AI125" s="19">
        <v>0</v>
      </c>
      <c r="AJ125" s="19">
        <v>244</v>
      </c>
      <c r="AK125" s="19">
        <v>2218</v>
      </c>
      <c r="AL125" s="20">
        <v>0</v>
      </c>
      <c r="AM125" s="20">
        <v>0</v>
      </c>
      <c r="AN125" s="20">
        <v>0</v>
      </c>
      <c r="AO125" s="20">
        <v>1</v>
      </c>
      <c r="AP125" s="20">
        <v>1</v>
      </c>
      <c r="AQ125" s="37"/>
    </row>
    <row r="126" spans="1:55" s="19" customFormat="1" x14ac:dyDescent="0.2">
      <c r="A126" s="18" t="s">
        <v>166</v>
      </c>
      <c r="B126" s="19">
        <v>0</v>
      </c>
      <c r="C126" s="19">
        <v>0</v>
      </c>
      <c r="D126" s="19">
        <v>0</v>
      </c>
      <c r="E126" s="19">
        <v>22</v>
      </c>
      <c r="F126" s="19">
        <v>130</v>
      </c>
      <c r="G126" s="20">
        <v>0</v>
      </c>
      <c r="H126" s="20">
        <v>0</v>
      </c>
      <c r="I126" s="20">
        <v>0</v>
      </c>
      <c r="J126" s="20">
        <v>1.0915059010778124E-5</v>
      </c>
      <c r="K126" s="20">
        <v>6.389820328082867E-5</v>
      </c>
      <c r="L126" s="19">
        <v>0</v>
      </c>
      <c r="M126" s="19">
        <v>0</v>
      </c>
      <c r="N126" s="19">
        <v>0</v>
      </c>
      <c r="O126" s="19">
        <v>22</v>
      </c>
      <c r="P126" s="19">
        <v>130</v>
      </c>
      <c r="Q126" s="20">
        <v>0</v>
      </c>
      <c r="R126" s="20">
        <v>0</v>
      </c>
      <c r="S126" s="20">
        <v>0</v>
      </c>
      <c r="T126" s="20">
        <v>1</v>
      </c>
      <c r="U126" s="20">
        <v>1</v>
      </c>
      <c r="W126" s="19">
        <v>0</v>
      </c>
      <c r="X126" s="19">
        <v>0</v>
      </c>
      <c r="Y126" s="19">
        <v>0</v>
      </c>
      <c r="Z126" s="19">
        <v>0</v>
      </c>
      <c r="AA126" s="19">
        <v>22</v>
      </c>
      <c r="AB126" s="20">
        <v>0</v>
      </c>
      <c r="AC126" s="20">
        <v>0</v>
      </c>
      <c r="AD126" s="20">
        <v>0</v>
      </c>
      <c r="AE126" s="20">
        <v>0</v>
      </c>
      <c r="AF126" s="20">
        <v>1.0915059010778124E-5</v>
      </c>
      <c r="AG126" s="19">
        <v>0</v>
      </c>
      <c r="AH126" s="19">
        <v>0</v>
      </c>
      <c r="AI126" s="19">
        <v>0</v>
      </c>
      <c r="AJ126" s="19">
        <v>0</v>
      </c>
      <c r="AK126" s="19">
        <v>22</v>
      </c>
      <c r="AL126" s="20">
        <v>0</v>
      </c>
      <c r="AM126" s="20">
        <v>0</v>
      </c>
      <c r="AN126" s="20">
        <v>0</v>
      </c>
      <c r="AO126" s="20">
        <v>0</v>
      </c>
      <c r="AP126" s="20">
        <v>1</v>
      </c>
      <c r="AQ126" s="37"/>
    </row>
    <row r="127" spans="1:55" s="19" customFormat="1" x14ac:dyDescent="0.2">
      <c r="A127" s="18" t="s">
        <v>36</v>
      </c>
      <c r="B127" s="19">
        <v>15985</v>
      </c>
      <c r="C127" s="19">
        <v>17652</v>
      </c>
      <c r="D127" s="19">
        <v>18204</v>
      </c>
      <c r="E127" s="19">
        <v>19662</v>
      </c>
      <c r="F127" s="19">
        <v>20683</v>
      </c>
      <c r="G127" s="20">
        <v>8.0416343860990648E-3</v>
      </c>
      <c r="H127" s="20">
        <v>8.8263089208122283E-3</v>
      </c>
      <c r="I127" s="20">
        <v>9.0451107757757582E-3</v>
      </c>
      <c r="J127" s="20">
        <v>9.7550859213599763E-3</v>
      </c>
      <c r="K127" s="20">
        <v>1.0166204141979841E-2</v>
      </c>
      <c r="L127" s="19">
        <v>15985</v>
      </c>
      <c r="M127" s="19">
        <v>17652</v>
      </c>
      <c r="N127" s="19">
        <v>18204</v>
      </c>
      <c r="O127" s="19">
        <v>19662</v>
      </c>
      <c r="P127" s="19">
        <v>20683</v>
      </c>
      <c r="Q127" s="20">
        <v>1</v>
      </c>
      <c r="R127" s="20">
        <v>1</v>
      </c>
      <c r="S127" s="20">
        <v>1</v>
      </c>
      <c r="T127" s="20">
        <v>1</v>
      </c>
      <c r="U127" s="20">
        <v>1</v>
      </c>
      <c r="W127" s="19">
        <v>0</v>
      </c>
      <c r="X127" s="19">
        <v>2961</v>
      </c>
      <c r="Y127" s="19">
        <v>7951</v>
      </c>
      <c r="Z127" s="19">
        <v>14657</v>
      </c>
      <c r="AA127" s="19">
        <v>19662</v>
      </c>
      <c r="AB127" s="20">
        <v>0</v>
      </c>
      <c r="AC127" s="20">
        <v>1.5612740755738908E-3</v>
      </c>
      <c r="AD127" s="20">
        <v>4.1148195606856963E-3</v>
      </c>
      <c r="AE127" s="20">
        <v>7.4018523568564476E-3</v>
      </c>
      <c r="AF127" s="20">
        <v>9.7550859213599763E-3</v>
      </c>
      <c r="AG127" s="19">
        <v>0</v>
      </c>
      <c r="AH127" s="19">
        <v>2961</v>
      </c>
      <c r="AI127" s="19">
        <v>7951</v>
      </c>
      <c r="AJ127" s="19">
        <v>14657</v>
      </c>
      <c r="AK127" s="19">
        <v>19662</v>
      </c>
      <c r="AL127" s="20">
        <v>0</v>
      </c>
      <c r="AM127" s="20">
        <v>1</v>
      </c>
      <c r="AN127" s="20">
        <v>1</v>
      </c>
      <c r="AO127" s="20">
        <v>1</v>
      </c>
      <c r="AP127" s="20">
        <v>1</v>
      </c>
      <c r="AQ127" s="37"/>
    </row>
    <row r="128" spans="1:55" s="19" customFormat="1" x14ac:dyDescent="0.2">
      <c r="A128" s="18" t="s">
        <v>37</v>
      </c>
      <c r="B128" s="19">
        <v>835</v>
      </c>
      <c r="C128" s="19">
        <v>745</v>
      </c>
      <c r="D128" s="19">
        <v>176</v>
      </c>
      <c r="E128" s="19">
        <v>0</v>
      </c>
      <c r="F128" s="19">
        <v>0</v>
      </c>
      <c r="G128" s="20">
        <v>4.2006660696857802E-4</v>
      </c>
      <c r="H128" s="20">
        <v>3.7251303795632844E-4</v>
      </c>
      <c r="I128" s="20">
        <v>8.7449983329846933E-5</v>
      </c>
      <c r="J128" s="20">
        <v>0</v>
      </c>
      <c r="K128" s="20">
        <v>0</v>
      </c>
      <c r="L128" s="19">
        <v>785</v>
      </c>
      <c r="M128" s="19">
        <v>716</v>
      </c>
      <c r="N128" s="19">
        <v>147</v>
      </c>
      <c r="O128" s="19">
        <v>0</v>
      </c>
      <c r="P128" s="19">
        <v>0</v>
      </c>
      <c r="Q128" s="20">
        <v>0.94011976047904189</v>
      </c>
      <c r="R128" s="20">
        <v>0.96107382550335574</v>
      </c>
      <c r="S128" s="20">
        <v>0.83522727272727271</v>
      </c>
      <c r="T128" s="20">
        <v>0</v>
      </c>
      <c r="U128" s="20">
        <v>0</v>
      </c>
      <c r="W128" s="19">
        <v>0</v>
      </c>
      <c r="X128" s="19">
        <v>52555</v>
      </c>
      <c r="Y128" s="19">
        <v>4632</v>
      </c>
      <c r="Z128" s="19">
        <v>960</v>
      </c>
      <c r="AA128" s="19">
        <v>0</v>
      </c>
      <c r="AB128" s="20">
        <v>0</v>
      </c>
      <c r="AC128" s="20">
        <v>2.7711164823298152E-2</v>
      </c>
      <c r="AD128" s="20">
        <v>2.3971631499303415E-3</v>
      </c>
      <c r="AE128" s="20">
        <v>4.8480441172014667E-4</v>
      </c>
      <c r="AF128" s="20">
        <v>0</v>
      </c>
      <c r="AG128" s="19">
        <v>0</v>
      </c>
      <c r="AH128" s="19">
        <v>48887</v>
      </c>
      <c r="AI128" s="19">
        <v>4352</v>
      </c>
      <c r="AJ128" s="19">
        <v>916</v>
      </c>
      <c r="AK128" s="19">
        <v>0</v>
      </c>
      <c r="AL128" s="20">
        <v>0</v>
      </c>
      <c r="AM128" s="20">
        <v>0.93020645038531058</v>
      </c>
      <c r="AN128" s="20">
        <v>0.93955094991364418</v>
      </c>
      <c r="AO128" s="20">
        <v>0.95416666666666672</v>
      </c>
      <c r="AP128" s="20">
        <v>0</v>
      </c>
      <c r="AQ128" s="37"/>
    </row>
    <row r="129" spans="1:43" s="19" customFormat="1" x14ac:dyDescent="0.2">
      <c r="A129" s="18" t="s">
        <v>38</v>
      </c>
      <c r="B129" s="19">
        <v>12262</v>
      </c>
      <c r="C129" s="19">
        <v>12628</v>
      </c>
      <c r="D129" s="19">
        <v>12922</v>
      </c>
      <c r="E129" s="19">
        <v>13069</v>
      </c>
      <c r="F129" s="19">
        <v>13346</v>
      </c>
      <c r="G129" s="20">
        <v>6.1686907001780884E-3</v>
      </c>
      <c r="H129" s="20">
        <v>6.3142209977349205E-3</v>
      </c>
      <c r="I129" s="20">
        <v>6.4206175260697841E-3</v>
      </c>
      <c r="J129" s="20">
        <v>6.4840411914481502E-3</v>
      </c>
      <c r="K129" s="20">
        <v>6.5598878537379956E-3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W129" s="19">
        <v>0</v>
      </c>
      <c r="X129" s="19">
        <v>9305</v>
      </c>
      <c r="Y129" s="19">
        <v>10939</v>
      </c>
      <c r="Z129" s="19">
        <v>11598</v>
      </c>
      <c r="AA129" s="19">
        <v>13069</v>
      </c>
      <c r="AB129" s="20">
        <v>0</v>
      </c>
      <c r="AC129" s="20">
        <v>4.9063341010520279E-3</v>
      </c>
      <c r="AD129" s="20">
        <v>5.6611761004076002E-3</v>
      </c>
      <c r="AE129" s="20">
        <v>5.8570432990940214E-3</v>
      </c>
      <c r="AF129" s="20">
        <v>6.4840411914481502E-3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37"/>
    </row>
    <row r="130" spans="1:43" s="19" customFormat="1" x14ac:dyDescent="0.2">
      <c r="A130" s="18" t="s">
        <v>39</v>
      </c>
      <c r="B130" s="19">
        <v>704</v>
      </c>
      <c r="C130" s="19">
        <v>629</v>
      </c>
      <c r="D130" s="19">
        <v>552</v>
      </c>
      <c r="E130" s="19">
        <v>495</v>
      </c>
      <c r="F130" s="19">
        <v>977</v>
      </c>
      <c r="G130" s="20">
        <v>3.541639416836873E-4</v>
      </c>
      <c r="H130" s="20">
        <v>3.1451100788527599E-4</v>
      </c>
      <c r="I130" s="20">
        <v>2.742749477163381E-4</v>
      </c>
      <c r="J130" s="20">
        <v>2.4558882774250782E-4</v>
      </c>
      <c r="K130" s="20">
        <v>4.8021957388745854E-4</v>
      </c>
      <c r="L130" s="19">
        <v>681</v>
      </c>
      <c r="M130" s="19">
        <v>610</v>
      </c>
      <c r="N130" s="19">
        <v>540</v>
      </c>
      <c r="O130" s="19">
        <v>486</v>
      </c>
      <c r="P130" s="19">
        <v>894</v>
      </c>
      <c r="Q130" s="20">
        <v>0.96732954545454541</v>
      </c>
      <c r="R130" s="20">
        <v>0.96979332273449925</v>
      </c>
      <c r="S130" s="20">
        <v>0.97826086956521741</v>
      </c>
      <c r="T130" s="20">
        <v>0.98181818181818181</v>
      </c>
      <c r="U130" s="20">
        <v>0.91504605936540429</v>
      </c>
      <c r="W130" s="19">
        <v>0</v>
      </c>
      <c r="X130" s="19">
        <v>0</v>
      </c>
      <c r="Y130" s="19">
        <v>1781</v>
      </c>
      <c r="Z130" s="19">
        <v>826</v>
      </c>
      <c r="AA130" s="19">
        <v>495</v>
      </c>
      <c r="AB130" s="20">
        <v>0</v>
      </c>
      <c r="AC130" s="20">
        <v>0</v>
      </c>
      <c r="AD130" s="20">
        <v>9.2170716105914033E-4</v>
      </c>
      <c r="AE130" s="20">
        <v>4.1713379591754284E-4</v>
      </c>
      <c r="AF130" s="20">
        <v>2.4558882774250782E-4</v>
      </c>
      <c r="AG130" s="19">
        <v>0</v>
      </c>
      <c r="AH130" s="19">
        <v>0</v>
      </c>
      <c r="AI130" s="19">
        <v>1761</v>
      </c>
      <c r="AJ130" s="19">
        <v>793</v>
      </c>
      <c r="AK130" s="19">
        <v>486</v>
      </c>
      <c r="AL130" s="20">
        <v>0</v>
      </c>
      <c r="AM130" s="20">
        <v>0</v>
      </c>
      <c r="AN130" s="20">
        <v>0.98877035373385735</v>
      </c>
      <c r="AO130" s="20">
        <v>0.96004842615012109</v>
      </c>
      <c r="AP130" s="20">
        <v>0.98181818181818181</v>
      </c>
      <c r="AQ130" s="37"/>
    </row>
    <row r="131" spans="1:43" s="19" customFormat="1" x14ac:dyDescent="0.2">
      <c r="A131" s="18" t="s">
        <v>40</v>
      </c>
      <c r="B131" s="19">
        <v>1</v>
      </c>
      <c r="C131" s="19">
        <v>1</v>
      </c>
      <c r="D131" s="19">
        <v>1</v>
      </c>
      <c r="E131" s="19">
        <v>0</v>
      </c>
      <c r="F131" s="19">
        <v>0</v>
      </c>
      <c r="G131" s="20">
        <v>5.0307378080069227E-7</v>
      </c>
      <c r="H131" s="20">
        <v>5.0001750061252143E-7</v>
      </c>
      <c r="I131" s="20">
        <v>4.9687490528322122E-7</v>
      </c>
      <c r="J131" s="20">
        <v>0</v>
      </c>
      <c r="K131" s="20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W131" s="19">
        <v>0</v>
      </c>
      <c r="X131" s="19">
        <v>1</v>
      </c>
      <c r="Y131" s="19">
        <v>1</v>
      </c>
      <c r="Z131" s="19">
        <v>2</v>
      </c>
      <c r="AA131" s="19">
        <v>0</v>
      </c>
      <c r="AB131" s="20">
        <v>0</v>
      </c>
      <c r="AC131" s="20">
        <v>5.2727932305771383E-7</v>
      </c>
      <c r="AD131" s="20">
        <v>5.1752226898323438E-7</v>
      </c>
      <c r="AE131" s="20">
        <v>1.0100091910836388E-6</v>
      </c>
      <c r="AF131" s="20">
        <v>0</v>
      </c>
      <c r="AG131" s="19">
        <v>0</v>
      </c>
      <c r="AH131" s="19">
        <v>1</v>
      </c>
      <c r="AI131" s="19">
        <v>1</v>
      </c>
      <c r="AJ131" s="19">
        <v>1</v>
      </c>
      <c r="AK131" s="19">
        <v>0</v>
      </c>
      <c r="AL131" s="20">
        <v>0</v>
      </c>
      <c r="AM131" s="20">
        <v>1</v>
      </c>
      <c r="AN131" s="20">
        <v>1</v>
      </c>
      <c r="AO131" s="20">
        <v>0.5</v>
      </c>
      <c r="AP131" s="20">
        <v>0</v>
      </c>
      <c r="AQ131" s="37"/>
    </row>
    <row r="132" spans="1:43" s="19" customFormat="1" x14ac:dyDescent="0.2">
      <c r="A132" s="18" t="s">
        <v>41</v>
      </c>
      <c r="B132" s="19">
        <v>0</v>
      </c>
      <c r="C132" s="19">
        <v>0</v>
      </c>
      <c r="D132" s="19">
        <v>0</v>
      </c>
      <c r="E132" s="19">
        <v>0</v>
      </c>
      <c r="F132" s="19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W132" s="19">
        <v>0</v>
      </c>
      <c r="X132" s="19">
        <v>0</v>
      </c>
      <c r="Y132" s="19">
        <v>0</v>
      </c>
      <c r="Z132" s="19">
        <v>2</v>
      </c>
      <c r="AA132" s="19">
        <v>0</v>
      </c>
      <c r="AB132" s="20">
        <v>0</v>
      </c>
      <c r="AC132" s="20">
        <v>0</v>
      </c>
      <c r="AD132" s="20">
        <v>0</v>
      </c>
      <c r="AE132" s="20">
        <v>1.0100091910836388E-6</v>
      </c>
      <c r="AF132" s="20">
        <v>0</v>
      </c>
      <c r="AG132" s="19">
        <v>0</v>
      </c>
      <c r="AH132" s="19">
        <v>0</v>
      </c>
      <c r="AI132" s="19">
        <v>0</v>
      </c>
      <c r="AJ132" s="19">
        <v>2</v>
      </c>
      <c r="AK132" s="19">
        <v>0</v>
      </c>
      <c r="AL132" s="20">
        <v>0</v>
      </c>
      <c r="AM132" s="20">
        <v>0</v>
      </c>
      <c r="AN132" s="20">
        <v>0</v>
      </c>
      <c r="AO132" s="20">
        <v>1</v>
      </c>
      <c r="AP132" s="20">
        <v>0</v>
      </c>
      <c r="AQ132" s="37"/>
    </row>
    <row r="133" spans="1:43" s="19" customFormat="1" x14ac:dyDescent="0.2">
      <c r="A133" s="18" t="s">
        <v>42</v>
      </c>
      <c r="B133" s="19">
        <v>843</v>
      </c>
      <c r="C133" s="19">
        <v>941</v>
      </c>
      <c r="D133" s="19">
        <v>942</v>
      </c>
      <c r="E133" s="19">
        <v>995</v>
      </c>
      <c r="F133" s="19">
        <v>901</v>
      </c>
      <c r="G133" s="20">
        <v>4.2409119721498352E-4</v>
      </c>
      <c r="H133" s="20">
        <v>4.705164680763827E-4</v>
      </c>
      <c r="I133" s="20">
        <v>4.6805616077679434E-4</v>
      </c>
      <c r="J133" s="20">
        <v>4.9365835071473786E-4</v>
      </c>
      <c r="K133" s="20">
        <v>4.4286370120020488E-4</v>
      </c>
      <c r="L133" s="19">
        <v>633</v>
      </c>
      <c r="M133" s="19">
        <v>759</v>
      </c>
      <c r="N133" s="19">
        <v>811</v>
      </c>
      <c r="O133" s="19">
        <v>870</v>
      </c>
      <c r="P133" s="19">
        <v>901</v>
      </c>
      <c r="Q133" s="20">
        <v>0.75088967971530252</v>
      </c>
      <c r="R133" s="20">
        <v>0.80658873538788523</v>
      </c>
      <c r="S133" s="20">
        <v>0.86093418259023358</v>
      </c>
      <c r="T133" s="20">
        <v>0.87437185929648242</v>
      </c>
      <c r="U133" s="20">
        <v>1</v>
      </c>
      <c r="W133" s="19">
        <v>0</v>
      </c>
      <c r="X133" s="19">
        <v>0</v>
      </c>
      <c r="Y133" s="19">
        <v>17</v>
      </c>
      <c r="Z133" s="19">
        <v>740</v>
      </c>
      <c r="AA133" s="19">
        <v>995</v>
      </c>
      <c r="AB133" s="20">
        <v>0</v>
      </c>
      <c r="AC133" s="20">
        <v>0</v>
      </c>
      <c r="AD133" s="20">
        <v>8.7978785727149838E-6</v>
      </c>
      <c r="AE133" s="20">
        <v>3.7370340070094641E-4</v>
      </c>
      <c r="AF133" s="20">
        <v>4.9365835071473786E-4</v>
      </c>
      <c r="AG133" s="19">
        <v>0</v>
      </c>
      <c r="AH133" s="19">
        <v>0</v>
      </c>
      <c r="AI133" s="19">
        <v>17</v>
      </c>
      <c r="AJ133" s="19">
        <v>491</v>
      </c>
      <c r="AK133" s="19">
        <v>870</v>
      </c>
      <c r="AL133" s="20">
        <v>0</v>
      </c>
      <c r="AM133" s="20">
        <v>0</v>
      </c>
      <c r="AN133" s="20">
        <v>1</v>
      </c>
      <c r="AO133" s="20">
        <v>0.66351351351351351</v>
      </c>
      <c r="AP133" s="20">
        <v>0.87437185929648242</v>
      </c>
      <c r="AQ133" s="37"/>
    </row>
    <row r="134" spans="1:43" s="19" customFormat="1" x14ac:dyDescent="0.2">
      <c r="A134" s="18" t="s">
        <v>43</v>
      </c>
      <c r="B134" s="19">
        <v>624547</v>
      </c>
      <c r="C134" s="19">
        <v>615396</v>
      </c>
      <c r="D134" s="19">
        <v>606857</v>
      </c>
      <c r="E134" s="19">
        <v>600441</v>
      </c>
      <c r="F134" s="19">
        <v>593029</v>
      </c>
      <c r="G134" s="20">
        <v>0.31419322057772991</v>
      </c>
      <c r="H134" s="20">
        <v>0.30770876980694323</v>
      </c>
      <c r="I134" s="20">
        <v>0.30153201439545974</v>
      </c>
      <c r="J134" s="20">
        <v>0.29790222488593765</v>
      </c>
      <c r="K134" s="20">
        <v>0.2914883661032811</v>
      </c>
      <c r="L134" s="19">
        <v>491245</v>
      </c>
      <c r="M134" s="19">
        <v>489140</v>
      </c>
      <c r="N134" s="19">
        <v>483581</v>
      </c>
      <c r="O134" s="19">
        <v>484449</v>
      </c>
      <c r="P134" s="19">
        <v>482192</v>
      </c>
      <c r="Q134" s="20">
        <v>0.78656210021023243</v>
      </c>
      <c r="R134" s="20">
        <v>0.79483779550078326</v>
      </c>
      <c r="S134" s="20">
        <v>0.79686153410111438</v>
      </c>
      <c r="T134" s="20">
        <v>0.80682198584040732</v>
      </c>
      <c r="U134" s="20">
        <v>0.81310020251960702</v>
      </c>
      <c r="W134" s="19">
        <v>0</v>
      </c>
      <c r="X134" s="19">
        <v>691446</v>
      </c>
      <c r="Y134" s="19">
        <v>681527</v>
      </c>
      <c r="Z134" s="19">
        <v>634013</v>
      </c>
      <c r="AA134" s="19">
        <v>600441</v>
      </c>
      <c r="AB134" s="20">
        <v>0</v>
      </c>
      <c r="AC134" s="20">
        <v>0.36458517881096403</v>
      </c>
      <c r="AD134" s="20">
        <v>0.35270539941333673</v>
      </c>
      <c r="AE134" s="20">
        <v>0.32017947863325558</v>
      </c>
      <c r="AF134" s="20">
        <v>0.29790222488593765</v>
      </c>
      <c r="AG134" s="19">
        <v>0</v>
      </c>
      <c r="AH134" s="19">
        <v>458358</v>
      </c>
      <c r="AI134" s="19">
        <v>475823</v>
      </c>
      <c r="AJ134" s="19">
        <v>492108</v>
      </c>
      <c r="AK134" s="19">
        <v>484449</v>
      </c>
      <c r="AL134" s="20">
        <v>0</v>
      </c>
      <c r="AM134" s="20">
        <v>0.66289775340373647</v>
      </c>
      <c r="AN134" s="20">
        <v>0.69817189927911882</v>
      </c>
      <c r="AO134" s="20">
        <v>0.77617966824024109</v>
      </c>
      <c r="AP134" s="20">
        <v>0.80682198584040732</v>
      </c>
      <c r="AQ134" s="37"/>
    </row>
    <row r="135" spans="1:43" s="19" customFormat="1" x14ac:dyDescent="0.2">
      <c r="A135" s="18" t="s">
        <v>44</v>
      </c>
      <c r="B135" s="19">
        <v>118</v>
      </c>
      <c r="C135" s="19">
        <v>114</v>
      </c>
      <c r="D135" s="19">
        <v>110</v>
      </c>
      <c r="E135" s="19">
        <v>107</v>
      </c>
      <c r="F135" s="19">
        <v>97</v>
      </c>
      <c r="G135" s="20">
        <v>5.9362706134481683E-5</v>
      </c>
      <c r="H135" s="20">
        <v>5.7001995069827445E-5</v>
      </c>
      <c r="I135" s="20">
        <v>5.4656239581154327E-5</v>
      </c>
      <c r="J135" s="20">
        <v>5.3086877916057241E-5</v>
      </c>
      <c r="K135" s="20">
        <v>4.7677890140310627E-5</v>
      </c>
      <c r="L135" s="19">
        <v>117</v>
      </c>
      <c r="M135" s="19">
        <v>114</v>
      </c>
      <c r="N135" s="19">
        <v>110</v>
      </c>
      <c r="O135" s="19">
        <v>107</v>
      </c>
      <c r="P135" s="19">
        <v>96</v>
      </c>
      <c r="Q135" s="20">
        <v>0.99152542372881358</v>
      </c>
      <c r="R135" s="20">
        <v>1</v>
      </c>
      <c r="S135" s="20">
        <v>1</v>
      </c>
      <c r="T135" s="20">
        <v>1</v>
      </c>
      <c r="U135" s="20">
        <v>0.98969072164948457</v>
      </c>
      <c r="W135" s="19">
        <v>0</v>
      </c>
      <c r="X135" s="19">
        <v>0</v>
      </c>
      <c r="Y135" s="19">
        <v>152</v>
      </c>
      <c r="Z135" s="19">
        <v>122</v>
      </c>
      <c r="AA135" s="19">
        <v>107</v>
      </c>
      <c r="AB135" s="20">
        <v>0</v>
      </c>
      <c r="AC135" s="20">
        <v>0</v>
      </c>
      <c r="AD135" s="20">
        <v>7.8663384885451623E-5</v>
      </c>
      <c r="AE135" s="20">
        <v>6.1610560656101977E-5</v>
      </c>
      <c r="AF135" s="20">
        <v>5.3086877916057241E-5</v>
      </c>
      <c r="AG135" s="19">
        <v>0</v>
      </c>
      <c r="AH135" s="19">
        <v>0</v>
      </c>
      <c r="AI135" s="19">
        <v>152</v>
      </c>
      <c r="AJ135" s="19">
        <v>120</v>
      </c>
      <c r="AK135" s="19">
        <v>107</v>
      </c>
      <c r="AL135" s="20">
        <v>0</v>
      </c>
      <c r="AM135" s="20">
        <v>0</v>
      </c>
      <c r="AN135" s="20">
        <v>1</v>
      </c>
      <c r="AO135" s="20">
        <v>0.98360655737704916</v>
      </c>
      <c r="AP135" s="20">
        <v>1</v>
      </c>
      <c r="AQ135" s="37"/>
    </row>
    <row r="136" spans="1:43" s="19" customFormat="1" x14ac:dyDescent="0.2">
      <c r="A136" s="18" t="s">
        <v>46</v>
      </c>
      <c r="B136" s="19">
        <v>0</v>
      </c>
      <c r="C136" s="19">
        <v>0</v>
      </c>
      <c r="D136" s="19">
        <v>2</v>
      </c>
      <c r="E136" s="19">
        <v>69</v>
      </c>
      <c r="F136" s="19">
        <v>166</v>
      </c>
      <c r="G136" s="20">
        <v>0</v>
      </c>
      <c r="H136" s="20">
        <v>0</v>
      </c>
      <c r="I136" s="20">
        <v>9.9374981056644244E-7</v>
      </c>
      <c r="J136" s="20">
        <v>3.4233594170167754E-5</v>
      </c>
      <c r="K136" s="20">
        <v>8.1593090343212E-5</v>
      </c>
      <c r="L136" s="19">
        <v>0</v>
      </c>
      <c r="M136" s="19">
        <v>0</v>
      </c>
      <c r="N136" s="19">
        <v>2</v>
      </c>
      <c r="O136" s="19">
        <v>69</v>
      </c>
      <c r="P136" s="19">
        <v>166</v>
      </c>
      <c r="Q136" s="20">
        <v>0</v>
      </c>
      <c r="R136" s="20">
        <v>0</v>
      </c>
      <c r="S136" s="20">
        <v>1</v>
      </c>
      <c r="T136" s="20">
        <v>1</v>
      </c>
      <c r="U136" s="20">
        <v>1</v>
      </c>
      <c r="W136" s="19">
        <v>0</v>
      </c>
      <c r="X136" s="19">
        <v>0</v>
      </c>
      <c r="Y136" s="19">
        <v>0</v>
      </c>
      <c r="Z136" s="19">
        <v>0</v>
      </c>
      <c r="AA136" s="19">
        <v>69</v>
      </c>
      <c r="AB136" s="20">
        <v>0</v>
      </c>
      <c r="AC136" s="20">
        <v>0</v>
      </c>
      <c r="AD136" s="20">
        <v>0</v>
      </c>
      <c r="AE136" s="20">
        <v>0</v>
      </c>
      <c r="AF136" s="20">
        <v>3.4233594170167754E-5</v>
      </c>
      <c r="AG136" s="19">
        <v>0</v>
      </c>
      <c r="AH136" s="19">
        <v>0</v>
      </c>
      <c r="AI136" s="19">
        <v>0</v>
      </c>
      <c r="AJ136" s="19">
        <v>0</v>
      </c>
      <c r="AK136" s="19">
        <v>69</v>
      </c>
      <c r="AL136" s="20">
        <v>0</v>
      </c>
      <c r="AM136" s="20">
        <v>0</v>
      </c>
      <c r="AN136" s="20">
        <v>0</v>
      </c>
      <c r="AO136" s="20">
        <v>0</v>
      </c>
      <c r="AP136" s="20">
        <v>1</v>
      </c>
      <c r="AQ136" s="37"/>
    </row>
    <row r="137" spans="1:43" s="19" customFormat="1" x14ac:dyDescent="0.2">
      <c r="A137" s="18" t="s">
        <v>126</v>
      </c>
      <c r="B137" s="19">
        <v>7699</v>
      </c>
      <c r="C137" s="19">
        <v>8025</v>
      </c>
      <c r="D137" s="19">
        <v>8413</v>
      </c>
      <c r="E137" s="19">
        <v>8508</v>
      </c>
      <c r="F137" s="19">
        <v>9281</v>
      </c>
      <c r="G137" s="20">
        <v>3.8731650383845295E-3</v>
      </c>
      <c r="H137" s="20">
        <v>4.0126404424154849E-3</v>
      </c>
      <c r="I137" s="20">
        <v>4.1802085781477401E-3</v>
      </c>
      <c r="J137" s="20">
        <v>4.2211510028954671E-3</v>
      </c>
      <c r="K137" s="20">
        <v>4.5618401896105453E-3</v>
      </c>
      <c r="L137" s="19">
        <v>7405</v>
      </c>
      <c r="M137" s="19">
        <v>7749</v>
      </c>
      <c r="N137" s="19">
        <v>8136</v>
      </c>
      <c r="O137" s="19">
        <v>8276</v>
      </c>
      <c r="P137" s="19">
        <v>9051</v>
      </c>
      <c r="Q137" s="20">
        <v>0.96181322249642809</v>
      </c>
      <c r="R137" s="20">
        <v>0.96560747663551405</v>
      </c>
      <c r="S137" s="20">
        <v>0.96707476524426483</v>
      </c>
      <c r="T137" s="20">
        <v>0.97273154677950169</v>
      </c>
      <c r="U137" s="20">
        <v>0.97521818769529145</v>
      </c>
      <c r="W137" s="19">
        <v>0</v>
      </c>
      <c r="X137" s="19">
        <v>14117</v>
      </c>
      <c r="Y137" s="19">
        <v>11299</v>
      </c>
      <c r="Z137" s="19">
        <v>7586</v>
      </c>
      <c r="AA137" s="19">
        <v>8508</v>
      </c>
      <c r="AB137" s="20">
        <v>0</v>
      </c>
      <c r="AC137" s="20">
        <v>7.4436022036057465E-3</v>
      </c>
      <c r="AD137" s="20">
        <v>5.8474841172415646E-3</v>
      </c>
      <c r="AE137" s="20">
        <v>3.8309648617802423E-3</v>
      </c>
      <c r="AF137" s="20">
        <v>4.2211510028954671E-3</v>
      </c>
      <c r="AG137" s="19">
        <v>0</v>
      </c>
      <c r="AH137" s="19">
        <v>13737</v>
      </c>
      <c r="AI137" s="19">
        <v>10844</v>
      </c>
      <c r="AJ137" s="19">
        <v>7266</v>
      </c>
      <c r="AK137" s="19">
        <v>8276</v>
      </c>
      <c r="AL137" s="20">
        <v>0</v>
      </c>
      <c r="AM137" s="20">
        <v>0.97308209959623149</v>
      </c>
      <c r="AN137" s="20">
        <v>0.95973094964156125</v>
      </c>
      <c r="AO137" s="20">
        <v>0.95781703137358287</v>
      </c>
      <c r="AP137" s="20">
        <v>0.97273154677950169</v>
      </c>
      <c r="AQ137" s="37"/>
    </row>
    <row r="138" spans="1:43" s="19" customFormat="1" x14ac:dyDescent="0.2">
      <c r="A138" s="18" t="s">
        <v>47</v>
      </c>
      <c r="B138" s="19">
        <v>0</v>
      </c>
      <c r="C138" s="19">
        <v>38</v>
      </c>
      <c r="D138" s="19">
        <v>40</v>
      </c>
      <c r="E138" s="19">
        <v>40</v>
      </c>
      <c r="F138" s="19">
        <v>87</v>
      </c>
      <c r="G138" s="20">
        <v>0</v>
      </c>
      <c r="H138" s="20">
        <v>1.9000665023275815E-5</v>
      </c>
      <c r="I138" s="20">
        <v>1.9874996211328846E-5</v>
      </c>
      <c r="J138" s="20">
        <v>1.9845561837778409E-5</v>
      </c>
      <c r="K138" s="20">
        <v>4.2762643734093037E-5</v>
      </c>
      <c r="L138" s="19">
        <v>0</v>
      </c>
      <c r="M138" s="19">
        <v>38</v>
      </c>
      <c r="N138" s="19">
        <v>40</v>
      </c>
      <c r="O138" s="19">
        <v>40</v>
      </c>
      <c r="P138" s="19">
        <v>83</v>
      </c>
      <c r="Q138" s="20">
        <v>0</v>
      </c>
      <c r="R138" s="20">
        <v>1</v>
      </c>
      <c r="S138" s="20">
        <v>1</v>
      </c>
      <c r="T138" s="20">
        <v>1</v>
      </c>
      <c r="U138" s="20">
        <v>0.95402298850574707</v>
      </c>
      <c r="W138" s="19">
        <v>0</v>
      </c>
      <c r="X138" s="19">
        <v>0</v>
      </c>
      <c r="Y138" s="19">
        <v>0</v>
      </c>
      <c r="Z138" s="19">
        <v>0</v>
      </c>
      <c r="AA138" s="19">
        <v>40</v>
      </c>
      <c r="AB138" s="20">
        <v>0</v>
      </c>
      <c r="AC138" s="20">
        <v>0</v>
      </c>
      <c r="AD138" s="20">
        <v>0</v>
      </c>
      <c r="AE138" s="20">
        <v>0</v>
      </c>
      <c r="AF138" s="20">
        <v>1.9845561837778409E-5</v>
      </c>
      <c r="AG138" s="19">
        <v>0</v>
      </c>
      <c r="AH138" s="19">
        <v>0</v>
      </c>
      <c r="AI138" s="19">
        <v>0</v>
      </c>
      <c r="AJ138" s="19">
        <v>0</v>
      </c>
      <c r="AK138" s="19">
        <v>40</v>
      </c>
      <c r="AL138" s="20">
        <v>0</v>
      </c>
      <c r="AM138" s="20">
        <v>0</v>
      </c>
      <c r="AN138" s="20">
        <v>0</v>
      </c>
      <c r="AO138" s="20">
        <v>0</v>
      </c>
      <c r="AP138" s="20">
        <v>1</v>
      </c>
      <c r="AQ138" s="37"/>
    </row>
    <row r="139" spans="1:43" s="19" customFormat="1" x14ac:dyDescent="0.2">
      <c r="A139" s="18" t="s">
        <v>48</v>
      </c>
      <c r="B139" s="19">
        <v>6047</v>
      </c>
      <c r="C139" s="19">
        <v>6478</v>
      </c>
      <c r="D139" s="19">
        <v>7510</v>
      </c>
      <c r="E139" s="19">
        <v>8771</v>
      </c>
      <c r="F139" s="19">
        <v>8995</v>
      </c>
      <c r="G139" s="20">
        <v>3.0420871525017861E-3</v>
      </c>
      <c r="H139" s="20">
        <v>3.239113368967914E-3</v>
      </c>
      <c r="I139" s="20">
        <v>3.7315305386769909E-3</v>
      </c>
      <c r="J139" s="20">
        <v>4.3516355719788605E-3</v>
      </c>
      <c r="K139" s="20">
        <v>4.421264142392722E-3</v>
      </c>
      <c r="L139" s="19">
        <v>6047</v>
      </c>
      <c r="M139" s="19">
        <v>6478</v>
      </c>
      <c r="N139" s="19">
        <v>7495</v>
      </c>
      <c r="O139" s="19">
        <v>8765</v>
      </c>
      <c r="P139" s="19">
        <v>8923</v>
      </c>
      <c r="Q139" s="20">
        <v>1</v>
      </c>
      <c r="R139" s="20">
        <v>1</v>
      </c>
      <c r="S139" s="20">
        <v>0.99800266311584551</v>
      </c>
      <c r="T139" s="20">
        <v>0.99931592748831377</v>
      </c>
      <c r="U139" s="20">
        <v>0.99199555308504728</v>
      </c>
      <c r="W139" s="19">
        <v>0</v>
      </c>
      <c r="X139" s="19">
        <v>0</v>
      </c>
      <c r="Y139" s="19">
        <v>3733</v>
      </c>
      <c r="Z139" s="19">
        <v>5297</v>
      </c>
      <c r="AA139" s="19">
        <v>8771</v>
      </c>
      <c r="AB139" s="20">
        <v>0</v>
      </c>
      <c r="AC139" s="20">
        <v>0</v>
      </c>
      <c r="AD139" s="20">
        <v>1.9319106301144138E-3</v>
      </c>
      <c r="AE139" s="20">
        <v>2.6750093425850175E-3</v>
      </c>
      <c r="AF139" s="20">
        <v>4.3516355719788605E-3</v>
      </c>
      <c r="AG139" s="19">
        <v>0</v>
      </c>
      <c r="AH139" s="19">
        <v>0</v>
      </c>
      <c r="AI139" s="19">
        <v>3733</v>
      </c>
      <c r="AJ139" s="19">
        <v>5297</v>
      </c>
      <c r="AK139" s="19">
        <v>8765</v>
      </c>
      <c r="AL139" s="20">
        <v>0</v>
      </c>
      <c r="AM139" s="20">
        <v>0</v>
      </c>
      <c r="AN139" s="20">
        <v>1</v>
      </c>
      <c r="AO139" s="20">
        <v>1</v>
      </c>
      <c r="AP139" s="20">
        <v>0.99931592748831377</v>
      </c>
      <c r="AQ139" s="37"/>
    </row>
    <row r="140" spans="1:43" s="19" customFormat="1" x14ac:dyDescent="0.2">
      <c r="A140" s="18" t="s">
        <v>49</v>
      </c>
      <c r="B140" s="19">
        <v>1902</v>
      </c>
      <c r="C140" s="19">
        <v>2153</v>
      </c>
      <c r="D140" s="19">
        <v>2096</v>
      </c>
      <c r="E140" s="19">
        <v>2004</v>
      </c>
      <c r="F140" s="19">
        <v>1987</v>
      </c>
      <c r="G140" s="20">
        <v>9.5684633108291664E-4</v>
      </c>
      <c r="H140" s="20">
        <v>1.0765376788187586E-3</v>
      </c>
      <c r="I140" s="20">
        <v>1.0414498014736317E-3</v>
      </c>
      <c r="J140" s="20">
        <v>9.9426264807269825E-4</v>
      </c>
      <c r="K140" s="20">
        <v>9.7665946091543511E-4</v>
      </c>
      <c r="L140" s="19">
        <v>1578</v>
      </c>
      <c r="M140" s="19">
        <v>1866</v>
      </c>
      <c r="N140" s="19">
        <v>1842</v>
      </c>
      <c r="O140" s="19">
        <v>1779</v>
      </c>
      <c r="P140" s="19">
        <v>1781</v>
      </c>
      <c r="Q140" s="20">
        <v>0.82965299684542582</v>
      </c>
      <c r="R140" s="20">
        <v>0.86669763121226195</v>
      </c>
      <c r="S140" s="20">
        <v>0.87881679389312972</v>
      </c>
      <c r="T140" s="20">
        <v>0.88772455089820357</v>
      </c>
      <c r="U140" s="20">
        <v>0.89632611977856069</v>
      </c>
      <c r="W140" s="19">
        <v>0</v>
      </c>
      <c r="X140" s="19">
        <v>1318</v>
      </c>
      <c r="Y140" s="19">
        <v>1001</v>
      </c>
      <c r="Z140" s="19">
        <v>1631</v>
      </c>
      <c r="AA140" s="19">
        <v>2004</v>
      </c>
      <c r="AB140" s="20">
        <v>0</v>
      </c>
      <c r="AC140" s="20">
        <v>6.9495414779006687E-4</v>
      </c>
      <c r="AD140" s="20">
        <v>5.1803979125221759E-4</v>
      </c>
      <c r="AE140" s="20">
        <v>8.2366249532870748E-4</v>
      </c>
      <c r="AF140" s="20">
        <v>9.9426264807269825E-4</v>
      </c>
      <c r="AG140" s="19">
        <v>0</v>
      </c>
      <c r="AH140" s="19">
        <v>116</v>
      </c>
      <c r="AI140" s="19">
        <v>191</v>
      </c>
      <c r="AJ140" s="19">
        <v>1240</v>
      </c>
      <c r="AK140" s="19">
        <v>1779</v>
      </c>
      <c r="AL140" s="20">
        <v>0</v>
      </c>
      <c r="AM140" s="20">
        <v>8.8012139605462822E-2</v>
      </c>
      <c r="AN140" s="20">
        <v>0.19080919080919082</v>
      </c>
      <c r="AO140" s="20">
        <v>0.76026977314530964</v>
      </c>
      <c r="AP140" s="20">
        <v>0.88772455089820357</v>
      </c>
      <c r="AQ140" s="37"/>
    </row>
    <row r="141" spans="1:43" s="19" customFormat="1" x14ac:dyDescent="0.2">
      <c r="A141" s="18" t="s">
        <v>51</v>
      </c>
      <c r="B141" s="19">
        <v>2</v>
      </c>
      <c r="C141" s="19">
        <v>4</v>
      </c>
      <c r="D141" s="19">
        <v>224</v>
      </c>
      <c r="E141" s="19">
        <v>522</v>
      </c>
      <c r="F141" s="19">
        <v>1305</v>
      </c>
      <c r="G141" s="20">
        <v>1.0061475616013845E-6</v>
      </c>
      <c r="H141" s="20">
        <v>2.0000700024500857E-6</v>
      </c>
      <c r="I141" s="20">
        <v>1.1129997878344155E-4</v>
      </c>
      <c r="J141" s="20">
        <v>2.5898458198300825E-4</v>
      </c>
      <c r="K141" s="20">
        <v>6.4143965601139554E-4</v>
      </c>
      <c r="L141" s="19">
        <v>2</v>
      </c>
      <c r="M141" s="19">
        <v>4</v>
      </c>
      <c r="N141" s="19">
        <v>224</v>
      </c>
      <c r="O141" s="19">
        <v>522</v>
      </c>
      <c r="P141" s="19">
        <v>1305</v>
      </c>
      <c r="Q141" s="20">
        <v>1</v>
      </c>
      <c r="R141" s="20">
        <v>1</v>
      </c>
      <c r="S141" s="20">
        <v>1</v>
      </c>
      <c r="T141" s="20">
        <v>1</v>
      </c>
      <c r="U141" s="20">
        <v>1</v>
      </c>
      <c r="W141" s="19">
        <v>0</v>
      </c>
      <c r="X141" s="19">
        <v>0</v>
      </c>
      <c r="Y141" s="19">
        <v>0</v>
      </c>
      <c r="Z141" s="19">
        <v>0</v>
      </c>
      <c r="AA141" s="19">
        <v>522</v>
      </c>
      <c r="AB141" s="20">
        <v>0</v>
      </c>
      <c r="AC141" s="20">
        <v>0</v>
      </c>
      <c r="AD141" s="20">
        <v>0</v>
      </c>
      <c r="AE141" s="20">
        <v>0</v>
      </c>
      <c r="AF141" s="20">
        <v>2.5898458198300825E-4</v>
      </c>
      <c r="AG141" s="19">
        <v>0</v>
      </c>
      <c r="AH141" s="19">
        <v>0</v>
      </c>
      <c r="AI141" s="19">
        <v>0</v>
      </c>
      <c r="AJ141" s="19">
        <v>0</v>
      </c>
      <c r="AK141" s="19">
        <v>522</v>
      </c>
      <c r="AL141" s="20">
        <v>0</v>
      </c>
      <c r="AM141" s="20">
        <v>0</v>
      </c>
      <c r="AN141" s="20">
        <v>0</v>
      </c>
      <c r="AO141" s="20">
        <v>0</v>
      </c>
      <c r="AP141" s="20">
        <v>1</v>
      </c>
      <c r="AQ141" s="37"/>
    </row>
    <row r="142" spans="1:43" s="19" customFormat="1" x14ac:dyDescent="0.2">
      <c r="A142" s="18" t="s">
        <v>52</v>
      </c>
      <c r="B142" s="19">
        <v>46520</v>
      </c>
      <c r="C142" s="19">
        <v>45822</v>
      </c>
      <c r="D142" s="19">
        <v>46505</v>
      </c>
      <c r="E142" s="19">
        <v>46139</v>
      </c>
      <c r="F142" s="19">
        <v>46442</v>
      </c>
      <c r="G142" s="20">
        <v>2.3402992282848204E-2</v>
      </c>
      <c r="H142" s="20">
        <v>2.2911801913066958E-2</v>
      </c>
      <c r="I142" s="20">
        <v>2.3107167470196199E-2</v>
      </c>
      <c r="J142" s="20">
        <v>2.2891359440831451E-2</v>
      </c>
      <c r="K142" s="20">
        <v>2.2827387359755733E-2</v>
      </c>
      <c r="L142" s="19">
        <v>46273</v>
      </c>
      <c r="M142" s="19">
        <v>45582</v>
      </c>
      <c r="N142" s="19">
        <v>46275</v>
      </c>
      <c r="O142" s="19">
        <v>45869</v>
      </c>
      <c r="P142" s="19">
        <v>46204</v>
      </c>
      <c r="Q142" s="20">
        <v>0.99469045571797077</v>
      </c>
      <c r="R142" s="20">
        <v>0.99476234123346863</v>
      </c>
      <c r="S142" s="20">
        <v>0.99505429523707123</v>
      </c>
      <c r="T142" s="20">
        <v>0.99414811764450894</v>
      </c>
      <c r="U142" s="20">
        <v>0.99487532836656478</v>
      </c>
      <c r="W142" s="19">
        <v>0</v>
      </c>
      <c r="X142" s="19">
        <v>0</v>
      </c>
      <c r="Y142" s="19">
        <v>49274</v>
      </c>
      <c r="Z142" s="19">
        <v>47065</v>
      </c>
      <c r="AA142" s="19">
        <v>46139</v>
      </c>
      <c r="AB142" s="20">
        <v>0</v>
      </c>
      <c r="AC142" s="20">
        <v>0</v>
      </c>
      <c r="AD142" s="20">
        <v>2.5500392281879888E-2</v>
      </c>
      <c r="AE142" s="20">
        <v>2.3768041289175732E-2</v>
      </c>
      <c r="AF142" s="20">
        <v>2.2891359440831451E-2</v>
      </c>
      <c r="AG142" s="19">
        <v>0</v>
      </c>
      <c r="AH142" s="19">
        <v>0</v>
      </c>
      <c r="AI142" s="19">
        <v>48578</v>
      </c>
      <c r="AJ142" s="19">
        <v>46781</v>
      </c>
      <c r="AK142" s="19">
        <v>45869</v>
      </c>
      <c r="AL142" s="20">
        <v>0</v>
      </c>
      <c r="AM142" s="20">
        <v>0</v>
      </c>
      <c r="AN142" s="20">
        <v>0.98587490360027596</v>
      </c>
      <c r="AO142" s="20">
        <v>0.99396579198980128</v>
      </c>
      <c r="AP142" s="20">
        <v>0.99414811764450894</v>
      </c>
      <c r="AQ142" s="37"/>
    </row>
    <row r="143" spans="1:43" s="19" customFormat="1" x14ac:dyDescent="0.2">
      <c r="A143" s="18" t="s">
        <v>53</v>
      </c>
      <c r="B143" s="19">
        <v>1061</v>
      </c>
      <c r="C143" s="19">
        <v>1074</v>
      </c>
      <c r="D143" s="19">
        <v>923</v>
      </c>
      <c r="E143" s="19">
        <v>862</v>
      </c>
      <c r="F143" s="19">
        <v>524</v>
      </c>
      <c r="G143" s="20">
        <v>5.3376128142953441E-4</v>
      </c>
      <c r="H143" s="20">
        <v>5.3701879565784798E-4</v>
      </c>
      <c r="I143" s="20">
        <v>4.5861553757641313E-4</v>
      </c>
      <c r="J143" s="20">
        <v>4.2767185760412472E-4</v>
      </c>
      <c r="K143" s="20">
        <v>2.5755891168580174E-4</v>
      </c>
      <c r="L143" s="19">
        <v>775</v>
      </c>
      <c r="M143" s="19">
        <v>788</v>
      </c>
      <c r="N143" s="19">
        <v>711</v>
      </c>
      <c r="O143" s="19">
        <v>692</v>
      </c>
      <c r="P143" s="19">
        <v>441</v>
      </c>
      <c r="Q143" s="20">
        <v>0.7304429783223374</v>
      </c>
      <c r="R143" s="20">
        <v>0.73370577281191807</v>
      </c>
      <c r="S143" s="20">
        <v>0.77031419284940417</v>
      </c>
      <c r="T143" s="20">
        <v>0.80278422273781902</v>
      </c>
      <c r="U143" s="20">
        <v>0.84160305343511455</v>
      </c>
      <c r="W143" s="19">
        <v>0</v>
      </c>
      <c r="X143" s="19">
        <v>1854</v>
      </c>
      <c r="Y143" s="19">
        <v>1056</v>
      </c>
      <c r="Z143" s="19">
        <v>1283</v>
      </c>
      <c r="AA143" s="19">
        <v>862</v>
      </c>
      <c r="AB143" s="20">
        <v>0</v>
      </c>
      <c r="AC143" s="20">
        <v>9.7757586494900159E-4</v>
      </c>
      <c r="AD143" s="20">
        <v>5.4650351604629548E-4</v>
      </c>
      <c r="AE143" s="20">
        <v>6.4792089608015438E-4</v>
      </c>
      <c r="AF143" s="20">
        <v>4.2767185760412472E-4</v>
      </c>
      <c r="AG143" s="19">
        <v>0</v>
      </c>
      <c r="AH143" s="19">
        <v>1423</v>
      </c>
      <c r="AI143" s="19">
        <v>1051</v>
      </c>
      <c r="AJ143" s="19">
        <v>937</v>
      </c>
      <c r="AK143" s="19">
        <v>692</v>
      </c>
      <c r="AL143" s="20">
        <v>0</v>
      </c>
      <c r="AM143" s="20">
        <v>0.76752966558791802</v>
      </c>
      <c r="AN143" s="20">
        <v>0.99526515151515149</v>
      </c>
      <c r="AO143" s="20">
        <v>0.73031956352299299</v>
      </c>
      <c r="AP143" s="20">
        <v>0.80278422273781902</v>
      </c>
      <c r="AQ143" s="37"/>
    </row>
    <row r="144" spans="1:43" s="19" customFormat="1" x14ac:dyDescent="0.2">
      <c r="A144" s="18" t="s">
        <v>54</v>
      </c>
      <c r="B144" s="19">
        <v>214</v>
      </c>
      <c r="C144" s="19">
        <v>296</v>
      </c>
      <c r="D144" s="19">
        <v>611</v>
      </c>
      <c r="E144" s="19">
        <v>763</v>
      </c>
      <c r="F144" s="19">
        <v>765</v>
      </c>
      <c r="G144" s="20">
        <v>1.0765778909134813E-4</v>
      </c>
      <c r="H144" s="20">
        <v>1.4800518018130633E-4</v>
      </c>
      <c r="I144" s="20">
        <v>3.0359056712804815E-4</v>
      </c>
      <c r="J144" s="20">
        <v>3.7855409205562313E-4</v>
      </c>
      <c r="K144" s="20">
        <v>3.7601635007564562E-4</v>
      </c>
      <c r="L144" s="19">
        <v>214</v>
      </c>
      <c r="M144" s="19">
        <v>296</v>
      </c>
      <c r="N144" s="19">
        <v>538</v>
      </c>
      <c r="O144" s="19">
        <v>738</v>
      </c>
      <c r="P144" s="19">
        <v>738</v>
      </c>
      <c r="Q144" s="20">
        <v>1</v>
      </c>
      <c r="R144" s="20">
        <v>1</v>
      </c>
      <c r="S144" s="20">
        <v>0.88052373158756136</v>
      </c>
      <c r="T144" s="20">
        <v>0.96723460026212316</v>
      </c>
      <c r="U144" s="20">
        <v>0.96470588235294119</v>
      </c>
      <c r="W144" s="19">
        <v>0</v>
      </c>
      <c r="X144" s="19">
        <v>0</v>
      </c>
      <c r="Y144" s="19">
        <v>74</v>
      </c>
      <c r="Z144" s="19">
        <v>87</v>
      </c>
      <c r="AA144" s="19">
        <v>763</v>
      </c>
      <c r="AB144" s="20">
        <v>0</v>
      </c>
      <c r="AC144" s="20">
        <v>0</v>
      </c>
      <c r="AD144" s="20">
        <v>3.8296647904759344E-5</v>
      </c>
      <c r="AE144" s="20">
        <v>4.393539981213829E-5</v>
      </c>
      <c r="AF144" s="20">
        <v>3.7855409205562313E-4</v>
      </c>
      <c r="AG144" s="19">
        <v>0</v>
      </c>
      <c r="AH144" s="19">
        <v>0</v>
      </c>
      <c r="AI144" s="19">
        <v>0</v>
      </c>
      <c r="AJ144" s="19">
        <v>87</v>
      </c>
      <c r="AK144" s="19">
        <v>738</v>
      </c>
      <c r="AL144" s="20">
        <v>0</v>
      </c>
      <c r="AM144" s="20">
        <v>0</v>
      </c>
      <c r="AN144" s="20">
        <v>0</v>
      </c>
      <c r="AO144" s="20">
        <v>1</v>
      </c>
      <c r="AP144" s="20">
        <v>0.96723460026212316</v>
      </c>
      <c r="AQ144" s="37"/>
    </row>
    <row r="145" spans="1:55" s="19" customFormat="1" x14ac:dyDescent="0.2">
      <c r="A145" s="18" t="s">
        <v>55</v>
      </c>
      <c r="B145" s="19">
        <v>15771</v>
      </c>
      <c r="C145" s="19">
        <v>15304</v>
      </c>
      <c r="D145" s="19">
        <v>15112</v>
      </c>
      <c r="E145" s="19">
        <v>14663</v>
      </c>
      <c r="F145" s="19">
        <v>13989</v>
      </c>
      <c r="G145" s="20">
        <v>7.9339765970077164E-3</v>
      </c>
      <c r="H145" s="20">
        <v>7.6522678293740277E-3</v>
      </c>
      <c r="I145" s="20">
        <v>7.5087735686400385E-3</v>
      </c>
      <c r="J145" s="20">
        <v>7.2748868306836204E-3</v>
      </c>
      <c r="K145" s="20">
        <v>6.8759381976577867E-3</v>
      </c>
      <c r="L145" s="19">
        <v>15760</v>
      </c>
      <c r="M145" s="19">
        <v>15297</v>
      </c>
      <c r="N145" s="19">
        <v>15095</v>
      </c>
      <c r="O145" s="19">
        <v>14622</v>
      </c>
      <c r="P145" s="19">
        <v>13938</v>
      </c>
      <c r="Q145" s="20">
        <v>0.99930251727854924</v>
      </c>
      <c r="R145" s="20">
        <v>0.99954260324098276</v>
      </c>
      <c r="S145" s="20">
        <v>0.99887506617257804</v>
      </c>
      <c r="T145" s="20">
        <v>0.99720384641614945</v>
      </c>
      <c r="U145" s="20">
        <v>0.99635427836156976</v>
      </c>
      <c r="W145" s="19">
        <v>0</v>
      </c>
      <c r="X145" s="19">
        <v>1589</v>
      </c>
      <c r="Y145" s="19">
        <v>5576</v>
      </c>
      <c r="Z145" s="19">
        <v>16254</v>
      </c>
      <c r="AA145" s="19">
        <v>14663</v>
      </c>
      <c r="AB145" s="20">
        <v>0</v>
      </c>
      <c r="AC145" s="20">
        <v>8.378468443387074E-4</v>
      </c>
      <c r="AD145" s="20">
        <v>2.8857041718505149E-3</v>
      </c>
      <c r="AE145" s="20">
        <v>8.208344695936733E-3</v>
      </c>
      <c r="AF145" s="20">
        <v>7.2748868306836204E-3</v>
      </c>
      <c r="AG145" s="19">
        <v>0</v>
      </c>
      <c r="AH145" s="19">
        <v>1581</v>
      </c>
      <c r="AI145" s="19">
        <v>5569</v>
      </c>
      <c r="AJ145" s="19">
        <v>16243</v>
      </c>
      <c r="AK145" s="19">
        <v>14622</v>
      </c>
      <c r="AL145" s="20">
        <v>0</v>
      </c>
      <c r="AM145" s="20">
        <v>0.99496538703587156</v>
      </c>
      <c r="AN145" s="20">
        <v>0.9987446197991392</v>
      </c>
      <c r="AO145" s="20">
        <v>0.99932324350929003</v>
      </c>
      <c r="AP145" s="20">
        <v>0.99720384641614945</v>
      </c>
      <c r="AQ145" s="37"/>
    </row>
    <row r="146" spans="1:55" s="19" customFormat="1" x14ac:dyDescent="0.2">
      <c r="A146" s="18" t="s">
        <v>59</v>
      </c>
      <c r="B146" s="19">
        <v>0</v>
      </c>
      <c r="C146" s="19">
        <v>0</v>
      </c>
      <c r="D146" s="19">
        <v>4</v>
      </c>
      <c r="E146" s="19">
        <v>11</v>
      </c>
      <c r="F146" s="19">
        <v>17</v>
      </c>
      <c r="G146" s="20">
        <v>0</v>
      </c>
      <c r="H146" s="20">
        <v>0</v>
      </c>
      <c r="I146" s="20">
        <v>1.9874996211328849E-6</v>
      </c>
      <c r="J146" s="20">
        <v>5.4575295053890622E-6</v>
      </c>
      <c r="K146" s="20">
        <v>8.3559188905699037E-6</v>
      </c>
      <c r="L146" s="19">
        <v>0</v>
      </c>
      <c r="M146" s="19">
        <v>0</v>
      </c>
      <c r="N146" s="19">
        <v>4</v>
      </c>
      <c r="O146" s="19">
        <v>11</v>
      </c>
      <c r="P146" s="19">
        <v>17</v>
      </c>
      <c r="Q146" s="20">
        <v>0</v>
      </c>
      <c r="R146" s="20">
        <v>0</v>
      </c>
      <c r="S146" s="20">
        <v>1</v>
      </c>
      <c r="T146" s="20">
        <v>1</v>
      </c>
      <c r="U146" s="20">
        <v>1</v>
      </c>
      <c r="W146" s="19">
        <v>0</v>
      </c>
      <c r="X146" s="19">
        <v>0</v>
      </c>
      <c r="Y146" s="19">
        <v>0</v>
      </c>
      <c r="Z146" s="19">
        <v>0</v>
      </c>
      <c r="AA146" s="19">
        <v>11</v>
      </c>
      <c r="AB146" s="20">
        <v>0</v>
      </c>
      <c r="AC146" s="20">
        <v>0</v>
      </c>
      <c r="AD146" s="20">
        <v>0</v>
      </c>
      <c r="AE146" s="20">
        <v>0</v>
      </c>
      <c r="AF146" s="20">
        <v>5.4575295053890622E-6</v>
      </c>
      <c r="AG146" s="19">
        <v>0</v>
      </c>
      <c r="AH146" s="19">
        <v>0</v>
      </c>
      <c r="AI146" s="19">
        <v>0</v>
      </c>
      <c r="AJ146" s="19">
        <v>0</v>
      </c>
      <c r="AK146" s="19">
        <v>11</v>
      </c>
      <c r="AL146" s="20">
        <v>0</v>
      </c>
      <c r="AM146" s="20">
        <v>0</v>
      </c>
      <c r="AN146" s="20">
        <v>0</v>
      </c>
      <c r="AO146" s="20">
        <v>0</v>
      </c>
      <c r="AP146" s="20">
        <v>1</v>
      </c>
      <c r="AQ146" s="37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</row>
    <row r="147" spans="1:55" s="21" customFormat="1" x14ac:dyDescent="0.2">
      <c r="A147" s="29" t="s">
        <v>69</v>
      </c>
      <c r="B147" s="27">
        <v>1987780</v>
      </c>
      <c r="C147" s="27">
        <v>1999930</v>
      </c>
      <c r="D147" s="27">
        <v>2012579</v>
      </c>
      <c r="E147" s="27">
        <v>2015564</v>
      </c>
      <c r="F147" s="27">
        <v>2034486</v>
      </c>
      <c r="G147" s="22">
        <v>1</v>
      </c>
      <c r="H147" s="22">
        <v>1</v>
      </c>
      <c r="I147" s="22">
        <v>1</v>
      </c>
      <c r="J147" s="22">
        <v>1</v>
      </c>
      <c r="K147" s="22">
        <v>1</v>
      </c>
      <c r="L147" s="27">
        <v>1172062</v>
      </c>
      <c r="M147" s="27">
        <v>1191028</v>
      </c>
      <c r="N147" s="27">
        <v>1207726</v>
      </c>
      <c r="O147" s="27">
        <v>1215908</v>
      </c>
      <c r="P147" s="27">
        <v>1237900</v>
      </c>
      <c r="Q147" s="22">
        <v>0.58963366167282094</v>
      </c>
      <c r="R147" s="22">
        <v>0.59553484371953014</v>
      </c>
      <c r="S147" s="22">
        <v>0.60008874185808359</v>
      </c>
      <c r="T147" s="22">
        <v>0.60325943507623669</v>
      </c>
      <c r="U147" s="22">
        <v>0.60845835262567549</v>
      </c>
      <c r="W147" s="27">
        <v>0</v>
      </c>
      <c r="X147" s="27">
        <v>1896528</v>
      </c>
      <c r="Y147" s="27">
        <v>1932284</v>
      </c>
      <c r="Z147" s="27">
        <v>1980180</v>
      </c>
      <c r="AA147" s="27">
        <v>2015564</v>
      </c>
      <c r="AB147" s="22">
        <v>0</v>
      </c>
      <c r="AC147" s="22">
        <v>1</v>
      </c>
      <c r="AD147" s="22">
        <v>1</v>
      </c>
      <c r="AE147" s="22">
        <v>1</v>
      </c>
      <c r="AF147" s="22">
        <v>1</v>
      </c>
      <c r="AG147" s="27">
        <v>0</v>
      </c>
      <c r="AH147" s="27">
        <v>960907</v>
      </c>
      <c r="AI147" s="27">
        <v>1033254</v>
      </c>
      <c r="AJ147" s="27">
        <v>1152509</v>
      </c>
      <c r="AK147" s="27">
        <v>1215908</v>
      </c>
      <c r="AL147" s="22">
        <v>0</v>
      </c>
      <c r="AM147" s="22">
        <v>0.50666639248141865</v>
      </c>
      <c r="AN147" s="22">
        <v>0.53473195451600286</v>
      </c>
      <c r="AO147" s="22">
        <v>0.58202234140330678</v>
      </c>
      <c r="AP147" s="22">
        <v>0.60325943507623669</v>
      </c>
      <c r="AQ147" s="37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</row>
    <row r="148" spans="1:55" s="19" customFormat="1" x14ac:dyDescent="0.2">
      <c r="A148" s="18"/>
      <c r="AQ148" s="37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</row>
    <row r="149" spans="1:55" s="25" customFormat="1" x14ac:dyDescent="0.2">
      <c r="A149" s="28" t="s">
        <v>70</v>
      </c>
      <c r="B149" s="25" t="s">
        <v>10</v>
      </c>
      <c r="C149" s="25" t="s">
        <v>11</v>
      </c>
      <c r="D149" s="25" t="s">
        <v>12</v>
      </c>
      <c r="E149" s="25" t="s">
        <v>164</v>
      </c>
      <c r="F149" s="25" t="s">
        <v>195</v>
      </c>
      <c r="G149" s="25" t="s">
        <v>10</v>
      </c>
      <c r="H149" s="25" t="s">
        <v>11</v>
      </c>
      <c r="I149" s="25" t="s">
        <v>12</v>
      </c>
      <c r="J149" s="25" t="s">
        <v>164</v>
      </c>
      <c r="K149" s="25" t="s">
        <v>195</v>
      </c>
      <c r="L149" s="25" t="s">
        <v>10</v>
      </c>
      <c r="M149" s="25" t="s">
        <v>11</v>
      </c>
      <c r="N149" s="25" t="s">
        <v>12</v>
      </c>
      <c r="O149" s="25" t="s">
        <v>164</v>
      </c>
      <c r="P149" s="25" t="s">
        <v>195</v>
      </c>
      <c r="Q149" s="25" t="s">
        <v>10</v>
      </c>
      <c r="R149" s="25" t="s">
        <v>11</v>
      </c>
      <c r="S149" s="25" t="s">
        <v>12</v>
      </c>
      <c r="T149" s="25" t="s">
        <v>164</v>
      </c>
      <c r="U149" s="25" t="s">
        <v>195</v>
      </c>
      <c r="W149" s="25" t="s">
        <v>13</v>
      </c>
      <c r="X149" s="25" t="s">
        <v>14</v>
      </c>
      <c r="Y149" s="25" t="s">
        <v>15</v>
      </c>
      <c r="Z149" s="25" t="s">
        <v>16</v>
      </c>
      <c r="AA149" s="25" t="s">
        <v>165</v>
      </c>
      <c r="AB149" s="25" t="s">
        <v>13</v>
      </c>
      <c r="AC149" s="25" t="s">
        <v>14</v>
      </c>
      <c r="AD149" s="25" t="s">
        <v>15</v>
      </c>
      <c r="AE149" s="25" t="s">
        <v>16</v>
      </c>
      <c r="AF149" s="25" t="s">
        <v>165</v>
      </c>
      <c r="AG149" s="25" t="s">
        <v>13</v>
      </c>
      <c r="AH149" s="25" t="s">
        <v>14</v>
      </c>
      <c r="AI149" s="25" t="s">
        <v>15</v>
      </c>
      <c r="AJ149" s="25" t="s">
        <v>16</v>
      </c>
      <c r="AK149" s="25" t="s">
        <v>165</v>
      </c>
      <c r="AL149" s="25" t="s">
        <v>13</v>
      </c>
      <c r="AM149" s="25" t="s">
        <v>14</v>
      </c>
      <c r="AN149" s="25" t="s">
        <v>15</v>
      </c>
      <c r="AO149" s="25" t="s">
        <v>16</v>
      </c>
      <c r="AP149" s="25" t="s">
        <v>165</v>
      </c>
      <c r="AQ149" s="37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</row>
    <row r="150" spans="1:55" s="19" customFormat="1" x14ac:dyDescent="0.2">
      <c r="A150" s="18" t="s">
        <v>19</v>
      </c>
      <c r="B150" s="19">
        <v>300201</v>
      </c>
      <c r="C150" s="19">
        <v>298972</v>
      </c>
      <c r="D150" s="19">
        <v>298534</v>
      </c>
      <c r="E150" s="19">
        <v>296155</v>
      </c>
      <c r="F150" s="19">
        <v>293825</v>
      </c>
      <c r="G150" s="20">
        <v>0.38811583447858583</v>
      </c>
      <c r="H150" s="20">
        <v>0.38562303945847781</v>
      </c>
      <c r="I150" s="20">
        <v>0.38298139833226424</v>
      </c>
      <c r="J150" s="20">
        <v>0.3812342951886637</v>
      </c>
      <c r="K150" s="20">
        <v>0.37566803897000539</v>
      </c>
      <c r="L150" s="19">
        <v>242013</v>
      </c>
      <c r="M150" s="19">
        <v>241701</v>
      </c>
      <c r="N150" s="19">
        <v>242075</v>
      </c>
      <c r="O150" s="19">
        <v>241290</v>
      </c>
      <c r="P150" s="19">
        <v>241250</v>
      </c>
      <c r="Q150" s="20">
        <v>0.80616986618965292</v>
      </c>
      <c r="R150" s="20">
        <v>0.80844025527474139</v>
      </c>
      <c r="S150" s="20">
        <v>0.81087916284242334</v>
      </c>
      <c r="T150" s="20">
        <v>0.81474228022488226</v>
      </c>
      <c r="U150" s="20">
        <v>0.82106696162681869</v>
      </c>
      <c r="W150" s="19">
        <v>346447</v>
      </c>
      <c r="X150" s="19">
        <v>338664</v>
      </c>
      <c r="Y150" s="19">
        <v>323594</v>
      </c>
      <c r="Z150" s="19">
        <v>302430</v>
      </c>
      <c r="AA150" s="19">
        <v>296155</v>
      </c>
      <c r="AB150" s="20">
        <v>0.4619816912583426</v>
      </c>
      <c r="AC150" s="20">
        <v>0.44772839946853871</v>
      </c>
      <c r="AD150" s="20">
        <v>0.42547199208996611</v>
      </c>
      <c r="AE150" s="20">
        <v>0.39227258164725171</v>
      </c>
      <c r="AF150" s="20">
        <v>0.3812342951886637</v>
      </c>
      <c r="AG150" s="19">
        <v>245810</v>
      </c>
      <c r="AH150" s="19">
        <v>248038</v>
      </c>
      <c r="AI150" s="19">
        <v>244386</v>
      </c>
      <c r="AJ150" s="19">
        <v>242112</v>
      </c>
      <c r="AK150" s="19">
        <v>241290</v>
      </c>
      <c r="AL150" s="20">
        <v>0.70951689580224397</v>
      </c>
      <c r="AM150" s="20">
        <v>0.73240143623178133</v>
      </c>
      <c r="AN150" s="20">
        <v>0.75522413889009066</v>
      </c>
      <c r="AO150" s="20">
        <v>0.80055550044638424</v>
      </c>
      <c r="AP150" s="20">
        <v>0.81474228022488226</v>
      </c>
      <c r="AQ150" s="37"/>
    </row>
    <row r="151" spans="1:55" s="19" customFormat="1" x14ac:dyDescent="0.2">
      <c r="A151" s="18" t="s">
        <v>20</v>
      </c>
      <c r="B151" s="19">
        <v>50677</v>
      </c>
      <c r="C151" s="19">
        <v>51256</v>
      </c>
      <c r="D151" s="19">
        <v>50505</v>
      </c>
      <c r="E151" s="19">
        <v>49866</v>
      </c>
      <c r="F151" s="19">
        <v>52081</v>
      </c>
      <c r="G151" s="20">
        <v>6.5517923470845507E-2</v>
      </c>
      <c r="H151" s="20">
        <v>6.6111523856694734E-2</v>
      </c>
      <c r="I151" s="20">
        <v>6.4791533033996151E-2</v>
      </c>
      <c r="J151" s="20">
        <v>6.4191485417696495E-2</v>
      </c>
      <c r="K151" s="20">
        <v>6.65878231518654E-2</v>
      </c>
      <c r="L151" s="19">
        <v>49975</v>
      </c>
      <c r="M151" s="19">
        <v>50555</v>
      </c>
      <c r="N151" s="19">
        <v>49470</v>
      </c>
      <c r="O151" s="19">
        <v>49154</v>
      </c>
      <c r="P151" s="19">
        <v>51272</v>
      </c>
      <c r="Q151" s="20">
        <v>0.98614756201037945</v>
      </c>
      <c r="R151" s="20">
        <v>0.98632355236460123</v>
      </c>
      <c r="S151" s="20">
        <v>0.97950697950697951</v>
      </c>
      <c r="T151" s="20">
        <v>0.98572173424778409</v>
      </c>
      <c r="U151" s="20">
        <v>0.98446650409938363</v>
      </c>
      <c r="W151" s="19">
        <v>32230</v>
      </c>
      <c r="X151" s="19">
        <v>37581</v>
      </c>
      <c r="Y151" s="19">
        <v>36191</v>
      </c>
      <c r="Z151" s="19">
        <v>49854</v>
      </c>
      <c r="AA151" s="19">
        <v>49866</v>
      </c>
      <c r="AB151" s="20">
        <v>4.2978204196475599E-2</v>
      </c>
      <c r="AC151" s="20">
        <v>4.968370119182184E-2</v>
      </c>
      <c r="AD151" s="20">
        <v>4.7585112411626801E-2</v>
      </c>
      <c r="AE151" s="20">
        <v>6.4664078581629092E-2</v>
      </c>
      <c r="AF151" s="20">
        <v>6.4191485417696495E-2</v>
      </c>
      <c r="AG151" s="19">
        <v>30878</v>
      </c>
      <c r="AH151" s="19">
        <v>35801</v>
      </c>
      <c r="AI151" s="19">
        <v>35458</v>
      </c>
      <c r="AJ151" s="19">
        <v>49275</v>
      </c>
      <c r="AK151" s="19">
        <v>49154</v>
      </c>
      <c r="AL151" s="20">
        <v>0.958051504809184</v>
      </c>
      <c r="AM151" s="20">
        <v>0.952635640350177</v>
      </c>
      <c r="AN151" s="20">
        <v>0.97974634577657427</v>
      </c>
      <c r="AO151" s="20">
        <v>0.98838608737513545</v>
      </c>
      <c r="AP151" s="20">
        <v>0.98572173424778409</v>
      </c>
      <c r="AQ151" s="37"/>
    </row>
    <row r="152" spans="1:55" s="19" customFormat="1" x14ac:dyDescent="0.2">
      <c r="A152" s="18" t="s">
        <v>21</v>
      </c>
      <c r="B152" s="19">
        <v>6266</v>
      </c>
      <c r="C152" s="19">
        <v>6128</v>
      </c>
      <c r="D152" s="19">
        <v>6284</v>
      </c>
      <c r="E152" s="19">
        <v>6284</v>
      </c>
      <c r="F152" s="19">
        <v>5898</v>
      </c>
      <c r="G152" s="20">
        <v>8.1010183804944638E-3</v>
      </c>
      <c r="H152" s="20">
        <v>7.9040779263661876E-3</v>
      </c>
      <c r="I152" s="20">
        <v>8.061577934573445E-3</v>
      </c>
      <c r="J152" s="20">
        <v>8.0892651178118315E-3</v>
      </c>
      <c r="K152" s="20">
        <v>7.5408494642902803E-3</v>
      </c>
      <c r="L152" s="19">
        <v>6199</v>
      </c>
      <c r="M152" s="19">
        <v>6056</v>
      </c>
      <c r="N152" s="19">
        <v>6180</v>
      </c>
      <c r="O152" s="19">
        <v>6184</v>
      </c>
      <c r="P152" s="19">
        <v>5803</v>
      </c>
      <c r="Q152" s="20">
        <v>0.98930737312480055</v>
      </c>
      <c r="R152" s="20">
        <v>0.98825065274151436</v>
      </c>
      <c r="S152" s="20">
        <v>0.98345003182686186</v>
      </c>
      <c r="T152" s="20">
        <v>0.98408656906429026</v>
      </c>
      <c r="U152" s="20">
        <v>0.9838928450322143</v>
      </c>
      <c r="W152" s="19">
        <v>0</v>
      </c>
      <c r="X152" s="19">
        <v>1643</v>
      </c>
      <c r="Y152" s="19">
        <v>3771</v>
      </c>
      <c r="Z152" s="19">
        <v>5737</v>
      </c>
      <c r="AA152" s="19">
        <v>6284</v>
      </c>
      <c r="AB152" s="20">
        <v>0</v>
      </c>
      <c r="AC152" s="20">
        <v>2.1721167892861629E-3</v>
      </c>
      <c r="AD152" s="20">
        <v>4.9582343373834568E-3</v>
      </c>
      <c r="AE152" s="20">
        <v>7.4412849284471883E-3</v>
      </c>
      <c r="AF152" s="20">
        <v>8.0892651178118315E-3</v>
      </c>
      <c r="AG152" s="19">
        <v>0</v>
      </c>
      <c r="AH152" s="19">
        <v>1639</v>
      </c>
      <c r="AI152" s="19">
        <v>3730</v>
      </c>
      <c r="AJ152" s="19">
        <v>5678</v>
      </c>
      <c r="AK152" s="19">
        <v>6184</v>
      </c>
      <c r="AL152" s="20">
        <v>0</v>
      </c>
      <c r="AM152" s="20">
        <v>0.99756542909312229</v>
      </c>
      <c r="AN152" s="20">
        <v>0.9891275523733758</v>
      </c>
      <c r="AO152" s="20">
        <v>0.98971587937946659</v>
      </c>
      <c r="AP152" s="20">
        <v>0.98408656906429026</v>
      </c>
      <c r="AQ152" s="37"/>
    </row>
    <row r="153" spans="1:55" s="19" customFormat="1" x14ac:dyDescent="0.2">
      <c r="A153" s="18" t="s">
        <v>26</v>
      </c>
      <c r="B153" s="19">
        <v>1917</v>
      </c>
      <c r="C153" s="19">
        <v>1958</v>
      </c>
      <c r="D153" s="19">
        <v>1975</v>
      </c>
      <c r="E153" s="19">
        <v>1992</v>
      </c>
      <c r="F153" s="19">
        <v>1948</v>
      </c>
      <c r="G153" s="20">
        <v>2.4783996545496151E-3</v>
      </c>
      <c r="H153" s="20">
        <v>2.5254870397886744E-3</v>
      </c>
      <c r="I153" s="20">
        <v>2.5336754329698527E-3</v>
      </c>
      <c r="J153" s="20">
        <v>2.5642609985170538E-3</v>
      </c>
      <c r="K153" s="20">
        <v>2.4906027053980106E-3</v>
      </c>
      <c r="L153" s="19">
        <v>1910</v>
      </c>
      <c r="M153" s="19">
        <v>1950</v>
      </c>
      <c r="N153" s="19">
        <v>1967</v>
      </c>
      <c r="O153" s="19">
        <v>1988</v>
      </c>
      <c r="P153" s="19">
        <v>1946</v>
      </c>
      <c r="Q153" s="20">
        <v>0.99634846113719355</v>
      </c>
      <c r="R153" s="20">
        <v>0.99591419816138915</v>
      </c>
      <c r="S153" s="20">
        <v>0.9959493670886076</v>
      </c>
      <c r="T153" s="20">
        <v>0.99799196787148592</v>
      </c>
      <c r="U153" s="20">
        <v>0.99897330595482547</v>
      </c>
      <c r="W153" s="19">
        <v>797</v>
      </c>
      <c r="X153" s="19">
        <v>1424</v>
      </c>
      <c r="Y153" s="19">
        <v>592</v>
      </c>
      <c r="Z153" s="19">
        <v>1893</v>
      </c>
      <c r="AA153" s="19">
        <v>1992</v>
      </c>
      <c r="AB153" s="20">
        <v>1.0627871158731322E-3</v>
      </c>
      <c r="AC153" s="20">
        <v>1.8825893535870334E-3</v>
      </c>
      <c r="AD153" s="20">
        <v>7.7838099382948991E-4</v>
      </c>
      <c r="AE153" s="20">
        <v>2.4553516418948105E-3</v>
      </c>
      <c r="AF153" s="20">
        <v>2.5642609985170538E-3</v>
      </c>
      <c r="AG153" s="19">
        <v>797</v>
      </c>
      <c r="AH153" s="19">
        <v>1423</v>
      </c>
      <c r="AI153" s="19">
        <v>581</v>
      </c>
      <c r="AJ153" s="19">
        <v>1885</v>
      </c>
      <c r="AK153" s="19">
        <v>1988</v>
      </c>
      <c r="AL153" s="20">
        <v>1</v>
      </c>
      <c r="AM153" s="20">
        <v>0.9992977528089888</v>
      </c>
      <c r="AN153" s="20">
        <v>0.98141891891891897</v>
      </c>
      <c r="AO153" s="20">
        <v>0.9957739038563127</v>
      </c>
      <c r="AP153" s="20">
        <v>0.99799196787148592</v>
      </c>
      <c r="AQ153" s="37"/>
    </row>
    <row r="154" spans="1:55" s="19" customFormat="1" x14ac:dyDescent="0.2">
      <c r="A154" s="18" t="s">
        <v>28</v>
      </c>
      <c r="B154" s="19">
        <v>4725</v>
      </c>
      <c r="C154" s="19">
        <v>4675</v>
      </c>
      <c r="D154" s="19">
        <v>4785</v>
      </c>
      <c r="E154" s="19">
        <v>4676</v>
      </c>
      <c r="F154" s="19">
        <v>4517</v>
      </c>
      <c r="G154" s="20">
        <v>6.1087315429039814E-3</v>
      </c>
      <c r="H154" s="20">
        <v>6.0299550107313854E-3</v>
      </c>
      <c r="I154" s="20">
        <v>6.1385503527902506E-3</v>
      </c>
      <c r="J154" s="20">
        <v>6.0193194925028835E-3</v>
      </c>
      <c r="K154" s="20">
        <v>5.7751809139028817E-3</v>
      </c>
      <c r="L154" s="19">
        <v>4621</v>
      </c>
      <c r="M154" s="19">
        <v>4611</v>
      </c>
      <c r="N154" s="19">
        <v>4711</v>
      </c>
      <c r="O154" s="19">
        <v>4601</v>
      </c>
      <c r="P154" s="19">
        <v>4437</v>
      </c>
      <c r="Q154" s="20">
        <v>0.97798941798941796</v>
      </c>
      <c r="R154" s="20">
        <v>0.9863101604278075</v>
      </c>
      <c r="S154" s="20">
        <v>0.98453500522466042</v>
      </c>
      <c r="T154" s="20">
        <v>0.9839606501283148</v>
      </c>
      <c r="U154" s="20">
        <v>0.98228912995350892</v>
      </c>
      <c r="W154" s="19">
        <v>2734</v>
      </c>
      <c r="X154" s="19">
        <v>4635</v>
      </c>
      <c r="Y154" s="19">
        <v>5150</v>
      </c>
      <c r="Z154" s="19">
        <v>4832</v>
      </c>
      <c r="AA154" s="19">
        <v>4676</v>
      </c>
      <c r="AB154" s="20">
        <v>3.6457465179386998E-3</v>
      </c>
      <c r="AC154" s="20">
        <v>6.1276697007555479E-3</v>
      </c>
      <c r="AD154" s="20">
        <v>6.7713887132126232E-3</v>
      </c>
      <c r="AE154" s="20">
        <v>6.2674374715455481E-3</v>
      </c>
      <c r="AF154" s="20">
        <v>6.0193194925028835E-3</v>
      </c>
      <c r="AG154" s="19">
        <v>2728</v>
      </c>
      <c r="AH154" s="19">
        <v>4598</v>
      </c>
      <c r="AI154" s="19">
        <v>5050</v>
      </c>
      <c r="AJ154" s="19">
        <v>4745</v>
      </c>
      <c r="AK154" s="19">
        <v>4601</v>
      </c>
      <c r="AL154" s="20">
        <v>0.99780541331382588</v>
      </c>
      <c r="AM154" s="20">
        <v>0.99201725997842505</v>
      </c>
      <c r="AN154" s="20">
        <v>0.98058252427184467</v>
      </c>
      <c r="AO154" s="20">
        <v>0.98199503311258274</v>
      </c>
      <c r="AP154" s="20">
        <v>0.9839606501283148</v>
      </c>
      <c r="AQ154" s="37"/>
    </row>
    <row r="155" spans="1:55" s="19" customFormat="1" x14ac:dyDescent="0.2">
      <c r="A155" s="18" t="s">
        <v>29</v>
      </c>
      <c r="B155" s="19">
        <v>23</v>
      </c>
      <c r="C155" s="19">
        <v>395</v>
      </c>
      <c r="D155" s="19">
        <v>1249</v>
      </c>
      <c r="E155" s="19">
        <v>1566</v>
      </c>
      <c r="F155" s="19">
        <v>1991</v>
      </c>
      <c r="G155" s="20">
        <v>2.9735624441649009E-5</v>
      </c>
      <c r="H155" s="20">
        <v>5.0948282978372135E-4</v>
      </c>
      <c r="I155" s="20">
        <v>1.6023091725465041E-3</v>
      </c>
      <c r="J155" s="20">
        <v>2.0158798813643105E-3</v>
      </c>
      <c r="K155" s="20">
        <v>2.545580075178357E-3</v>
      </c>
      <c r="L155" s="19">
        <v>23</v>
      </c>
      <c r="M155" s="19">
        <v>394</v>
      </c>
      <c r="N155" s="19">
        <v>1248</v>
      </c>
      <c r="O155" s="19">
        <v>1553</v>
      </c>
      <c r="P155" s="19">
        <v>1978</v>
      </c>
      <c r="Q155" s="20">
        <v>1</v>
      </c>
      <c r="R155" s="20">
        <v>0.99746835443037973</v>
      </c>
      <c r="S155" s="20">
        <v>0.99919935948759009</v>
      </c>
      <c r="T155" s="20">
        <v>0.99169859514687098</v>
      </c>
      <c r="U155" s="20">
        <v>0.99347061778001</v>
      </c>
      <c r="W155" s="19">
        <v>0</v>
      </c>
      <c r="X155" s="19">
        <v>0</v>
      </c>
      <c r="Y155" s="19">
        <v>0</v>
      </c>
      <c r="Z155" s="19">
        <v>13</v>
      </c>
      <c r="AA155" s="19">
        <v>1566</v>
      </c>
      <c r="AB155" s="20">
        <v>0</v>
      </c>
      <c r="AC155" s="20">
        <v>0</v>
      </c>
      <c r="AD155" s="20">
        <v>0</v>
      </c>
      <c r="AE155" s="20">
        <v>1.6861897170962776E-5</v>
      </c>
      <c r="AF155" s="20">
        <v>2.0158798813643105E-3</v>
      </c>
      <c r="AG155" s="19">
        <v>0</v>
      </c>
      <c r="AH155" s="19">
        <v>0</v>
      </c>
      <c r="AI155" s="19">
        <v>0</v>
      </c>
      <c r="AJ155" s="19">
        <v>13</v>
      </c>
      <c r="AK155" s="19">
        <v>1553</v>
      </c>
      <c r="AL155" s="20">
        <v>0</v>
      </c>
      <c r="AM155" s="20">
        <v>0</v>
      </c>
      <c r="AN155" s="20">
        <v>0</v>
      </c>
      <c r="AO155" s="20">
        <v>1</v>
      </c>
      <c r="AP155" s="20">
        <v>0.99169859514687098</v>
      </c>
      <c r="AQ155" s="37"/>
    </row>
    <row r="156" spans="1:55" s="19" customFormat="1" x14ac:dyDescent="0.2">
      <c r="A156" s="18" t="s">
        <v>30</v>
      </c>
      <c r="B156" s="19">
        <v>66517</v>
      </c>
      <c r="C156" s="19">
        <v>64952</v>
      </c>
      <c r="D156" s="19">
        <v>66435</v>
      </c>
      <c r="E156" s="19">
        <v>60857</v>
      </c>
      <c r="F156" s="19">
        <v>59618</v>
      </c>
      <c r="G156" s="20">
        <v>8.5996718738485523E-2</v>
      </c>
      <c r="H156" s="20">
        <v>8.3777034835727252E-2</v>
      </c>
      <c r="I156" s="20">
        <v>8.5227710070558044E-2</v>
      </c>
      <c r="J156" s="20">
        <v>7.8339975696160816E-2</v>
      </c>
      <c r="K156" s="20">
        <v>7.6224205385225147E-2</v>
      </c>
      <c r="L156" s="19">
        <v>65723</v>
      </c>
      <c r="M156" s="19">
        <v>64117</v>
      </c>
      <c r="N156" s="19">
        <v>65497</v>
      </c>
      <c r="O156" s="19">
        <v>59992</v>
      </c>
      <c r="P156" s="19">
        <v>58708</v>
      </c>
      <c r="Q156" s="20">
        <v>0.98806320188823915</v>
      </c>
      <c r="R156" s="20">
        <v>0.9871443527528021</v>
      </c>
      <c r="S156" s="20">
        <v>0.98588093625348083</v>
      </c>
      <c r="T156" s="20">
        <v>0.98578635161115402</v>
      </c>
      <c r="U156" s="20">
        <v>0.98473615351068466</v>
      </c>
      <c r="W156" s="19">
        <v>79689</v>
      </c>
      <c r="X156" s="19">
        <v>80216</v>
      </c>
      <c r="Y156" s="19">
        <v>79089</v>
      </c>
      <c r="Z156" s="19">
        <v>69346</v>
      </c>
      <c r="AA156" s="19">
        <v>60857</v>
      </c>
      <c r="AB156" s="20">
        <v>0.10626404325823594</v>
      </c>
      <c r="AC156" s="20">
        <v>0.10604900813717519</v>
      </c>
      <c r="AD156" s="20">
        <v>0.10398880814354818</v>
      </c>
      <c r="AE156" s="20">
        <v>8.9946547785968042E-2</v>
      </c>
      <c r="AF156" s="20">
        <v>7.8339975696160816E-2</v>
      </c>
      <c r="AG156" s="19">
        <v>78691</v>
      </c>
      <c r="AH156" s="19">
        <v>79282</v>
      </c>
      <c r="AI156" s="19">
        <v>78117</v>
      </c>
      <c r="AJ156" s="19">
        <v>68546</v>
      </c>
      <c r="AK156" s="19">
        <v>59992</v>
      </c>
      <c r="AL156" s="20">
        <v>0.98747631417134107</v>
      </c>
      <c r="AM156" s="20">
        <v>0.98835643761843028</v>
      </c>
      <c r="AN156" s="20">
        <v>0.98771004817357655</v>
      </c>
      <c r="AO156" s="20">
        <v>0.98846364606466131</v>
      </c>
      <c r="AP156" s="20">
        <v>0.98578635161115402</v>
      </c>
      <c r="AQ156" s="37"/>
    </row>
    <row r="157" spans="1:55" s="19" customFormat="1" x14ac:dyDescent="0.2">
      <c r="A157" s="18" t="s">
        <v>37</v>
      </c>
      <c r="B157" s="19">
        <v>33287</v>
      </c>
      <c r="C157" s="19">
        <v>33832</v>
      </c>
      <c r="D157" s="19">
        <v>35687</v>
      </c>
      <c r="E157" s="19">
        <v>36694</v>
      </c>
      <c r="F157" s="19">
        <v>38006</v>
      </c>
      <c r="G157" s="20">
        <v>4.3035205686485674E-2</v>
      </c>
      <c r="H157" s="20">
        <v>4.3637526828462933E-2</v>
      </c>
      <c r="I157" s="20">
        <v>4.5781911481719048E-2</v>
      </c>
      <c r="J157" s="20">
        <v>4.7235438292964248E-2</v>
      </c>
      <c r="K157" s="20">
        <v>4.8592323624926485E-2</v>
      </c>
      <c r="L157" s="19">
        <v>32663</v>
      </c>
      <c r="M157" s="19">
        <v>33305</v>
      </c>
      <c r="N157" s="19">
        <v>35214</v>
      </c>
      <c r="O157" s="19">
        <v>36613</v>
      </c>
      <c r="P157" s="19">
        <v>37928</v>
      </c>
      <c r="Q157" s="20">
        <v>0.9812539429807432</v>
      </c>
      <c r="R157" s="20">
        <v>0.98442303144951526</v>
      </c>
      <c r="S157" s="20">
        <v>0.98674587384761958</v>
      </c>
      <c r="T157" s="20">
        <v>0.99779255464108574</v>
      </c>
      <c r="U157" s="20">
        <v>0.99794769246961001</v>
      </c>
      <c r="W157" s="19">
        <v>42535</v>
      </c>
      <c r="X157" s="19">
        <v>40617</v>
      </c>
      <c r="Y157" s="19">
        <v>40522</v>
      </c>
      <c r="Z157" s="19">
        <v>33676</v>
      </c>
      <c r="AA157" s="19">
        <v>36694</v>
      </c>
      <c r="AB157" s="20">
        <v>5.6719761572978269E-2</v>
      </c>
      <c r="AC157" s="20">
        <v>5.369742399904813E-2</v>
      </c>
      <c r="AD157" s="20">
        <v>5.3279653094524641E-2</v>
      </c>
      <c r="AE157" s="20">
        <v>4.3680096086872497E-2</v>
      </c>
      <c r="AF157" s="20">
        <v>4.7235438292964248E-2</v>
      </c>
      <c r="AG157" s="19">
        <v>40307</v>
      </c>
      <c r="AH157" s="19">
        <v>38313</v>
      </c>
      <c r="AI157" s="19">
        <v>39170</v>
      </c>
      <c r="AJ157" s="19">
        <v>32983</v>
      </c>
      <c r="AK157" s="19">
        <v>36613</v>
      </c>
      <c r="AL157" s="20">
        <v>0.94761960738215589</v>
      </c>
      <c r="AM157" s="20">
        <v>0.94327498338134275</v>
      </c>
      <c r="AN157" s="20">
        <v>0.96663540792655844</v>
      </c>
      <c r="AO157" s="20">
        <v>0.97942154650195989</v>
      </c>
      <c r="AP157" s="20">
        <v>0.99779255464108574</v>
      </c>
      <c r="AQ157" s="37"/>
    </row>
    <row r="158" spans="1:55" s="19" customFormat="1" x14ac:dyDescent="0.2">
      <c r="A158" s="18" t="s">
        <v>39</v>
      </c>
      <c r="B158" s="19">
        <v>0</v>
      </c>
      <c r="C158" s="19">
        <v>0</v>
      </c>
      <c r="D158" s="19">
        <v>0</v>
      </c>
      <c r="E158" s="19">
        <v>0</v>
      </c>
      <c r="F158" s="19">
        <v>48</v>
      </c>
      <c r="G158" s="20">
        <v>0</v>
      </c>
      <c r="H158" s="20">
        <v>0</v>
      </c>
      <c r="I158" s="20">
        <v>0</v>
      </c>
      <c r="J158" s="20">
        <v>0</v>
      </c>
      <c r="K158" s="20">
        <v>6.1370087196665555E-5</v>
      </c>
      <c r="L158" s="19">
        <v>0</v>
      </c>
      <c r="M158" s="19">
        <v>0</v>
      </c>
      <c r="N158" s="19">
        <v>0</v>
      </c>
      <c r="O158" s="19">
        <v>0</v>
      </c>
      <c r="P158" s="19">
        <v>48</v>
      </c>
      <c r="Q158" s="20">
        <v>0</v>
      </c>
      <c r="R158" s="20">
        <v>0</v>
      </c>
      <c r="S158" s="20">
        <v>0</v>
      </c>
      <c r="T158" s="20">
        <v>0</v>
      </c>
      <c r="U158" s="20">
        <v>1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37"/>
    </row>
    <row r="159" spans="1:55" s="19" customFormat="1" x14ac:dyDescent="0.2">
      <c r="A159" s="18" t="s">
        <v>40</v>
      </c>
      <c r="B159" s="19">
        <v>3488</v>
      </c>
      <c r="C159" s="19">
        <v>3628</v>
      </c>
      <c r="D159" s="19">
        <v>3699</v>
      </c>
      <c r="E159" s="19">
        <v>3703</v>
      </c>
      <c r="F159" s="19">
        <v>3894</v>
      </c>
      <c r="G159" s="20">
        <v>4.5094720892379014E-3</v>
      </c>
      <c r="H159" s="20">
        <v>4.6795030543173187E-3</v>
      </c>
      <c r="I159" s="20">
        <v>4.7453495830660679E-3</v>
      </c>
      <c r="J159" s="20">
        <v>4.7667964244521334E-3</v>
      </c>
      <c r="K159" s="20">
        <v>4.9786483238294932E-3</v>
      </c>
      <c r="L159" s="19">
        <v>3373</v>
      </c>
      <c r="M159" s="19">
        <v>3507</v>
      </c>
      <c r="N159" s="19">
        <v>3687</v>
      </c>
      <c r="O159" s="19">
        <v>3692</v>
      </c>
      <c r="P159" s="19">
        <v>3882</v>
      </c>
      <c r="Q159" s="20">
        <v>0.96702981651376152</v>
      </c>
      <c r="R159" s="20">
        <v>0.96664829106945971</v>
      </c>
      <c r="S159" s="20">
        <v>0.99675587996755877</v>
      </c>
      <c r="T159" s="20">
        <v>0.99702943559276258</v>
      </c>
      <c r="U159" s="20">
        <v>0.99691833590138679</v>
      </c>
      <c r="W159" s="19">
        <v>5502</v>
      </c>
      <c r="X159" s="19">
        <v>5369</v>
      </c>
      <c r="Y159" s="19">
        <v>4776</v>
      </c>
      <c r="Z159" s="19">
        <v>3611</v>
      </c>
      <c r="AA159" s="19">
        <v>3703</v>
      </c>
      <c r="AB159" s="20">
        <v>7.336831507570858E-3</v>
      </c>
      <c r="AC159" s="20">
        <v>7.098049325427516E-3</v>
      </c>
      <c r="AD159" s="20">
        <v>6.2796412610298035E-3</v>
      </c>
      <c r="AE159" s="20">
        <v>4.683716206488199E-3</v>
      </c>
      <c r="AF159" s="20">
        <v>4.7667964244521334E-3</v>
      </c>
      <c r="AG159" s="19">
        <v>5415</v>
      </c>
      <c r="AH159" s="19">
        <v>5259</v>
      </c>
      <c r="AI159" s="19">
        <v>4665</v>
      </c>
      <c r="AJ159" s="19">
        <v>3492</v>
      </c>
      <c r="AK159" s="19">
        <v>3692</v>
      </c>
      <c r="AL159" s="20">
        <v>0.98418756815703379</v>
      </c>
      <c r="AM159" s="20">
        <v>0.97951201341031846</v>
      </c>
      <c r="AN159" s="20">
        <v>0.97675879396984921</v>
      </c>
      <c r="AO159" s="20">
        <v>0.96704513985045693</v>
      </c>
      <c r="AP159" s="20">
        <v>0.99702943559276258</v>
      </c>
      <c r="AQ159" s="37"/>
    </row>
    <row r="160" spans="1:55" s="19" customFormat="1" x14ac:dyDescent="0.2">
      <c r="A160" s="18" t="s">
        <v>41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W160" s="19">
        <v>0</v>
      </c>
      <c r="X160" s="19">
        <v>1</v>
      </c>
      <c r="Y160" s="19">
        <v>0</v>
      </c>
      <c r="Z160" s="19">
        <v>0</v>
      </c>
      <c r="AA160" s="19">
        <v>0</v>
      </c>
      <c r="AB160" s="20">
        <v>0</v>
      </c>
      <c r="AC160" s="20">
        <v>1.3220430853841526E-6</v>
      </c>
      <c r="AD160" s="20">
        <v>0</v>
      </c>
      <c r="AE160" s="20">
        <v>0</v>
      </c>
      <c r="AF160" s="20">
        <v>0</v>
      </c>
      <c r="AG160" s="19">
        <v>0</v>
      </c>
      <c r="AH160" s="19">
        <v>1</v>
      </c>
      <c r="AI160" s="19">
        <v>0</v>
      </c>
      <c r="AJ160" s="19">
        <v>0</v>
      </c>
      <c r="AK160" s="19">
        <v>0</v>
      </c>
      <c r="AL160" s="20">
        <v>0</v>
      </c>
      <c r="AM160" s="20">
        <v>1</v>
      </c>
      <c r="AN160" s="20">
        <v>0</v>
      </c>
      <c r="AO160" s="20">
        <v>0</v>
      </c>
      <c r="AP160" s="20">
        <v>0</v>
      </c>
      <c r="AQ160" s="37"/>
    </row>
    <row r="161" spans="1:55" s="19" customFormat="1" x14ac:dyDescent="0.2">
      <c r="A161" s="18" t="s">
        <v>43</v>
      </c>
      <c r="B161" s="19">
        <v>202690</v>
      </c>
      <c r="C161" s="19">
        <v>203537</v>
      </c>
      <c r="D161" s="19">
        <v>202232</v>
      </c>
      <c r="E161" s="19">
        <v>203273</v>
      </c>
      <c r="F161" s="19">
        <v>207374</v>
      </c>
      <c r="G161" s="20">
        <v>0.26204842252512339</v>
      </c>
      <c r="H161" s="20">
        <v>0.26252811829288425</v>
      </c>
      <c r="I161" s="20">
        <v>0.25943810134701734</v>
      </c>
      <c r="J161" s="20">
        <v>0.26166918973471742</v>
      </c>
      <c r="K161" s="20">
        <v>0.26513667629836091</v>
      </c>
      <c r="L161" s="19">
        <v>195691</v>
      </c>
      <c r="M161" s="19">
        <v>196548</v>
      </c>
      <c r="N161" s="19">
        <v>194959</v>
      </c>
      <c r="O161" s="19">
        <v>196089</v>
      </c>
      <c r="P161" s="19">
        <v>200644</v>
      </c>
      <c r="Q161" s="20">
        <v>0.96546943608466129</v>
      </c>
      <c r="R161" s="20">
        <v>0.96566226288095036</v>
      </c>
      <c r="S161" s="20">
        <v>0.96403635428616641</v>
      </c>
      <c r="T161" s="20">
        <v>0.96465836584297959</v>
      </c>
      <c r="U161" s="20">
        <v>0.96754655839208392</v>
      </c>
      <c r="W161" s="19">
        <v>147810</v>
      </c>
      <c r="X161" s="19">
        <v>153163</v>
      </c>
      <c r="Y161" s="19">
        <v>171390</v>
      </c>
      <c r="Z161" s="19">
        <v>197667</v>
      </c>
      <c r="AA161" s="19">
        <v>203273</v>
      </c>
      <c r="AB161" s="20">
        <v>0.19710233826500337</v>
      </c>
      <c r="AC161" s="20">
        <v>0.20248808508669297</v>
      </c>
      <c r="AD161" s="20">
        <v>0.22534918671019641</v>
      </c>
      <c r="AE161" s="20">
        <v>0.25638774062251529</v>
      </c>
      <c r="AF161" s="20">
        <v>0.26166918973471742</v>
      </c>
      <c r="AG161" s="19">
        <v>139881</v>
      </c>
      <c r="AH161" s="19">
        <v>145842</v>
      </c>
      <c r="AI161" s="19">
        <v>163886</v>
      </c>
      <c r="AJ161" s="19">
        <v>191016</v>
      </c>
      <c r="AK161" s="19">
        <v>196089</v>
      </c>
      <c r="AL161" s="20">
        <v>0.94635680941749545</v>
      </c>
      <c r="AM161" s="20">
        <v>0.95220124964906672</v>
      </c>
      <c r="AN161" s="20">
        <v>0.95621681545014292</v>
      </c>
      <c r="AO161" s="20">
        <v>0.96635250193507261</v>
      </c>
      <c r="AP161" s="20">
        <v>0.96465836584297959</v>
      </c>
      <c r="AQ161" s="37"/>
    </row>
    <row r="162" spans="1:55" s="19" customFormat="1" x14ac:dyDescent="0.2">
      <c r="A162" s="18" t="s">
        <v>44</v>
      </c>
      <c r="B162" s="19">
        <v>2</v>
      </c>
      <c r="C162" s="19">
        <v>2</v>
      </c>
      <c r="D162" s="19">
        <v>2</v>
      </c>
      <c r="E162" s="19">
        <v>2</v>
      </c>
      <c r="F162" s="19">
        <v>2</v>
      </c>
      <c r="G162" s="20">
        <v>2.5857064731868705E-6</v>
      </c>
      <c r="H162" s="20">
        <v>2.5796598976390954E-6</v>
      </c>
      <c r="I162" s="20">
        <v>2.5657472738935216E-6</v>
      </c>
      <c r="J162" s="20">
        <v>2.5745592354588893E-6</v>
      </c>
      <c r="K162" s="20">
        <v>2.5570869665277316E-6</v>
      </c>
      <c r="L162" s="19">
        <v>2</v>
      </c>
      <c r="M162" s="19">
        <v>2</v>
      </c>
      <c r="N162" s="19">
        <v>2</v>
      </c>
      <c r="O162" s="19">
        <v>2</v>
      </c>
      <c r="P162" s="19">
        <v>2</v>
      </c>
      <c r="Q162" s="20">
        <v>1</v>
      </c>
      <c r="R162" s="20">
        <v>1</v>
      </c>
      <c r="S162" s="20">
        <v>1</v>
      </c>
      <c r="T162" s="20">
        <v>1</v>
      </c>
      <c r="U162" s="20">
        <v>1</v>
      </c>
      <c r="W162" s="19">
        <v>0</v>
      </c>
      <c r="X162" s="19">
        <v>0</v>
      </c>
      <c r="Y162" s="19">
        <v>1</v>
      </c>
      <c r="Z162" s="19">
        <v>2</v>
      </c>
      <c r="AA162" s="19">
        <v>2</v>
      </c>
      <c r="AB162" s="20">
        <v>0</v>
      </c>
      <c r="AC162" s="20">
        <v>0</v>
      </c>
      <c r="AD162" s="20">
        <v>1.3148327598471113E-6</v>
      </c>
      <c r="AE162" s="20">
        <v>2.5941380263019655E-6</v>
      </c>
      <c r="AF162" s="20">
        <v>2.5745592354588893E-6</v>
      </c>
      <c r="AG162" s="19">
        <v>0</v>
      </c>
      <c r="AH162" s="19">
        <v>0</v>
      </c>
      <c r="AI162" s="19">
        <v>1</v>
      </c>
      <c r="AJ162" s="19">
        <v>2</v>
      </c>
      <c r="AK162" s="19">
        <v>2</v>
      </c>
      <c r="AL162" s="20">
        <v>0</v>
      </c>
      <c r="AM162" s="20">
        <v>0</v>
      </c>
      <c r="AN162" s="20">
        <v>1</v>
      </c>
      <c r="AO162" s="20">
        <v>1</v>
      </c>
      <c r="AP162" s="20">
        <v>1</v>
      </c>
      <c r="AQ162" s="37"/>
    </row>
    <row r="163" spans="1:55" s="19" customFormat="1" x14ac:dyDescent="0.2">
      <c r="A163" s="18" t="s">
        <v>46</v>
      </c>
      <c r="B163" s="19">
        <v>0</v>
      </c>
      <c r="C163" s="19">
        <v>0</v>
      </c>
      <c r="D163" s="19">
        <v>2</v>
      </c>
      <c r="E163" s="19">
        <v>49</v>
      </c>
      <c r="F163" s="19">
        <v>141</v>
      </c>
      <c r="G163" s="20">
        <v>0</v>
      </c>
      <c r="H163" s="20">
        <v>0</v>
      </c>
      <c r="I163" s="20">
        <v>2.5657472738935216E-6</v>
      </c>
      <c r="J163" s="20">
        <v>6.3076701268742786E-5</v>
      </c>
      <c r="K163" s="20">
        <v>1.8027463114020508E-4</v>
      </c>
      <c r="L163" s="19">
        <v>0</v>
      </c>
      <c r="M163" s="19">
        <v>0</v>
      </c>
      <c r="N163" s="19">
        <v>2</v>
      </c>
      <c r="O163" s="19">
        <v>49</v>
      </c>
      <c r="P163" s="19">
        <v>141</v>
      </c>
      <c r="Q163" s="20">
        <v>0</v>
      </c>
      <c r="R163" s="20">
        <v>0</v>
      </c>
      <c r="S163" s="20">
        <v>1</v>
      </c>
      <c r="T163" s="20">
        <v>1</v>
      </c>
      <c r="U163" s="20">
        <v>1</v>
      </c>
      <c r="W163" s="19">
        <v>0</v>
      </c>
      <c r="X163" s="19">
        <v>0</v>
      </c>
      <c r="Y163" s="19">
        <v>0</v>
      </c>
      <c r="Z163" s="19">
        <v>0</v>
      </c>
      <c r="AA163" s="19">
        <v>49</v>
      </c>
      <c r="AB163" s="20">
        <v>0</v>
      </c>
      <c r="AC163" s="20">
        <v>0</v>
      </c>
      <c r="AD163" s="20">
        <v>0</v>
      </c>
      <c r="AE163" s="20">
        <v>0</v>
      </c>
      <c r="AF163" s="20">
        <v>6.3076701268742786E-5</v>
      </c>
      <c r="AG163" s="19">
        <v>0</v>
      </c>
      <c r="AH163" s="19">
        <v>0</v>
      </c>
      <c r="AI163" s="19">
        <v>0</v>
      </c>
      <c r="AJ163" s="19">
        <v>0</v>
      </c>
      <c r="AK163" s="19">
        <v>49</v>
      </c>
      <c r="AL163" s="20">
        <v>0</v>
      </c>
      <c r="AM163" s="20">
        <v>0</v>
      </c>
      <c r="AN163" s="20">
        <v>0</v>
      </c>
      <c r="AO163" s="20">
        <v>0</v>
      </c>
      <c r="AP163" s="20">
        <v>1</v>
      </c>
      <c r="AQ163" s="37"/>
    </row>
    <row r="164" spans="1:55" s="19" customFormat="1" x14ac:dyDescent="0.2">
      <c r="A164" s="18" t="s">
        <v>126</v>
      </c>
      <c r="B164" s="19">
        <v>18832</v>
      </c>
      <c r="C164" s="19">
        <v>20385</v>
      </c>
      <c r="D164" s="19">
        <v>21084</v>
      </c>
      <c r="E164" s="19">
        <v>20924</v>
      </c>
      <c r="F164" s="19">
        <v>20706</v>
      </c>
      <c r="G164" s="20">
        <v>2.4347012151527569E-2</v>
      </c>
      <c r="H164" s="20">
        <v>2.6293183506686479E-2</v>
      </c>
      <c r="I164" s="20">
        <v>2.7048107761385505E-2</v>
      </c>
      <c r="J164" s="20">
        <v>2.6935038721370902E-2</v>
      </c>
      <c r="K164" s="20">
        <v>2.6473521364461607E-2</v>
      </c>
      <c r="L164" s="19">
        <v>18411</v>
      </c>
      <c r="M164" s="19">
        <v>19987</v>
      </c>
      <c r="N164" s="19">
        <v>20690</v>
      </c>
      <c r="O164" s="19">
        <v>20546</v>
      </c>
      <c r="P164" s="19">
        <v>20358</v>
      </c>
      <c r="Q164" s="20">
        <v>0.97764443500424814</v>
      </c>
      <c r="R164" s="20">
        <v>0.98047584007848909</v>
      </c>
      <c r="S164" s="20">
        <v>0.98131284386264461</v>
      </c>
      <c r="T164" s="20">
        <v>0.98193462053144709</v>
      </c>
      <c r="U164" s="20">
        <v>0.98319327731092432</v>
      </c>
      <c r="W164" s="19">
        <v>18180</v>
      </c>
      <c r="X164" s="19">
        <v>16868</v>
      </c>
      <c r="Y164" s="19">
        <v>15841</v>
      </c>
      <c r="Z164" s="19">
        <v>17974</v>
      </c>
      <c r="AA164" s="19">
        <v>20924</v>
      </c>
      <c r="AB164" s="20">
        <v>2.4242747511384624E-2</v>
      </c>
      <c r="AC164" s="20">
        <v>2.2300222764259886E-2</v>
      </c>
      <c r="AD164" s="20">
        <v>2.0828265748738091E-2</v>
      </c>
      <c r="AE164" s="20">
        <v>2.3313518442375763E-2</v>
      </c>
      <c r="AF164" s="20">
        <v>2.6935038721370902E-2</v>
      </c>
      <c r="AG164" s="19">
        <v>17696</v>
      </c>
      <c r="AH164" s="19">
        <v>16417</v>
      </c>
      <c r="AI164" s="19">
        <v>15237</v>
      </c>
      <c r="AJ164" s="19">
        <v>17505</v>
      </c>
      <c r="AK164" s="19">
        <v>20546</v>
      </c>
      <c r="AL164" s="20">
        <v>0.97337733773377333</v>
      </c>
      <c r="AM164" s="20">
        <v>0.97326298316338633</v>
      </c>
      <c r="AN164" s="20">
        <v>0.9618710939965911</v>
      </c>
      <c r="AO164" s="20">
        <v>0.97390675420051187</v>
      </c>
      <c r="AP164" s="20">
        <v>0.98193462053144709</v>
      </c>
      <c r="AQ164" s="37"/>
    </row>
    <row r="165" spans="1:55" s="19" customFormat="1" x14ac:dyDescent="0.2">
      <c r="A165" s="18" t="s">
        <v>48</v>
      </c>
      <c r="B165" s="19">
        <v>0</v>
      </c>
      <c r="C165" s="19">
        <v>0</v>
      </c>
      <c r="D165" s="19">
        <v>34</v>
      </c>
      <c r="E165" s="19">
        <v>211</v>
      </c>
      <c r="F165" s="19">
        <v>277</v>
      </c>
      <c r="G165" s="20">
        <v>0</v>
      </c>
      <c r="H165" s="20">
        <v>0</v>
      </c>
      <c r="I165" s="20">
        <v>4.3617703656189867E-5</v>
      </c>
      <c r="J165" s="20">
        <v>2.7161599934091282E-4</v>
      </c>
      <c r="K165" s="20">
        <v>3.5415654486409081E-4</v>
      </c>
      <c r="L165" s="19">
        <v>0</v>
      </c>
      <c r="M165" s="19">
        <v>0</v>
      </c>
      <c r="N165" s="19">
        <v>34</v>
      </c>
      <c r="O165" s="19">
        <v>211</v>
      </c>
      <c r="P165" s="19">
        <v>276</v>
      </c>
      <c r="Q165" s="20">
        <v>0</v>
      </c>
      <c r="R165" s="20">
        <v>0</v>
      </c>
      <c r="S165" s="20">
        <v>1</v>
      </c>
      <c r="T165" s="20">
        <v>1</v>
      </c>
      <c r="U165" s="20">
        <v>0.99638989169675085</v>
      </c>
      <c r="W165" s="19">
        <v>0</v>
      </c>
      <c r="X165" s="19">
        <v>0</v>
      </c>
      <c r="Y165" s="19">
        <v>0</v>
      </c>
      <c r="Z165" s="19">
        <v>0</v>
      </c>
      <c r="AA165" s="19">
        <v>211</v>
      </c>
      <c r="AB165" s="20">
        <v>0</v>
      </c>
      <c r="AC165" s="20">
        <v>0</v>
      </c>
      <c r="AD165" s="20">
        <v>0</v>
      </c>
      <c r="AE165" s="20">
        <v>0</v>
      </c>
      <c r="AF165" s="20">
        <v>2.7161599934091282E-4</v>
      </c>
      <c r="AG165" s="19">
        <v>0</v>
      </c>
      <c r="AH165" s="19">
        <v>0</v>
      </c>
      <c r="AI165" s="19">
        <v>0</v>
      </c>
      <c r="AJ165" s="19">
        <v>0</v>
      </c>
      <c r="AK165" s="19">
        <v>211</v>
      </c>
      <c r="AL165" s="20">
        <v>0</v>
      </c>
      <c r="AM165" s="20">
        <v>0</v>
      </c>
      <c r="AN165" s="20">
        <v>0</v>
      </c>
      <c r="AO165" s="20">
        <v>0</v>
      </c>
      <c r="AP165" s="20">
        <v>1</v>
      </c>
      <c r="AQ165" s="37"/>
    </row>
    <row r="166" spans="1:55" s="19" customFormat="1" x14ac:dyDescent="0.2">
      <c r="A166" s="18" t="s">
        <v>49</v>
      </c>
      <c r="B166" s="19">
        <v>135</v>
      </c>
      <c r="C166" s="19">
        <v>138</v>
      </c>
      <c r="D166" s="19">
        <v>121</v>
      </c>
      <c r="E166" s="19">
        <v>109</v>
      </c>
      <c r="F166" s="19">
        <v>95</v>
      </c>
      <c r="G166" s="20">
        <v>1.7453518694011375E-4</v>
      </c>
      <c r="H166" s="20">
        <v>1.7799653293709756E-4</v>
      </c>
      <c r="I166" s="20">
        <v>1.5522771007055804E-4</v>
      </c>
      <c r="J166" s="20">
        <v>1.4031347833250946E-4</v>
      </c>
      <c r="K166" s="20">
        <v>1.2146163091006725E-4</v>
      </c>
      <c r="L166" s="19">
        <v>120</v>
      </c>
      <c r="M166" s="19">
        <v>124</v>
      </c>
      <c r="N166" s="19">
        <v>109</v>
      </c>
      <c r="O166" s="19">
        <v>98</v>
      </c>
      <c r="P166" s="19">
        <v>87</v>
      </c>
      <c r="Q166" s="20">
        <v>0.88888888888888884</v>
      </c>
      <c r="R166" s="20">
        <v>0.89855072463768115</v>
      </c>
      <c r="S166" s="20">
        <v>0.90082644628099173</v>
      </c>
      <c r="T166" s="20">
        <v>0.8990825688073395</v>
      </c>
      <c r="U166" s="20">
        <v>0.91578947368421049</v>
      </c>
      <c r="W166" s="19">
        <v>136</v>
      </c>
      <c r="X166" s="19">
        <v>123</v>
      </c>
      <c r="Y166" s="19">
        <v>67</v>
      </c>
      <c r="Z166" s="19">
        <v>131</v>
      </c>
      <c r="AA166" s="19">
        <v>109</v>
      </c>
      <c r="AB166" s="20">
        <v>1.8135388677383436E-4</v>
      </c>
      <c r="AC166" s="20">
        <v>1.6261129950225078E-4</v>
      </c>
      <c r="AD166" s="20">
        <v>8.8093794909756452E-5</v>
      </c>
      <c r="AE166" s="20">
        <v>1.6991604072277874E-4</v>
      </c>
      <c r="AF166" s="20">
        <v>1.4031347833250946E-4</v>
      </c>
      <c r="AG166" s="19">
        <v>81</v>
      </c>
      <c r="AH166" s="19">
        <v>60</v>
      </c>
      <c r="AI166" s="19">
        <v>20</v>
      </c>
      <c r="AJ166" s="19">
        <v>111</v>
      </c>
      <c r="AK166" s="19">
        <v>98</v>
      </c>
      <c r="AL166" s="20">
        <v>0.59558823529411764</v>
      </c>
      <c r="AM166" s="20">
        <v>0.48780487804878048</v>
      </c>
      <c r="AN166" s="20">
        <v>0.29850746268656714</v>
      </c>
      <c r="AO166" s="20">
        <v>0.84732824427480913</v>
      </c>
      <c r="AP166" s="20">
        <v>0.8990825688073395</v>
      </c>
      <c r="AQ166" s="37"/>
    </row>
    <row r="167" spans="1:55" s="19" customFormat="1" x14ac:dyDescent="0.2">
      <c r="A167" s="18" t="s">
        <v>52</v>
      </c>
      <c r="B167" s="19">
        <v>4757</v>
      </c>
      <c r="C167" s="19">
        <v>4887</v>
      </c>
      <c r="D167" s="19">
        <v>5007</v>
      </c>
      <c r="E167" s="19">
        <v>4908</v>
      </c>
      <c r="F167" s="19">
        <v>5056</v>
      </c>
      <c r="G167" s="20">
        <v>6.150102846474971E-3</v>
      </c>
      <c r="H167" s="20">
        <v>6.3033989598811294E-3</v>
      </c>
      <c r="I167" s="20">
        <v>6.4233483001924314E-3</v>
      </c>
      <c r="J167" s="20">
        <v>6.3179683638161146E-3</v>
      </c>
      <c r="K167" s="20">
        <v>6.4643158513821054E-3</v>
      </c>
      <c r="L167" s="19">
        <v>4752</v>
      </c>
      <c r="M167" s="19">
        <v>4882</v>
      </c>
      <c r="N167" s="19">
        <v>5002</v>
      </c>
      <c r="O167" s="19">
        <v>4905</v>
      </c>
      <c r="P167" s="19">
        <v>5053</v>
      </c>
      <c r="Q167" s="20">
        <v>0.99894891738490643</v>
      </c>
      <c r="R167" s="20">
        <v>0.99897687742991614</v>
      </c>
      <c r="S167" s="20">
        <v>0.99900139804274013</v>
      </c>
      <c r="T167" s="20">
        <v>0.99938875305623476</v>
      </c>
      <c r="U167" s="20">
        <v>0.99940664556962022</v>
      </c>
      <c r="W167" s="19">
        <v>2968</v>
      </c>
      <c r="X167" s="19">
        <v>2741</v>
      </c>
      <c r="Y167" s="19">
        <v>2396</v>
      </c>
      <c r="Z167" s="19">
        <v>4202</v>
      </c>
      <c r="AA167" s="19">
        <v>4908</v>
      </c>
      <c r="AB167" s="20">
        <v>3.9577818819466204E-3</v>
      </c>
      <c r="AC167" s="20">
        <v>3.6237200970379623E-3</v>
      </c>
      <c r="AD167" s="20">
        <v>3.1503392925936787E-3</v>
      </c>
      <c r="AE167" s="20">
        <v>5.450283993260429E-3</v>
      </c>
      <c r="AF167" s="20">
        <v>6.3179683638161146E-3</v>
      </c>
      <c r="AG167" s="19">
        <v>2962</v>
      </c>
      <c r="AH167" s="19">
        <v>2736</v>
      </c>
      <c r="AI167" s="19">
        <v>2377</v>
      </c>
      <c r="AJ167" s="19">
        <v>4197</v>
      </c>
      <c r="AK167" s="19">
        <v>4905</v>
      </c>
      <c r="AL167" s="20">
        <v>0.99797843665768193</v>
      </c>
      <c r="AM167" s="20">
        <v>0.99817584823057282</v>
      </c>
      <c r="AN167" s="20">
        <v>0.99207011686143576</v>
      </c>
      <c r="AO167" s="20">
        <v>0.99881009043312707</v>
      </c>
      <c r="AP167" s="20">
        <v>0.99938875305623476</v>
      </c>
      <c r="AQ167" s="37"/>
    </row>
    <row r="168" spans="1:55" s="19" customFormat="1" x14ac:dyDescent="0.2">
      <c r="A168" s="18" t="s">
        <v>53</v>
      </c>
      <c r="B168" s="19">
        <v>300</v>
      </c>
      <c r="C168" s="19">
        <v>298</v>
      </c>
      <c r="D168" s="19">
        <v>247</v>
      </c>
      <c r="E168" s="19">
        <v>225</v>
      </c>
      <c r="F168" s="19">
        <v>192</v>
      </c>
      <c r="G168" s="20">
        <v>3.8785597097803056E-4</v>
      </c>
      <c r="H168" s="20">
        <v>3.8436932474822518E-4</v>
      </c>
      <c r="I168" s="20">
        <v>3.1686978832584992E-4</v>
      </c>
      <c r="J168" s="20">
        <v>2.8963791398912509E-4</v>
      </c>
      <c r="K168" s="20">
        <v>2.4548034878666222E-4</v>
      </c>
      <c r="L168" s="19">
        <v>299</v>
      </c>
      <c r="M168" s="19">
        <v>297</v>
      </c>
      <c r="N168" s="19">
        <v>243</v>
      </c>
      <c r="O168" s="19">
        <v>224</v>
      </c>
      <c r="P168" s="19">
        <v>187</v>
      </c>
      <c r="Q168" s="20">
        <v>0.9966666666666667</v>
      </c>
      <c r="R168" s="20">
        <v>0.99664429530201337</v>
      </c>
      <c r="S168" s="20">
        <v>0.98380566801619429</v>
      </c>
      <c r="T168" s="20">
        <v>0.99555555555555553</v>
      </c>
      <c r="U168" s="20">
        <v>0.97395833333333337</v>
      </c>
      <c r="W168" s="19">
        <v>608</v>
      </c>
      <c r="X168" s="19">
        <v>493</v>
      </c>
      <c r="Y168" s="19">
        <v>389</v>
      </c>
      <c r="Z168" s="19">
        <v>344</v>
      </c>
      <c r="AA168" s="19">
        <v>225</v>
      </c>
      <c r="AB168" s="20">
        <v>8.1075855263596538E-4</v>
      </c>
      <c r="AC168" s="20">
        <v>6.5176724109438722E-4</v>
      </c>
      <c r="AD168" s="20">
        <v>5.1146994358052629E-4</v>
      </c>
      <c r="AE168" s="20">
        <v>4.4619174052393804E-4</v>
      </c>
      <c r="AF168" s="20">
        <v>2.8963791398912509E-4</v>
      </c>
      <c r="AG168" s="19">
        <v>606</v>
      </c>
      <c r="AH168" s="19">
        <v>493</v>
      </c>
      <c r="AI168" s="19">
        <v>288</v>
      </c>
      <c r="AJ168" s="19">
        <v>341</v>
      </c>
      <c r="AK168" s="19">
        <v>224</v>
      </c>
      <c r="AL168" s="20">
        <v>0.99671052631578949</v>
      </c>
      <c r="AM168" s="20">
        <v>1</v>
      </c>
      <c r="AN168" s="20">
        <v>0.74035989717223649</v>
      </c>
      <c r="AO168" s="20">
        <v>0.99127906976744184</v>
      </c>
      <c r="AP168" s="20">
        <v>0.99555555555555553</v>
      </c>
      <c r="AQ168" s="37"/>
    </row>
    <row r="169" spans="1:55" s="19" customFormat="1" x14ac:dyDescent="0.2">
      <c r="A169" s="18" t="s">
        <v>54</v>
      </c>
      <c r="B169" s="19">
        <v>1555</v>
      </c>
      <c r="C169" s="19">
        <v>1649</v>
      </c>
      <c r="D169" s="19">
        <v>1726</v>
      </c>
      <c r="E169" s="19">
        <v>1700</v>
      </c>
      <c r="F169" s="19">
        <v>1958</v>
      </c>
      <c r="G169" s="20">
        <v>2.0103867829027915E-3</v>
      </c>
      <c r="H169" s="20">
        <v>2.1269295856034339E-3</v>
      </c>
      <c r="I169" s="20">
        <v>2.214239897370109E-3</v>
      </c>
      <c r="J169" s="20">
        <v>2.1883753501400561E-3</v>
      </c>
      <c r="K169" s="20">
        <v>2.5033881402306492E-3</v>
      </c>
      <c r="L169" s="19">
        <v>1555</v>
      </c>
      <c r="M169" s="19">
        <v>1649</v>
      </c>
      <c r="N169" s="19">
        <v>1695</v>
      </c>
      <c r="O169" s="19">
        <v>1694</v>
      </c>
      <c r="P169" s="19">
        <v>1951</v>
      </c>
      <c r="Q169" s="20">
        <v>1</v>
      </c>
      <c r="R169" s="20">
        <v>1</v>
      </c>
      <c r="S169" s="20">
        <v>0.98203939745075319</v>
      </c>
      <c r="T169" s="20">
        <v>0.99647058823529411</v>
      </c>
      <c r="U169" s="20">
        <v>0.99642492339121558</v>
      </c>
      <c r="W169" s="19">
        <v>0</v>
      </c>
      <c r="X169" s="19">
        <v>1183</v>
      </c>
      <c r="Y169" s="19">
        <v>1206</v>
      </c>
      <c r="Z169" s="19">
        <v>1566</v>
      </c>
      <c r="AA169" s="19">
        <v>1700</v>
      </c>
      <c r="AB169" s="20">
        <v>0</v>
      </c>
      <c r="AC169" s="20">
        <v>1.5639769700094527E-3</v>
      </c>
      <c r="AD169" s="20">
        <v>1.5856883083756161E-3</v>
      </c>
      <c r="AE169" s="20">
        <v>2.031210074594439E-3</v>
      </c>
      <c r="AF169" s="20">
        <v>2.1883753501400561E-3</v>
      </c>
      <c r="AG169" s="19">
        <v>0</v>
      </c>
      <c r="AH169" s="19">
        <v>1183</v>
      </c>
      <c r="AI169" s="19">
        <v>0</v>
      </c>
      <c r="AJ169" s="19">
        <v>1566</v>
      </c>
      <c r="AK169" s="19">
        <v>1694</v>
      </c>
      <c r="AL169" s="20">
        <v>0</v>
      </c>
      <c r="AM169" s="20">
        <v>1</v>
      </c>
      <c r="AN169" s="20">
        <v>0</v>
      </c>
      <c r="AO169" s="20">
        <v>1</v>
      </c>
      <c r="AP169" s="20">
        <v>0.99647058823529411</v>
      </c>
      <c r="AQ169" s="37"/>
    </row>
    <row r="170" spans="1:55" s="19" customFormat="1" x14ac:dyDescent="0.2">
      <c r="A170" s="18" t="s">
        <v>55</v>
      </c>
      <c r="B170" s="19">
        <v>78091</v>
      </c>
      <c r="C170" s="19">
        <v>78589</v>
      </c>
      <c r="D170" s="19">
        <v>79652</v>
      </c>
      <c r="E170" s="19">
        <v>83463</v>
      </c>
      <c r="F170" s="19">
        <v>84195</v>
      </c>
      <c r="G170" s="20">
        <v>0.10096020209881794</v>
      </c>
      <c r="H170" s="20">
        <v>0.10136644584777943</v>
      </c>
      <c r="I170" s="20">
        <v>0.10218345093008338</v>
      </c>
      <c r="J170" s="20">
        <v>0.10744021873455264</v>
      </c>
      <c r="K170" s="20">
        <v>0.10764696857340118</v>
      </c>
      <c r="L170" s="19">
        <v>77502</v>
      </c>
      <c r="M170" s="19">
        <v>78037</v>
      </c>
      <c r="N170" s="19">
        <v>79100</v>
      </c>
      <c r="O170" s="19">
        <v>82890</v>
      </c>
      <c r="P170" s="19">
        <v>83605</v>
      </c>
      <c r="Q170" s="20">
        <v>0.99245751751162103</v>
      </c>
      <c r="R170" s="20">
        <v>0.99297611625036586</v>
      </c>
      <c r="S170" s="20">
        <v>0.99306985386430979</v>
      </c>
      <c r="T170" s="20">
        <v>0.9931346824341325</v>
      </c>
      <c r="U170" s="20">
        <v>0.99299245798444091</v>
      </c>
      <c r="W170" s="19">
        <v>70241</v>
      </c>
      <c r="X170" s="19">
        <v>71638</v>
      </c>
      <c r="Y170" s="19">
        <v>75555</v>
      </c>
      <c r="Z170" s="19">
        <v>77670</v>
      </c>
      <c r="AA170" s="19">
        <v>83463</v>
      </c>
      <c r="AB170" s="20">
        <v>9.366528206530074E-2</v>
      </c>
      <c r="AC170" s="20">
        <v>9.4708522550749935E-2</v>
      </c>
      <c r="AD170" s="20">
        <v>9.9342189170248493E-2</v>
      </c>
      <c r="AE170" s="20">
        <v>0.10074335025143683</v>
      </c>
      <c r="AF170" s="20">
        <v>0.10744021873455264</v>
      </c>
      <c r="AG170" s="19">
        <v>69224</v>
      </c>
      <c r="AH170" s="19">
        <v>70707</v>
      </c>
      <c r="AI170" s="19">
        <v>74677</v>
      </c>
      <c r="AJ170" s="19">
        <v>77025</v>
      </c>
      <c r="AK170" s="19">
        <v>82890</v>
      </c>
      <c r="AL170" s="20">
        <v>0.98552127674719892</v>
      </c>
      <c r="AM170" s="20">
        <v>0.98700410396716831</v>
      </c>
      <c r="AN170" s="20">
        <v>0.98837932631857583</v>
      </c>
      <c r="AO170" s="20">
        <v>0.9916956353804558</v>
      </c>
      <c r="AP170" s="20">
        <v>0.9931346824341325</v>
      </c>
      <c r="AQ170" s="37"/>
    </row>
    <row r="171" spans="1:55" s="19" customFormat="1" x14ac:dyDescent="0.2">
      <c r="A171" s="18" t="s">
        <v>176</v>
      </c>
      <c r="B171" s="19">
        <v>0</v>
      </c>
      <c r="C171" s="19">
        <v>0</v>
      </c>
      <c r="D171" s="19">
        <v>0</v>
      </c>
      <c r="E171" s="19">
        <v>0</v>
      </c>
      <c r="F171" s="19">
        <v>30</v>
      </c>
      <c r="G171" s="20">
        <v>0</v>
      </c>
      <c r="H171" s="20">
        <v>0</v>
      </c>
      <c r="I171" s="20">
        <v>0</v>
      </c>
      <c r="J171" s="20">
        <v>0</v>
      </c>
      <c r="K171" s="20">
        <v>3.8356304497915973E-5</v>
      </c>
      <c r="L171" s="19">
        <v>0</v>
      </c>
      <c r="M171" s="19">
        <v>0</v>
      </c>
      <c r="N171" s="19">
        <v>0</v>
      </c>
      <c r="O171" s="19">
        <v>0</v>
      </c>
      <c r="P171" s="19">
        <v>30</v>
      </c>
      <c r="Q171" s="20">
        <v>0</v>
      </c>
      <c r="R171" s="20">
        <v>0</v>
      </c>
      <c r="S171" s="20">
        <v>0</v>
      </c>
      <c r="T171" s="20">
        <v>0</v>
      </c>
      <c r="U171" s="20">
        <v>1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37"/>
    </row>
    <row r="172" spans="1:55" s="19" customFormat="1" x14ac:dyDescent="0.2">
      <c r="A172" s="18" t="s">
        <v>58</v>
      </c>
      <c r="B172" s="19">
        <v>20</v>
      </c>
      <c r="C172" s="19">
        <v>15</v>
      </c>
      <c r="D172" s="19">
        <v>39</v>
      </c>
      <c r="E172" s="19">
        <v>16</v>
      </c>
      <c r="F172" s="19">
        <v>10</v>
      </c>
      <c r="G172" s="20">
        <v>2.5857064731868703E-5</v>
      </c>
      <c r="H172" s="20">
        <v>1.9347449232293213E-5</v>
      </c>
      <c r="I172" s="20">
        <v>5.003207184092367E-5</v>
      </c>
      <c r="J172" s="20">
        <v>2.0596473883671115E-5</v>
      </c>
      <c r="K172" s="20">
        <v>1.2785434832638658E-5</v>
      </c>
      <c r="L172" s="19">
        <v>20</v>
      </c>
      <c r="M172" s="19">
        <v>0</v>
      </c>
      <c r="N172" s="19">
        <v>28</v>
      </c>
      <c r="O172" s="19">
        <v>7</v>
      </c>
      <c r="P172" s="19">
        <v>7</v>
      </c>
      <c r="Q172" s="20">
        <v>1</v>
      </c>
      <c r="R172" s="20">
        <v>0</v>
      </c>
      <c r="S172" s="20">
        <v>0.71794871794871795</v>
      </c>
      <c r="T172" s="20">
        <v>0.4375</v>
      </c>
      <c r="U172" s="20">
        <v>0.7</v>
      </c>
      <c r="W172" s="19">
        <v>38</v>
      </c>
      <c r="X172" s="19">
        <v>46</v>
      </c>
      <c r="Y172" s="19">
        <v>23</v>
      </c>
      <c r="Z172" s="19">
        <v>21</v>
      </c>
      <c r="AA172" s="19">
        <v>16</v>
      </c>
      <c r="AB172" s="20">
        <v>5.0672409539747836E-5</v>
      </c>
      <c r="AC172" s="20">
        <v>6.0813981927671025E-5</v>
      </c>
      <c r="AD172" s="20">
        <v>3.0241153476483557E-5</v>
      </c>
      <c r="AE172" s="20">
        <v>2.7238449276170638E-5</v>
      </c>
      <c r="AF172" s="20">
        <v>2.0596473883671115E-5</v>
      </c>
      <c r="AG172" s="19">
        <v>38</v>
      </c>
      <c r="AH172" s="19">
        <v>45</v>
      </c>
      <c r="AI172" s="19">
        <v>23</v>
      </c>
      <c r="AJ172" s="19">
        <v>21</v>
      </c>
      <c r="AK172" s="19">
        <v>7</v>
      </c>
      <c r="AL172" s="20">
        <v>1</v>
      </c>
      <c r="AM172" s="20">
        <v>0.97826086956521741</v>
      </c>
      <c r="AN172" s="20">
        <v>1</v>
      </c>
      <c r="AO172" s="20">
        <v>1</v>
      </c>
      <c r="AP172" s="20">
        <v>0.4375</v>
      </c>
      <c r="AQ172" s="37"/>
    </row>
    <row r="173" spans="1:55" s="19" customFormat="1" x14ac:dyDescent="0.2">
      <c r="A173" s="18" t="s">
        <v>61</v>
      </c>
      <c r="B173" s="19">
        <v>0</v>
      </c>
      <c r="C173" s="19">
        <v>0</v>
      </c>
      <c r="D173" s="19">
        <v>201</v>
      </c>
      <c r="E173" s="19">
        <v>159</v>
      </c>
      <c r="F173" s="19">
        <v>278</v>
      </c>
      <c r="G173" s="20">
        <v>0</v>
      </c>
      <c r="H173" s="20">
        <v>0</v>
      </c>
      <c r="I173" s="20">
        <v>2.5785760102629889E-4</v>
      </c>
      <c r="J173" s="20">
        <v>2.0467745921898172E-4</v>
      </c>
      <c r="K173" s="20">
        <v>3.5543508834735469E-4</v>
      </c>
      <c r="L173" s="19">
        <v>0</v>
      </c>
      <c r="M173" s="19">
        <v>0</v>
      </c>
      <c r="N173" s="19">
        <v>201</v>
      </c>
      <c r="O173" s="19">
        <v>159</v>
      </c>
      <c r="P173" s="19">
        <v>278</v>
      </c>
      <c r="Q173" s="20">
        <v>0</v>
      </c>
      <c r="R173" s="20">
        <v>0</v>
      </c>
      <c r="S173" s="20">
        <v>1</v>
      </c>
      <c r="T173" s="20">
        <v>1</v>
      </c>
      <c r="U173" s="20">
        <v>1</v>
      </c>
      <c r="W173" s="19">
        <v>0</v>
      </c>
      <c r="X173" s="19">
        <v>0</v>
      </c>
      <c r="Y173" s="19">
        <v>0</v>
      </c>
      <c r="Z173" s="19">
        <v>0</v>
      </c>
      <c r="AA173" s="19">
        <v>159</v>
      </c>
      <c r="AB173" s="20">
        <v>0</v>
      </c>
      <c r="AC173" s="20">
        <v>0</v>
      </c>
      <c r="AD173" s="20">
        <v>0</v>
      </c>
      <c r="AE173" s="20">
        <v>0</v>
      </c>
      <c r="AF173" s="20">
        <v>2.0467745921898172E-4</v>
      </c>
      <c r="AG173" s="19">
        <v>0</v>
      </c>
      <c r="AH173" s="19">
        <v>0</v>
      </c>
      <c r="AI173" s="19">
        <v>0</v>
      </c>
      <c r="AJ173" s="19">
        <v>0</v>
      </c>
      <c r="AK173" s="19">
        <v>159</v>
      </c>
      <c r="AL173" s="20">
        <v>0</v>
      </c>
      <c r="AM173" s="20">
        <v>0</v>
      </c>
      <c r="AN173" s="20">
        <v>0</v>
      </c>
      <c r="AO173" s="20">
        <v>0</v>
      </c>
      <c r="AP173" s="20">
        <v>1</v>
      </c>
      <c r="AQ173" s="37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</row>
    <row r="174" spans="1:55" s="21" customFormat="1" x14ac:dyDescent="0.2">
      <c r="A174" s="29" t="s">
        <v>71</v>
      </c>
      <c r="B174" s="27">
        <v>773483</v>
      </c>
      <c r="C174" s="27">
        <v>775296</v>
      </c>
      <c r="D174" s="27">
        <v>779500</v>
      </c>
      <c r="E174" s="27">
        <v>776832</v>
      </c>
      <c r="F174" s="27">
        <v>782140</v>
      </c>
      <c r="G174" s="22">
        <v>1</v>
      </c>
      <c r="H174" s="22">
        <v>1</v>
      </c>
      <c r="I174" s="22">
        <v>1</v>
      </c>
      <c r="J174" s="22">
        <v>1</v>
      </c>
      <c r="K174" s="22">
        <v>1</v>
      </c>
      <c r="L174" s="27">
        <v>704852</v>
      </c>
      <c r="M174" s="27">
        <v>707722</v>
      </c>
      <c r="N174" s="27">
        <v>712114</v>
      </c>
      <c r="O174" s="27">
        <v>711941</v>
      </c>
      <c r="P174" s="27">
        <v>719871</v>
      </c>
      <c r="Q174" s="22">
        <v>0.9112701895193559</v>
      </c>
      <c r="R174" s="22">
        <v>0.91284103103846792</v>
      </c>
      <c r="S174" s="22">
        <v>0.91355227710070563</v>
      </c>
      <c r="T174" s="22">
        <v>0.91646713832591864</v>
      </c>
      <c r="U174" s="22">
        <v>0.92038637584064231</v>
      </c>
      <c r="W174" s="27">
        <v>749915</v>
      </c>
      <c r="X174" s="27">
        <v>756405</v>
      </c>
      <c r="Y174" s="27">
        <v>760553</v>
      </c>
      <c r="Z174" s="27">
        <v>770969</v>
      </c>
      <c r="AA174" s="27">
        <v>776832</v>
      </c>
      <c r="AB174" s="22">
        <v>1</v>
      </c>
      <c r="AC174" s="22">
        <v>1</v>
      </c>
      <c r="AD174" s="22">
        <v>1</v>
      </c>
      <c r="AE174" s="22">
        <v>1</v>
      </c>
      <c r="AF174" s="22">
        <v>1</v>
      </c>
      <c r="AG174" s="27">
        <v>635114</v>
      </c>
      <c r="AH174" s="27">
        <v>651837</v>
      </c>
      <c r="AI174" s="27">
        <v>667666</v>
      </c>
      <c r="AJ174" s="27">
        <v>700513</v>
      </c>
      <c r="AK174" s="27">
        <v>711941</v>
      </c>
      <c r="AL174" s="22">
        <v>0.84691465032703706</v>
      </c>
      <c r="AM174" s="22">
        <v>0.86175659864754994</v>
      </c>
      <c r="AN174" s="22">
        <v>0.87786912943608142</v>
      </c>
      <c r="AO174" s="22">
        <v>0.90861370560943433</v>
      </c>
      <c r="AP174" s="22">
        <v>0.91646713832591864</v>
      </c>
      <c r="AQ174" s="37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</row>
    <row r="175" spans="1:55" s="19" customFormat="1" x14ac:dyDescent="0.2">
      <c r="A175" s="18"/>
      <c r="AB175" s="20"/>
      <c r="AC175" s="20"/>
      <c r="AD175" s="20"/>
      <c r="AE175" s="20"/>
      <c r="AF175" s="20"/>
      <c r="AL175" s="20"/>
      <c r="AM175" s="20"/>
      <c r="AN175" s="20"/>
      <c r="AO175" s="20"/>
      <c r="AP175" s="20"/>
      <c r="AQ175" s="37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</row>
    <row r="176" spans="1:55" s="25" customFormat="1" x14ac:dyDescent="0.2">
      <c r="A176" s="28" t="s">
        <v>72</v>
      </c>
      <c r="B176" s="25" t="s">
        <v>10</v>
      </c>
      <c r="C176" s="25" t="s">
        <v>11</v>
      </c>
      <c r="D176" s="25" t="s">
        <v>12</v>
      </c>
      <c r="E176" s="25" t="s">
        <v>164</v>
      </c>
      <c r="F176" s="25" t="s">
        <v>195</v>
      </c>
      <c r="G176" s="25" t="s">
        <v>10</v>
      </c>
      <c r="H176" s="25" t="s">
        <v>11</v>
      </c>
      <c r="I176" s="25" t="s">
        <v>12</v>
      </c>
      <c r="J176" s="25" t="s">
        <v>164</v>
      </c>
      <c r="K176" s="25" t="s">
        <v>195</v>
      </c>
      <c r="L176" s="25" t="s">
        <v>10</v>
      </c>
      <c r="M176" s="25" t="s">
        <v>11</v>
      </c>
      <c r="N176" s="25" t="s">
        <v>12</v>
      </c>
      <c r="O176" s="25" t="s">
        <v>164</v>
      </c>
      <c r="P176" s="25" t="s">
        <v>195</v>
      </c>
      <c r="Q176" s="25" t="s">
        <v>10</v>
      </c>
      <c r="R176" s="25" t="s">
        <v>11</v>
      </c>
      <c r="S176" s="25" t="s">
        <v>12</v>
      </c>
      <c r="T176" s="25" t="s">
        <v>164</v>
      </c>
      <c r="U176" s="25" t="s">
        <v>195</v>
      </c>
      <c r="W176" s="25" t="s">
        <v>13</v>
      </c>
      <c r="X176" s="25" t="s">
        <v>14</v>
      </c>
      <c r="Y176" s="25" t="s">
        <v>15</v>
      </c>
      <c r="Z176" s="25" t="s">
        <v>16</v>
      </c>
      <c r="AA176" s="25" t="s">
        <v>165</v>
      </c>
      <c r="AB176" s="25" t="s">
        <v>13</v>
      </c>
      <c r="AC176" s="25" t="s">
        <v>14</v>
      </c>
      <c r="AD176" s="25" t="s">
        <v>15</v>
      </c>
      <c r="AE176" s="25" t="s">
        <v>16</v>
      </c>
      <c r="AF176" s="25" t="s">
        <v>165</v>
      </c>
      <c r="AG176" s="25" t="s">
        <v>13</v>
      </c>
      <c r="AH176" s="25" t="s">
        <v>14</v>
      </c>
      <c r="AI176" s="25" t="s">
        <v>15</v>
      </c>
      <c r="AJ176" s="25" t="s">
        <v>16</v>
      </c>
      <c r="AK176" s="25" t="s">
        <v>165</v>
      </c>
      <c r="AL176" s="25" t="s">
        <v>13</v>
      </c>
      <c r="AM176" s="25" t="s">
        <v>14</v>
      </c>
      <c r="AN176" s="25" t="s">
        <v>15</v>
      </c>
      <c r="AO176" s="25" t="s">
        <v>16</v>
      </c>
      <c r="AP176" s="25" t="s">
        <v>165</v>
      </c>
      <c r="AQ176" s="37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</row>
    <row r="177" spans="1:55" s="19" customFormat="1" x14ac:dyDescent="0.2">
      <c r="A177" s="18" t="s">
        <v>17</v>
      </c>
      <c r="B177" s="19">
        <v>0</v>
      </c>
      <c r="C177" s="19">
        <v>0</v>
      </c>
      <c r="D177" s="19">
        <v>69</v>
      </c>
      <c r="E177" s="19">
        <v>794</v>
      </c>
      <c r="F177" s="19">
        <v>1584</v>
      </c>
      <c r="G177" s="20">
        <v>0</v>
      </c>
      <c r="H177" s="20">
        <v>0</v>
      </c>
      <c r="I177" s="20">
        <v>2.827787727401263E-4</v>
      </c>
      <c r="J177" s="20">
        <v>3.237090369452304E-3</v>
      </c>
      <c r="K177" s="20">
        <v>6.3788916675727595E-3</v>
      </c>
      <c r="L177" s="19">
        <v>0</v>
      </c>
      <c r="M177" s="19">
        <v>0</v>
      </c>
      <c r="N177" s="19">
        <v>69</v>
      </c>
      <c r="O177" s="19">
        <v>794</v>
      </c>
      <c r="P177" s="19">
        <v>1584</v>
      </c>
      <c r="Q177" s="20">
        <v>0</v>
      </c>
      <c r="R177" s="20">
        <v>0</v>
      </c>
      <c r="S177" s="20">
        <v>1</v>
      </c>
      <c r="T177" s="20">
        <v>1</v>
      </c>
      <c r="U177" s="20">
        <v>1</v>
      </c>
      <c r="W177" s="19">
        <v>0</v>
      </c>
      <c r="X177" s="19">
        <v>0</v>
      </c>
      <c r="Y177" s="19">
        <v>0</v>
      </c>
      <c r="Z177" s="19">
        <v>0</v>
      </c>
      <c r="AA177" s="19">
        <v>794</v>
      </c>
      <c r="AB177" s="20">
        <v>0</v>
      </c>
      <c r="AC177" s="20">
        <v>0</v>
      </c>
      <c r="AD177" s="20">
        <v>0</v>
      </c>
      <c r="AE177" s="20">
        <v>0</v>
      </c>
      <c r="AF177" s="20">
        <v>3.237090369452304E-3</v>
      </c>
      <c r="AG177" s="19">
        <v>0</v>
      </c>
      <c r="AH177" s="19">
        <v>0</v>
      </c>
      <c r="AI177" s="19">
        <v>0</v>
      </c>
      <c r="AJ177" s="19">
        <v>0</v>
      </c>
      <c r="AK177" s="19">
        <v>794</v>
      </c>
      <c r="AL177" s="20">
        <v>0</v>
      </c>
      <c r="AM177" s="20">
        <v>0</v>
      </c>
      <c r="AN177" s="20">
        <v>0</v>
      </c>
      <c r="AO177" s="20">
        <v>0</v>
      </c>
      <c r="AP177" s="20">
        <v>1</v>
      </c>
      <c r="AQ177" s="37"/>
    </row>
    <row r="178" spans="1:55" s="19" customFormat="1" x14ac:dyDescent="0.2">
      <c r="A178" s="18" t="s">
        <v>22</v>
      </c>
      <c r="B178" s="19">
        <v>242198</v>
      </c>
      <c r="C178" s="19">
        <v>242752</v>
      </c>
      <c r="D178" s="19">
        <v>243938</v>
      </c>
      <c r="E178" s="19">
        <v>244488</v>
      </c>
      <c r="F178" s="19">
        <v>246735</v>
      </c>
      <c r="G178" s="20">
        <v>1</v>
      </c>
      <c r="H178" s="20">
        <v>1</v>
      </c>
      <c r="I178" s="20">
        <v>0.99971722122725992</v>
      </c>
      <c r="J178" s="20">
        <v>0.9967629096305477</v>
      </c>
      <c r="K178" s="20">
        <v>0.99362110833242723</v>
      </c>
      <c r="L178" s="19">
        <v>20479</v>
      </c>
      <c r="M178" s="19">
        <v>19711</v>
      </c>
      <c r="N178" s="19">
        <v>14549</v>
      </c>
      <c r="O178" s="19">
        <v>6989</v>
      </c>
      <c r="P178" s="19">
        <v>3575</v>
      </c>
      <c r="Q178" s="20">
        <v>8.4554785753804734E-2</v>
      </c>
      <c r="R178" s="20">
        <v>8.1198095175322962E-2</v>
      </c>
      <c r="S178" s="20">
        <v>5.9642204166632504E-2</v>
      </c>
      <c r="T178" s="20">
        <v>2.8586270082785248E-2</v>
      </c>
      <c r="U178" s="20">
        <v>1.4489229335116623E-2</v>
      </c>
      <c r="W178" s="19">
        <v>234548</v>
      </c>
      <c r="X178" s="19">
        <v>236432</v>
      </c>
      <c r="Y178" s="19">
        <v>238374</v>
      </c>
      <c r="Z178" s="19">
        <v>241125</v>
      </c>
      <c r="AA178" s="19">
        <v>244488</v>
      </c>
      <c r="AB178" s="20">
        <v>1</v>
      </c>
      <c r="AC178" s="20">
        <v>1</v>
      </c>
      <c r="AD178" s="20">
        <v>1</v>
      </c>
      <c r="AE178" s="20">
        <v>1</v>
      </c>
      <c r="AF178" s="20">
        <v>0.9967629096305477</v>
      </c>
      <c r="AG178" s="19">
        <v>29612</v>
      </c>
      <c r="AH178" s="19">
        <v>26670</v>
      </c>
      <c r="AI178" s="19">
        <v>23641</v>
      </c>
      <c r="AJ178" s="19">
        <v>21076</v>
      </c>
      <c r="AK178" s="19">
        <v>6989</v>
      </c>
      <c r="AL178" s="20">
        <v>0.12625134300868052</v>
      </c>
      <c r="AM178" s="20">
        <v>0.11280198957839886</v>
      </c>
      <c r="AN178" s="20">
        <v>9.9176084640103371E-2</v>
      </c>
      <c r="AO178" s="20">
        <v>8.7406946604458274E-2</v>
      </c>
      <c r="AP178" s="20">
        <v>2.8586270082785248E-2</v>
      </c>
      <c r="AQ178" s="37"/>
    </row>
    <row r="179" spans="1:55" s="21" customFormat="1" x14ac:dyDescent="0.2">
      <c r="A179" s="29" t="s">
        <v>73</v>
      </c>
      <c r="B179" s="27">
        <v>242198</v>
      </c>
      <c r="C179" s="27">
        <v>242752</v>
      </c>
      <c r="D179" s="27">
        <v>244007</v>
      </c>
      <c r="E179" s="27">
        <v>245282</v>
      </c>
      <c r="F179" s="27">
        <v>248319</v>
      </c>
      <c r="G179" s="22">
        <v>1</v>
      </c>
      <c r="H179" s="22">
        <v>1</v>
      </c>
      <c r="I179" s="22">
        <v>1</v>
      </c>
      <c r="J179" s="22">
        <v>1</v>
      </c>
      <c r="K179" s="22">
        <v>1</v>
      </c>
      <c r="L179" s="27">
        <v>20479</v>
      </c>
      <c r="M179" s="27">
        <v>19711</v>
      </c>
      <c r="N179" s="27">
        <v>14618</v>
      </c>
      <c r="O179" s="27">
        <v>7783</v>
      </c>
      <c r="P179" s="27">
        <v>5159</v>
      </c>
      <c r="Q179" s="22">
        <v>8.4554785753804734E-2</v>
      </c>
      <c r="R179" s="22">
        <v>8.1198095175322962E-2</v>
      </c>
      <c r="S179" s="22">
        <v>5.9908117390074872E-2</v>
      </c>
      <c r="T179" s="22">
        <v>3.1730824112654009E-2</v>
      </c>
      <c r="U179" s="22">
        <v>2.0775695778414056E-2</v>
      </c>
      <c r="W179" s="27">
        <v>234548</v>
      </c>
      <c r="X179" s="27">
        <v>236432</v>
      </c>
      <c r="Y179" s="27">
        <v>238374</v>
      </c>
      <c r="Z179" s="27">
        <v>241125</v>
      </c>
      <c r="AA179" s="27">
        <v>245282</v>
      </c>
      <c r="AB179" s="22">
        <v>1</v>
      </c>
      <c r="AC179" s="22">
        <v>1</v>
      </c>
      <c r="AD179" s="22">
        <v>1</v>
      </c>
      <c r="AE179" s="22">
        <v>1</v>
      </c>
      <c r="AF179" s="22">
        <v>1</v>
      </c>
      <c r="AG179" s="27">
        <v>29612</v>
      </c>
      <c r="AH179" s="27">
        <v>26670</v>
      </c>
      <c r="AI179" s="27">
        <v>23641</v>
      </c>
      <c r="AJ179" s="27">
        <v>21076</v>
      </c>
      <c r="AK179" s="27">
        <v>7783</v>
      </c>
      <c r="AL179" s="22">
        <v>0.12625134300868052</v>
      </c>
      <c r="AM179" s="22">
        <v>0.11280198957839886</v>
      </c>
      <c r="AN179" s="22">
        <v>9.9176084640103371E-2</v>
      </c>
      <c r="AO179" s="22">
        <v>8.7406946604458274E-2</v>
      </c>
      <c r="AP179" s="22">
        <v>3.1730824112654009E-2</v>
      </c>
      <c r="AQ179" s="37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</row>
    <row r="180" spans="1:55" s="19" customFormat="1" x14ac:dyDescent="0.2">
      <c r="A180" s="18"/>
      <c r="AB180" s="20"/>
      <c r="AC180" s="20"/>
      <c r="AD180" s="20"/>
      <c r="AE180" s="20"/>
      <c r="AF180" s="20"/>
      <c r="AL180" s="20"/>
      <c r="AM180" s="20"/>
      <c r="AN180" s="20"/>
      <c r="AO180" s="20"/>
      <c r="AP180" s="20"/>
      <c r="AQ180" s="37"/>
    </row>
    <row r="181" spans="1:55" s="19" customFormat="1" x14ac:dyDescent="0.2">
      <c r="A181" s="2" t="s">
        <v>74</v>
      </c>
      <c r="AB181" s="20"/>
      <c r="AC181" s="20"/>
      <c r="AD181" s="20"/>
      <c r="AE181" s="20"/>
      <c r="AF181" s="20"/>
      <c r="AL181" s="20"/>
      <c r="AM181" s="20"/>
      <c r="AN181" s="20"/>
      <c r="AO181" s="20"/>
      <c r="AP181" s="20"/>
      <c r="AQ181" s="37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</row>
    <row r="182" spans="1:55" s="21" customFormat="1" x14ac:dyDescent="0.2">
      <c r="A182" s="1" t="s">
        <v>75</v>
      </c>
      <c r="AB182" s="22"/>
      <c r="AC182" s="22"/>
      <c r="AD182" s="22"/>
      <c r="AE182" s="22"/>
      <c r="AF182" s="22"/>
      <c r="AL182" s="22"/>
      <c r="AM182" s="22"/>
      <c r="AN182" s="22"/>
      <c r="AO182" s="22"/>
      <c r="AP182" s="22"/>
      <c r="AQ182" s="38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</row>
    <row r="183" spans="1:55" s="19" customFormat="1" x14ac:dyDescent="0.2">
      <c r="A183" s="9" t="s">
        <v>9</v>
      </c>
      <c r="B183" s="9" t="s">
        <v>10</v>
      </c>
      <c r="C183" s="9" t="s">
        <v>11</v>
      </c>
      <c r="D183" s="9" t="s">
        <v>12</v>
      </c>
      <c r="E183" s="9" t="s">
        <v>164</v>
      </c>
      <c r="F183" s="9" t="s">
        <v>195</v>
      </c>
      <c r="G183" s="9" t="s">
        <v>10</v>
      </c>
      <c r="H183" s="9" t="s">
        <v>11</v>
      </c>
      <c r="I183" s="9" t="s">
        <v>12</v>
      </c>
      <c r="J183" s="9" t="s">
        <v>164</v>
      </c>
      <c r="K183" s="9" t="s">
        <v>195</v>
      </c>
      <c r="L183" s="9" t="s">
        <v>10</v>
      </c>
      <c r="M183" s="9" t="s">
        <v>11</v>
      </c>
      <c r="N183" s="9" t="s">
        <v>12</v>
      </c>
      <c r="O183" s="9" t="s">
        <v>164</v>
      </c>
      <c r="P183" s="9" t="s">
        <v>195</v>
      </c>
      <c r="Q183" s="9" t="s">
        <v>10</v>
      </c>
      <c r="R183" s="9" t="s">
        <v>11</v>
      </c>
      <c r="S183" s="9" t="s">
        <v>12</v>
      </c>
      <c r="T183" s="9" t="s">
        <v>164</v>
      </c>
      <c r="U183" s="9" t="s">
        <v>195</v>
      </c>
      <c r="V183" s="9"/>
      <c r="W183" s="9" t="s">
        <v>13</v>
      </c>
      <c r="X183" s="9" t="s">
        <v>14</v>
      </c>
      <c r="Y183" s="9" t="s">
        <v>15</v>
      </c>
      <c r="Z183" s="9" t="s">
        <v>16</v>
      </c>
      <c r="AA183" s="9" t="s">
        <v>165</v>
      </c>
      <c r="AB183" s="9" t="s">
        <v>13</v>
      </c>
      <c r="AC183" s="9" t="s">
        <v>14</v>
      </c>
      <c r="AD183" s="9" t="s">
        <v>15</v>
      </c>
      <c r="AE183" s="9" t="s">
        <v>16</v>
      </c>
      <c r="AF183" s="9" t="s">
        <v>165</v>
      </c>
      <c r="AG183" s="9" t="s">
        <v>13</v>
      </c>
      <c r="AH183" s="9" t="s">
        <v>14</v>
      </c>
      <c r="AI183" s="9" t="s">
        <v>15</v>
      </c>
      <c r="AJ183" s="9" t="s">
        <v>16</v>
      </c>
      <c r="AK183" s="9" t="s">
        <v>165</v>
      </c>
      <c r="AL183" s="9" t="s">
        <v>13</v>
      </c>
      <c r="AM183" s="9" t="s">
        <v>14</v>
      </c>
      <c r="AN183" s="9" t="s">
        <v>15</v>
      </c>
      <c r="AO183" s="9" t="s">
        <v>16</v>
      </c>
      <c r="AP183" s="9" t="s">
        <v>165</v>
      </c>
      <c r="AQ183" s="37"/>
    </row>
    <row r="184" spans="1:55" s="19" customFormat="1" x14ac:dyDescent="0.2">
      <c r="A184" s="18" t="s">
        <v>19</v>
      </c>
      <c r="B184" s="19">
        <v>1375803</v>
      </c>
      <c r="C184" s="19">
        <v>1373750</v>
      </c>
      <c r="D184" s="19">
        <v>1381988</v>
      </c>
      <c r="E184" s="19">
        <v>1376845</v>
      </c>
      <c r="F184" s="19">
        <v>1375298</v>
      </c>
      <c r="G184" s="20">
        <v>0.21706915936451476</v>
      </c>
      <c r="H184" s="20">
        <v>0.21569364170471694</v>
      </c>
      <c r="I184" s="20">
        <v>0.21433806959440743</v>
      </c>
      <c r="J184" s="20">
        <v>0.2143400114171867</v>
      </c>
      <c r="K184" s="20">
        <v>0.2119337048586562</v>
      </c>
      <c r="L184" s="19">
        <v>1232875</v>
      </c>
      <c r="M184" s="19">
        <v>1231128</v>
      </c>
      <c r="N184" s="19">
        <v>1238710</v>
      </c>
      <c r="O184" s="19">
        <v>1238761</v>
      </c>
      <c r="P184" s="19">
        <v>1239617</v>
      </c>
      <c r="Q184" s="20">
        <v>0.89611303362472683</v>
      </c>
      <c r="R184" s="20">
        <v>0.89618052775250223</v>
      </c>
      <c r="S184" s="20">
        <v>0.89632471483109843</v>
      </c>
      <c r="T184" s="20">
        <v>0.89970984388220898</v>
      </c>
      <c r="U184" s="20">
        <v>0.90134429047377373</v>
      </c>
      <c r="W184" s="19">
        <v>1055795</v>
      </c>
      <c r="X184" s="19">
        <v>1406541</v>
      </c>
      <c r="Y184" s="19">
        <v>1411503</v>
      </c>
      <c r="Z184" s="19">
        <v>1378777</v>
      </c>
      <c r="AA184" s="19">
        <v>1376845</v>
      </c>
      <c r="AB184" s="20">
        <v>0.25420035696082027</v>
      </c>
      <c r="AC184" s="20">
        <v>0.23061421440643451</v>
      </c>
      <c r="AD184" s="20">
        <v>0.22830053700248099</v>
      </c>
      <c r="AE184" s="20">
        <v>0.21871611751158834</v>
      </c>
      <c r="AF184" s="20">
        <v>0.2143400114171867</v>
      </c>
      <c r="AG184" s="19">
        <v>916965</v>
      </c>
      <c r="AH184" s="19">
        <v>1183474</v>
      </c>
      <c r="AI184" s="19">
        <v>1218814</v>
      </c>
      <c r="AJ184" s="19">
        <v>1231097</v>
      </c>
      <c r="AK184" s="19">
        <v>1238761</v>
      </c>
      <c r="AL184" s="20">
        <v>0.86850667032899376</v>
      </c>
      <c r="AM184" s="20">
        <v>0.8414073958739916</v>
      </c>
      <c r="AN184" s="20">
        <v>0.86348665217147957</v>
      </c>
      <c r="AO184" s="20">
        <v>0.89289058346636185</v>
      </c>
      <c r="AP184" s="20">
        <v>0.89970984388220898</v>
      </c>
      <c r="AQ184" s="37"/>
    </row>
    <row r="185" spans="1:55" s="19" customFormat="1" x14ac:dyDescent="0.2">
      <c r="A185" s="18" t="s">
        <v>43</v>
      </c>
      <c r="B185" s="19">
        <v>1860728</v>
      </c>
      <c r="C185" s="19">
        <v>1844710</v>
      </c>
      <c r="D185" s="19">
        <v>1832373</v>
      </c>
      <c r="E185" s="19">
        <v>1826581</v>
      </c>
      <c r="F185" s="19">
        <v>1822863</v>
      </c>
      <c r="G185" s="20">
        <v>0.2935788501449807</v>
      </c>
      <c r="H185" s="20">
        <v>0.28963946699844106</v>
      </c>
      <c r="I185" s="20">
        <v>0.28419008818955965</v>
      </c>
      <c r="J185" s="20">
        <v>0.28435255413239424</v>
      </c>
      <c r="K185" s="20">
        <v>0.28090356347479939</v>
      </c>
      <c r="L185" s="19">
        <v>1480533</v>
      </c>
      <c r="M185" s="19">
        <v>1485393</v>
      </c>
      <c r="N185" s="19">
        <v>1481523</v>
      </c>
      <c r="O185" s="19">
        <v>1495443</v>
      </c>
      <c r="P185" s="19">
        <v>1506293</v>
      </c>
      <c r="Q185" s="20">
        <v>0.79567405875549779</v>
      </c>
      <c r="R185" s="20">
        <v>0.80521762228209315</v>
      </c>
      <c r="S185" s="20">
        <v>0.808526975675804</v>
      </c>
      <c r="T185" s="20">
        <v>0.8187115709623608</v>
      </c>
      <c r="U185" s="20">
        <v>0.82633363011921357</v>
      </c>
      <c r="W185" s="19">
        <v>1270132</v>
      </c>
      <c r="X185" s="19">
        <v>1932530</v>
      </c>
      <c r="Y185" s="19">
        <v>1903767</v>
      </c>
      <c r="Z185" s="19">
        <v>1869626</v>
      </c>
      <c r="AA185" s="19">
        <v>1826581</v>
      </c>
      <c r="AB185" s="20">
        <v>0.3058055851631809</v>
      </c>
      <c r="AC185" s="20">
        <v>0.31685453020343302</v>
      </c>
      <c r="AD185" s="20">
        <v>0.30792072594078951</v>
      </c>
      <c r="AE185" s="20">
        <v>0.2965797514164516</v>
      </c>
      <c r="AF185" s="20">
        <v>0.28435255413239424</v>
      </c>
      <c r="AG185" s="19">
        <v>758575</v>
      </c>
      <c r="AH185" s="19">
        <v>1261468</v>
      </c>
      <c r="AI185" s="19">
        <v>1337392</v>
      </c>
      <c r="AJ185" s="19">
        <v>1467824</v>
      </c>
      <c r="AK185" s="19">
        <v>1495443</v>
      </c>
      <c r="AL185" s="20">
        <v>0.59724107415607197</v>
      </c>
      <c r="AM185" s="20">
        <v>0.65275467909941887</v>
      </c>
      <c r="AN185" s="20">
        <v>0.70249773212793376</v>
      </c>
      <c r="AO185" s="20">
        <v>0.78508963824850531</v>
      </c>
      <c r="AP185" s="20">
        <v>0.8187115709623608</v>
      </c>
      <c r="AQ185" s="37"/>
    </row>
    <row r="186" spans="1:55" s="19" customFormat="1" x14ac:dyDescent="0.2">
      <c r="A186" s="18" t="s">
        <v>30</v>
      </c>
      <c r="B186" s="19">
        <v>1067221</v>
      </c>
      <c r="C186" s="19">
        <v>1075326</v>
      </c>
      <c r="D186" s="19">
        <v>1119676</v>
      </c>
      <c r="E186" s="19">
        <v>1059276</v>
      </c>
      <c r="F186" s="19">
        <v>1066307</v>
      </c>
      <c r="G186" s="20">
        <v>0.16838222138355333</v>
      </c>
      <c r="H186" s="20">
        <v>0.16883783873322397</v>
      </c>
      <c r="I186" s="20">
        <v>0.17365504795351894</v>
      </c>
      <c r="J186" s="20">
        <v>0.16490253436948377</v>
      </c>
      <c r="K186" s="20">
        <v>0.16431812816329197</v>
      </c>
      <c r="L186" s="19">
        <v>905008</v>
      </c>
      <c r="M186" s="19">
        <v>921594</v>
      </c>
      <c r="N186" s="19">
        <v>970816</v>
      </c>
      <c r="O186" s="19">
        <v>921781</v>
      </c>
      <c r="P186" s="19">
        <v>933010</v>
      </c>
      <c r="Q186" s="20">
        <v>0.84800430276390737</v>
      </c>
      <c r="R186" s="20">
        <v>0.85703684278070091</v>
      </c>
      <c r="S186" s="20">
        <v>0.8670508254173529</v>
      </c>
      <c r="T186" s="20">
        <v>0.87019907937119312</v>
      </c>
      <c r="U186" s="20">
        <v>0.87499191133510335</v>
      </c>
      <c r="W186" s="19">
        <v>1006609</v>
      </c>
      <c r="X186" s="19">
        <v>1112349</v>
      </c>
      <c r="Y186" s="19">
        <v>1108680</v>
      </c>
      <c r="Z186" s="19">
        <v>1062092</v>
      </c>
      <c r="AA186" s="19">
        <v>1059276</v>
      </c>
      <c r="AB186" s="20">
        <v>0.24235800237733113</v>
      </c>
      <c r="AC186" s="20">
        <v>0.18237896426821759</v>
      </c>
      <c r="AD186" s="20">
        <v>0.17932107786091181</v>
      </c>
      <c r="AE186" s="20">
        <v>0.16848021012833686</v>
      </c>
      <c r="AF186" s="20">
        <v>0.16490253436948377</v>
      </c>
      <c r="AG186" s="19">
        <v>662019</v>
      </c>
      <c r="AH186" s="19">
        <v>831273</v>
      </c>
      <c r="AI186" s="19">
        <v>873273</v>
      </c>
      <c r="AJ186" s="19">
        <v>884920</v>
      </c>
      <c r="AK186" s="19">
        <v>921781</v>
      </c>
      <c r="AL186" s="20">
        <v>0.65767244282536719</v>
      </c>
      <c r="AM186" s="20">
        <v>0.74731311845472959</v>
      </c>
      <c r="AN186" s="20">
        <v>0.78766912003463574</v>
      </c>
      <c r="AO186" s="20">
        <v>0.83318582571001387</v>
      </c>
      <c r="AP186" s="20">
        <v>0.87019907937119312</v>
      </c>
      <c r="AQ186" s="37"/>
    </row>
    <row r="187" spans="1:55" s="19" customFormat="1" x14ac:dyDescent="0.2">
      <c r="A187" s="18" t="s">
        <v>76</v>
      </c>
      <c r="B187" s="19">
        <v>2034334</v>
      </c>
      <c r="C187" s="19">
        <v>2075201</v>
      </c>
      <c r="D187" s="19">
        <v>2113665</v>
      </c>
      <c r="E187" s="19">
        <v>2160947</v>
      </c>
      <c r="F187" s="19">
        <v>2224816</v>
      </c>
      <c r="G187" s="20">
        <v>0.32096976910695124</v>
      </c>
      <c r="H187" s="20">
        <v>0.32582905256361805</v>
      </c>
      <c r="I187" s="20">
        <v>0.32781679426251398</v>
      </c>
      <c r="J187" s="20">
        <v>0.33640490008093532</v>
      </c>
      <c r="K187" s="20">
        <v>0.34284460350325247</v>
      </c>
      <c r="L187" s="19">
        <v>1077701</v>
      </c>
      <c r="M187" s="19">
        <v>1121039</v>
      </c>
      <c r="N187" s="19">
        <v>1135107</v>
      </c>
      <c r="O187" s="19">
        <v>1183332</v>
      </c>
      <c r="P187" s="19">
        <v>1246570</v>
      </c>
      <c r="Q187" s="20">
        <v>0.52975617573122213</v>
      </c>
      <c r="R187" s="20">
        <v>0.540207430509141</v>
      </c>
      <c r="S187" s="20">
        <v>0.53703259504226075</v>
      </c>
      <c r="T187" s="20">
        <v>0.54759880737472966</v>
      </c>
      <c r="U187" s="20">
        <v>0.56030251490460337</v>
      </c>
      <c r="W187" s="19">
        <v>820861</v>
      </c>
      <c r="X187" s="19">
        <v>1647688</v>
      </c>
      <c r="Y187" s="19">
        <v>1758703</v>
      </c>
      <c r="Z187" s="19">
        <v>1993462</v>
      </c>
      <c r="AA187" s="19">
        <v>2160947</v>
      </c>
      <c r="AB187" s="20">
        <v>0.19763605549866772</v>
      </c>
      <c r="AC187" s="20">
        <v>0.27015229112191486</v>
      </c>
      <c r="AD187" s="20">
        <v>0.28445765919581772</v>
      </c>
      <c r="AE187" s="20">
        <v>0.31622392094362317</v>
      </c>
      <c r="AF187" s="20">
        <v>0.33640490008093532</v>
      </c>
      <c r="AG187" s="19">
        <v>476017</v>
      </c>
      <c r="AH187" s="19">
        <v>677896</v>
      </c>
      <c r="AI187" s="19">
        <v>768678</v>
      </c>
      <c r="AJ187" s="19">
        <v>1023552</v>
      </c>
      <c r="AK187" s="19">
        <v>1183332</v>
      </c>
      <c r="AL187" s="20">
        <v>0.5798996419613065</v>
      </c>
      <c r="AM187" s="20">
        <v>0.41142255087128143</v>
      </c>
      <c r="AN187" s="20">
        <v>0.43707095513000205</v>
      </c>
      <c r="AO187" s="20">
        <v>0.51345448270395921</v>
      </c>
      <c r="AP187" s="20">
        <v>0.54759880737472966</v>
      </c>
      <c r="AQ187" s="37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</row>
    <row r="188" spans="1:55" s="21" customFormat="1" x14ac:dyDescent="0.2">
      <c r="A188" s="29" t="s">
        <v>77</v>
      </c>
      <c r="B188" s="21">
        <v>6338086</v>
      </c>
      <c r="C188" s="21">
        <v>6368987</v>
      </c>
      <c r="D188" s="21">
        <v>6447702</v>
      </c>
      <c r="E188" s="21">
        <v>6423649</v>
      </c>
      <c r="F188" s="21">
        <v>6489284</v>
      </c>
      <c r="G188" s="22">
        <v>1</v>
      </c>
      <c r="H188" s="22">
        <v>1</v>
      </c>
      <c r="I188" s="22">
        <v>1</v>
      </c>
      <c r="J188" s="22">
        <v>1</v>
      </c>
      <c r="K188" s="22">
        <v>1</v>
      </c>
      <c r="L188" s="21">
        <v>4696117</v>
      </c>
      <c r="M188" s="21">
        <v>4759154</v>
      </c>
      <c r="N188" s="21">
        <v>4826156</v>
      </c>
      <c r="O188" s="21">
        <v>4839317</v>
      </c>
      <c r="P188" s="21">
        <v>4925490</v>
      </c>
      <c r="Q188" s="22">
        <v>0.74093614381376338</v>
      </c>
      <c r="R188" s="22">
        <v>0.74723876811178924</v>
      </c>
      <c r="S188" s="22">
        <v>0.74850791801482142</v>
      </c>
      <c r="T188" s="22">
        <v>0.75335950018439679</v>
      </c>
      <c r="U188" s="22">
        <v>0.75901902274580679</v>
      </c>
      <c r="W188" s="21">
        <v>4153397</v>
      </c>
      <c r="X188" s="21">
        <v>6099108</v>
      </c>
      <c r="Y188" s="21">
        <v>6182653</v>
      </c>
      <c r="Z188" s="21">
        <v>6303957</v>
      </c>
      <c r="AA188" s="21">
        <v>6423649</v>
      </c>
      <c r="AB188" s="22">
        <v>1</v>
      </c>
      <c r="AC188" s="22">
        <v>1</v>
      </c>
      <c r="AD188" s="22">
        <v>1</v>
      </c>
      <c r="AE188" s="22">
        <v>1</v>
      </c>
      <c r="AF188" s="22">
        <v>1</v>
      </c>
      <c r="AG188" s="21">
        <v>2813576</v>
      </c>
      <c r="AH188" s="21">
        <v>3954111</v>
      </c>
      <c r="AI188" s="21">
        <v>4198157</v>
      </c>
      <c r="AJ188" s="21">
        <v>4607393</v>
      </c>
      <c r="AK188" s="21">
        <v>4839317</v>
      </c>
      <c r="AL188" s="22">
        <v>0.67741561907036574</v>
      </c>
      <c r="AM188" s="22">
        <v>0.64830972004430809</v>
      </c>
      <c r="AN188" s="22">
        <v>0.67902193443494241</v>
      </c>
      <c r="AO188" s="22">
        <v>0.73087316426809379</v>
      </c>
      <c r="AP188" s="22">
        <v>0.75335950018439679</v>
      </c>
      <c r="AQ188" s="37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</row>
    <row r="189" spans="1:55" s="19" customFormat="1" x14ac:dyDescent="0.2">
      <c r="A189" s="18"/>
      <c r="AB189" s="20"/>
      <c r="AC189" s="20"/>
      <c r="AD189" s="20"/>
      <c r="AE189" s="20"/>
      <c r="AF189" s="20"/>
      <c r="AL189" s="20"/>
      <c r="AM189" s="20"/>
      <c r="AN189" s="20"/>
      <c r="AO189" s="20"/>
      <c r="AP189" s="20"/>
      <c r="AQ189" s="37"/>
    </row>
    <row r="190" spans="1:55" s="19" customFormat="1" x14ac:dyDescent="0.2">
      <c r="A190" s="9" t="s">
        <v>64</v>
      </c>
      <c r="B190" s="9" t="s">
        <v>10</v>
      </c>
      <c r="C190" s="9" t="s">
        <v>11</v>
      </c>
      <c r="D190" s="9" t="s">
        <v>12</v>
      </c>
      <c r="E190" s="9" t="s">
        <v>164</v>
      </c>
      <c r="F190" s="9" t="s">
        <v>195</v>
      </c>
      <c r="G190" s="9" t="s">
        <v>10</v>
      </c>
      <c r="H190" s="9" t="s">
        <v>11</v>
      </c>
      <c r="I190" s="9" t="s">
        <v>12</v>
      </c>
      <c r="J190" s="9" t="s">
        <v>164</v>
      </c>
      <c r="K190" s="9" t="s">
        <v>195</v>
      </c>
      <c r="L190" s="9" t="s">
        <v>10</v>
      </c>
      <c r="M190" s="9" t="s">
        <v>11</v>
      </c>
      <c r="N190" s="9" t="s">
        <v>12</v>
      </c>
      <c r="O190" s="9" t="s">
        <v>164</v>
      </c>
      <c r="P190" s="9" t="s">
        <v>195</v>
      </c>
      <c r="Q190" s="9" t="s">
        <v>10</v>
      </c>
      <c r="R190" s="9" t="s">
        <v>11</v>
      </c>
      <c r="S190" s="9" t="s">
        <v>12</v>
      </c>
      <c r="T190" s="9" t="s">
        <v>164</v>
      </c>
      <c r="U190" s="9" t="s">
        <v>195</v>
      </c>
      <c r="V190" s="9"/>
      <c r="W190" s="9" t="s">
        <v>13</v>
      </c>
      <c r="X190" s="9" t="s">
        <v>14</v>
      </c>
      <c r="Y190" s="9" t="s">
        <v>15</v>
      </c>
      <c r="Z190" s="9" t="s">
        <v>16</v>
      </c>
      <c r="AA190" s="9" t="s">
        <v>165</v>
      </c>
      <c r="AB190" s="9" t="s">
        <v>13</v>
      </c>
      <c r="AC190" s="9" t="s">
        <v>14</v>
      </c>
      <c r="AD190" s="9" t="s">
        <v>15</v>
      </c>
      <c r="AE190" s="9" t="s">
        <v>16</v>
      </c>
      <c r="AF190" s="9" t="s">
        <v>165</v>
      </c>
      <c r="AG190" s="9" t="s">
        <v>13</v>
      </c>
      <c r="AH190" s="9" t="s">
        <v>14</v>
      </c>
      <c r="AI190" s="9" t="s">
        <v>15</v>
      </c>
      <c r="AJ190" s="9" t="s">
        <v>16</v>
      </c>
      <c r="AK190" s="9" t="s">
        <v>165</v>
      </c>
      <c r="AL190" s="9" t="s">
        <v>13</v>
      </c>
      <c r="AM190" s="9" t="s">
        <v>14</v>
      </c>
      <c r="AN190" s="9" t="s">
        <v>15</v>
      </c>
      <c r="AO190" s="9" t="s">
        <v>16</v>
      </c>
      <c r="AP190" s="9" t="s">
        <v>165</v>
      </c>
      <c r="AQ190" s="37"/>
    </row>
    <row r="191" spans="1:55" s="19" customFormat="1" x14ac:dyDescent="0.2">
      <c r="A191" s="18" t="s">
        <v>18</v>
      </c>
      <c r="B191" s="19">
        <v>150283</v>
      </c>
      <c r="C191" s="19">
        <v>147730</v>
      </c>
      <c r="D191" s="19">
        <v>146008</v>
      </c>
      <c r="E191" s="19">
        <v>144049</v>
      </c>
      <c r="F191" s="19">
        <v>143641</v>
      </c>
      <c r="G191" s="20">
        <v>0.86762464494376834</v>
      </c>
      <c r="H191" s="20">
        <v>0.85018588644237525</v>
      </c>
      <c r="I191" s="20">
        <v>0.83110673444179439</v>
      </c>
      <c r="J191" s="20">
        <v>0.81879984311674725</v>
      </c>
      <c r="K191" s="20">
        <v>0.81057852918604123</v>
      </c>
      <c r="L191" s="19">
        <v>59792</v>
      </c>
      <c r="M191" s="19">
        <v>62137</v>
      </c>
      <c r="N191" s="19">
        <v>51211</v>
      </c>
      <c r="O191" s="19">
        <v>58677</v>
      </c>
      <c r="P191" s="19">
        <v>65845</v>
      </c>
      <c r="Q191" s="20">
        <v>0.39786269904114235</v>
      </c>
      <c r="R191" s="20">
        <v>0.42061192716442158</v>
      </c>
      <c r="S191" s="20">
        <v>0.35074105528464194</v>
      </c>
      <c r="T191" s="20">
        <v>0.4073405577268846</v>
      </c>
      <c r="U191" s="20">
        <v>0.45839976051405934</v>
      </c>
      <c r="W191" s="19">
        <v>153235</v>
      </c>
      <c r="X191" s="19">
        <v>152243</v>
      </c>
      <c r="Y191" s="19">
        <v>152349</v>
      </c>
      <c r="Z191" s="19">
        <v>151987</v>
      </c>
      <c r="AA191" s="19">
        <v>144049</v>
      </c>
      <c r="AB191" s="20">
        <v>0.95316737578064736</v>
      </c>
      <c r="AC191" s="20">
        <v>0.92674003822788198</v>
      </c>
      <c r="AD191" s="20">
        <v>0.90701744985622179</v>
      </c>
      <c r="AE191" s="20">
        <v>0.88329613873584867</v>
      </c>
      <c r="AF191" s="20">
        <v>0.81879984311674725</v>
      </c>
      <c r="AG191" s="19">
        <v>32780</v>
      </c>
      <c r="AH191" s="19">
        <v>28376</v>
      </c>
      <c r="AI191" s="19">
        <v>19792</v>
      </c>
      <c r="AJ191" s="19">
        <v>48069</v>
      </c>
      <c r="AK191" s="19">
        <v>58677</v>
      </c>
      <c r="AL191" s="20">
        <v>0.2139197963911639</v>
      </c>
      <c r="AM191" s="20">
        <v>0.18638623779090008</v>
      </c>
      <c r="AN191" s="20">
        <v>0.12991224097302903</v>
      </c>
      <c r="AO191" s="20">
        <v>0.31627047050076651</v>
      </c>
      <c r="AP191" s="20">
        <v>0.4073405577268846</v>
      </c>
      <c r="AQ191" s="37"/>
    </row>
    <row r="192" spans="1:55" s="19" customFormat="1" x14ac:dyDescent="0.2">
      <c r="A192" s="18" t="s">
        <v>43</v>
      </c>
      <c r="B192" s="19">
        <v>16014</v>
      </c>
      <c r="C192" s="19">
        <v>18862</v>
      </c>
      <c r="D192" s="19">
        <v>21515</v>
      </c>
      <c r="E192" s="19">
        <v>23908</v>
      </c>
      <c r="F192" s="19">
        <v>25522</v>
      </c>
      <c r="G192" s="20">
        <v>9.2453178763596058E-2</v>
      </c>
      <c r="H192" s="20">
        <v>0.10855077634925933</v>
      </c>
      <c r="I192" s="20">
        <v>0.12246768253462281</v>
      </c>
      <c r="J192" s="20">
        <v>0.13589727557452808</v>
      </c>
      <c r="K192" s="20">
        <v>0.14402284321249606</v>
      </c>
      <c r="L192" s="19">
        <v>15317</v>
      </c>
      <c r="M192" s="19">
        <v>18047</v>
      </c>
      <c r="N192" s="19">
        <v>20593</v>
      </c>
      <c r="O192" s="19">
        <v>22921</v>
      </c>
      <c r="P192" s="19">
        <v>24579</v>
      </c>
      <c r="Q192" s="20">
        <v>0.95647558386411891</v>
      </c>
      <c r="R192" s="20">
        <v>0.95679143250980803</v>
      </c>
      <c r="S192" s="20">
        <v>0.95714617708575411</v>
      </c>
      <c r="T192" s="20">
        <v>0.95871674753220681</v>
      </c>
      <c r="U192" s="20">
        <v>0.96305148499333904</v>
      </c>
      <c r="W192" s="19">
        <v>2104</v>
      </c>
      <c r="X192" s="19">
        <v>6671</v>
      </c>
      <c r="Y192" s="19">
        <v>10037</v>
      </c>
      <c r="Z192" s="19">
        <v>13445</v>
      </c>
      <c r="AA192" s="19">
        <v>23908</v>
      </c>
      <c r="AB192" s="20">
        <v>1.3087507153342788E-2</v>
      </c>
      <c r="AC192" s="20">
        <v>4.0607993766663825E-2</v>
      </c>
      <c r="AD192" s="20">
        <v>5.975578536260099E-2</v>
      </c>
      <c r="AE192" s="20">
        <v>7.8137712997187164E-2</v>
      </c>
      <c r="AF192" s="20">
        <v>0.13589727557452808</v>
      </c>
      <c r="AG192" s="19">
        <v>2047</v>
      </c>
      <c r="AH192" s="19">
        <v>6542</v>
      </c>
      <c r="AI192" s="19">
        <v>9704</v>
      </c>
      <c r="AJ192" s="19">
        <v>12768</v>
      </c>
      <c r="AK192" s="19">
        <v>22921</v>
      </c>
      <c r="AL192" s="20">
        <v>0.97290874524714832</v>
      </c>
      <c r="AM192" s="20">
        <v>0.98066256932993556</v>
      </c>
      <c r="AN192" s="20">
        <v>0.96682275580352695</v>
      </c>
      <c r="AO192" s="20">
        <v>0.9496467088136854</v>
      </c>
      <c r="AP192" s="20">
        <v>0.95871674753220681</v>
      </c>
      <c r="AQ192" s="37"/>
    </row>
    <row r="193" spans="1:55" s="19" customFormat="1" x14ac:dyDescent="0.2">
      <c r="A193" s="18" t="s">
        <v>30</v>
      </c>
      <c r="B193" s="19">
        <v>6786</v>
      </c>
      <c r="C193" s="19">
        <v>7089</v>
      </c>
      <c r="D193" s="19">
        <v>7852</v>
      </c>
      <c r="E193" s="19">
        <v>7609</v>
      </c>
      <c r="F193" s="19">
        <v>7484</v>
      </c>
      <c r="G193" s="20">
        <v>3.9177424196937857E-2</v>
      </c>
      <c r="H193" s="20">
        <v>4.0797182352873468E-2</v>
      </c>
      <c r="I193" s="20">
        <v>4.4695154230158414E-2</v>
      </c>
      <c r="J193" s="20">
        <v>4.3250893836648152E-2</v>
      </c>
      <c r="K193" s="20">
        <v>4.2232856304455779E-2</v>
      </c>
      <c r="L193" s="19">
        <v>6525</v>
      </c>
      <c r="M193" s="19">
        <v>6835</v>
      </c>
      <c r="N193" s="19">
        <v>7585</v>
      </c>
      <c r="O193" s="19">
        <v>7373</v>
      </c>
      <c r="P193" s="19">
        <v>7261</v>
      </c>
      <c r="Q193" s="20">
        <v>0.96153846153846156</v>
      </c>
      <c r="R193" s="20">
        <v>0.96416984059810973</v>
      </c>
      <c r="S193" s="20">
        <v>0.96599592460519612</v>
      </c>
      <c r="T193" s="20">
        <v>0.96898409777894601</v>
      </c>
      <c r="U193" s="20">
        <v>0.97020309994655263</v>
      </c>
      <c r="W193" s="19">
        <v>5420</v>
      </c>
      <c r="X193" s="19">
        <v>5359</v>
      </c>
      <c r="Y193" s="19">
        <v>5555</v>
      </c>
      <c r="Z193" s="19">
        <v>6583</v>
      </c>
      <c r="AA193" s="19">
        <v>7609</v>
      </c>
      <c r="AB193" s="20">
        <v>3.3714015575626387E-2</v>
      </c>
      <c r="AC193" s="20">
        <v>3.2621531793666836E-2</v>
      </c>
      <c r="AD193" s="20">
        <v>3.3071972470782952E-2</v>
      </c>
      <c r="AE193" s="20">
        <v>3.8258130506543926E-2</v>
      </c>
      <c r="AF193" s="20">
        <v>4.3250893836648152E-2</v>
      </c>
      <c r="AG193" s="19">
        <v>5012</v>
      </c>
      <c r="AH193" s="19">
        <v>4892</v>
      </c>
      <c r="AI193" s="19">
        <v>5211</v>
      </c>
      <c r="AJ193" s="19">
        <v>6309</v>
      </c>
      <c r="AK193" s="19">
        <v>7373</v>
      </c>
      <c r="AL193" s="20">
        <v>0.92472324723247235</v>
      </c>
      <c r="AM193" s="20">
        <v>0.91285687628288859</v>
      </c>
      <c r="AN193" s="20">
        <v>0.93807380738073809</v>
      </c>
      <c r="AO193" s="20">
        <v>0.95837763937414555</v>
      </c>
      <c r="AP193" s="20">
        <v>0.96898409777894601</v>
      </c>
      <c r="AQ193" s="37"/>
    </row>
    <row r="194" spans="1:55" s="19" customFormat="1" x14ac:dyDescent="0.2">
      <c r="A194" s="18" t="s">
        <v>76</v>
      </c>
      <c r="B194" s="19">
        <v>129</v>
      </c>
      <c r="C194" s="19">
        <v>81</v>
      </c>
      <c r="D194" s="19">
        <v>304</v>
      </c>
      <c r="E194" s="19">
        <v>361</v>
      </c>
      <c r="F194" s="19">
        <v>561</v>
      </c>
      <c r="G194" s="20">
        <v>7.4475209569775766E-4</v>
      </c>
      <c r="H194" s="20">
        <v>4.6615485549199477E-4</v>
      </c>
      <c r="I194" s="20">
        <v>1.7304287934243707E-3</v>
      </c>
      <c r="J194" s="20">
        <v>2.0519874720764863E-3</v>
      </c>
      <c r="K194" s="20">
        <v>3.1657712970069073E-3</v>
      </c>
      <c r="L194" s="19">
        <v>129</v>
      </c>
      <c r="M194" s="19">
        <v>81</v>
      </c>
      <c r="N194" s="19">
        <v>302</v>
      </c>
      <c r="O194" s="19">
        <v>360</v>
      </c>
      <c r="P194" s="19">
        <v>557</v>
      </c>
      <c r="Q194" s="20">
        <v>1</v>
      </c>
      <c r="R194" s="20">
        <v>1</v>
      </c>
      <c r="S194" s="20">
        <v>0.99342105263157898</v>
      </c>
      <c r="T194" s="20">
        <v>0.99722991689750695</v>
      </c>
      <c r="U194" s="20">
        <v>0.99286987522281644</v>
      </c>
      <c r="W194" s="19">
        <v>5</v>
      </c>
      <c r="X194" s="19">
        <v>5</v>
      </c>
      <c r="Y194" s="19">
        <v>26</v>
      </c>
      <c r="Z194" s="19">
        <v>53</v>
      </c>
      <c r="AA194" s="19">
        <v>361</v>
      </c>
      <c r="AB194" s="20">
        <v>3.1101490383419174E-5</v>
      </c>
      <c r="AC194" s="20">
        <v>3.04362117873361E-5</v>
      </c>
      <c r="AD194" s="20">
        <v>1.5479231039430363E-4</v>
      </c>
      <c r="AE194" s="20">
        <v>3.0801776042029894E-4</v>
      </c>
      <c r="AF194" s="20">
        <v>2.0519874720764863E-3</v>
      </c>
      <c r="AG194" s="19">
        <v>5</v>
      </c>
      <c r="AH194" s="19">
        <v>5</v>
      </c>
      <c r="AI194" s="19">
        <v>26</v>
      </c>
      <c r="AJ194" s="19">
        <v>53</v>
      </c>
      <c r="AK194" s="19">
        <v>360</v>
      </c>
      <c r="AL194" s="20">
        <v>1</v>
      </c>
      <c r="AM194" s="20">
        <v>1</v>
      </c>
      <c r="AN194" s="20">
        <v>1</v>
      </c>
      <c r="AO194" s="20">
        <v>1</v>
      </c>
      <c r="AP194" s="20">
        <v>0.99722991689750695</v>
      </c>
      <c r="AQ194" s="37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</row>
    <row r="195" spans="1:55" s="21" customFormat="1" x14ac:dyDescent="0.2">
      <c r="A195" s="29" t="s">
        <v>77</v>
      </c>
      <c r="B195" s="21">
        <v>173212</v>
      </c>
      <c r="C195" s="21">
        <v>173762</v>
      </c>
      <c r="D195" s="21">
        <v>175679</v>
      </c>
      <c r="E195" s="21">
        <v>175927</v>
      </c>
      <c r="F195" s="21">
        <v>177208</v>
      </c>
      <c r="G195" s="22">
        <v>1</v>
      </c>
      <c r="H195" s="22">
        <v>1</v>
      </c>
      <c r="I195" s="22">
        <v>1</v>
      </c>
      <c r="J195" s="22">
        <v>1</v>
      </c>
      <c r="K195" s="22">
        <v>1</v>
      </c>
      <c r="L195" s="21">
        <v>81763</v>
      </c>
      <c r="M195" s="21">
        <v>87100</v>
      </c>
      <c r="N195" s="21">
        <v>79691</v>
      </c>
      <c r="O195" s="21">
        <v>89331</v>
      </c>
      <c r="P195" s="21">
        <v>98242</v>
      </c>
      <c r="Q195" s="22">
        <v>0.47204004341500588</v>
      </c>
      <c r="R195" s="22">
        <v>0.50126034460929314</v>
      </c>
      <c r="S195" s="22">
        <v>0.45361710847625497</v>
      </c>
      <c r="T195" s="22">
        <v>0.50777311043785212</v>
      </c>
      <c r="U195" s="22">
        <v>0.5543880637443005</v>
      </c>
      <c r="W195" s="21">
        <v>160764</v>
      </c>
      <c r="X195" s="21">
        <v>164278</v>
      </c>
      <c r="Y195" s="21">
        <v>167967</v>
      </c>
      <c r="Z195" s="21">
        <v>172068</v>
      </c>
      <c r="AA195" s="21">
        <v>175927</v>
      </c>
      <c r="AB195" s="22">
        <v>1</v>
      </c>
      <c r="AC195" s="22">
        <v>1</v>
      </c>
      <c r="AD195" s="22">
        <v>1</v>
      </c>
      <c r="AE195" s="22">
        <v>1</v>
      </c>
      <c r="AF195" s="22">
        <v>1</v>
      </c>
      <c r="AG195" s="21">
        <v>39844</v>
      </c>
      <c r="AH195" s="21">
        <v>39815</v>
      </c>
      <c r="AI195" s="21">
        <v>34733</v>
      </c>
      <c r="AJ195" s="21">
        <v>67199</v>
      </c>
      <c r="AK195" s="21">
        <v>89331</v>
      </c>
      <c r="AL195" s="22">
        <v>0.24784155656739071</v>
      </c>
      <c r="AM195" s="22">
        <v>0.24236355446255736</v>
      </c>
      <c r="AN195" s="22">
        <v>0.20678466603559031</v>
      </c>
      <c r="AO195" s="22">
        <v>0.39053746193365413</v>
      </c>
      <c r="AP195" s="22">
        <v>0.50777311043785212</v>
      </c>
      <c r="AQ195" s="37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</row>
    <row r="196" spans="1:55" s="19" customFormat="1" x14ac:dyDescent="0.2">
      <c r="A196" s="18"/>
      <c r="AB196" s="20"/>
      <c r="AC196" s="20"/>
      <c r="AD196" s="20"/>
      <c r="AE196" s="20"/>
      <c r="AF196" s="20"/>
      <c r="AL196" s="20"/>
      <c r="AM196" s="20"/>
      <c r="AN196" s="20"/>
      <c r="AO196" s="20"/>
      <c r="AP196" s="20"/>
      <c r="AQ196" s="37"/>
    </row>
    <row r="197" spans="1:55" s="19" customFormat="1" x14ac:dyDescent="0.2">
      <c r="A197" s="9" t="s">
        <v>66</v>
      </c>
      <c r="B197" s="9" t="s">
        <v>10</v>
      </c>
      <c r="C197" s="9" t="s">
        <v>11</v>
      </c>
      <c r="D197" s="9" t="s">
        <v>12</v>
      </c>
      <c r="E197" s="9" t="s">
        <v>164</v>
      </c>
      <c r="F197" s="9" t="s">
        <v>195</v>
      </c>
      <c r="G197" s="9" t="s">
        <v>10</v>
      </c>
      <c r="H197" s="9" t="s">
        <v>11</v>
      </c>
      <c r="I197" s="9" t="s">
        <v>12</v>
      </c>
      <c r="J197" s="9" t="s">
        <v>164</v>
      </c>
      <c r="K197" s="9" t="s">
        <v>195</v>
      </c>
      <c r="L197" s="9" t="s">
        <v>10</v>
      </c>
      <c r="M197" s="9" t="s">
        <v>11</v>
      </c>
      <c r="N197" s="9" t="s">
        <v>12</v>
      </c>
      <c r="O197" s="9" t="s">
        <v>164</v>
      </c>
      <c r="P197" s="9" t="s">
        <v>195</v>
      </c>
      <c r="Q197" s="9" t="s">
        <v>10</v>
      </c>
      <c r="R197" s="9" t="s">
        <v>11</v>
      </c>
      <c r="S197" s="9" t="s">
        <v>12</v>
      </c>
      <c r="T197" s="9" t="s">
        <v>164</v>
      </c>
      <c r="U197" s="9" t="s">
        <v>195</v>
      </c>
      <c r="V197" s="9"/>
      <c r="W197" s="9" t="s">
        <v>13</v>
      </c>
      <c r="X197" s="9" t="s">
        <v>14</v>
      </c>
      <c r="Y197" s="9" t="s">
        <v>15</v>
      </c>
      <c r="Z197" s="9" t="s">
        <v>16</v>
      </c>
      <c r="AA197" s="9" t="s">
        <v>165</v>
      </c>
      <c r="AB197" s="9" t="s">
        <v>13</v>
      </c>
      <c r="AC197" s="9" t="s">
        <v>14</v>
      </c>
      <c r="AD197" s="9" t="s">
        <v>15</v>
      </c>
      <c r="AE197" s="9" t="s">
        <v>16</v>
      </c>
      <c r="AF197" s="9" t="s">
        <v>165</v>
      </c>
      <c r="AG197" s="9" t="s">
        <v>13</v>
      </c>
      <c r="AH197" s="9" t="s">
        <v>14</v>
      </c>
      <c r="AI197" s="9" t="s">
        <v>15</v>
      </c>
      <c r="AJ197" s="9" t="s">
        <v>16</v>
      </c>
      <c r="AK197" s="9" t="s">
        <v>165</v>
      </c>
      <c r="AL197" s="9" t="s">
        <v>13</v>
      </c>
      <c r="AM197" s="9" t="s">
        <v>14</v>
      </c>
      <c r="AN197" s="9" t="s">
        <v>15</v>
      </c>
      <c r="AO197" s="9" t="s">
        <v>16</v>
      </c>
      <c r="AP197" s="9" t="s">
        <v>165</v>
      </c>
      <c r="AQ197" s="37"/>
    </row>
    <row r="198" spans="1:55" s="19" customFormat="1" x14ac:dyDescent="0.2">
      <c r="A198" s="18" t="s">
        <v>43</v>
      </c>
      <c r="B198" s="19">
        <v>1017477</v>
      </c>
      <c r="C198" s="19">
        <v>1006915</v>
      </c>
      <c r="D198" s="19">
        <v>1001769</v>
      </c>
      <c r="E198" s="19">
        <v>998959</v>
      </c>
      <c r="F198" s="19">
        <v>996938</v>
      </c>
      <c r="G198" s="20">
        <v>0.32184247992906967</v>
      </c>
      <c r="H198" s="20">
        <v>0.31691429718872977</v>
      </c>
      <c r="I198" s="20">
        <v>0.30957617530872822</v>
      </c>
      <c r="J198" s="20">
        <v>0.31119791504415517</v>
      </c>
      <c r="K198" s="20">
        <v>0.30702118269943529</v>
      </c>
      <c r="L198" s="19">
        <v>778280</v>
      </c>
      <c r="M198" s="19">
        <v>781658</v>
      </c>
      <c r="N198" s="19">
        <v>782390</v>
      </c>
      <c r="O198" s="19">
        <v>791984</v>
      </c>
      <c r="P198" s="19">
        <v>798878</v>
      </c>
      <c r="Q198" s="20">
        <v>0.76491163928029826</v>
      </c>
      <c r="R198" s="20">
        <v>0.7762899549614416</v>
      </c>
      <c r="S198" s="20">
        <v>0.78100839614721562</v>
      </c>
      <c r="T198" s="20">
        <v>0.79280931449639069</v>
      </c>
      <c r="U198" s="20">
        <v>0.80133167759680135</v>
      </c>
      <c r="W198" s="19">
        <v>1120218</v>
      </c>
      <c r="X198" s="19">
        <v>1081250</v>
      </c>
      <c r="Y198" s="19">
        <v>1040813</v>
      </c>
      <c r="Z198" s="19">
        <v>1024501</v>
      </c>
      <c r="AA198" s="19">
        <v>998959</v>
      </c>
      <c r="AB198" s="20">
        <v>0.37239185285406079</v>
      </c>
      <c r="AC198" s="20">
        <v>0.35503609465221236</v>
      </c>
      <c r="AD198" s="20">
        <v>0.33754546412732389</v>
      </c>
      <c r="AE198" s="20">
        <v>0.32631421368543595</v>
      </c>
      <c r="AF198" s="20">
        <v>0.31119791504415517</v>
      </c>
      <c r="AG198" s="19">
        <v>616647</v>
      </c>
      <c r="AH198" s="19">
        <v>650726</v>
      </c>
      <c r="AI198" s="19">
        <v>687979</v>
      </c>
      <c r="AJ198" s="19">
        <v>771932</v>
      </c>
      <c r="AK198" s="19">
        <v>791984</v>
      </c>
      <c r="AL198" s="20">
        <v>0.55047053341403196</v>
      </c>
      <c r="AM198" s="20">
        <v>0.60182751445086702</v>
      </c>
      <c r="AN198" s="20">
        <v>0.66100154398532684</v>
      </c>
      <c r="AO198" s="20">
        <v>0.75347120207788965</v>
      </c>
      <c r="AP198" s="20">
        <v>0.79280931449639069</v>
      </c>
      <c r="AQ198" s="37"/>
    </row>
    <row r="199" spans="1:55" s="19" customFormat="1" x14ac:dyDescent="0.2">
      <c r="A199" s="18" t="s">
        <v>19</v>
      </c>
      <c r="B199" s="19">
        <v>742930</v>
      </c>
      <c r="C199" s="19">
        <v>742921</v>
      </c>
      <c r="D199" s="19">
        <v>747957</v>
      </c>
      <c r="E199" s="19">
        <v>745267</v>
      </c>
      <c r="F199" s="19">
        <v>746512</v>
      </c>
      <c r="G199" s="20">
        <v>0.23499934997420457</v>
      </c>
      <c r="H199" s="20">
        <v>0.23382538405103537</v>
      </c>
      <c r="I199" s="20">
        <v>0.23114077931677904</v>
      </c>
      <c r="J199" s="20">
        <v>0.23216722262997019</v>
      </c>
      <c r="K199" s="20">
        <v>0.22989894771723099</v>
      </c>
      <c r="L199" s="19">
        <v>708034</v>
      </c>
      <c r="M199" s="19">
        <v>705648</v>
      </c>
      <c r="N199" s="19">
        <v>708001</v>
      </c>
      <c r="O199" s="19">
        <v>707059</v>
      </c>
      <c r="P199" s="19">
        <v>707098</v>
      </c>
      <c r="Q199" s="20">
        <v>0.953029222133983</v>
      </c>
      <c r="R199" s="20">
        <v>0.94982912045829904</v>
      </c>
      <c r="S199" s="20">
        <v>0.94657981675417169</v>
      </c>
      <c r="T199" s="20">
        <v>0.94873246769278663</v>
      </c>
      <c r="U199" s="20">
        <v>0.94720245622307475</v>
      </c>
      <c r="W199" s="19">
        <v>709348</v>
      </c>
      <c r="X199" s="19">
        <v>720909</v>
      </c>
      <c r="Y199" s="19">
        <v>727458</v>
      </c>
      <c r="Z199" s="19">
        <v>742043</v>
      </c>
      <c r="AA199" s="19">
        <v>745267</v>
      </c>
      <c r="AB199" s="20">
        <v>0.2358071518564443</v>
      </c>
      <c r="AC199" s="20">
        <v>0.23671557545399471</v>
      </c>
      <c r="AD199" s="20">
        <v>0.23592148468854135</v>
      </c>
      <c r="AE199" s="20">
        <v>0.23634840577586741</v>
      </c>
      <c r="AF199" s="20">
        <v>0.23216722262997019</v>
      </c>
      <c r="AG199" s="19">
        <v>671155</v>
      </c>
      <c r="AH199" s="19">
        <v>671844</v>
      </c>
      <c r="AI199" s="19">
        <v>685862</v>
      </c>
      <c r="AJ199" s="19">
        <v>706684</v>
      </c>
      <c r="AK199" s="19">
        <v>707059</v>
      </c>
      <c r="AL199" s="20">
        <v>0.94615759824514911</v>
      </c>
      <c r="AM199" s="20">
        <v>0.93194009230013775</v>
      </c>
      <c r="AN199" s="20">
        <v>0.94282006658803674</v>
      </c>
      <c r="AO199" s="20">
        <v>0.95234912262496918</v>
      </c>
      <c r="AP199" s="20">
        <v>0.94873246769278663</v>
      </c>
      <c r="AQ199" s="37"/>
    </row>
    <row r="200" spans="1:55" s="19" customFormat="1" x14ac:dyDescent="0.2">
      <c r="A200" s="18" t="s">
        <v>30</v>
      </c>
      <c r="B200" s="19">
        <v>893882</v>
      </c>
      <c r="C200" s="19">
        <v>900200</v>
      </c>
      <c r="D200" s="19">
        <v>935217</v>
      </c>
      <c r="E200" s="19">
        <v>887224</v>
      </c>
      <c r="F200" s="19">
        <v>893490</v>
      </c>
      <c r="G200" s="20">
        <v>0.28274761949799032</v>
      </c>
      <c r="H200" s="20">
        <v>0.28332704382127044</v>
      </c>
      <c r="I200" s="20">
        <v>0.28900964388367262</v>
      </c>
      <c r="J200" s="20">
        <v>0.27638998094730166</v>
      </c>
      <c r="K200" s="20">
        <v>0.27516290534628879</v>
      </c>
      <c r="L200" s="19">
        <v>734431</v>
      </c>
      <c r="M200" s="19">
        <v>749168</v>
      </c>
      <c r="N200" s="19">
        <v>789154</v>
      </c>
      <c r="O200" s="19">
        <v>752190</v>
      </c>
      <c r="P200" s="19">
        <v>762767</v>
      </c>
      <c r="Q200" s="20">
        <v>0.82161963212146572</v>
      </c>
      <c r="R200" s="20">
        <v>0.83222395023328144</v>
      </c>
      <c r="S200" s="20">
        <v>0.84381913502427774</v>
      </c>
      <c r="T200" s="20">
        <v>0.84780168255141886</v>
      </c>
      <c r="U200" s="20">
        <v>0.85369394173409885</v>
      </c>
      <c r="W200" s="19">
        <v>921500</v>
      </c>
      <c r="X200" s="19">
        <v>923432</v>
      </c>
      <c r="Y200" s="19">
        <v>914228</v>
      </c>
      <c r="Z200" s="19">
        <v>888321</v>
      </c>
      <c r="AA200" s="19">
        <v>887224</v>
      </c>
      <c r="AB200" s="20">
        <v>0.3063324213724623</v>
      </c>
      <c r="AC200" s="20">
        <v>0.30321543672312767</v>
      </c>
      <c r="AD200" s="20">
        <v>0.29649275573824985</v>
      </c>
      <c r="AE200" s="20">
        <v>0.28293946869281744</v>
      </c>
      <c r="AF200" s="20">
        <v>0.27638998094730166</v>
      </c>
      <c r="AG200" s="19">
        <v>578316</v>
      </c>
      <c r="AH200" s="19">
        <v>646631</v>
      </c>
      <c r="AI200" s="19">
        <v>682774</v>
      </c>
      <c r="AJ200" s="19">
        <v>714048</v>
      </c>
      <c r="AK200" s="19">
        <v>752190</v>
      </c>
      <c r="AL200" s="20">
        <v>0.62758111774281067</v>
      </c>
      <c r="AM200" s="20">
        <v>0.7002475547739303</v>
      </c>
      <c r="AN200" s="20">
        <v>0.74683120621989263</v>
      </c>
      <c r="AO200" s="20">
        <v>0.80381753893018404</v>
      </c>
      <c r="AP200" s="20">
        <v>0.84780168255141886</v>
      </c>
      <c r="AQ200" s="37"/>
    </row>
    <row r="201" spans="1:55" s="19" customFormat="1" x14ac:dyDescent="0.2">
      <c r="A201" s="18" t="s">
        <v>76</v>
      </c>
      <c r="B201" s="19">
        <v>507124</v>
      </c>
      <c r="C201" s="19">
        <v>527211</v>
      </c>
      <c r="D201" s="19">
        <v>550994</v>
      </c>
      <c r="E201" s="19">
        <v>578594</v>
      </c>
      <c r="F201" s="19">
        <v>610191</v>
      </c>
      <c r="G201" s="20">
        <v>0.16041055059873544</v>
      </c>
      <c r="H201" s="20">
        <v>0.16593327493896445</v>
      </c>
      <c r="I201" s="20">
        <v>0.17027340149082013</v>
      </c>
      <c r="J201" s="20">
        <v>0.180244881378573</v>
      </c>
      <c r="K201" s="20">
        <v>0.18791696423704496</v>
      </c>
      <c r="L201" s="19">
        <v>496216</v>
      </c>
      <c r="M201" s="19">
        <v>517119</v>
      </c>
      <c r="N201" s="19">
        <v>532462</v>
      </c>
      <c r="O201" s="19">
        <v>563121</v>
      </c>
      <c r="P201" s="19">
        <v>595575</v>
      </c>
      <c r="Q201" s="20">
        <v>0.97849046781457794</v>
      </c>
      <c r="R201" s="20">
        <v>0.98085775903765282</v>
      </c>
      <c r="S201" s="20">
        <v>0.96636623992275783</v>
      </c>
      <c r="T201" s="20">
        <v>0.9732575864941565</v>
      </c>
      <c r="U201" s="20">
        <v>0.97604684434873668</v>
      </c>
      <c r="W201" s="19">
        <v>257104</v>
      </c>
      <c r="X201" s="19">
        <v>319874</v>
      </c>
      <c r="Y201" s="19">
        <v>400976</v>
      </c>
      <c r="Z201" s="19">
        <v>484750</v>
      </c>
      <c r="AA201" s="19">
        <v>578594</v>
      </c>
      <c r="AB201" s="20">
        <v>8.5468573917032609E-2</v>
      </c>
      <c r="AC201" s="20">
        <v>0.10503289317066523</v>
      </c>
      <c r="AD201" s="20">
        <v>0.13004029544588491</v>
      </c>
      <c r="AE201" s="20">
        <v>0.1543979118458792</v>
      </c>
      <c r="AF201" s="20">
        <v>0.180244881378573</v>
      </c>
      <c r="AG201" s="19">
        <v>242888</v>
      </c>
      <c r="AH201" s="19">
        <v>305681</v>
      </c>
      <c r="AI201" s="19">
        <v>382248</v>
      </c>
      <c r="AJ201" s="19">
        <v>473432</v>
      </c>
      <c r="AK201" s="19">
        <v>563121</v>
      </c>
      <c r="AL201" s="20">
        <v>0.94470720019914123</v>
      </c>
      <c r="AM201" s="20">
        <v>0.95562940407785568</v>
      </c>
      <c r="AN201" s="20">
        <v>0.95329396273093647</v>
      </c>
      <c r="AO201" s="20">
        <v>0.97665188241361522</v>
      </c>
      <c r="AP201" s="20">
        <v>0.9732575864941565</v>
      </c>
      <c r="AQ201" s="37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</row>
    <row r="202" spans="1:55" s="21" customFormat="1" x14ac:dyDescent="0.2">
      <c r="A202" s="29" t="s">
        <v>77</v>
      </c>
      <c r="B202" s="21">
        <v>3161413</v>
      </c>
      <c r="C202" s="21">
        <v>3177247</v>
      </c>
      <c r="D202" s="21">
        <v>3235937</v>
      </c>
      <c r="E202" s="21">
        <v>3210044</v>
      </c>
      <c r="F202" s="21">
        <v>3247131</v>
      </c>
      <c r="G202" s="22">
        <v>1</v>
      </c>
      <c r="H202" s="22">
        <v>1</v>
      </c>
      <c r="I202" s="22">
        <v>1</v>
      </c>
      <c r="J202" s="22">
        <v>1</v>
      </c>
      <c r="K202" s="22">
        <v>1</v>
      </c>
      <c r="L202" s="21">
        <v>2716961</v>
      </c>
      <c r="M202" s="21">
        <v>2753593</v>
      </c>
      <c r="N202" s="21">
        <v>2812007</v>
      </c>
      <c r="O202" s="21">
        <v>2814354</v>
      </c>
      <c r="P202" s="21">
        <v>2864318</v>
      </c>
      <c r="Q202" s="22">
        <v>0.85941349643339859</v>
      </c>
      <c r="R202" s="22">
        <v>0.86666003618856202</v>
      </c>
      <c r="S202" s="22">
        <v>0.86899312316648936</v>
      </c>
      <c r="T202" s="22">
        <v>0.87673377685788734</v>
      </c>
      <c r="U202" s="22">
        <v>0.88210731257839614</v>
      </c>
      <c r="W202" s="21">
        <v>3008170</v>
      </c>
      <c r="X202" s="21">
        <v>3045465</v>
      </c>
      <c r="Y202" s="21">
        <v>3083475</v>
      </c>
      <c r="Z202" s="21">
        <v>3139615</v>
      </c>
      <c r="AA202" s="21">
        <v>3210044</v>
      </c>
      <c r="AB202" s="22">
        <v>1</v>
      </c>
      <c r="AC202" s="22">
        <v>1</v>
      </c>
      <c r="AD202" s="22">
        <v>1</v>
      </c>
      <c r="AE202" s="22">
        <v>1</v>
      </c>
      <c r="AF202" s="22">
        <v>1</v>
      </c>
      <c r="AG202" s="21">
        <v>2109006</v>
      </c>
      <c r="AH202" s="21">
        <v>2274882</v>
      </c>
      <c r="AI202" s="21">
        <v>2438863</v>
      </c>
      <c r="AJ202" s="21">
        <v>2666096</v>
      </c>
      <c r="AK202" s="21">
        <v>2814354</v>
      </c>
      <c r="AL202" s="22">
        <v>0.70109269090510173</v>
      </c>
      <c r="AM202" s="22">
        <v>0.74697361486669522</v>
      </c>
      <c r="AN202" s="22">
        <v>0.79094625382077044</v>
      </c>
      <c r="AO202" s="22">
        <v>0.84917927835100804</v>
      </c>
      <c r="AP202" s="22">
        <v>0.87673377685788734</v>
      </c>
      <c r="AQ202" s="37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</row>
    <row r="203" spans="1:55" s="19" customFormat="1" x14ac:dyDescent="0.2">
      <c r="A203" s="18"/>
      <c r="AB203" s="20"/>
      <c r="AC203" s="20"/>
      <c r="AD203" s="20"/>
      <c r="AE203" s="20"/>
      <c r="AF203" s="20"/>
      <c r="AL203" s="20"/>
      <c r="AM203" s="20"/>
      <c r="AN203" s="20"/>
      <c r="AO203" s="20"/>
      <c r="AP203" s="20"/>
      <c r="AQ203" s="37"/>
    </row>
    <row r="204" spans="1:55" s="19" customFormat="1" x14ac:dyDescent="0.2">
      <c r="A204" s="9" t="s">
        <v>68</v>
      </c>
      <c r="B204" s="9" t="s">
        <v>10</v>
      </c>
      <c r="C204" s="9" t="s">
        <v>11</v>
      </c>
      <c r="D204" s="9" t="s">
        <v>12</v>
      </c>
      <c r="E204" s="9" t="s">
        <v>164</v>
      </c>
      <c r="F204" s="9" t="s">
        <v>195</v>
      </c>
      <c r="G204" s="9" t="s">
        <v>10</v>
      </c>
      <c r="H204" s="9" t="s">
        <v>11</v>
      </c>
      <c r="I204" s="9" t="s">
        <v>12</v>
      </c>
      <c r="J204" s="9" t="s">
        <v>164</v>
      </c>
      <c r="K204" s="9" t="s">
        <v>195</v>
      </c>
      <c r="L204" s="9" t="s">
        <v>10</v>
      </c>
      <c r="M204" s="9" t="s">
        <v>11</v>
      </c>
      <c r="N204" s="9" t="s">
        <v>12</v>
      </c>
      <c r="O204" s="9" t="s">
        <v>164</v>
      </c>
      <c r="P204" s="9" t="s">
        <v>195</v>
      </c>
      <c r="Q204" s="9" t="s">
        <v>10</v>
      </c>
      <c r="R204" s="9" t="s">
        <v>11</v>
      </c>
      <c r="S204" s="9" t="s">
        <v>12</v>
      </c>
      <c r="T204" s="9" t="s">
        <v>164</v>
      </c>
      <c r="U204" s="9" t="s">
        <v>195</v>
      </c>
      <c r="V204" s="9"/>
      <c r="W204" s="9" t="s">
        <v>13</v>
      </c>
      <c r="X204" s="9" t="s">
        <v>14</v>
      </c>
      <c r="Y204" s="9" t="s">
        <v>15</v>
      </c>
      <c r="Z204" s="9" t="s">
        <v>16</v>
      </c>
      <c r="AA204" s="9" t="s">
        <v>165</v>
      </c>
      <c r="AB204" s="9" t="s">
        <v>13</v>
      </c>
      <c r="AC204" s="9" t="s">
        <v>14</v>
      </c>
      <c r="AD204" s="9" t="s">
        <v>15</v>
      </c>
      <c r="AE204" s="9" t="s">
        <v>16</v>
      </c>
      <c r="AF204" s="9" t="s">
        <v>165</v>
      </c>
      <c r="AG204" s="9" t="s">
        <v>13</v>
      </c>
      <c r="AH204" s="9" t="s">
        <v>14</v>
      </c>
      <c r="AI204" s="9" t="s">
        <v>15</v>
      </c>
      <c r="AJ204" s="9" t="s">
        <v>16</v>
      </c>
      <c r="AK204" s="9" t="s">
        <v>165</v>
      </c>
      <c r="AL204" s="9" t="s">
        <v>13</v>
      </c>
      <c r="AM204" s="9" t="s">
        <v>14</v>
      </c>
      <c r="AN204" s="9" t="s">
        <v>15</v>
      </c>
      <c r="AO204" s="9" t="s">
        <v>16</v>
      </c>
      <c r="AP204" s="9" t="s">
        <v>165</v>
      </c>
      <c r="AQ204" s="37"/>
    </row>
    <row r="205" spans="1:55" s="19" customFormat="1" x14ac:dyDescent="0.2">
      <c r="A205" s="18" t="s">
        <v>32</v>
      </c>
      <c r="B205" s="19">
        <v>611879</v>
      </c>
      <c r="C205" s="19">
        <v>614172</v>
      </c>
      <c r="D205" s="19">
        <v>613919</v>
      </c>
      <c r="E205" s="19">
        <v>617542</v>
      </c>
      <c r="F205" s="19">
        <v>620345</v>
      </c>
      <c r="G205" s="20">
        <v>0.30782028192254673</v>
      </c>
      <c r="H205" s="20">
        <v>0.3070967483861935</v>
      </c>
      <c r="I205" s="20">
        <v>0.30504094497656986</v>
      </c>
      <c r="J205" s="20">
        <v>0.30638669871063384</v>
      </c>
      <c r="K205" s="20">
        <v>0.30491485318650507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W205" s="19">
        <v>0</v>
      </c>
      <c r="X205" s="19">
        <v>596617</v>
      </c>
      <c r="Y205" s="19">
        <v>598848</v>
      </c>
      <c r="Z205" s="19">
        <v>613300</v>
      </c>
      <c r="AA205" s="19">
        <v>617542</v>
      </c>
      <c r="AB205" s="20">
        <v>0</v>
      </c>
      <c r="AC205" s="20">
        <v>0.31458380788472406</v>
      </c>
      <c r="AD205" s="20">
        <v>0.30991717573607191</v>
      </c>
      <c r="AE205" s="20">
        <v>0.30971931844579786</v>
      </c>
      <c r="AF205" s="20">
        <v>0.30638669871063384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37"/>
    </row>
    <row r="206" spans="1:55" s="19" customFormat="1" x14ac:dyDescent="0.2">
      <c r="A206" s="18" t="s">
        <v>43</v>
      </c>
      <c r="B206" s="19">
        <v>624547</v>
      </c>
      <c r="C206" s="19">
        <v>615396</v>
      </c>
      <c r="D206" s="19">
        <v>606857</v>
      </c>
      <c r="E206" s="19">
        <v>600441</v>
      </c>
      <c r="F206" s="19">
        <v>593029</v>
      </c>
      <c r="G206" s="20">
        <v>0.31419322057772991</v>
      </c>
      <c r="H206" s="20">
        <v>0.30770876980694323</v>
      </c>
      <c r="I206" s="20">
        <v>0.30153201439545974</v>
      </c>
      <c r="J206" s="20">
        <v>0.29790222488593765</v>
      </c>
      <c r="K206" s="20">
        <v>0.2914883661032811</v>
      </c>
      <c r="L206" s="19">
        <v>491245</v>
      </c>
      <c r="M206" s="19">
        <v>489140</v>
      </c>
      <c r="N206" s="19">
        <v>483581</v>
      </c>
      <c r="O206" s="19">
        <v>484449</v>
      </c>
      <c r="P206" s="19">
        <v>482192</v>
      </c>
      <c r="Q206" s="20">
        <v>0.78656210021023243</v>
      </c>
      <c r="R206" s="20">
        <v>0.79483779550078326</v>
      </c>
      <c r="S206" s="20">
        <v>0.79686153410111438</v>
      </c>
      <c r="T206" s="20">
        <v>0.80682198584040732</v>
      </c>
      <c r="U206" s="20">
        <v>0.81310020251960702</v>
      </c>
      <c r="W206" s="19">
        <v>0</v>
      </c>
      <c r="X206" s="19">
        <v>691446</v>
      </c>
      <c r="Y206" s="19">
        <v>681527</v>
      </c>
      <c r="Z206" s="19">
        <v>634013</v>
      </c>
      <c r="AA206" s="19">
        <v>600441</v>
      </c>
      <c r="AB206" s="20">
        <v>0</v>
      </c>
      <c r="AC206" s="20">
        <v>0.36458517881096403</v>
      </c>
      <c r="AD206" s="20">
        <v>0.35270539941333673</v>
      </c>
      <c r="AE206" s="20">
        <v>0.32017947863325558</v>
      </c>
      <c r="AF206" s="20">
        <v>0.29790222488593765</v>
      </c>
      <c r="AG206" s="19">
        <v>0</v>
      </c>
      <c r="AH206" s="19">
        <v>458358</v>
      </c>
      <c r="AI206" s="19">
        <v>475823</v>
      </c>
      <c r="AJ206" s="19">
        <v>492108</v>
      </c>
      <c r="AK206" s="19">
        <v>484449</v>
      </c>
      <c r="AL206" s="20">
        <v>0</v>
      </c>
      <c r="AM206" s="20">
        <v>0.66289775340373647</v>
      </c>
      <c r="AN206" s="20">
        <v>0.69817189927911882</v>
      </c>
      <c r="AO206" s="20">
        <v>0.77617966824024109</v>
      </c>
      <c r="AP206" s="20">
        <v>0.80682198584040732</v>
      </c>
      <c r="AQ206" s="37"/>
    </row>
    <row r="207" spans="1:55" s="19" customFormat="1" x14ac:dyDescent="0.2">
      <c r="A207" s="18" t="s">
        <v>19</v>
      </c>
      <c r="B207" s="19">
        <v>332672</v>
      </c>
      <c r="C207" s="19">
        <v>331857</v>
      </c>
      <c r="D207" s="19">
        <v>335497</v>
      </c>
      <c r="E207" s="19">
        <v>335423</v>
      </c>
      <c r="F207" s="19">
        <v>334961</v>
      </c>
      <c r="G207" s="20">
        <v>0.16735856080652789</v>
      </c>
      <c r="H207" s="20">
        <v>0.16593430770076953</v>
      </c>
      <c r="I207" s="20">
        <v>0.16670004009780487</v>
      </c>
      <c r="J207" s="20">
        <v>0.16641644720782867</v>
      </c>
      <c r="K207" s="20">
        <v>0.16464158514730501</v>
      </c>
      <c r="L207" s="19">
        <v>282828</v>
      </c>
      <c r="M207" s="19">
        <v>283779</v>
      </c>
      <c r="N207" s="19">
        <v>288634</v>
      </c>
      <c r="O207" s="19">
        <v>290412</v>
      </c>
      <c r="P207" s="19">
        <v>291269</v>
      </c>
      <c r="Q207" s="20">
        <v>0.85017073874567139</v>
      </c>
      <c r="R207" s="20">
        <v>0.85512434572722584</v>
      </c>
      <c r="S207" s="20">
        <v>0.86031767795241088</v>
      </c>
      <c r="T207" s="20">
        <v>0.86580824809270684</v>
      </c>
      <c r="U207" s="20">
        <v>0.86956093395947587</v>
      </c>
      <c r="W207" s="19">
        <v>0</v>
      </c>
      <c r="X207" s="19">
        <v>346968</v>
      </c>
      <c r="Y207" s="19">
        <v>360451</v>
      </c>
      <c r="Z207" s="19">
        <v>334304</v>
      </c>
      <c r="AA207" s="19">
        <v>335423</v>
      </c>
      <c r="AB207" s="20">
        <v>0</v>
      </c>
      <c r="AC207" s="20">
        <v>0.18294905216268886</v>
      </c>
      <c r="AD207" s="20">
        <v>0.18654141937727581</v>
      </c>
      <c r="AE207" s="20">
        <v>0.16882505630801239</v>
      </c>
      <c r="AF207" s="20">
        <v>0.16641644720782867</v>
      </c>
      <c r="AG207" s="19">
        <v>0</v>
      </c>
      <c r="AH207" s="19">
        <v>263592</v>
      </c>
      <c r="AI207" s="19">
        <v>288566</v>
      </c>
      <c r="AJ207" s="19">
        <v>282301</v>
      </c>
      <c r="AK207" s="19">
        <v>290412</v>
      </c>
      <c r="AL207" s="20">
        <v>0</v>
      </c>
      <c r="AM207" s="20">
        <v>0.75970118281801202</v>
      </c>
      <c r="AN207" s="20">
        <v>0.80056928681013506</v>
      </c>
      <c r="AO207" s="20">
        <v>0.84444397913276537</v>
      </c>
      <c r="AP207" s="20">
        <v>0.86580824809270684</v>
      </c>
      <c r="AQ207" s="37"/>
    </row>
    <row r="208" spans="1:55" s="19" customFormat="1" x14ac:dyDescent="0.2">
      <c r="A208" s="18" t="s">
        <v>76</v>
      </c>
      <c r="B208" s="19">
        <v>418682</v>
      </c>
      <c r="C208" s="19">
        <v>438505</v>
      </c>
      <c r="D208" s="19">
        <v>456306</v>
      </c>
      <c r="E208" s="19">
        <v>462158</v>
      </c>
      <c r="F208" s="19">
        <v>486151</v>
      </c>
      <c r="G208" s="20">
        <v>0.21062793669319543</v>
      </c>
      <c r="H208" s="20">
        <v>0.21926017410609372</v>
      </c>
      <c r="I208" s="20">
        <v>0.22672700053016553</v>
      </c>
      <c r="J208" s="20">
        <v>0.22929462919559984</v>
      </c>
      <c r="K208" s="20">
        <v>0.23895519556290876</v>
      </c>
      <c r="L208" s="19">
        <v>397989</v>
      </c>
      <c r="M208" s="19">
        <v>418109</v>
      </c>
      <c r="N208" s="19">
        <v>435511</v>
      </c>
      <c r="O208" s="19">
        <v>441047</v>
      </c>
      <c r="P208" s="19">
        <v>464439</v>
      </c>
      <c r="Q208" s="20">
        <v>0.95057585470595818</v>
      </c>
      <c r="R208" s="20">
        <v>0.95348741747528531</v>
      </c>
      <c r="S208" s="20">
        <v>0.95442751136298887</v>
      </c>
      <c r="T208" s="20">
        <v>0.95432081669039592</v>
      </c>
      <c r="U208" s="20">
        <v>0.95533897904149123</v>
      </c>
      <c r="W208" s="19">
        <v>0</v>
      </c>
      <c r="X208" s="19">
        <v>261497</v>
      </c>
      <c r="Y208" s="19">
        <v>291458</v>
      </c>
      <c r="Z208" s="19">
        <v>398563</v>
      </c>
      <c r="AA208" s="19">
        <v>462158</v>
      </c>
      <c r="AB208" s="20">
        <v>0</v>
      </c>
      <c r="AC208" s="20">
        <v>0.13788196114162302</v>
      </c>
      <c r="AD208" s="20">
        <v>0.15083600547331552</v>
      </c>
      <c r="AE208" s="20">
        <v>0.20127614661293416</v>
      </c>
      <c r="AF208" s="20">
        <v>0.22929462919559984</v>
      </c>
      <c r="AG208" s="19">
        <v>0</v>
      </c>
      <c r="AH208" s="19">
        <v>238957</v>
      </c>
      <c r="AI208" s="19">
        <v>268865</v>
      </c>
      <c r="AJ208" s="19">
        <v>378100</v>
      </c>
      <c r="AK208" s="19">
        <v>441047</v>
      </c>
      <c r="AL208" s="20">
        <v>0</v>
      </c>
      <c r="AM208" s="20">
        <v>0.9138039824548656</v>
      </c>
      <c r="AN208" s="20">
        <v>0.92248282771445633</v>
      </c>
      <c r="AO208" s="20">
        <v>0.94865805405920767</v>
      </c>
      <c r="AP208" s="20">
        <v>0.95432081669039592</v>
      </c>
      <c r="AQ208" s="37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</row>
    <row r="209" spans="1:55" s="21" customFormat="1" x14ac:dyDescent="0.2">
      <c r="A209" s="29" t="s">
        <v>77</v>
      </c>
      <c r="B209" s="21">
        <v>1987780</v>
      </c>
      <c r="C209" s="21">
        <v>1999930</v>
      </c>
      <c r="D209" s="21">
        <v>2012579</v>
      </c>
      <c r="E209" s="21">
        <v>2015564</v>
      </c>
      <c r="F209" s="21">
        <v>2034486</v>
      </c>
      <c r="G209" s="22">
        <v>1</v>
      </c>
      <c r="H209" s="22">
        <v>1</v>
      </c>
      <c r="I209" s="22">
        <v>1</v>
      </c>
      <c r="J209" s="22">
        <v>1</v>
      </c>
      <c r="K209" s="22">
        <v>1</v>
      </c>
      <c r="L209" s="21">
        <v>1172062</v>
      </c>
      <c r="M209" s="21">
        <v>1191028</v>
      </c>
      <c r="N209" s="21">
        <v>1207726</v>
      </c>
      <c r="O209" s="21">
        <v>1215908</v>
      </c>
      <c r="P209" s="21">
        <v>1237900</v>
      </c>
      <c r="Q209" s="22">
        <v>0.58963366167282094</v>
      </c>
      <c r="R209" s="22">
        <v>0.59553484371953014</v>
      </c>
      <c r="S209" s="22">
        <v>0.60008874185808359</v>
      </c>
      <c r="T209" s="22">
        <v>0.60325943507623669</v>
      </c>
      <c r="U209" s="22">
        <v>0.60845835262567549</v>
      </c>
      <c r="W209" s="21">
        <v>0</v>
      </c>
      <c r="X209" s="21">
        <v>1896528</v>
      </c>
      <c r="Y209" s="21">
        <v>1932284</v>
      </c>
      <c r="Z209" s="21">
        <v>1980180</v>
      </c>
      <c r="AA209" s="21">
        <v>2015564</v>
      </c>
      <c r="AB209" s="22">
        <v>0</v>
      </c>
      <c r="AC209" s="22">
        <v>1</v>
      </c>
      <c r="AD209" s="22">
        <v>1</v>
      </c>
      <c r="AE209" s="22">
        <v>1</v>
      </c>
      <c r="AF209" s="22">
        <v>1</v>
      </c>
      <c r="AG209" s="21">
        <v>0</v>
      </c>
      <c r="AH209" s="21">
        <v>960907</v>
      </c>
      <c r="AI209" s="21">
        <v>1033254</v>
      </c>
      <c r="AJ209" s="21">
        <v>1152509</v>
      </c>
      <c r="AK209" s="21">
        <v>1215908</v>
      </c>
      <c r="AL209" s="22">
        <v>0</v>
      </c>
      <c r="AM209" s="22">
        <v>0.50666639248141865</v>
      </c>
      <c r="AN209" s="22">
        <v>0.53473195451600286</v>
      </c>
      <c r="AO209" s="22">
        <v>0.58202234140330678</v>
      </c>
      <c r="AP209" s="22">
        <v>0.60325943507623669</v>
      </c>
      <c r="AQ209" s="37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</row>
    <row r="210" spans="1:55" s="19" customFormat="1" x14ac:dyDescent="0.2">
      <c r="A210" s="18"/>
      <c r="AB210" s="20"/>
      <c r="AC210" s="20"/>
      <c r="AD210" s="20"/>
      <c r="AE210" s="20"/>
      <c r="AF210" s="20"/>
      <c r="AL210" s="20"/>
      <c r="AM210" s="20"/>
      <c r="AN210" s="20"/>
      <c r="AO210" s="20"/>
      <c r="AP210" s="20"/>
      <c r="AQ210" s="37"/>
    </row>
    <row r="211" spans="1:55" s="19" customFormat="1" x14ac:dyDescent="0.2">
      <c r="A211" s="9" t="s">
        <v>70</v>
      </c>
      <c r="B211" s="9" t="s">
        <v>10</v>
      </c>
      <c r="C211" s="9" t="s">
        <v>11</v>
      </c>
      <c r="D211" s="9" t="s">
        <v>12</v>
      </c>
      <c r="E211" s="9" t="s">
        <v>164</v>
      </c>
      <c r="F211" s="9" t="s">
        <v>195</v>
      </c>
      <c r="G211" s="9" t="s">
        <v>10</v>
      </c>
      <c r="H211" s="9" t="s">
        <v>11</v>
      </c>
      <c r="I211" s="9" t="s">
        <v>12</v>
      </c>
      <c r="J211" s="9" t="s">
        <v>164</v>
      </c>
      <c r="K211" s="9" t="s">
        <v>195</v>
      </c>
      <c r="L211" s="9" t="s">
        <v>10</v>
      </c>
      <c r="M211" s="9" t="s">
        <v>11</v>
      </c>
      <c r="N211" s="9" t="s">
        <v>12</v>
      </c>
      <c r="O211" s="9" t="s">
        <v>164</v>
      </c>
      <c r="P211" s="9" t="s">
        <v>195</v>
      </c>
      <c r="Q211" s="9" t="s">
        <v>10</v>
      </c>
      <c r="R211" s="9" t="s">
        <v>11</v>
      </c>
      <c r="S211" s="9" t="s">
        <v>12</v>
      </c>
      <c r="T211" s="9" t="s">
        <v>164</v>
      </c>
      <c r="U211" s="9" t="s">
        <v>195</v>
      </c>
      <c r="V211" s="9"/>
      <c r="W211" s="9" t="s">
        <v>13</v>
      </c>
      <c r="X211" s="9" t="s">
        <v>14</v>
      </c>
      <c r="Y211" s="9" t="s">
        <v>15</v>
      </c>
      <c r="Z211" s="9" t="s">
        <v>16</v>
      </c>
      <c r="AA211" s="9" t="s">
        <v>165</v>
      </c>
      <c r="AB211" s="9" t="s">
        <v>13</v>
      </c>
      <c r="AC211" s="9" t="s">
        <v>14</v>
      </c>
      <c r="AD211" s="9" t="s">
        <v>15</v>
      </c>
      <c r="AE211" s="9" t="s">
        <v>16</v>
      </c>
      <c r="AF211" s="9" t="s">
        <v>165</v>
      </c>
      <c r="AG211" s="9" t="s">
        <v>13</v>
      </c>
      <c r="AH211" s="9" t="s">
        <v>14</v>
      </c>
      <c r="AI211" s="9" t="s">
        <v>15</v>
      </c>
      <c r="AJ211" s="9" t="s">
        <v>16</v>
      </c>
      <c r="AK211" s="9" t="s">
        <v>165</v>
      </c>
      <c r="AL211" s="9" t="s">
        <v>13</v>
      </c>
      <c r="AM211" s="9" t="s">
        <v>14</v>
      </c>
      <c r="AN211" s="9" t="s">
        <v>15</v>
      </c>
      <c r="AO211" s="9" t="s">
        <v>16</v>
      </c>
      <c r="AP211" s="9" t="s">
        <v>165</v>
      </c>
      <c r="AQ211" s="37"/>
    </row>
    <row r="212" spans="1:55" s="19" customFormat="1" x14ac:dyDescent="0.2">
      <c r="A212" s="18" t="s">
        <v>19</v>
      </c>
      <c r="B212" s="19">
        <v>300201</v>
      </c>
      <c r="C212" s="19">
        <v>298972</v>
      </c>
      <c r="D212" s="19">
        <v>298534</v>
      </c>
      <c r="E212" s="19">
        <v>296155</v>
      </c>
      <c r="F212" s="19">
        <v>293825</v>
      </c>
      <c r="G212" s="20">
        <v>0.38811583447858583</v>
      </c>
      <c r="H212" s="20">
        <v>0.38562303945847781</v>
      </c>
      <c r="I212" s="20">
        <v>0.38298139833226424</v>
      </c>
      <c r="J212" s="20">
        <v>0.3812342951886637</v>
      </c>
      <c r="K212" s="20">
        <v>0.37566803897000539</v>
      </c>
      <c r="L212" s="19">
        <v>242013</v>
      </c>
      <c r="M212" s="19">
        <v>241701</v>
      </c>
      <c r="N212" s="19">
        <v>242075</v>
      </c>
      <c r="O212" s="19">
        <v>241290</v>
      </c>
      <c r="P212" s="19">
        <v>241250</v>
      </c>
      <c r="Q212" s="20">
        <v>0.80616986618965292</v>
      </c>
      <c r="R212" s="20">
        <v>0.80844025527474139</v>
      </c>
      <c r="S212" s="20">
        <v>0.81087916284242334</v>
      </c>
      <c r="T212" s="20">
        <v>0.81474228022488226</v>
      </c>
      <c r="U212" s="20">
        <v>0.82106696162681869</v>
      </c>
      <c r="W212" s="19">
        <v>346447</v>
      </c>
      <c r="X212" s="19">
        <v>338664</v>
      </c>
      <c r="Y212" s="19">
        <v>323594</v>
      </c>
      <c r="Z212" s="19">
        <v>302430</v>
      </c>
      <c r="AA212" s="19">
        <v>296155</v>
      </c>
      <c r="AB212" s="20">
        <v>0.4619816912583426</v>
      </c>
      <c r="AC212" s="20">
        <v>0.44772839946853871</v>
      </c>
      <c r="AD212" s="20">
        <v>0.42547199208996611</v>
      </c>
      <c r="AE212" s="20">
        <v>0.39227258164725171</v>
      </c>
      <c r="AF212" s="20">
        <v>0.3812342951886637</v>
      </c>
      <c r="AG212" s="19">
        <v>245810</v>
      </c>
      <c r="AH212" s="19">
        <v>248038</v>
      </c>
      <c r="AI212" s="19">
        <v>244386</v>
      </c>
      <c r="AJ212" s="19">
        <v>242112</v>
      </c>
      <c r="AK212" s="19">
        <v>241290</v>
      </c>
      <c r="AL212" s="20">
        <v>0.70951689580224397</v>
      </c>
      <c r="AM212" s="20">
        <v>0.73240143623178133</v>
      </c>
      <c r="AN212" s="20">
        <v>0.75522413889009066</v>
      </c>
      <c r="AO212" s="20">
        <v>0.80055550044638424</v>
      </c>
      <c r="AP212" s="20">
        <v>0.81474228022488226</v>
      </c>
      <c r="AQ212" s="37"/>
    </row>
    <row r="213" spans="1:55" s="19" customFormat="1" x14ac:dyDescent="0.2">
      <c r="A213" s="18" t="s">
        <v>43</v>
      </c>
      <c r="B213" s="19">
        <v>202690</v>
      </c>
      <c r="C213" s="19">
        <v>203537</v>
      </c>
      <c r="D213" s="19">
        <v>202232</v>
      </c>
      <c r="E213" s="19">
        <v>203273</v>
      </c>
      <c r="F213" s="19">
        <v>207374</v>
      </c>
      <c r="G213" s="20">
        <v>0.26204842252512339</v>
      </c>
      <c r="H213" s="20">
        <v>0.26252811829288425</v>
      </c>
      <c r="I213" s="20">
        <v>0.25943810134701734</v>
      </c>
      <c r="J213" s="20">
        <v>0.26166918973471742</v>
      </c>
      <c r="K213" s="20">
        <v>0.26513667629836091</v>
      </c>
      <c r="L213" s="19">
        <v>195691</v>
      </c>
      <c r="M213" s="19">
        <v>196548</v>
      </c>
      <c r="N213" s="19">
        <v>194959</v>
      </c>
      <c r="O213" s="19">
        <v>196089</v>
      </c>
      <c r="P213" s="19">
        <v>200644</v>
      </c>
      <c r="Q213" s="20">
        <v>0.96546943608466129</v>
      </c>
      <c r="R213" s="20">
        <v>0.96566226288095036</v>
      </c>
      <c r="S213" s="20">
        <v>0.96403635428616641</v>
      </c>
      <c r="T213" s="20">
        <v>0.96465836584297959</v>
      </c>
      <c r="U213" s="20">
        <v>0.96754655839208392</v>
      </c>
      <c r="W213" s="19">
        <v>147810</v>
      </c>
      <c r="X213" s="19">
        <v>153163</v>
      </c>
      <c r="Y213" s="19">
        <v>171390</v>
      </c>
      <c r="Z213" s="19">
        <v>197667</v>
      </c>
      <c r="AA213" s="19">
        <v>203273</v>
      </c>
      <c r="AB213" s="20">
        <v>0.19710233826500337</v>
      </c>
      <c r="AC213" s="20">
        <v>0.20248808508669297</v>
      </c>
      <c r="AD213" s="20">
        <v>0.22534918671019641</v>
      </c>
      <c r="AE213" s="20">
        <v>0.25638774062251529</v>
      </c>
      <c r="AF213" s="20">
        <v>0.26166918973471742</v>
      </c>
      <c r="AG213" s="19">
        <v>139881</v>
      </c>
      <c r="AH213" s="19">
        <v>145842</v>
      </c>
      <c r="AI213" s="19">
        <v>163886</v>
      </c>
      <c r="AJ213" s="19">
        <v>191016</v>
      </c>
      <c r="AK213" s="19">
        <v>196089</v>
      </c>
      <c r="AL213" s="20">
        <v>0.94635680941749545</v>
      </c>
      <c r="AM213" s="20">
        <v>0.95220124964906672</v>
      </c>
      <c r="AN213" s="20">
        <v>0.95621681545014292</v>
      </c>
      <c r="AO213" s="20">
        <v>0.96635250193507261</v>
      </c>
      <c r="AP213" s="20">
        <v>0.96465836584297959</v>
      </c>
      <c r="AQ213" s="37"/>
    </row>
    <row r="214" spans="1:55" s="19" customFormat="1" x14ac:dyDescent="0.2">
      <c r="A214" s="18" t="s">
        <v>30</v>
      </c>
      <c r="B214" s="19">
        <v>66517</v>
      </c>
      <c r="C214" s="19">
        <v>64952</v>
      </c>
      <c r="D214" s="19">
        <v>66435</v>
      </c>
      <c r="E214" s="19">
        <v>60857</v>
      </c>
      <c r="F214" s="19">
        <v>59618</v>
      </c>
      <c r="G214" s="20">
        <v>8.5996718738485523E-2</v>
      </c>
      <c r="H214" s="20">
        <v>8.3777034835727252E-2</v>
      </c>
      <c r="I214" s="20">
        <v>8.5227710070558044E-2</v>
      </c>
      <c r="J214" s="20">
        <v>7.8339975696160816E-2</v>
      </c>
      <c r="K214" s="20">
        <v>7.6224205385225147E-2</v>
      </c>
      <c r="L214" s="19">
        <v>65723</v>
      </c>
      <c r="M214" s="19">
        <v>64117</v>
      </c>
      <c r="N214" s="19">
        <v>65497</v>
      </c>
      <c r="O214" s="19">
        <v>59992</v>
      </c>
      <c r="P214" s="19">
        <v>58708</v>
      </c>
      <c r="Q214" s="20">
        <v>0.98806320188823915</v>
      </c>
      <c r="R214" s="20">
        <v>0.9871443527528021</v>
      </c>
      <c r="S214" s="20">
        <v>0.98588093625348083</v>
      </c>
      <c r="T214" s="20">
        <v>0.98578635161115402</v>
      </c>
      <c r="U214" s="20">
        <v>0.98473615351068466</v>
      </c>
      <c r="W214" s="19">
        <v>79689</v>
      </c>
      <c r="X214" s="19">
        <v>80216</v>
      </c>
      <c r="Y214" s="19">
        <v>79089</v>
      </c>
      <c r="Z214" s="19">
        <v>69346</v>
      </c>
      <c r="AA214" s="19">
        <v>60857</v>
      </c>
      <c r="AB214" s="20">
        <v>0.10626404325823594</v>
      </c>
      <c r="AC214" s="20">
        <v>0.10604900813717519</v>
      </c>
      <c r="AD214" s="20">
        <v>0.10398880814354818</v>
      </c>
      <c r="AE214" s="20">
        <v>8.9946547785968042E-2</v>
      </c>
      <c r="AF214" s="20">
        <v>7.8339975696160816E-2</v>
      </c>
      <c r="AG214" s="19">
        <v>78691</v>
      </c>
      <c r="AH214" s="19">
        <v>79282</v>
      </c>
      <c r="AI214" s="19">
        <v>78117</v>
      </c>
      <c r="AJ214" s="19">
        <v>68546</v>
      </c>
      <c r="AK214" s="19">
        <v>59992</v>
      </c>
      <c r="AL214" s="20">
        <v>0.98747631417134107</v>
      </c>
      <c r="AM214" s="20">
        <v>0.98835643761843028</v>
      </c>
      <c r="AN214" s="20">
        <v>0.98771004817357655</v>
      </c>
      <c r="AO214" s="20">
        <v>0.98846364606466131</v>
      </c>
      <c r="AP214" s="20">
        <v>0.98578635161115402</v>
      </c>
      <c r="AQ214" s="37"/>
    </row>
    <row r="215" spans="1:55" s="19" customFormat="1" x14ac:dyDescent="0.2">
      <c r="A215" s="18" t="s">
        <v>76</v>
      </c>
      <c r="B215" s="19">
        <v>204075</v>
      </c>
      <c r="C215" s="19">
        <v>207835</v>
      </c>
      <c r="D215" s="19">
        <v>212299</v>
      </c>
      <c r="E215" s="19">
        <v>216547</v>
      </c>
      <c r="F215" s="19">
        <v>221323</v>
      </c>
      <c r="G215" s="20">
        <v>0.26383902425780525</v>
      </c>
      <c r="H215" s="20">
        <v>0.2680718074129107</v>
      </c>
      <c r="I215" s="20">
        <v>0.27235279025016035</v>
      </c>
      <c r="J215" s="20">
        <v>0.27875653938045808</v>
      </c>
      <c r="K215" s="20">
        <v>0.28297107934640858</v>
      </c>
      <c r="L215" s="19">
        <v>201425</v>
      </c>
      <c r="M215" s="19">
        <v>205356</v>
      </c>
      <c r="N215" s="19">
        <v>209583</v>
      </c>
      <c r="O215" s="19">
        <v>214570</v>
      </c>
      <c r="P215" s="19">
        <v>219269</v>
      </c>
      <c r="Q215" s="20">
        <v>0.98701457797378411</v>
      </c>
      <c r="R215" s="20">
        <v>0.98807226886713018</v>
      </c>
      <c r="S215" s="20">
        <v>0.98720672259407727</v>
      </c>
      <c r="T215" s="20">
        <v>0.99087034223517301</v>
      </c>
      <c r="U215" s="20">
        <v>0.99071944623920694</v>
      </c>
      <c r="W215" s="19">
        <v>175969</v>
      </c>
      <c r="X215" s="19">
        <v>184362</v>
      </c>
      <c r="Y215" s="19">
        <v>186480</v>
      </c>
      <c r="Z215" s="19">
        <v>201526</v>
      </c>
      <c r="AA215" s="19">
        <v>216547</v>
      </c>
      <c r="AB215" s="20">
        <v>0.2346519272184181</v>
      </c>
      <c r="AC215" s="20">
        <v>0.24373450730759316</v>
      </c>
      <c r="AD215" s="20">
        <v>0.24519001305628932</v>
      </c>
      <c r="AE215" s="20">
        <v>0.26139312994426495</v>
      </c>
      <c r="AF215" s="20">
        <v>0.27875653938045808</v>
      </c>
      <c r="AG215" s="19">
        <v>170732</v>
      </c>
      <c r="AH215" s="19">
        <v>178675</v>
      </c>
      <c r="AI215" s="19">
        <v>181277</v>
      </c>
      <c r="AJ215" s="19">
        <v>198839</v>
      </c>
      <c r="AK215" s="19">
        <v>214570</v>
      </c>
      <c r="AL215" s="20">
        <v>0.97023907620092176</v>
      </c>
      <c r="AM215" s="20">
        <v>0.9691530792679619</v>
      </c>
      <c r="AN215" s="20">
        <v>0.9720988845988846</v>
      </c>
      <c r="AO215" s="20">
        <v>0.98666673282851836</v>
      </c>
      <c r="AP215" s="20">
        <v>0.99087034223517301</v>
      </c>
      <c r="AQ215" s="37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</row>
    <row r="216" spans="1:55" s="21" customFormat="1" x14ac:dyDescent="0.2">
      <c r="A216" s="29" t="s">
        <v>77</v>
      </c>
      <c r="B216" s="21">
        <v>773483</v>
      </c>
      <c r="C216" s="21">
        <v>775296</v>
      </c>
      <c r="D216" s="21">
        <v>779500</v>
      </c>
      <c r="E216" s="21">
        <v>776832</v>
      </c>
      <c r="F216" s="21">
        <v>782140</v>
      </c>
      <c r="G216" s="22">
        <v>1</v>
      </c>
      <c r="H216" s="22">
        <v>1</v>
      </c>
      <c r="I216" s="22">
        <v>1</v>
      </c>
      <c r="J216" s="22">
        <v>1</v>
      </c>
      <c r="K216" s="22">
        <v>1</v>
      </c>
      <c r="L216" s="21">
        <v>704852</v>
      </c>
      <c r="M216" s="21">
        <v>707722</v>
      </c>
      <c r="N216" s="21">
        <v>712114</v>
      </c>
      <c r="O216" s="21">
        <v>711941</v>
      </c>
      <c r="P216" s="21">
        <v>719871</v>
      </c>
      <c r="Q216" s="22">
        <v>0.9112701895193559</v>
      </c>
      <c r="R216" s="22">
        <v>0.91284103103846792</v>
      </c>
      <c r="S216" s="22">
        <v>0.91355227710070563</v>
      </c>
      <c r="T216" s="22">
        <v>0.91646713832591864</v>
      </c>
      <c r="U216" s="22">
        <v>0.92038637584064231</v>
      </c>
      <c r="W216" s="21">
        <v>749915</v>
      </c>
      <c r="X216" s="21">
        <v>756405</v>
      </c>
      <c r="Y216" s="21">
        <v>760553</v>
      </c>
      <c r="Z216" s="21">
        <v>770969</v>
      </c>
      <c r="AA216" s="21">
        <v>776832</v>
      </c>
      <c r="AB216" s="22">
        <v>1</v>
      </c>
      <c r="AC216" s="22">
        <v>1</v>
      </c>
      <c r="AD216" s="22">
        <v>1</v>
      </c>
      <c r="AE216" s="22">
        <v>1</v>
      </c>
      <c r="AF216" s="22">
        <v>1</v>
      </c>
      <c r="AG216" s="21">
        <v>635114</v>
      </c>
      <c r="AH216" s="21">
        <v>651837</v>
      </c>
      <c r="AI216" s="21">
        <v>667666</v>
      </c>
      <c r="AJ216" s="21">
        <v>700513</v>
      </c>
      <c r="AK216" s="21">
        <v>711941</v>
      </c>
      <c r="AL216" s="22">
        <v>0.84691465032703706</v>
      </c>
      <c r="AM216" s="22">
        <v>0.86175659864754994</v>
      </c>
      <c r="AN216" s="22">
        <v>0.87786912943608142</v>
      </c>
      <c r="AO216" s="22">
        <v>0.90861370560943433</v>
      </c>
      <c r="AP216" s="22">
        <v>0.91646713832591864</v>
      </c>
      <c r="AQ216" s="37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</row>
    <row r="217" spans="1:55" s="19" customFormat="1" x14ac:dyDescent="0.2">
      <c r="A217" s="18"/>
      <c r="AB217" s="20"/>
      <c r="AC217" s="20"/>
      <c r="AD217" s="20"/>
      <c r="AE217" s="20"/>
      <c r="AF217" s="20"/>
      <c r="AL217" s="20"/>
      <c r="AM217" s="20"/>
      <c r="AN217" s="20"/>
      <c r="AO217" s="20"/>
      <c r="AP217" s="20"/>
      <c r="AQ217" s="37"/>
    </row>
    <row r="218" spans="1:55" s="19" customFormat="1" x14ac:dyDescent="0.2">
      <c r="A218" s="9" t="s">
        <v>72</v>
      </c>
      <c r="B218" s="9" t="s">
        <v>10</v>
      </c>
      <c r="C218" s="9" t="s">
        <v>11</v>
      </c>
      <c r="D218" s="9" t="s">
        <v>12</v>
      </c>
      <c r="E218" s="9" t="s">
        <v>164</v>
      </c>
      <c r="F218" s="9" t="s">
        <v>195</v>
      </c>
      <c r="G218" s="9" t="s">
        <v>10</v>
      </c>
      <c r="H218" s="9" t="s">
        <v>11</v>
      </c>
      <c r="I218" s="9" t="s">
        <v>12</v>
      </c>
      <c r="J218" s="9" t="s">
        <v>164</v>
      </c>
      <c r="K218" s="9" t="s">
        <v>195</v>
      </c>
      <c r="L218" s="9" t="s">
        <v>10</v>
      </c>
      <c r="M218" s="9" t="s">
        <v>11</v>
      </c>
      <c r="N218" s="9" t="s">
        <v>12</v>
      </c>
      <c r="O218" s="9" t="s">
        <v>164</v>
      </c>
      <c r="P218" s="9" t="s">
        <v>195</v>
      </c>
      <c r="Q218" s="9" t="s">
        <v>10</v>
      </c>
      <c r="R218" s="9" t="s">
        <v>11</v>
      </c>
      <c r="S218" s="9" t="s">
        <v>12</v>
      </c>
      <c r="T218" s="9" t="s">
        <v>164</v>
      </c>
      <c r="U218" s="9" t="s">
        <v>195</v>
      </c>
      <c r="V218" s="9"/>
      <c r="W218" s="9" t="s">
        <v>13</v>
      </c>
      <c r="X218" s="9" t="s">
        <v>14</v>
      </c>
      <c r="Y218" s="9" t="s">
        <v>15</v>
      </c>
      <c r="Z218" s="9" t="s">
        <v>16</v>
      </c>
      <c r="AA218" s="9" t="s">
        <v>165</v>
      </c>
      <c r="AB218" s="9" t="s">
        <v>13</v>
      </c>
      <c r="AC218" s="9" t="s">
        <v>14</v>
      </c>
      <c r="AD218" s="9" t="s">
        <v>15</v>
      </c>
      <c r="AE218" s="9" t="s">
        <v>16</v>
      </c>
      <c r="AF218" s="9" t="s">
        <v>165</v>
      </c>
      <c r="AG218" s="9" t="s">
        <v>13</v>
      </c>
      <c r="AH218" s="9" t="s">
        <v>14</v>
      </c>
      <c r="AI218" s="9" t="s">
        <v>15</v>
      </c>
      <c r="AJ218" s="9" t="s">
        <v>16</v>
      </c>
      <c r="AK218" s="9" t="s">
        <v>165</v>
      </c>
      <c r="AL218" s="9" t="s">
        <v>13</v>
      </c>
      <c r="AM218" s="9" t="s">
        <v>14</v>
      </c>
      <c r="AN218" s="9" t="s">
        <v>15</v>
      </c>
      <c r="AO218" s="9" t="s">
        <v>16</v>
      </c>
      <c r="AP218" s="9" t="s">
        <v>165</v>
      </c>
      <c r="AQ218" s="37"/>
    </row>
    <row r="219" spans="1:55" s="19" customFormat="1" x14ac:dyDescent="0.2">
      <c r="A219" s="18" t="s">
        <v>22</v>
      </c>
      <c r="B219" s="19">
        <v>242198</v>
      </c>
      <c r="C219" s="19">
        <v>242752</v>
      </c>
      <c r="D219" s="19">
        <v>243938</v>
      </c>
      <c r="E219" s="19">
        <v>244488</v>
      </c>
      <c r="F219" s="19">
        <v>246735</v>
      </c>
      <c r="G219" s="20">
        <v>1</v>
      </c>
      <c r="H219" s="20">
        <v>1</v>
      </c>
      <c r="I219" s="20">
        <v>0.99971722122725992</v>
      </c>
      <c r="J219" s="20">
        <v>0.9967629096305477</v>
      </c>
      <c r="K219" s="20">
        <v>0.99362110833242723</v>
      </c>
      <c r="L219" s="19">
        <v>20479</v>
      </c>
      <c r="M219" s="19">
        <v>19711</v>
      </c>
      <c r="N219" s="19">
        <v>14549</v>
      </c>
      <c r="O219" s="19">
        <v>6989</v>
      </c>
      <c r="P219" s="19">
        <v>3575</v>
      </c>
      <c r="Q219" s="20">
        <v>8.4554785753804734E-2</v>
      </c>
      <c r="R219" s="20">
        <v>8.1198095175322962E-2</v>
      </c>
      <c r="S219" s="20">
        <v>5.9642204166632504E-2</v>
      </c>
      <c r="T219" s="20">
        <v>2.8586270082785248E-2</v>
      </c>
      <c r="U219" s="20">
        <v>1.4489229335116623E-2</v>
      </c>
      <c r="W219" s="19">
        <v>234548</v>
      </c>
      <c r="X219" s="19">
        <v>236432</v>
      </c>
      <c r="Y219" s="19">
        <v>238374</v>
      </c>
      <c r="Z219" s="19">
        <v>241125</v>
      </c>
      <c r="AA219" s="19">
        <v>244488</v>
      </c>
      <c r="AB219" s="20">
        <v>1</v>
      </c>
      <c r="AC219" s="20">
        <v>1</v>
      </c>
      <c r="AD219" s="20">
        <v>1</v>
      </c>
      <c r="AE219" s="20">
        <v>1</v>
      </c>
      <c r="AF219" s="20">
        <v>0.9967629096305477</v>
      </c>
      <c r="AG219" s="19">
        <v>29612</v>
      </c>
      <c r="AH219" s="19">
        <v>26670</v>
      </c>
      <c r="AI219" s="19">
        <v>23641</v>
      </c>
      <c r="AJ219" s="19">
        <v>21076</v>
      </c>
      <c r="AK219" s="19">
        <v>6989</v>
      </c>
      <c r="AL219" s="20">
        <v>0.12625134300868052</v>
      </c>
      <c r="AM219" s="20">
        <v>0.11280198957839886</v>
      </c>
      <c r="AN219" s="20">
        <v>9.9176084640103371E-2</v>
      </c>
      <c r="AO219" s="20">
        <v>8.7406946604458274E-2</v>
      </c>
      <c r="AP219" s="20">
        <v>2.8586270082785248E-2</v>
      </c>
      <c r="AQ219" s="37"/>
    </row>
    <row r="220" spans="1:55" s="19" customFormat="1" x14ac:dyDescent="0.2">
      <c r="A220" s="18" t="s">
        <v>76</v>
      </c>
      <c r="B220" s="19">
        <v>0</v>
      </c>
      <c r="C220" s="19">
        <v>0</v>
      </c>
      <c r="D220" s="19">
        <v>69</v>
      </c>
      <c r="E220" s="19">
        <v>794</v>
      </c>
      <c r="F220" s="19">
        <v>1584</v>
      </c>
      <c r="G220" s="20">
        <v>0</v>
      </c>
      <c r="H220" s="20">
        <v>0</v>
      </c>
      <c r="I220" s="20">
        <v>2.827787727401263E-4</v>
      </c>
      <c r="J220" s="20">
        <v>3.237090369452304E-3</v>
      </c>
      <c r="K220" s="20">
        <v>6.3788916675727595E-3</v>
      </c>
      <c r="L220" s="19">
        <v>0</v>
      </c>
      <c r="M220" s="19">
        <v>0</v>
      </c>
      <c r="N220" s="19">
        <v>69</v>
      </c>
      <c r="O220" s="19">
        <v>794</v>
      </c>
      <c r="P220" s="19">
        <v>1584</v>
      </c>
      <c r="Q220" s="20">
        <v>0</v>
      </c>
      <c r="R220" s="20">
        <v>0</v>
      </c>
      <c r="S220" s="20">
        <v>1</v>
      </c>
      <c r="T220" s="20">
        <v>1</v>
      </c>
      <c r="U220" s="20">
        <v>1</v>
      </c>
      <c r="W220" s="19">
        <v>0</v>
      </c>
      <c r="X220" s="19">
        <v>0</v>
      </c>
      <c r="Y220" s="19">
        <v>0</v>
      </c>
      <c r="Z220" s="19">
        <v>0</v>
      </c>
      <c r="AA220" s="19">
        <v>794</v>
      </c>
      <c r="AB220" s="20">
        <v>0</v>
      </c>
      <c r="AC220" s="20">
        <v>0</v>
      </c>
      <c r="AD220" s="20">
        <v>0</v>
      </c>
      <c r="AE220" s="20">
        <v>0</v>
      </c>
      <c r="AF220" s="20">
        <v>3.237090369452304E-3</v>
      </c>
      <c r="AG220" s="19">
        <v>0</v>
      </c>
      <c r="AH220" s="19">
        <v>0</v>
      </c>
      <c r="AI220" s="19">
        <v>0</v>
      </c>
      <c r="AJ220" s="19">
        <v>0</v>
      </c>
      <c r="AK220" s="19">
        <v>794</v>
      </c>
      <c r="AL220" s="20">
        <v>0</v>
      </c>
      <c r="AM220" s="20">
        <v>0</v>
      </c>
      <c r="AN220" s="20">
        <v>0</v>
      </c>
      <c r="AO220" s="20">
        <v>0</v>
      </c>
      <c r="AP220" s="20">
        <v>1</v>
      </c>
      <c r="AQ220" s="37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</row>
    <row r="221" spans="1:55" s="21" customFormat="1" x14ac:dyDescent="0.2">
      <c r="A221" s="29" t="s">
        <v>77</v>
      </c>
      <c r="B221" s="21">
        <v>242198</v>
      </c>
      <c r="C221" s="21">
        <v>242752</v>
      </c>
      <c r="D221" s="21">
        <v>244007</v>
      </c>
      <c r="E221" s="21">
        <v>245282</v>
      </c>
      <c r="F221" s="21">
        <v>248319</v>
      </c>
      <c r="G221" s="22">
        <v>1</v>
      </c>
      <c r="H221" s="22">
        <v>1</v>
      </c>
      <c r="I221" s="22">
        <v>1</v>
      </c>
      <c r="J221" s="22">
        <v>1</v>
      </c>
      <c r="K221" s="22">
        <v>1</v>
      </c>
      <c r="L221" s="21">
        <v>20479</v>
      </c>
      <c r="M221" s="21">
        <v>19711</v>
      </c>
      <c r="N221" s="21">
        <v>14618</v>
      </c>
      <c r="O221" s="21">
        <v>7783</v>
      </c>
      <c r="P221" s="21">
        <v>5159</v>
      </c>
      <c r="Q221" s="22">
        <v>8.4554785753804734E-2</v>
      </c>
      <c r="R221" s="22">
        <v>8.1198095175322962E-2</v>
      </c>
      <c r="S221" s="22">
        <v>5.9908117390074872E-2</v>
      </c>
      <c r="T221" s="22">
        <v>3.1730824112654009E-2</v>
      </c>
      <c r="U221" s="22">
        <v>2.0775695778414056E-2</v>
      </c>
      <c r="W221" s="21">
        <v>234548</v>
      </c>
      <c r="X221" s="21">
        <v>236432</v>
      </c>
      <c r="Y221" s="21">
        <v>238374</v>
      </c>
      <c r="Z221" s="21">
        <v>241125</v>
      </c>
      <c r="AA221" s="21">
        <v>245282</v>
      </c>
      <c r="AB221" s="22">
        <v>1</v>
      </c>
      <c r="AC221" s="22">
        <v>1</v>
      </c>
      <c r="AD221" s="22">
        <v>1</v>
      </c>
      <c r="AE221" s="22">
        <v>1</v>
      </c>
      <c r="AF221" s="22">
        <v>1</v>
      </c>
      <c r="AG221" s="21">
        <v>29612</v>
      </c>
      <c r="AH221" s="21">
        <v>26670</v>
      </c>
      <c r="AI221" s="21">
        <v>23641</v>
      </c>
      <c r="AJ221" s="21">
        <v>21076</v>
      </c>
      <c r="AK221" s="21">
        <v>7783</v>
      </c>
      <c r="AL221" s="22">
        <v>0.12625134300868052</v>
      </c>
      <c r="AM221" s="22">
        <v>0.11280198957839886</v>
      </c>
      <c r="AN221" s="22">
        <v>9.9176084640103371E-2</v>
      </c>
      <c r="AO221" s="22">
        <v>8.7406946604458274E-2</v>
      </c>
      <c r="AP221" s="22">
        <v>3.1730824112654009E-2</v>
      </c>
      <c r="AQ221" s="37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21" priority="1"/>
  </conditionalFormatting>
  <dataValidations count="1">
    <dataValidation type="list" allowBlank="1" showInputMessage="1" showErrorMessage="1" sqref="A184:A186 A191:A193 A198:A200 A205:A207 A212:A214 A219">
      <formula1>$A$16:$A$80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D230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D1" sqref="D1"/>
    </sheetView>
  </sheetViews>
  <sheetFormatPr defaultRowHeight="15" x14ac:dyDescent="0.25"/>
  <cols>
    <col min="1" max="1" width="25.28515625" customWidth="1"/>
    <col min="2" max="6" width="12.5703125" customWidth="1"/>
    <col min="7" max="11" width="12.5703125" style="48" customWidth="1"/>
    <col min="12" max="16" width="12.5703125" customWidth="1"/>
    <col min="17" max="21" width="12.5703125" style="48" customWidth="1"/>
    <col min="22" max="27" width="12.5703125" customWidth="1"/>
    <col min="28" max="32" width="12.5703125" style="48" customWidth="1"/>
    <col min="33" max="37" width="12.5703125" customWidth="1"/>
    <col min="38" max="42" width="12.5703125" style="48" customWidth="1"/>
  </cols>
  <sheetData>
    <row r="1" spans="1:16384" x14ac:dyDescent="0.25">
      <c r="A1" s="27" t="s">
        <v>96</v>
      </c>
      <c r="B1" s="58" t="s">
        <v>153</v>
      </c>
      <c r="W1" s="5" t="s">
        <v>1</v>
      </c>
    </row>
    <row r="2" spans="1:16384" x14ac:dyDescent="0.25">
      <c r="A2" s="1" t="s">
        <v>182</v>
      </c>
      <c r="B2" s="2"/>
      <c r="C2" s="2"/>
      <c r="D2" s="3"/>
      <c r="E2" s="3"/>
      <c r="F2" s="3"/>
      <c r="G2" s="8"/>
      <c r="H2" s="105"/>
      <c r="I2" s="105"/>
      <c r="J2" s="105"/>
      <c r="K2" s="105"/>
      <c r="L2" s="4"/>
      <c r="M2" s="4"/>
      <c r="N2" s="4"/>
      <c r="O2" s="3"/>
      <c r="P2" s="3"/>
      <c r="Q2" s="8"/>
      <c r="R2" s="8"/>
      <c r="S2" s="8"/>
      <c r="T2" s="8"/>
      <c r="U2" s="8"/>
      <c r="V2" s="3"/>
      <c r="W2" s="5"/>
      <c r="X2" s="6"/>
      <c r="Y2" s="6"/>
      <c r="Z2" s="6"/>
      <c r="AA2" s="7"/>
      <c r="AB2" s="8"/>
      <c r="AC2" s="8"/>
      <c r="AD2" s="8"/>
      <c r="AE2" s="8"/>
      <c r="AF2" s="8"/>
      <c r="AG2" s="6"/>
      <c r="AH2" s="3"/>
      <c r="AI2" s="8"/>
      <c r="AJ2" s="8"/>
      <c r="AK2" s="8"/>
      <c r="AL2" s="8"/>
      <c r="AM2" s="106"/>
      <c r="AN2" s="106"/>
      <c r="AO2" s="106"/>
      <c r="AP2" s="106"/>
    </row>
    <row r="3" spans="1:16384" x14ac:dyDescent="0.25">
      <c r="A3" s="1"/>
      <c r="B3" s="1"/>
      <c r="C3" s="1"/>
      <c r="D3" s="1"/>
      <c r="E3" s="1"/>
      <c r="F3" s="1"/>
      <c r="G3" s="107"/>
      <c r="H3" s="107"/>
      <c r="I3" s="107"/>
      <c r="J3" s="107"/>
      <c r="K3" s="107"/>
      <c r="L3" s="1"/>
      <c r="M3" s="1"/>
      <c r="N3" s="1"/>
      <c r="O3" s="1"/>
      <c r="P3" s="1"/>
      <c r="Q3" s="107"/>
      <c r="R3" s="107"/>
      <c r="S3" s="107"/>
      <c r="T3" s="107"/>
      <c r="U3" s="107"/>
      <c r="V3" s="1"/>
      <c r="W3" s="1"/>
      <c r="X3" s="1"/>
      <c r="Y3" s="1"/>
      <c r="Z3" s="1"/>
      <c r="AA3" s="1"/>
      <c r="AB3" s="107"/>
      <c r="AC3" s="107"/>
      <c r="AD3" s="107"/>
      <c r="AE3" s="107"/>
      <c r="AF3" s="107"/>
      <c r="AG3" s="1"/>
      <c r="AH3" s="1"/>
      <c r="AI3" s="1"/>
      <c r="AJ3" s="1"/>
      <c r="AK3" s="1"/>
      <c r="AL3" s="107"/>
      <c r="AM3" s="107"/>
      <c r="AN3" s="107"/>
      <c r="AO3" s="107"/>
      <c r="AP3" s="107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pans="1:16384" s="19" customFormat="1" ht="12.75" x14ac:dyDescent="0.2">
      <c r="A4" s="9" t="s">
        <v>194</v>
      </c>
      <c r="B4" s="10" t="s">
        <v>2</v>
      </c>
      <c r="C4" s="10" t="s">
        <v>78</v>
      </c>
      <c r="D4" s="4"/>
      <c r="E4" s="11"/>
      <c r="F4" s="12"/>
      <c r="G4" s="16"/>
      <c r="H4" s="105"/>
      <c r="I4" s="105"/>
      <c r="J4" s="105"/>
      <c r="K4" s="105"/>
      <c r="L4" s="4"/>
      <c r="M4" s="4"/>
      <c r="N4" s="4"/>
      <c r="O4" s="12"/>
      <c r="P4" s="12"/>
      <c r="Q4" s="16"/>
      <c r="R4" s="16"/>
      <c r="S4" s="16"/>
      <c r="T4" s="16"/>
      <c r="U4" s="16"/>
      <c r="V4" s="12"/>
      <c r="W4" s="13" t="s">
        <v>167</v>
      </c>
      <c r="X4" s="13"/>
      <c r="Y4" s="13" t="s">
        <v>2</v>
      </c>
      <c r="Z4" s="13" t="s">
        <v>78</v>
      </c>
      <c r="AA4" s="14"/>
      <c r="AB4" s="16"/>
      <c r="AC4" s="16"/>
      <c r="AD4" s="16"/>
      <c r="AE4" s="16"/>
      <c r="AF4" s="16"/>
      <c r="AG4" s="15"/>
      <c r="AH4" s="12"/>
      <c r="AI4" s="16"/>
      <c r="AJ4" s="16"/>
      <c r="AK4" s="16"/>
      <c r="AL4" s="16"/>
      <c r="AM4" s="106"/>
      <c r="AN4" s="106"/>
      <c r="AO4" s="106"/>
      <c r="AP4" s="106"/>
      <c r="AQ4" s="37"/>
      <c r="AX4" s="19" t="s">
        <v>168</v>
      </c>
    </row>
    <row r="5" spans="1:16384" s="19" customFormat="1" ht="12.75" x14ac:dyDescent="0.2">
      <c r="A5" s="1" t="s">
        <v>4</v>
      </c>
      <c r="B5" s="166" t="s">
        <v>5</v>
      </c>
      <c r="C5" s="166"/>
      <c r="D5" s="166"/>
      <c r="E5" s="166"/>
      <c r="F5" s="166"/>
      <c r="G5" s="167" t="s">
        <v>6</v>
      </c>
      <c r="H5" s="167"/>
      <c r="I5" s="167"/>
      <c r="J5" s="167"/>
      <c r="K5" s="167"/>
      <c r="L5" s="166" t="s">
        <v>7</v>
      </c>
      <c r="M5" s="166"/>
      <c r="N5" s="166"/>
      <c r="O5" s="166"/>
      <c r="P5" s="166"/>
      <c r="Q5" s="167" t="s">
        <v>8</v>
      </c>
      <c r="R5" s="167"/>
      <c r="S5" s="167"/>
      <c r="T5" s="167"/>
      <c r="U5" s="167"/>
      <c r="V5" s="63"/>
      <c r="W5" s="168" t="s">
        <v>5</v>
      </c>
      <c r="X5" s="168"/>
      <c r="Y5" s="168"/>
      <c r="Z5" s="168"/>
      <c r="AA5" s="168"/>
      <c r="AB5" s="167" t="s">
        <v>6</v>
      </c>
      <c r="AC5" s="167"/>
      <c r="AD5" s="167"/>
      <c r="AE5" s="167"/>
      <c r="AF5" s="167"/>
      <c r="AG5" s="168" t="s">
        <v>7</v>
      </c>
      <c r="AH5" s="168"/>
      <c r="AI5" s="168"/>
      <c r="AJ5" s="168"/>
      <c r="AK5" s="168"/>
      <c r="AL5" s="167" t="s">
        <v>8</v>
      </c>
      <c r="AM5" s="167"/>
      <c r="AN5" s="167"/>
      <c r="AO5" s="167"/>
      <c r="AP5" s="167"/>
      <c r="AQ5" s="37"/>
      <c r="AX5" s="19" t="s">
        <v>168</v>
      </c>
    </row>
    <row r="6" spans="1:16384" s="19" customFormat="1" ht="12.75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164</v>
      </c>
      <c r="F6" s="10" t="s">
        <v>195</v>
      </c>
      <c r="G6" s="10" t="s">
        <v>10</v>
      </c>
      <c r="H6" s="10" t="s">
        <v>11</v>
      </c>
      <c r="I6" s="10" t="s">
        <v>12</v>
      </c>
      <c r="J6" s="10" t="s">
        <v>164</v>
      </c>
      <c r="K6" s="10" t="s">
        <v>195</v>
      </c>
      <c r="L6" s="10" t="s">
        <v>10</v>
      </c>
      <c r="M6" s="10" t="s">
        <v>11</v>
      </c>
      <c r="N6" s="10" t="s">
        <v>12</v>
      </c>
      <c r="O6" s="10" t="s">
        <v>164</v>
      </c>
      <c r="P6" s="10" t="s">
        <v>195</v>
      </c>
      <c r="Q6" s="10" t="s">
        <v>10</v>
      </c>
      <c r="R6" s="10" t="s">
        <v>11</v>
      </c>
      <c r="S6" s="10" t="s">
        <v>12</v>
      </c>
      <c r="T6" s="10" t="s">
        <v>164</v>
      </c>
      <c r="U6" s="10" t="s">
        <v>195</v>
      </c>
      <c r="V6" s="10"/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165</v>
      </c>
      <c r="AB6" s="17" t="s">
        <v>13</v>
      </c>
      <c r="AC6" s="17" t="s">
        <v>14</v>
      </c>
      <c r="AD6" s="17" t="s">
        <v>15</v>
      </c>
      <c r="AE6" s="17" t="s">
        <v>16</v>
      </c>
      <c r="AF6" s="17" t="s">
        <v>165</v>
      </c>
      <c r="AG6" s="13" t="s">
        <v>13</v>
      </c>
      <c r="AH6" s="13" t="s">
        <v>14</v>
      </c>
      <c r="AI6" s="13" t="s">
        <v>15</v>
      </c>
      <c r="AJ6" s="13" t="s">
        <v>16</v>
      </c>
      <c r="AK6" s="13" t="s">
        <v>165</v>
      </c>
      <c r="AL6" s="13" t="s">
        <v>13</v>
      </c>
      <c r="AM6" s="13" t="s">
        <v>14</v>
      </c>
      <c r="AN6" s="13" t="s">
        <v>15</v>
      </c>
      <c r="AO6" s="13" t="s">
        <v>16</v>
      </c>
      <c r="AP6" s="13" t="s">
        <v>165</v>
      </c>
      <c r="AQ6" s="37">
        <v>1</v>
      </c>
      <c r="AS6" s="19">
        <v>0</v>
      </c>
      <c r="AT6" s="19">
        <v>0</v>
      </c>
      <c r="AU6" s="19" t="s">
        <v>168</v>
      </c>
      <c r="AV6" s="19" t="s">
        <v>168</v>
      </c>
      <c r="AW6" s="19" t="s">
        <v>168</v>
      </c>
      <c r="AX6" s="19" t="s">
        <v>168</v>
      </c>
    </row>
    <row r="7" spans="1:16384" s="19" customFormat="1" ht="12.75" x14ac:dyDescent="0.2">
      <c r="A7" s="18" t="s">
        <v>17</v>
      </c>
      <c r="B7" s="19">
        <v>1386</v>
      </c>
      <c r="C7" s="19">
        <v>1374</v>
      </c>
      <c r="D7" s="19">
        <v>1356</v>
      </c>
      <c r="E7" s="19">
        <v>1302</v>
      </c>
      <c r="F7" s="19">
        <v>1772</v>
      </c>
      <c r="G7" s="20">
        <v>2.1037197590284638E-3</v>
      </c>
      <c r="H7" s="20">
        <v>2.0798801117140847E-3</v>
      </c>
      <c r="I7" s="20">
        <v>2.0402973778567549E-3</v>
      </c>
      <c r="J7" s="20">
        <v>1.9823869034568441E-3</v>
      </c>
      <c r="K7" s="20">
        <v>2.6902534485952079E-3</v>
      </c>
      <c r="L7" s="19">
        <v>1283</v>
      </c>
      <c r="M7" s="19">
        <v>1271</v>
      </c>
      <c r="N7" s="19">
        <v>1225</v>
      </c>
      <c r="O7" s="19">
        <v>1164</v>
      </c>
      <c r="P7" s="19">
        <v>1605</v>
      </c>
      <c r="Q7" s="20">
        <v>0.92568542568542567</v>
      </c>
      <c r="R7" s="20">
        <v>0.92503639010189231</v>
      </c>
      <c r="S7" s="20">
        <v>0.90339233038348088</v>
      </c>
      <c r="T7" s="20">
        <v>0.89400921658986177</v>
      </c>
      <c r="U7" s="20">
        <v>0.90575620767494358</v>
      </c>
      <c r="W7" s="19">
        <v>0</v>
      </c>
      <c r="X7" s="19">
        <v>1813</v>
      </c>
      <c r="Y7" s="19">
        <v>2086</v>
      </c>
      <c r="Z7" s="19">
        <v>1467</v>
      </c>
      <c r="AA7" s="19">
        <v>1302</v>
      </c>
      <c r="AB7" s="20">
        <v>0</v>
      </c>
      <c r="AC7" s="20">
        <v>2.7636310422989507E-3</v>
      </c>
      <c r="AD7" s="20">
        <v>3.2336272430769993E-3</v>
      </c>
      <c r="AE7" s="20">
        <v>2.2360112120644008E-3</v>
      </c>
      <c r="AF7" s="20">
        <v>1.9823869034568441E-3</v>
      </c>
      <c r="AG7" s="19">
        <v>0</v>
      </c>
      <c r="AH7" s="19">
        <v>1813</v>
      </c>
      <c r="AI7" s="19">
        <v>1901</v>
      </c>
      <c r="AJ7" s="19">
        <v>1380</v>
      </c>
      <c r="AK7" s="19">
        <v>1164</v>
      </c>
      <c r="AL7" s="20">
        <v>0</v>
      </c>
      <c r="AM7" s="20">
        <v>1</v>
      </c>
      <c r="AN7" s="20">
        <v>0.91131351869606902</v>
      </c>
      <c r="AO7" s="20">
        <v>0.94069529652351735</v>
      </c>
      <c r="AP7" s="20">
        <v>0.89400921658986177</v>
      </c>
      <c r="AQ7" s="37">
        <v>26672.32100979624</v>
      </c>
      <c r="AS7" s="19">
        <v>0</v>
      </c>
      <c r="AT7" s="19">
        <v>0</v>
      </c>
      <c r="AU7" s="19" t="s">
        <v>168</v>
      </c>
      <c r="AV7" s="19" t="s">
        <v>168</v>
      </c>
      <c r="AW7" s="19" t="s">
        <v>168</v>
      </c>
      <c r="AX7" s="19" t="s">
        <v>168</v>
      </c>
    </row>
    <row r="8" spans="1:16384" s="19" customFormat="1" ht="12.75" x14ac:dyDescent="0.2">
      <c r="A8" s="18" t="s">
        <v>18</v>
      </c>
      <c r="B8" s="19">
        <v>12294</v>
      </c>
      <c r="C8" s="19">
        <v>12509</v>
      </c>
      <c r="D8" s="19">
        <v>11808</v>
      </c>
      <c r="E8" s="19">
        <v>11796</v>
      </c>
      <c r="F8" s="19">
        <v>11855</v>
      </c>
      <c r="G8" s="20">
        <v>1.8660267472940792E-2</v>
      </c>
      <c r="H8" s="20">
        <v>1.8935385966107339E-2</v>
      </c>
      <c r="I8" s="20">
        <v>1.776683734346059E-2</v>
      </c>
      <c r="J8" s="20">
        <v>1.7960242636848645E-2</v>
      </c>
      <c r="K8" s="20">
        <v>1.7998281395652477E-2</v>
      </c>
      <c r="L8" s="19">
        <v>2687</v>
      </c>
      <c r="M8" s="19">
        <v>2751</v>
      </c>
      <c r="N8" s="19">
        <v>2351</v>
      </c>
      <c r="O8" s="19">
        <v>2720</v>
      </c>
      <c r="P8" s="19">
        <v>2861</v>
      </c>
      <c r="Q8" s="20">
        <v>0.21856190011387669</v>
      </c>
      <c r="R8" s="20">
        <v>0.21992165640738667</v>
      </c>
      <c r="S8" s="20">
        <v>0.19910230352303523</v>
      </c>
      <c r="T8" s="20">
        <v>0.23058663953882672</v>
      </c>
      <c r="U8" s="20">
        <v>0.24133277098270772</v>
      </c>
      <c r="W8" s="19">
        <v>12465</v>
      </c>
      <c r="X8" s="19">
        <v>12156</v>
      </c>
      <c r="Y8" s="19">
        <v>11853</v>
      </c>
      <c r="Z8" s="19">
        <v>12220</v>
      </c>
      <c r="AA8" s="19">
        <v>11796</v>
      </c>
      <c r="AB8" s="20">
        <v>2.761304957500493E-2</v>
      </c>
      <c r="AC8" s="20">
        <v>1.8529894622275812E-2</v>
      </c>
      <c r="AD8" s="20">
        <v>1.8374009449756316E-2</v>
      </c>
      <c r="AE8" s="20">
        <v>1.8625805733760721E-2</v>
      </c>
      <c r="AF8" s="20">
        <v>1.7960242636848645E-2</v>
      </c>
      <c r="AG8" s="19">
        <v>2062</v>
      </c>
      <c r="AH8" s="19">
        <v>2355</v>
      </c>
      <c r="AI8" s="19">
        <v>2323</v>
      </c>
      <c r="AJ8" s="19">
        <v>2657</v>
      </c>
      <c r="AK8" s="19">
        <v>2720</v>
      </c>
      <c r="AL8" s="20">
        <v>0.16542318491776975</v>
      </c>
      <c r="AM8" s="20">
        <v>0.19373149062191511</v>
      </c>
      <c r="AN8" s="20">
        <v>0.19598413903653084</v>
      </c>
      <c r="AO8" s="20">
        <v>0.217430441898527</v>
      </c>
      <c r="AP8" s="20">
        <v>0.23058663953882672</v>
      </c>
      <c r="AQ8" s="37">
        <v>146241.30508518338</v>
      </c>
      <c r="AS8" s="19">
        <v>0</v>
      </c>
      <c r="AT8" s="19">
        <v>0</v>
      </c>
      <c r="AU8" s="19" t="s">
        <v>168</v>
      </c>
      <c r="AV8" s="19" t="s">
        <v>168</v>
      </c>
      <c r="AW8" s="19" t="s">
        <v>168</v>
      </c>
      <c r="AX8" s="19" t="s">
        <v>168</v>
      </c>
    </row>
    <row r="9" spans="1:16384" s="19" customFormat="1" ht="12.75" x14ac:dyDescent="0.2">
      <c r="A9" s="18" t="s">
        <v>19</v>
      </c>
      <c r="B9" s="19">
        <v>114283</v>
      </c>
      <c r="C9" s="19">
        <v>115398</v>
      </c>
      <c r="D9" s="19">
        <v>118721</v>
      </c>
      <c r="E9" s="19">
        <v>119559</v>
      </c>
      <c r="F9" s="19">
        <v>123105</v>
      </c>
      <c r="G9" s="20">
        <v>0.17346277432976187</v>
      </c>
      <c r="H9" s="20">
        <v>0.17468268204627507</v>
      </c>
      <c r="I9" s="20">
        <v>0.17863285029242756</v>
      </c>
      <c r="J9" s="20">
        <v>0.18203701673609587</v>
      </c>
      <c r="K9" s="20">
        <v>0.18689822279306606</v>
      </c>
      <c r="L9" s="19">
        <v>90960</v>
      </c>
      <c r="M9" s="19">
        <v>92534</v>
      </c>
      <c r="N9" s="19">
        <v>94751</v>
      </c>
      <c r="O9" s="19">
        <v>96194</v>
      </c>
      <c r="P9" s="19">
        <v>100389</v>
      </c>
      <c r="Q9" s="20">
        <v>0.79591890307394797</v>
      </c>
      <c r="R9" s="20">
        <v>0.80186831660860669</v>
      </c>
      <c r="S9" s="20">
        <v>0.79809806184247101</v>
      </c>
      <c r="T9" s="20">
        <v>0.80457347418429392</v>
      </c>
      <c r="U9" s="20">
        <v>0.81547459485804796</v>
      </c>
      <c r="W9" s="19">
        <v>91411</v>
      </c>
      <c r="X9" s="19">
        <v>110901</v>
      </c>
      <c r="Y9" s="19">
        <v>105707</v>
      </c>
      <c r="Z9" s="19">
        <v>115706</v>
      </c>
      <c r="AA9" s="19">
        <v>119559</v>
      </c>
      <c r="AB9" s="20">
        <v>0.20249791213002613</v>
      </c>
      <c r="AC9" s="20">
        <v>0.16905099074572308</v>
      </c>
      <c r="AD9" s="20">
        <v>0.16386243287820729</v>
      </c>
      <c r="AE9" s="20">
        <v>0.1763598591023337</v>
      </c>
      <c r="AF9" s="20">
        <v>0.18203701673609587</v>
      </c>
      <c r="AG9" s="19">
        <v>66853</v>
      </c>
      <c r="AH9" s="19">
        <v>79332</v>
      </c>
      <c r="AI9" s="19">
        <v>76873</v>
      </c>
      <c r="AJ9" s="19">
        <v>91557</v>
      </c>
      <c r="AK9" s="19">
        <v>96194</v>
      </c>
      <c r="AL9" s="20">
        <v>0.73134524291387248</v>
      </c>
      <c r="AM9" s="20">
        <v>0.71534070928125082</v>
      </c>
      <c r="AN9" s="20">
        <v>0.72722714673578859</v>
      </c>
      <c r="AO9" s="20">
        <v>0.79128999360448027</v>
      </c>
      <c r="AP9" s="20">
        <v>0.80457347418429392</v>
      </c>
      <c r="AQ9" s="37">
        <v>2019996.5752316755</v>
      </c>
      <c r="AS9" s="19">
        <v>0</v>
      </c>
      <c r="AT9" s="19">
        <v>0</v>
      </c>
      <c r="AU9" s="19" t="s">
        <v>168</v>
      </c>
      <c r="AV9" s="19" t="s">
        <v>168</v>
      </c>
      <c r="AW9" s="19" t="s">
        <v>168</v>
      </c>
      <c r="AX9" s="19" t="s">
        <v>168</v>
      </c>
    </row>
    <row r="10" spans="1:16384" s="19" customFormat="1" ht="12.75" x14ac:dyDescent="0.2">
      <c r="A10" s="18" t="s">
        <v>20</v>
      </c>
      <c r="B10" s="19">
        <v>26091</v>
      </c>
      <c r="C10" s="19">
        <v>27809</v>
      </c>
      <c r="D10" s="19">
        <v>28235</v>
      </c>
      <c r="E10" s="19">
        <v>27746</v>
      </c>
      <c r="F10" s="19">
        <v>29266</v>
      </c>
      <c r="G10" s="20">
        <v>3.9601841437815047E-2</v>
      </c>
      <c r="H10" s="20">
        <v>4.2095623017945401E-2</v>
      </c>
      <c r="I10" s="20">
        <v>4.248362571075625E-2</v>
      </c>
      <c r="J10" s="20">
        <v>4.2245243489488174E-2</v>
      </c>
      <c r="K10" s="20">
        <v>4.4431691549992866E-2</v>
      </c>
      <c r="L10" s="19">
        <v>25674</v>
      </c>
      <c r="M10" s="19">
        <v>27323</v>
      </c>
      <c r="N10" s="19">
        <v>27337</v>
      </c>
      <c r="O10" s="19">
        <v>26947</v>
      </c>
      <c r="P10" s="19">
        <v>28091</v>
      </c>
      <c r="Q10" s="20">
        <v>0.98401747729101985</v>
      </c>
      <c r="R10" s="20">
        <v>0.98252364342479048</v>
      </c>
      <c r="S10" s="20">
        <v>0.96819550203647953</v>
      </c>
      <c r="T10" s="20">
        <v>0.97120305629640313</v>
      </c>
      <c r="U10" s="20">
        <v>0.95985102166336367</v>
      </c>
      <c r="W10" s="19">
        <v>837</v>
      </c>
      <c r="X10" s="19">
        <v>5348</v>
      </c>
      <c r="Y10" s="19">
        <v>10435</v>
      </c>
      <c r="Z10" s="19">
        <v>24231</v>
      </c>
      <c r="AA10" s="19">
        <v>27746</v>
      </c>
      <c r="AB10" s="20">
        <v>1.8541614516068292E-3</v>
      </c>
      <c r="AC10" s="20">
        <v>8.152178055275669E-3</v>
      </c>
      <c r="AD10" s="20">
        <v>1.6175886999764376E-2</v>
      </c>
      <c r="AE10" s="20">
        <v>3.6933052269619966E-2</v>
      </c>
      <c r="AF10" s="20">
        <v>4.2245243489488174E-2</v>
      </c>
      <c r="AG10" s="19">
        <v>823</v>
      </c>
      <c r="AH10" s="19">
        <v>5204</v>
      </c>
      <c r="AI10" s="19">
        <v>10417</v>
      </c>
      <c r="AJ10" s="19">
        <v>23966</v>
      </c>
      <c r="AK10" s="19">
        <v>26947</v>
      </c>
      <c r="AL10" s="20">
        <v>0.98327359617682197</v>
      </c>
      <c r="AM10" s="20">
        <v>0.97307404637247574</v>
      </c>
      <c r="AN10" s="20">
        <v>0.99827503593675126</v>
      </c>
      <c r="AO10" s="20">
        <v>0.98906359621971851</v>
      </c>
      <c r="AP10" s="20">
        <v>0.97120305629640313</v>
      </c>
      <c r="AQ10" s="37">
        <v>410483.09689857927</v>
      </c>
      <c r="AS10" s="19">
        <v>0</v>
      </c>
      <c r="AT10" s="19">
        <v>0</v>
      </c>
      <c r="AU10" s="19" t="s">
        <v>168</v>
      </c>
      <c r="AV10" s="19" t="s">
        <v>168</v>
      </c>
      <c r="AW10" s="19" t="s">
        <v>168</v>
      </c>
      <c r="AX10" s="19" t="s">
        <v>168</v>
      </c>
    </row>
    <row r="11" spans="1:16384" s="19" customFormat="1" ht="12.75" x14ac:dyDescent="0.2">
      <c r="A11" s="18" t="s">
        <v>21</v>
      </c>
      <c r="B11" s="19">
        <v>3010</v>
      </c>
      <c r="C11" s="19">
        <v>3010</v>
      </c>
      <c r="D11" s="19">
        <v>3347</v>
      </c>
      <c r="E11" s="19">
        <v>3414</v>
      </c>
      <c r="F11" s="19">
        <v>3451</v>
      </c>
      <c r="G11" s="20">
        <v>4.5686843251628254E-3</v>
      </c>
      <c r="H11" s="20">
        <v>4.5563603611785989E-3</v>
      </c>
      <c r="I11" s="20">
        <v>5.0360437490313851E-3</v>
      </c>
      <c r="J11" s="20">
        <v>5.1980559818753198E-3</v>
      </c>
      <c r="K11" s="20">
        <v>5.2393141371907806E-3</v>
      </c>
      <c r="L11" s="19">
        <v>2807</v>
      </c>
      <c r="M11" s="19">
        <v>2788</v>
      </c>
      <c r="N11" s="19">
        <v>2909</v>
      </c>
      <c r="O11" s="19">
        <v>2989</v>
      </c>
      <c r="P11" s="19">
        <v>3020</v>
      </c>
      <c r="Q11" s="20">
        <v>0.93255813953488376</v>
      </c>
      <c r="R11" s="20">
        <v>0.92624584717607972</v>
      </c>
      <c r="S11" s="20">
        <v>0.86913654018524056</v>
      </c>
      <c r="T11" s="20">
        <v>0.87551259519625069</v>
      </c>
      <c r="U11" s="20">
        <v>0.8751086641553173</v>
      </c>
      <c r="W11" s="19">
        <v>142</v>
      </c>
      <c r="X11" s="19">
        <v>1541</v>
      </c>
      <c r="Y11" s="19">
        <v>2586</v>
      </c>
      <c r="Z11" s="19">
        <v>2777</v>
      </c>
      <c r="AA11" s="19">
        <v>3414</v>
      </c>
      <c r="AB11" s="20">
        <v>3.1456502524273563E-4</v>
      </c>
      <c r="AC11" s="20">
        <v>2.3490101688817887E-3</v>
      </c>
      <c r="AD11" s="20">
        <v>4.0087056810149185E-3</v>
      </c>
      <c r="AE11" s="20">
        <v>4.2327219740305663E-3</v>
      </c>
      <c r="AF11" s="20">
        <v>5.1980559818753198E-3</v>
      </c>
      <c r="AG11" s="19">
        <v>141</v>
      </c>
      <c r="AH11" s="19">
        <v>1398</v>
      </c>
      <c r="AI11" s="19">
        <v>2436</v>
      </c>
      <c r="AJ11" s="19">
        <v>2563</v>
      </c>
      <c r="AK11" s="19">
        <v>2989</v>
      </c>
      <c r="AL11" s="20">
        <v>0.99295774647887325</v>
      </c>
      <c r="AM11" s="20">
        <v>0.90720311486048022</v>
      </c>
      <c r="AN11" s="20">
        <v>0.94199535962877035</v>
      </c>
      <c r="AO11" s="20">
        <v>0.92293842275837235</v>
      </c>
      <c r="AP11" s="20">
        <v>0.87551259519625069</v>
      </c>
      <c r="AQ11" s="37">
        <v>50741.159870542557</v>
      </c>
      <c r="AS11" s="19">
        <v>0</v>
      </c>
      <c r="AT11" s="19">
        <v>0</v>
      </c>
      <c r="AU11" s="19" t="s">
        <v>168</v>
      </c>
      <c r="AV11" s="19" t="s">
        <v>168</v>
      </c>
      <c r="AW11" s="19" t="s">
        <v>168</v>
      </c>
      <c r="AX11" s="19" t="s">
        <v>168</v>
      </c>
    </row>
    <row r="12" spans="1:16384" s="19" customFormat="1" ht="12.75" x14ac:dyDescent="0.2">
      <c r="A12" s="18" t="s">
        <v>196</v>
      </c>
      <c r="B12" s="19">
        <v>0</v>
      </c>
      <c r="C12" s="19">
        <v>0</v>
      </c>
      <c r="D12" s="19">
        <v>0</v>
      </c>
      <c r="E12" s="19">
        <v>0</v>
      </c>
      <c r="F12" s="19">
        <v>278</v>
      </c>
      <c r="G12" s="20">
        <v>0</v>
      </c>
      <c r="H12" s="20">
        <v>0</v>
      </c>
      <c r="I12" s="20">
        <v>0</v>
      </c>
      <c r="J12" s="20">
        <v>0</v>
      </c>
      <c r="K12" s="20">
        <v>4.2206007827848068E-4</v>
      </c>
      <c r="L12" s="19">
        <v>0</v>
      </c>
      <c r="M12" s="19">
        <v>0</v>
      </c>
      <c r="N12" s="19">
        <v>0</v>
      </c>
      <c r="O12" s="19">
        <v>0</v>
      </c>
      <c r="P12" s="19">
        <v>278</v>
      </c>
      <c r="Q12" s="20">
        <v>0</v>
      </c>
      <c r="R12" s="20">
        <v>0</v>
      </c>
      <c r="S12" s="20">
        <v>0</v>
      </c>
      <c r="T12" s="20">
        <v>0</v>
      </c>
      <c r="U12" s="20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37">
        <v>557.00042206007834</v>
      </c>
      <c r="AS12" s="19">
        <v>0</v>
      </c>
      <c r="AT12" s="19">
        <v>0</v>
      </c>
      <c r="AU12" s="19" t="s">
        <v>168</v>
      </c>
      <c r="AV12" s="19" t="s">
        <v>168</v>
      </c>
      <c r="AW12" s="19" t="s">
        <v>168</v>
      </c>
      <c r="AX12" s="19" t="s">
        <v>168</v>
      </c>
    </row>
    <row r="13" spans="1:16384" s="19" customFormat="1" ht="12.75" x14ac:dyDescent="0.2">
      <c r="A13" s="18" t="s">
        <v>22</v>
      </c>
      <c r="B13" s="19">
        <v>35441</v>
      </c>
      <c r="C13" s="19">
        <v>35552</v>
      </c>
      <c r="D13" s="19">
        <v>35712</v>
      </c>
      <c r="E13" s="19">
        <v>35634</v>
      </c>
      <c r="F13" s="19">
        <v>35471</v>
      </c>
      <c r="G13" s="20">
        <v>5.3793601716975316E-2</v>
      </c>
      <c r="H13" s="20">
        <v>5.3816519455355996E-2</v>
      </c>
      <c r="I13" s="20">
        <v>5.3733849526563737E-2</v>
      </c>
      <c r="J13" s="20">
        <v>5.4255280274793538E-2</v>
      </c>
      <c r="K13" s="20">
        <v>5.3852133225237374E-2</v>
      </c>
      <c r="L13" s="19">
        <v>3899</v>
      </c>
      <c r="M13" s="19">
        <v>3750</v>
      </c>
      <c r="N13" s="19">
        <v>3598</v>
      </c>
      <c r="O13" s="19">
        <v>3550</v>
      </c>
      <c r="P13" s="19">
        <v>3493</v>
      </c>
      <c r="Q13" s="20">
        <v>0.11001382579498321</v>
      </c>
      <c r="R13" s="20">
        <v>0.10547929792979298</v>
      </c>
      <c r="S13" s="20">
        <v>0.10075044802867383</v>
      </c>
      <c r="T13" s="20">
        <v>9.9623954650053317E-2</v>
      </c>
      <c r="U13" s="20">
        <v>9.8474810408502714E-2</v>
      </c>
      <c r="W13" s="19">
        <v>35881</v>
      </c>
      <c r="X13" s="19">
        <v>36058</v>
      </c>
      <c r="Y13" s="19">
        <v>35191</v>
      </c>
      <c r="Z13" s="19">
        <v>35468</v>
      </c>
      <c r="AA13" s="19">
        <v>35634</v>
      </c>
      <c r="AB13" s="20">
        <v>7.9485265286863366E-2</v>
      </c>
      <c r="AC13" s="20">
        <v>5.4964703873808918E-2</v>
      </c>
      <c r="AD13" s="20">
        <v>5.4551570618946638E-2</v>
      </c>
      <c r="AE13" s="20">
        <v>5.4060562828561802E-2</v>
      </c>
      <c r="AF13" s="20">
        <v>5.4255280274793538E-2</v>
      </c>
      <c r="AG13" s="19">
        <v>2996</v>
      </c>
      <c r="AH13" s="19">
        <v>5479</v>
      </c>
      <c r="AI13" s="19">
        <v>4537</v>
      </c>
      <c r="AJ13" s="19">
        <v>4192</v>
      </c>
      <c r="AK13" s="19">
        <v>3550</v>
      </c>
      <c r="AL13" s="20">
        <v>8.349823026114099E-2</v>
      </c>
      <c r="AM13" s="20">
        <v>0.15194963669643352</v>
      </c>
      <c r="AN13" s="20">
        <v>0.12892500923531586</v>
      </c>
      <c r="AO13" s="20">
        <v>0.11819104544941919</v>
      </c>
      <c r="AP13" s="20">
        <v>9.9623954650053317E-2</v>
      </c>
      <c r="AQ13" s="37">
        <v>395087.66329898016</v>
      </c>
      <c r="AS13" s="19">
        <v>0</v>
      </c>
      <c r="AT13" s="19">
        <v>0</v>
      </c>
      <c r="AU13" s="19" t="s">
        <v>168</v>
      </c>
      <c r="AV13" s="19" t="s">
        <v>168</v>
      </c>
      <c r="AW13" s="19" t="s">
        <v>168</v>
      </c>
      <c r="AX13" s="19" t="s">
        <v>168</v>
      </c>
    </row>
    <row r="14" spans="1:16384" s="19" customFormat="1" ht="12.75" x14ac:dyDescent="0.2">
      <c r="A14" s="18" t="s">
        <v>24</v>
      </c>
      <c r="B14" s="19">
        <v>4750</v>
      </c>
      <c r="C14" s="19">
        <v>5147</v>
      </c>
      <c r="D14" s="19">
        <v>5159</v>
      </c>
      <c r="E14" s="19">
        <v>4949</v>
      </c>
      <c r="F14" s="19">
        <v>4703</v>
      </c>
      <c r="G14" s="20">
        <v>7.2097177888782137E-3</v>
      </c>
      <c r="H14" s="20">
        <v>7.7912248435170256E-3</v>
      </c>
      <c r="I14" s="20">
        <v>7.7624588291762527E-3</v>
      </c>
      <c r="J14" s="20">
        <v>7.5352018319569296E-3</v>
      </c>
      <c r="K14" s="20">
        <v>7.1401026911643694E-3</v>
      </c>
      <c r="L14" s="19">
        <v>4750</v>
      </c>
      <c r="M14" s="19">
        <v>5147</v>
      </c>
      <c r="N14" s="19">
        <v>5064</v>
      </c>
      <c r="O14" s="19">
        <v>4949</v>
      </c>
      <c r="P14" s="19">
        <v>4693</v>
      </c>
      <c r="Q14" s="20">
        <v>1</v>
      </c>
      <c r="R14" s="20">
        <v>1</v>
      </c>
      <c r="S14" s="20">
        <v>0.98158557860050399</v>
      </c>
      <c r="T14" s="20">
        <v>1</v>
      </c>
      <c r="U14" s="20">
        <v>0.99787369763980438</v>
      </c>
      <c r="W14" s="19">
        <v>770</v>
      </c>
      <c r="X14" s="19">
        <v>1950</v>
      </c>
      <c r="Y14" s="19">
        <v>2259</v>
      </c>
      <c r="Z14" s="19">
        <v>4348</v>
      </c>
      <c r="AA14" s="19">
        <v>4949</v>
      </c>
      <c r="AB14" s="20">
        <v>1.7057399256120173E-3</v>
      </c>
      <c r="AC14" s="20">
        <v>2.9724658204539184E-3</v>
      </c>
      <c r="AD14" s="20">
        <v>3.5018043826035195E-3</v>
      </c>
      <c r="AE14" s="20">
        <v>6.6272506817014413E-3</v>
      </c>
      <c r="AF14" s="20">
        <v>7.5352018319569296E-3</v>
      </c>
      <c r="AG14" s="19">
        <v>770</v>
      </c>
      <c r="AH14" s="19">
        <v>1921</v>
      </c>
      <c r="AI14" s="19">
        <v>2259</v>
      </c>
      <c r="AJ14" s="19">
        <v>4348</v>
      </c>
      <c r="AK14" s="19">
        <v>4949</v>
      </c>
      <c r="AL14" s="20">
        <v>1</v>
      </c>
      <c r="AM14" s="20">
        <v>0.98512820512820509</v>
      </c>
      <c r="AN14" s="20">
        <v>1</v>
      </c>
      <c r="AO14" s="20">
        <v>1</v>
      </c>
      <c r="AP14" s="20">
        <v>1</v>
      </c>
      <c r="AQ14" s="37">
        <v>77844.024368649989</v>
      </c>
      <c r="AS14" s="19">
        <v>0</v>
      </c>
      <c r="AT14" s="19">
        <v>0</v>
      </c>
      <c r="AU14" s="19" t="s">
        <v>168</v>
      </c>
      <c r="AV14" s="19" t="s">
        <v>168</v>
      </c>
      <c r="AW14" s="19" t="s">
        <v>168</v>
      </c>
      <c r="AX14" s="19" t="s">
        <v>168</v>
      </c>
    </row>
    <row r="15" spans="1:16384" s="19" customFormat="1" ht="12.75" x14ac:dyDescent="0.2">
      <c r="A15" s="18" t="s">
        <v>198</v>
      </c>
      <c r="B15" s="19">
        <v>0</v>
      </c>
      <c r="C15" s="19">
        <v>0</v>
      </c>
      <c r="D15" s="19">
        <v>0</v>
      </c>
      <c r="E15" s="19">
        <v>0</v>
      </c>
      <c r="F15" s="19">
        <v>18</v>
      </c>
      <c r="G15" s="20">
        <v>0</v>
      </c>
      <c r="H15" s="20">
        <v>0</v>
      </c>
      <c r="I15" s="20">
        <v>0</v>
      </c>
      <c r="J15" s="20">
        <v>0</v>
      </c>
      <c r="K15" s="20">
        <v>2.7327630967671413E-5</v>
      </c>
      <c r="L15" s="19">
        <v>0</v>
      </c>
      <c r="M15" s="19">
        <v>0</v>
      </c>
      <c r="N15" s="19">
        <v>0</v>
      </c>
      <c r="O15" s="19">
        <v>0</v>
      </c>
      <c r="P15" s="19">
        <v>18</v>
      </c>
      <c r="Q15" s="20">
        <v>0</v>
      </c>
      <c r="R15" s="20">
        <v>0</v>
      </c>
      <c r="S15" s="20">
        <v>0</v>
      </c>
      <c r="T15" s="20">
        <v>0</v>
      </c>
      <c r="U15" s="20">
        <v>1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37">
        <v>37.000027327630967</v>
      </c>
      <c r="AS15" s="19">
        <v>0</v>
      </c>
      <c r="AT15" s="19">
        <v>0</v>
      </c>
      <c r="AU15" s="19" t="s">
        <v>168</v>
      </c>
      <c r="AV15" s="19" t="s">
        <v>168</v>
      </c>
      <c r="AW15" s="19" t="s">
        <v>168</v>
      </c>
      <c r="AX15" s="19" t="s">
        <v>168</v>
      </c>
    </row>
    <row r="16" spans="1:16384" s="19" customFormat="1" ht="12.75" x14ac:dyDescent="0.2">
      <c r="A16" s="18" t="s">
        <v>25</v>
      </c>
      <c r="B16" s="19">
        <v>4292</v>
      </c>
      <c r="C16" s="19">
        <v>4569</v>
      </c>
      <c r="D16" s="19">
        <v>4952</v>
      </c>
      <c r="E16" s="19">
        <v>4975</v>
      </c>
      <c r="F16" s="19">
        <v>4877</v>
      </c>
      <c r="G16" s="20">
        <v>6.5145492104979564E-3</v>
      </c>
      <c r="H16" s="20">
        <v>6.9162825548920327E-3</v>
      </c>
      <c r="I16" s="20">
        <v>7.4509975037954645E-3</v>
      </c>
      <c r="J16" s="20">
        <v>7.5747886672026116E-3</v>
      </c>
      <c r="K16" s="20">
        <v>7.4042697905185263E-3</v>
      </c>
      <c r="L16" s="19">
        <v>4121</v>
      </c>
      <c r="M16" s="19">
        <v>4385</v>
      </c>
      <c r="N16" s="19">
        <v>4639</v>
      </c>
      <c r="O16" s="19">
        <v>4646</v>
      </c>
      <c r="P16" s="19">
        <v>4523</v>
      </c>
      <c r="Q16" s="20">
        <v>0.96015843429636538</v>
      </c>
      <c r="R16" s="20">
        <v>0.95972860582184283</v>
      </c>
      <c r="S16" s="20">
        <v>0.93679321486268174</v>
      </c>
      <c r="T16" s="20">
        <v>0.93386934673366839</v>
      </c>
      <c r="U16" s="20">
        <v>0.92741439409473037</v>
      </c>
      <c r="W16" s="19">
        <v>2981</v>
      </c>
      <c r="X16" s="19">
        <v>4594</v>
      </c>
      <c r="Y16" s="19">
        <v>3792</v>
      </c>
      <c r="Z16" s="19">
        <v>4267</v>
      </c>
      <c r="AA16" s="19">
        <v>4975</v>
      </c>
      <c r="AB16" s="20">
        <v>6.6036502834408099E-3</v>
      </c>
      <c r="AC16" s="20">
        <v>7.002824604700154E-3</v>
      </c>
      <c r="AD16" s="20">
        <v>5.8781948733211799E-3</v>
      </c>
      <c r="AE16" s="20">
        <v>6.5037899399310144E-3</v>
      </c>
      <c r="AF16" s="20">
        <v>7.5747886672026116E-3</v>
      </c>
      <c r="AG16" s="19">
        <v>2981</v>
      </c>
      <c r="AH16" s="19">
        <v>4503</v>
      </c>
      <c r="AI16" s="19">
        <v>3671</v>
      </c>
      <c r="AJ16" s="19">
        <v>4102</v>
      </c>
      <c r="AK16" s="19">
        <v>4646</v>
      </c>
      <c r="AL16" s="20">
        <v>1</v>
      </c>
      <c r="AM16" s="20">
        <v>0.98019155420113191</v>
      </c>
      <c r="AN16" s="20">
        <v>0.96809071729957807</v>
      </c>
      <c r="AO16" s="20">
        <v>0.96133114600421843</v>
      </c>
      <c r="AP16" s="20">
        <v>0.93386934673366839</v>
      </c>
      <c r="AQ16" s="37">
        <v>86500.630870896144</v>
      </c>
      <c r="AS16" s="19">
        <v>0</v>
      </c>
      <c r="AT16" s="19">
        <v>0</v>
      </c>
      <c r="AU16" s="19" t="s">
        <v>168</v>
      </c>
      <c r="AV16" s="19" t="s">
        <v>168</v>
      </c>
      <c r="AW16" s="19" t="s">
        <v>168</v>
      </c>
      <c r="AX16" s="19" t="s">
        <v>168</v>
      </c>
    </row>
    <row r="17" spans="1:50" s="19" customFormat="1" ht="12.75" x14ac:dyDescent="0.2">
      <c r="A17" s="18" t="s">
        <v>26</v>
      </c>
      <c r="B17" s="19">
        <v>763</v>
      </c>
      <c r="C17" s="19">
        <v>784</v>
      </c>
      <c r="D17" s="19">
        <v>775</v>
      </c>
      <c r="E17" s="19">
        <v>825</v>
      </c>
      <c r="F17" s="19">
        <v>862</v>
      </c>
      <c r="G17" s="20">
        <v>1.1581083521924372E-3</v>
      </c>
      <c r="H17" s="20">
        <v>1.1867729312837281E-3</v>
      </c>
      <c r="I17" s="20">
        <v>1.1660991650729979E-3</v>
      </c>
      <c r="J17" s="20">
        <v>1.256120733757217E-3</v>
      </c>
      <c r="K17" s="20">
        <v>1.3086898830073754E-3</v>
      </c>
      <c r="L17" s="19">
        <v>630</v>
      </c>
      <c r="M17" s="19">
        <v>645</v>
      </c>
      <c r="N17" s="19">
        <v>654</v>
      </c>
      <c r="O17" s="19">
        <v>729</v>
      </c>
      <c r="P17" s="19">
        <v>770</v>
      </c>
      <c r="Q17" s="20">
        <v>0.82568807339449546</v>
      </c>
      <c r="R17" s="20">
        <v>0.82270408163265307</v>
      </c>
      <c r="S17" s="20">
        <v>0.84387096774193548</v>
      </c>
      <c r="T17" s="20">
        <v>0.88363636363636366</v>
      </c>
      <c r="U17" s="20">
        <v>0.89327146171693739</v>
      </c>
      <c r="W17" s="19">
        <v>24</v>
      </c>
      <c r="X17" s="19">
        <v>502</v>
      </c>
      <c r="Y17" s="19">
        <v>611</v>
      </c>
      <c r="Z17" s="19">
        <v>773</v>
      </c>
      <c r="AA17" s="19">
        <v>825</v>
      </c>
      <c r="AB17" s="20">
        <v>5.3165919759335605E-5</v>
      </c>
      <c r="AC17" s="20">
        <v>7.6521940608608569E-4</v>
      </c>
      <c r="AD17" s="20">
        <v>9.4714585116013742E-4</v>
      </c>
      <c r="AE17" s="20">
        <v>1.1782117702288902E-3</v>
      </c>
      <c r="AF17" s="20">
        <v>1.256120733757217E-3</v>
      </c>
      <c r="AG17" s="19">
        <v>24</v>
      </c>
      <c r="AH17" s="19">
        <v>473</v>
      </c>
      <c r="AI17" s="19">
        <v>521</v>
      </c>
      <c r="AJ17" s="19">
        <v>634</v>
      </c>
      <c r="AK17" s="19">
        <v>729</v>
      </c>
      <c r="AL17" s="20">
        <v>1</v>
      </c>
      <c r="AM17" s="20">
        <v>0.94223107569721121</v>
      </c>
      <c r="AN17" s="20">
        <v>0.85270049099836331</v>
      </c>
      <c r="AO17" s="20">
        <v>0.82018111254851234</v>
      </c>
      <c r="AP17" s="20">
        <v>0.88363636363636366</v>
      </c>
      <c r="AQ17" s="37">
        <v>12561.778195645747</v>
      </c>
      <c r="AS17" s="19">
        <v>0</v>
      </c>
      <c r="AT17" s="19">
        <v>0</v>
      </c>
      <c r="AU17" s="19" t="s">
        <v>168</v>
      </c>
      <c r="AV17" s="19" t="s">
        <v>168</v>
      </c>
      <c r="AW17" s="19" t="s">
        <v>168</v>
      </c>
      <c r="AX17" s="19" t="s">
        <v>168</v>
      </c>
    </row>
    <row r="18" spans="1:50" s="19" customFormat="1" ht="12.75" x14ac:dyDescent="0.2">
      <c r="A18" s="18" t="s">
        <v>27</v>
      </c>
      <c r="B18" s="19">
        <v>0</v>
      </c>
      <c r="C18" s="19">
        <v>0</v>
      </c>
      <c r="D18" s="19">
        <v>0</v>
      </c>
      <c r="E18" s="19">
        <v>2</v>
      </c>
      <c r="F18" s="19">
        <v>14</v>
      </c>
      <c r="G18" s="20">
        <v>0</v>
      </c>
      <c r="H18" s="20">
        <v>0</v>
      </c>
      <c r="I18" s="20">
        <v>0</v>
      </c>
      <c r="J18" s="20">
        <v>3.0451411727447683E-6</v>
      </c>
      <c r="K18" s="20">
        <v>2.1254824085966655E-5</v>
      </c>
      <c r="L18" s="19">
        <v>0</v>
      </c>
      <c r="M18" s="19">
        <v>0</v>
      </c>
      <c r="N18" s="19">
        <v>0</v>
      </c>
      <c r="O18" s="19">
        <v>2</v>
      </c>
      <c r="P18" s="19">
        <v>14</v>
      </c>
      <c r="Q18" s="20">
        <v>0</v>
      </c>
      <c r="R18" s="20">
        <v>0</v>
      </c>
      <c r="S18" s="20">
        <v>0</v>
      </c>
      <c r="T18" s="20">
        <v>1</v>
      </c>
      <c r="U18" s="20">
        <v>1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20">
        <v>0</v>
      </c>
      <c r="AC18" s="20">
        <v>0</v>
      </c>
      <c r="AD18" s="20">
        <v>0</v>
      </c>
      <c r="AE18" s="20">
        <v>0</v>
      </c>
      <c r="AF18" s="20">
        <v>3.0451411727447683E-6</v>
      </c>
      <c r="AG18" s="19">
        <v>0</v>
      </c>
      <c r="AH18" s="19">
        <v>0</v>
      </c>
      <c r="AI18" s="19">
        <v>0</v>
      </c>
      <c r="AJ18" s="19">
        <v>0</v>
      </c>
      <c r="AK18" s="19">
        <v>2</v>
      </c>
      <c r="AL18" s="20">
        <v>0</v>
      </c>
      <c r="AM18" s="20">
        <v>0</v>
      </c>
      <c r="AN18" s="20">
        <v>0</v>
      </c>
      <c r="AO18" s="20">
        <v>0</v>
      </c>
      <c r="AP18" s="20">
        <v>1</v>
      </c>
      <c r="AQ18" s="37">
        <v>39.000027345106432</v>
      </c>
      <c r="AS18" s="19">
        <v>0</v>
      </c>
      <c r="AT18" s="19">
        <v>0</v>
      </c>
      <c r="AU18" s="19" t="s">
        <v>168</v>
      </c>
      <c r="AV18" s="19" t="s">
        <v>168</v>
      </c>
      <c r="AW18" s="19" t="s">
        <v>168</v>
      </c>
      <c r="AX18" s="19" t="s">
        <v>168</v>
      </c>
    </row>
    <row r="19" spans="1:50" s="19" customFormat="1" ht="12.75" x14ac:dyDescent="0.2">
      <c r="A19" s="18" t="s">
        <v>28</v>
      </c>
      <c r="B19" s="19">
        <v>2739</v>
      </c>
      <c r="C19" s="19">
        <v>2465</v>
      </c>
      <c r="D19" s="19">
        <v>2336</v>
      </c>
      <c r="E19" s="19">
        <v>2100</v>
      </c>
      <c r="F19" s="19">
        <v>1997</v>
      </c>
      <c r="G19" s="20">
        <v>4.1573509523657737E-3</v>
      </c>
      <c r="H19" s="20">
        <v>3.7313715250183541E-3</v>
      </c>
      <c r="I19" s="20">
        <v>3.5148485801426103E-3</v>
      </c>
      <c r="J19" s="20">
        <v>3.197398231382007E-3</v>
      </c>
      <c r="K19" s="20">
        <v>3.0318488356911007E-3</v>
      </c>
      <c r="L19" s="19">
        <v>2551</v>
      </c>
      <c r="M19" s="19">
        <v>2293</v>
      </c>
      <c r="N19" s="19">
        <v>2187</v>
      </c>
      <c r="O19" s="19">
        <v>1944</v>
      </c>
      <c r="P19" s="19">
        <v>1835</v>
      </c>
      <c r="Q19" s="20">
        <v>0.93136181087988312</v>
      </c>
      <c r="R19" s="20">
        <v>0.93022312373225147</v>
      </c>
      <c r="S19" s="20">
        <v>0.93621575342465757</v>
      </c>
      <c r="T19" s="20">
        <v>0.92571428571428571</v>
      </c>
      <c r="U19" s="20">
        <v>0.91887831747621429</v>
      </c>
      <c r="W19" s="19">
        <v>1285</v>
      </c>
      <c r="X19" s="19">
        <v>2879</v>
      </c>
      <c r="Y19" s="19">
        <v>3578</v>
      </c>
      <c r="Z19" s="19">
        <v>2993</v>
      </c>
      <c r="AA19" s="19">
        <v>2100</v>
      </c>
      <c r="AB19" s="20">
        <v>2.8465919537810939E-3</v>
      </c>
      <c r="AC19" s="20">
        <v>4.3885790241470933E-3</v>
      </c>
      <c r="AD19" s="20">
        <v>5.5464613018837506E-3</v>
      </c>
      <c r="AE19" s="20">
        <v>4.5619506187517056E-3</v>
      </c>
      <c r="AF19" s="20">
        <v>3.197398231382007E-3</v>
      </c>
      <c r="AG19" s="19">
        <v>1281</v>
      </c>
      <c r="AH19" s="19">
        <v>2838</v>
      </c>
      <c r="AI19" s="19">
        <v>3429</v>
      </c>
      <c r="AJ19" s="19">
        <v>2830</v>
      </c>
      <c r="AK19" s="19">
        <v>1944</v>
      </c>
      <c r="AL19" s="20">
        <v>0.99688715953307394</v>
      </c>
      <c r="AM19" s="20">
        <v>0.98575894407780484</v>
      </c>
      <c r="AN19" s="20">
        <v>0.95835662381218556</v>
      </c>
      <c r="AO19" s="20">
        <v>0.94553959238222518</v>
      </c>
      <c r="AP19" s="20">
        <v>0.92571428571428571</v>
      </c>
      <c r="AQ19" s="37">
        <v>47613.492823696004</v>
      </c>
      <c r="AS19" s="19">
        <v>0</v>
      </c>
      <c r="AT19" s="19">
        <v>0</v>
      </c>
      <c r="AU19" s="19" t="s">
        <v>168</v>
      </c>
      <c r="AV19" s="19" t="s">
        <v>168</v>
      </c>
      <c r="AW19" s="19" t="s">
        <v>168</v>
      </c>
      <c r="AX19" s="19" t="s">
        <v>168</v>
      </c>
    </row>
    <row r="20" spans="1:50" s="19" customFormat="1" ht="12.75" x14ac:dyDescent="0.2">
      <c r="A20" s="18" t="s">
        <v>29</v>
      </c>
      <c r="B20" s="19">
        <v>311</v>
      </c>
      <c r="C20" s="19">
        <v>332</v>
      </c>
      <c r="D20" s="19">
        <v>336</v>
      </c>
      <c r="E20" s="19">
        <v>990</v>
      </c>
      <c r="F20" s="19">
        <v>1040</v>
      </c>
      <c r="G20" s="20">
        <v>4.7204678575602616E-4</v>
      </c>
      <c r="H20" s="20">
        <v>5.0256200661504804E-4</v>
      </c>
      <c r="I20" s="20">
        <v>5.0556041221229322E-4</v>
      </c>
      <c r="J20" s="20">
        <v>1.5073448805086604E-3</v>
      </c>
      <c r="K20" s="20">
        <v>1.5789297892432371E-3</v>
      </c>
      <c r="L20" s="19">
        <v>302</v>
      </c>
      <c r="M20" s="19">
        <v>316</v>
      </c>
      <c r="N20" s="19">
        <v>336</v>
      </c>
      <c r="O20" s="19">
        <v>982</v>
      </c>
      <c r="P20" s="19">
        <v>1026</v>
      </c>
      <c r="Q20" s="20">
        <v>0.97106109324758838</v>
      </c>
      <c r="R20" s="20">
        <v>0.95180722891566261</v>
      </c>
      <c r="S20" s="20">
        <v>1</v>
      </c>
      <c r="T20" s="20">
        <v>0.99191919191919187</v>
      </c>
      <c r="U20" s="20">
        <v>0.98653846153846159</v>
      </c>
      <c r="W20" s="19">
        <v>0</v>
      </c>
      <c r="X20" s="19">
        <v>0</v>
      </c>
      <c r="Y20" s="19">
        <v>19</v>
      </c>
      <c r="Z20" s="19">
        <v>280</v>
      </c>
      <c r="AA20" s="19">
        <v>990</v>
      </c>
      <c r="AB20" s="20">
        <v>0</v>
      </c>
      <c r="AC20" s="20">
        <v>0</v>
      </c>
      <c r="AD20" s="20">
        <v>2.9452980641640935E-5</v>
      </c>
      <c r="AE20" s="20">
        <v>4.2677787278666134E-4</v>
      </c>
      <c r="AF20" s="20">
        <v>1.5073448805086604E-3</v>
      </c>
      <c r="AG20" s="19">
        <v>0</v>
      </c>
      <c r="AH20" s="19">
        <v>0</v>
      </c>
      <c r="AI20" s="19">
        <v>19</v>
      </c>
      <c r="AJ20" s="19">
        <v>279</v>
      </c>
      <c r="AK20" s="19">
        <v>982</v>
      </c>
      <c r="AL20" s="20">
        <v>0</v>
      </c>
      <c r="AM20" s="20">
        <v>0</v>
      </c>
      <c r="AN20" s="20">
        <v>1</v>
      </c>
      <c r="AO20" s="20">
        <v>0.99642857142857144</v>
      </c>
      <c r="AP20" s="20">
        <v>0.99191919191919187</v>
      </c>
      <c r="AQ20" s="37">
        <v>8547.8962037585788</v>
      </c>
      <c r="AS20" s="19">
        <v>0</v>
      </c>
      <c r="AT20" s="19">
        <v>0</v>
      </c>
      <c r="AU20" s="19" t="s">
        <v>168</v>
      </c>
      <c r="AV20" s="19" t="s">
        <v>168</v>
      </c>
      <c r="AW20" s="19" t="s">
        <v>168</v>
      </c>
      <c r="AX20" s="19" t="s">
        <v>168</v>
      </c>
    </row>
    <row r="21" spans="1:50" s="19" customFormat="1" ht="12.75" x14ac:dyDescent="0.2">
      <c r="A21" s="18" t="s">
        <v>30</v>
      </c>
      <c r="B21" s="19">
        <v>98784</v>
      </c>
      <c r="C21" s="19">
        <v>98050</v>
      </c>
      <c r="D21" s="19">
        <v>98291</v>
      </c>
      <c r="E21" s="19">
        <v>91164</v>
      </c>
      <c r="F21" s="19">
        <v>90928</v>
      </c>
      <c r="G21" s="20">
        <v>0.14993784464348325</v>
      </c>
      <c r="H21" s="20">
        <v>0.14842230345965501</v>
      </c>
      <c r="I21" s="20">
        <v>0.1478929716570194</v>
      </c>
      <c r="J21" s="20">
        <v>0.13880362493605203</v>
      </c>
      <c r="K21" s="20">
        <v>0.13804704603491258</v>
      </c>
      <c r="L21" s="19">
        <v>71548</v>
      </c>
      <c r="M21" s="19">
        <v>72449</v>
      </c>
      <c r="N21" s="19">
        <v>73252</v>
      </c>
      <c r="O21" s="19">
        <v>68884</v>
      </c>
      <c r="P21" s="19">
        <v>69598</v>
      </c>
      <c r="Q21" s="20">
        <v>0.72428733398121148</v>
      </c>
      <c r="R21" s="20">
        <v>0.73889852116267207</v>
      </c>
      <c r="S21" s="20">
        <v>0.74525643243023265</v>
      </c>
      <c r="T21" s="20">
        <v>0.75560528278706507</v>
      </c>
      <c r="U21" s="20">
        <v>0.76541879289107861</v>
      </c>
      <c r="W21" s="19">
        <v>95158</v>
      </c>
      <c r="X21" s="19">
        <v>98118</v>
      </c>
      <c r="Y21" s="19">
        <v>95901</v>
      </c>
      <c r="Z21" s="19">
        <v>100607</v>
      </c>
      <c r="AA21" s="19">
        <v>91164</v>
      </c>
      <c r="AB21" s="20">
        <v>0.21079844135245238</v>
      </c>
      <c r="AC21" s="20">
        <v>0.14956533403656286</v>
      </c>
      <c r="AD21" s="20">
        <v>0.1486615945533688</v>
      </c>
      <c r="AE21" s="20">
        <v>0.15334586231231301</v>
      </c>
      <c r="AF21" s="20">
        <v>0.13880362493605203</v>
      </c>
      <c r="AG21" s="19">
        <v>41808</v>
      </c>
      <c r="AH21" s="19">
        <v>55700</v>
      </c>
      <c r="AI21" s="19">
        <v>60262</v>
      </c>
      <c r="AJ21" s="19">
        <v>71412</v>
      </c>
      <c r="AK21" s="19">
        <v>68884</v>
      </c>
      <c r="AL21" s="20">
        <v>0.43935349629038023</v>
      </c>
      <c r="AM21" s="20">
        <v>0.56768380929085382</v>
      </c>
      <c r="AN21" s="20">
        <v>0.62837718063419568</v>
      </c>
      <c r="AO21" s="20">
        <v>0.70981144453169265</v>
      </c>
      <c r="AP21" s="20">
        <v>0.75560528278706507</v>
      </c>
      <c r="AQ21" s="37">
        <v>1611970.3545762249</v>
      </c>
      <c r="AS21" s="19">
        <v>0</v>
      </c>
      <c r="AT21" s="19">
        <v>0</v>
      </c>
      <c r="AU21" s="19" t="s">
        <v>168</v>
      </c>
      <c r="AV21" s="19" t="s">
        <v>168</v>
      </c>
      <c r="AW21" s="19" t="s">
        <v>168</v>
      </c>
      <c r="AX21" s="19" t="s">
        <v>168</v>
      </c>
    </row>
    <row r="22" spans="1:50" s="19" customFormat="1" ht="12.75" x14ac:dyDescent="0.2">
      <c r="A22" s="18" t="s">
        <v>31</v>
      </c>
      <c r="B22" s="19">
        <v>329</v>
      </c>
      <c r="C22" s="19">
        <v>329</v>
      </c>
      <c r="D22" s="19">
        <v>371</v>
      </c>
      <c r="E22" s="19">
        <v>393</v>
      </c>
      <c r="F22" s="19">
        <v>427</v>
      </c>
      <c r="G22" s="20">
        <v>4.9936782158756471E-4</v>
      </c>
      <c r="H22" s="20">
        <v>4.9802078366370734E-4</v>
      </c>
      <c r="I22" s="20">
        <v>5.5822295515107383E-4</v>
      </c>
      <c r="J22" s="20">
        <v>5.9837024044434703E-4</v>
      </c>
      <c r="K22" s="20">
        <v>6.4827213462198292E-4</v>
      </c>
      <c r="L22" s="19">
        <v>313</v>
      </c>
      <c r="M22" s="19">
        <v>313</v>
      </c>
      <c r="N22" s="19">
        <v>355</v>
      </c>
      <c r="O22" s="19">
        <v>381</v>
      </c>
      <c r="P22" s="19">
        <v>417</v>
      </c>
      <c r="Q22" s="20">
        <v>0.95136778115501519</v>
      </c>
      <c r="R22" s="20">
        <v>0.95136778115501519</v>
      </c>
      <c r="S22" s="20">
        <v>0.95687331536388143</v>
      </c>
      <c r="T22" s="20">
        <v>0.96946564885496178</v>
      </c>
      <c r="U22" s="20">
        <v>0.97658079625292737</v>
      </c>
      <c r="W22" s="19">
        <v>0</v>
      </c>
      <c r="X22" s="19">
        <v>2</v>
      </c>
      <c r="Y22" s="19">
        <v>184</v>
      </c>
      <c r="Z22" s="19">
        <v>291</v>
      </c>
      <c r="AA22" s="19">
        <v>393</v>
      </c>
      <c r="AB22" s="20">
        <v>0</v>
      </c>
      <c r="AC22" s="20">
        <v>3.0486828927732495E-6</v>
      </c>
      <c r="AD22" s="20">
        <v>2.8522886516115431E-4</v>
      </c>
      <c r="AE22" s="20">
        <v>4.4354414636042306E-4</v>
      </c>
      <c r="AF22" s="20">
        <v>5.9837024044434703E-4</v>
      </c>
      <c r="AG22" s="19">
        <v>0</v>
      </c>
      <c r="AH22" s="19">
        <v>2</v>
      </c>
      <c r="AI22" s="19">
        <v>184</v>
      </c>
      <c r="AJ22" s="19">
        <v>276</v>
      </c>
      <c r="AK22" s="19">
        <v>381</v>
      </c>
      <c r="AL22" s="20">
        <v>0</v>
      </c>
      <c r="AM22" s="20">
        <v>1</v>
      </c>
      <c r="AN22" s="20">
        <v>1</v>
      </c>
      <c r="AO22" s="20">
        <v>0.94845360824742264</v>
      </c>
      <c r="AP22" s="20">
        <v>0.96946564885496178</v>
      </c>
      <c r="AQ22" s="37">
        <v>5349.7277070257533</v>
      </c>
      <c r="AS22" s="19">
        <v>0</v>
      </c>
      <c r="AT22" s="19">
        <v>0</v>
      </c>
      <c r="AU22" s="19" t="s">
        <v>168</v>
      </c>
      <c r="AV22" s="19" t="s">
        <v>168</v>
      </c>
      <c r="AW22" s="19" t="s">
        <v>168</v>
      </c>
      <c r="AX22" s="19" t="s">
        <v>168</v>
      </c>
    </row>
    <row r="23" spans="1:50" s="19" customFormat="1" ht="12.75" x14ac:dyDescent="0.2">
      <c r="A23" s="18" t="s">
        <v>79</v>
      </c>
      <c r="B23" s="19">
        <v>0</v>
      </c>
      <c r="C23" s="19">
        <v>42</v>
      </c>
      <c r="D23" s="19">
        <v>41</v>
      </c>
      <c r="E23" s="19">
        <v>46</v>
      </c>
      <c r="F23" s="19">
        <v>44</v>
      </c>
      <c r="G23" s="20">
        <v>0</v>
      </c>
      <c r="H23" s="20">
        <v>6.3577121318771142E-5</v>
      </c>
      <c r="I23" s="20">
        <v>6.1690407442571504E-5</v>
      </c>
      <c r="J23" s="20">
        <v>7.0038246973129674E-5</v>
      </c>
      <c r="K23" s="20">
        <v>6.6800875698752346E-5</v>
      </c>
      <c r="L23" s="19">
        <v>0</v>
      </c>
      <c r="M23" s="19">
        <v>42</v>
      </c>
      <c r="N23" s="19">
        <v>41</v>
      </c>
      <c r="O23" s="19">
        <v>46</v>
      </c>
      <c r="P23" s="19">
        <v>44</v>
      </c>
      <c r="Q23" s="20">
        <v>0</v>
      </c>
      <c r="R23" s="20">
        <v>1</v>
      </c>
      <c r="S23" s="20">
        <v>1</v>
      </c>
      <c r="T23" s="20">
        <v>1</v>
      </c>
      <c r="U23" s="20">
        <v>1</v>
      </c>
      <c r="W23" s="19">
        <v>0</v>
      </c>
      <c r="X23" s="19">
        <v>0</v>
      </c>
      <c r="Y23" s="19">
        <v>0</v>
      </c>
      <c r="Z23" s="19">
        <v>0</v>
      </c>
      <c r="AA23" s="19">
        <v>46</v>
      </c>
      <c r="AB23" s="20">
        <v>0</v>
      </c>
      <c r="AC23" s="20">
        <v>0</v>
      </c>
      <c r="AD23" s="20">
        <v>0</v>
      </c>
      <c r="AE23" s="20">
        <v>0</v>
      </c>
      <c r="AF23" s="20">
        <v>7.0038246973129674E-5</v>
      </c>
      <c r="AG23" s="19">
        <v>0</v>
      </c>
      <c r="AH23" s="19">
        <v>0</v>
      </c>
      <c r="AI23" s="19">
        <v>0</v>
      </c>
      <c r="AJ23" s="19">
        <v>0</v>
      </c>
      <c r="AK23" s="19">
        <v>46</v>
      </c>
      <c r="AL23" s="20">
        <v>0</v>
      </c>
      <c r="AM23" s="20">
        <v>0</v>
      </c>
      <c r="AN23" s="20">
        <v>0</v>
      </c>
      <c r="AO23" s="20">
        <v>0</v>
      </c>
      <c r="AP23" s="20">
        <v>1</v>
      </c>
      <c r="AQ23" s="37">
        <v>443.00033214489844</v>
      </c>
      <c r="AS23" s="19">
        <v>0</v>
      </c>
      <c r="AT23" s="19">
        <v>0</v>
      </c>
      <c r="AU23" s="19" t="s">
        <v>168</v>
      </c>
      <c r="AV23" s="19" t="s">
        <v>168</v>
      </c>
      <c r="AW23" s="19" t="s">
        <v>168</v>
      </c>
      <c r="AX23" s="19" t="s">
        <v>168</v>
      </c>
    </row>
    <row r="24" spans="1:50" s="19" customFormat="1" ht="12.75" x14ac:dyDescent="0.2">
      <c r="A24" s="18" t="s">
        <v>32</v>
      </c>
      <c r="B24" s="19">
        <v>88214</v>
      </c>
      <c r="C24" s="19">
        <v>88544</v>
      </c>
      <c r="D24" s="19">
        <v>88010</v>
      </c>
      <c r="E24" s="19">
        <v>87657</v>
      </c>
      <c r="F24" s="19">
        <v>87565</v>
      </c>
      <c r="G24" s="20">
        <v>0.13389432526907424</v>
      </c>
      <c r="H24" s="20">
        <v>0.13403268166783983</v>
      </c>
      <c r="I24" s="20">
        <v>0.1324237258297736</v>
      </c>
      <c r="J24" s="20">
        <v>0.1334639698896441</v>
      </c>
      <c r="K24" s="20">
        <v>0.13294133364911928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W24" s="19">
        <v>0</v>
      </c>
      <c r="X24" s="19">
        <v>91580</v>
      </c>
      <c r="Y24" s="19">
        <v>89960</v>
      </c>
      <c r="Z24" s="19">
        <v>88873</v>
      </c>
      <c r="AA24" s="19">
        <v>87657</v>
      </c>
      <c r="AB24" s="20">
        <v>0</v>
      </c>
      <c r="AC24" s="20">
        <v>0.13959918966008711</v>
      </c>
      <c r="AD24" s="20">
        <v>0.13945211255379045</v>
      </c>
      <c r="AE24" s="20">
        <v>0.13546082102917484</v>
      </c>
      <c r="AF24" s="20">
        <v>0.1334639698896441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37">
        <v>798061.21473212936</v>
      </c>
      <c r="AS24" s="19">
        <v>0</v>
      </c>
      <c r="AT24" s="19">
        <v>0</v>
      </c>
      <c r="AU24" s="19" t="s">
        <v>168</v>
      </c>
      <c r="AV24" s="19" t="s">
        <v>168</v>
      </c>
      <c r="AW24" s="19" t="s">
        <v>168</v>
      </c>
      <c r="AX24" s="19" t="s">
        <v>168</v>
      </c>
    </row>
    <row r="25" spans="1:50" s="19" customFormat="1" ht="12.75" x14ac:dyDescent="0.2">
      <c r="A25" s="18" t="s">
        <v>80</v>
      </c>
      <c r="B25" s="19">
        <v>635</v>
      </c>
      <c r="C25" s="19">
        <v>620</v>
      </c>
      <c r="D25" s="19">
        <v>3020</v>
      </c>
      <c r="E25" s="19">
        <v>2319</v>
      </c>
      <c r="F25" s="19">
        <v>2047</v>
      </c>
      <c r="G25" s="20">
        <v>9.6382543072371903E-4</v>
      </c>
      <c r="H25" s="20">
        <v>9.3851940994376455E-4</v>
      </c>
      <c r="I25" s="20">
        <v>4.5440251335747781E-3</v>
      </c>
      <c r="J25" s="20">
        <v>3.530841189797559E-3</v>
      </c>
      <c r="K25" s="20">
        <v>3.1077589217124099E-3</v>
      </c>
      <c r="L25" s="19">
        <v>523</v>
      </c>
      <c r="M25" s="19">
        <v>431</v>
      </c>
      <c r="N25" s="19">
        <v>426</v>
      </c>
      <c r="O25" s="19">
        <v>409</v>
      </c>
      <c r="P25" s="19">
        <v>315</v>
      </c>
      <c r="Q25" s="20">
        <v>0.82362204724409449</v>
      </c>
      <c r="R25" s="20">
        <v>0.69516129032258067</v>
      </c>
      <c r="S25" s="20">
        <v>0.14105960264900663</v>
      </c>
      <c r="T25" s="20">
        <v>0.1763691246226822</v>
      </c>
      <c r="U25" s="20">
        <v>0.15388373229115779</v>
      </c>
      <c r="W25" s="19">
        <v>3225</v>
      </c>
      <c r="X25" s="19">
        <v>4928</v>
      </c>
      <c r="Y25" s="19">
        <v>4227</v>
      </c>
      <c r="Z25" s="19">
        <v>3738</v>
      </c>
      <c r="AA25" s="19">
        <v>2319</v>
      </c>
      <c r="AB25" s="20">
        <v>7.1441704676607218E-3</v>
      </c>
      <c r="AC25" s="20">
        <v>7.5119546477932873E-3</v>
      </c>
      <c r="AD25" s="20">
        <v>6.5525131143271695E-3</v>
      </c>
      <c r="AE25" s="20">
        <v>5.6974846017019288E-3</v>
      </c>
      <c r="AF25" s="20">
        <v>3.530841189797559E-3</v>
      </c>
      <c r="AG25" s="19">
        <v>3223</v>
      </c>
      <c r="AH25" s="19">
        <v>4912</v>
      </c>
      <c r="AI25" s="19">
        <v>4179</v>
      </c>
      <c r="AJ25" s="19">
        <v>3675</v>
      </c>
      <c r="AK25" s="19">
        <v>409</v>
      </c>
      <c r="AL25" s="20">
        <v>0.99937984496124033</v>
      </c>
      <c r="AM25" s="20">
        <v>0.99675324675324672</v>
      </c>
      <c r="AN25" s="20">
        <v>0.98864442867281765</v>
      </c>
      <c r="AO25" s="20">
        <v>0.9831460674157303</v>
      </c>
      <c r="AP25" s="20">
        <v>0.1763691246226822</v>
      </c>
      <c r="AQ25" s="37">
        <v>45586.177910443672</v>
      </c>
      <c r="AS25" s="19">
        <v>0</v>
      </c>
      <c r="AT25" s="19">
        <v>0</v>
      </c>
      <c r="AU25" s="19" t="s">
        <v>168</v>
      </c>
      <c r="AV25" s="19" t="s">
        <v>168</v>
      </c>
      <c r="AW25" s="19" t="s">
        <v>168</v>
      </c>
      <c r="AX25" s="19" t="s">
        <v>168</v>
      </c>
    </row>
    <row r="26" spans="1:50" s="19" customFormat="1" ht="12.75" x14ac:dyDescent="0.2">
      <c r="A26" s="18" t="s">
        <v>33</v>
      </c>
      <c r="B26" s="19">
        <v>0</v>
      </c>
      <c r="C26" s="19">
        <v>0</v>
      </c>
      <c r="D26" s="19">
        <v>0</v>
      </c>
      <c r="E26" s="19">
        <v>2</v>
      </c>
      <c r="F26" s="19">
        <v>2</v>
      </c>
      <c r="G26" s="20">
        <v>0</v>
      </c>
      <c r="H26" s="20">
        <v>0</v>
      </c>
      <c r="I26" s="20">
        <v>0</v>
      </c>
      <c r="J26" s="20">
        <v>3.0451411727447683E-6</v>
      </c>
      <c r="K26" s="20">
        <v>3.036403440852379E-6</v>
      </c>
      <c r="L26" s="19">
        <v>0</v>
      </c>
      <c r="M26" s="19">
        <v>0</v>
      </c>
      <c r="N26" s="19">
        <v>0</v>
      </c>
      <c r="O26" s="19">
        <v>2</v>
      </c>
      <c r="P26" s="19">
        <v>2</v>
      </c>
      <c r="Q26" s="20">
        <v>0</v>
      </c>
      <c r="R26" s="20">
        <v>0</v>
      </c>
      <c r="S26" s="20">
        <v>0</v>
      </c>
      <c r="T26" s="20">
        <v>1</v>
      </c>
      <c r="U26" s="20">
        <v>1</v>
      </c>
      <c r="W26" s="19">
        <v>0</v>
      </c>
      <c r="X26" s="19">
        <v>0</v>
      </c>
      <c r="Y26" s="19">
        <v>0</v>
      </c>
      <c r="Z26" s="19">
        <v>0</v>
      </c>
      <c r="AA26" s="19">
        <v>2</v>
      </c>
      <c r="AB26" s="20">
        <v>0</v>
      </c>
      <c r="AC26" s="20">
        <v>0</v>
      </c>
      <c r="AD26" s="20">
        <v>0</v>
      </c>
      <c r="AE26" s="20">
        <v>0</v>
      </c>
      <c r="AF26" s="20">
        <v>3.0451411727447683E-6</v>
      </c>
      <c r="AG26" s="19">
        <v>0</v>
      </c>
      <c r="AH26" s="19">
        <v>0</v>
      </c>
      <c r="AI26" s="19">
        <v>0</v>
      </c>
      <c r="AJ26" s="19">
        <v>0</v>
      </c>
      <c r="AK26" s="19">
        <v>2</v>
      </c>
      <c r="AL26" s="20">
        <v>0</v>
      </c>
      <c r="AM26" s="20">
        <v>0</v>
      </c>
      <c r="AN26" s="20">
        <v>0</v>
      </c>
      <c r="AO26" s="20">
        <v>0</v>
      </c>
      <c r="AP26" s="20">
        <v>1</v>
      </c>
      <c r="AQ26" s="37">
        <v>15.000009126685786</v>
      </c>
      <c r="AS26" s="19">
        <v>0</v>
      </c>
      <c r="AT26" s="19">
        <v>0</v>
      </c>
      <c r="AU26" s="19" t="s">
        <v>168</v>
      </c>
      <c r="AV26" s="19" t="s">
        <v>168</v>
      </c>
      <c r="AW26" s="19" t="s">
        <v>168</v>
      </c>
      <c r="AX26" s="19" t="s">
        <v>168</v>
      </c>
    </row>
    <row r="27" spans="1:50" s="19" customFormat="1" ht="12.75" x14ac:dyDescent="0.2">
      <c r="A27" s="18" t="s">
        <v>34</v>
      </c>
      <c r="B27" s="19">
        <v>2</v>
      </c>
      <c r="C27" s="19">
        <v>417</v>
      </c>
      <c r="D27" s="19">
        <v>394</v>
      </c>
      <c r="E27" s="19">
        <v>357</v>
      </c>
      <c r="F27" s="19">
        <v>357</v>
      </c>
      <c r="G27" s="20">
        <v>3.0356706479487213E-6</v>
      </c>
      <c r="H27" s="20">
        <v>6.3122999023637063E-4</v>
      </c>
      <c r="I27" s="20">
        <v>5.9282976908227238E-4</v>
      </c>
      <c r="J27" s="20">
        <v>5.4355769933494115E-4</v>
      </c>
      <c r="K27" s="20">
        <v>5.4199801419214965E-4</v>
      </c>
      <c r="L27" s="19">
        <v>2</v>
      </c>
      <c r="M27" s="19">
        <v>417</v>
      </c>
      <c r="N27" s="19">
        <v>394</v>
      </c>
      <c r="O27" s="19">
        <v>357</v>
      </c>
      <c r="P27" s="19">
        <v>357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W27" s="19">
        <v>0</v>
      </c>
      <c r="X27" s="19">
        <v>0</v>
      </c>
      <c r="Y27" s="19">
        <v>0</v>
      </c>
      <c r="Z27" s="19">
        <v>3</v>
      </c>
      <c r="AA27" s="19">
        <v>357</v>
      </c>
      <c r="AB27" s="20">
        <v>0</v>
      </c>
      <c r="AC27" s="20">
        <v>0</v>
      </c>
      <c r="AD27" s="20">
        <v>0</v>
      </c>
      <c r="AE27" s="20">
        <v>4.5726200655713715E-6</v>
      </c>
      <c r="AF27" s="20">
        <v>5.4355769933494115E-4</v>
      </c>
      <c r="AG27" s="19">
        <v>0</v>
      </c>
      <c r="AH27" s="19">
        <v>0</v>
      </c>
      <c r="AI27" s="19">
        <v>0</v>
      </c>
      <c r="AJ27" s="19">
        <v>3</v>
      </c>
      <c r="AK27" s="19">
        <v>357</v>
      </c>
      <c r="AL27" s="20">
        <v>0</v>
      </c>
      <c r="AM27" s="20">
        <v>0</v>
      </c>
      <c r="AN27" s="20">
        <v>0</v>
      </c>
      <c r="AO27" s="20">
        <v>1</v>
      </c>
      <c r="AP27" s="20">
        <v>1</v>
      </c>
      <c r="AQ27" s="37">
        <v>3781.0028607814629</v>
      </c>
      <c r="AS27" s="19">
        <v>0</v>
      </c>
      <c r="AT27" s="19">
        <v>0</v>
      </c>
      <c r="AU27" s="19" t="s">
        <v>168</v>
      </c>
      <c r="AV27" s="19" t="s">
        <v>168</v>
      </c>
      <c r="AW27" s="19" t="s">
        <v>168</v>
      </c>
      <c r="AX27" s="19" t="s">
        <v>168</v>
      </c>
    </row>
    <row r="28" spans="1:50" s="19" customFormat="1" ht="12.75" x14ac:dyDescent="0.2">
      <c r="A28" s="18" t="s">
        <v>166</v>
      </c>
      <c r="B28" s="19">
        <v>0</v>
      </c>
      <c r="C28" s="19">
        <v>0</v>
      </c>
      <c r="D28" s="19">
        <v>0</v>
      </c>
      <c r="E28" s="19">
        <v>4</v>
      </c>
      <c r="F28" s="19">
        <v>52</v>
      </c>
      <c r="G28" s="20">
        <v>0</v>
      </c>
      <c r="H28" s="20">
        <v>0</v>
      </c>
      <c r="I28" s="20">
        <v>0</v>
      </c>
      <c r="J28" s="20">
        <v>6.0902823454895365E-6</v>
      </c>
      <c r="K28" s="20">
        <v>7.8946489462161854E-5</v>
      </c>
      <c r="L28" s="19">
        <v>0</v>
      </c>
      <c r="M28" s="19">
        <v>0</v>
      </c>
      <c r="N28" s="19">
        <v>0</v>
      </c>
      <c r="O28" s="19">
        <v>4</v>
      </c>
      <c r="P28" s="19">
        <v>52</v>
      </c>
      <c r="Q28" s="20">
        <v>0</v>
      </c>
      <c r="R28" s="20">
        <v>0</v>
      </c>
      <c r="S28" s="20">
        <v>0</v>
      </c>
      <c r="T28" s="20">
        <v>1</v>
      </c>
      <c r="U28" s="20">
        <v>1</v>
      </c>
      <c r="W28" s="19">
        <v>0</v>
      </c>
      <c r="X28" s="19">
        <v>0</v>
      </c>
      <c r="Y28" s="19">
        <v>0</v>
      </c>
      <c r="Z28" s="19">
        <v>0</v>
      </c>
      <c r="AA28" s="19">
        <v>4</v>
      </c>
      <c r="AB28" s="20">
        <v>0</v>
      </c>
      <c r="AC28" s="20">
        <v>0</v>
      </c>
      <c r="AD28" s="20">
        <v>0</v>
      </c>
      <c r="AE28" s="20">
        <v>0</v>
      </c>
      <c r="AF28" s="20">
        <v>6.0902823454895365E-6</v>
      </c>
      <c r="AG28" s="19">
        <v>0</v>
      </c>
      <c r="AH28" s="19">
        <v>0</v>
      </c>
      <c r="AI28" s="19">
        <v>0</v>
      </c>
      <c r="AJ28" s="19">
        <v>0</v>
      </c>
      <c r="AK28" s="19">
        <v>4</v>
      </c>
      <c r="AL28" s="20">
        <v>0</v>
      </c>
      <c r="AM28" s="20">
        <v>0</v>
      </c>
      <c r="AN28" s="20">
        <v>0</v>
      </c>
      <c r="AO28" s="20">
        <v>0</v>
      </c>
      <c r="AP28" s="20">
        <v>1</v>
      </c>
      <c r="AQ28" s="37">
        <v>123.00009112705415</v>
      </c>
      <c r="AS28" s="19">
        <v>0</v>
      </c>
      <c r="AT28" s="19">
        <v>0</v>
      </c>
      <c r="AU28" s="19" t="s">
        <v>168</v>
      </c>
      <c r="AV28" s="19" t="s">
        <v>168</v>
      </c>
      <c r="AW28" s="19" t="s">
        <v>168</v>
      </c>
      <c r="AX28" s="19" t="s">
        <v>168</v>
      </c>
    </row>
    <row r="29" spans="1:50" s="19" customFormat="1" ht="12.75" x14ac:dyDescent="0.2">
      <c r="A29" s="18" t="s">
        <v>35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W29" s="19">
        <v>237</v>
      </c>
      <c r="X29" s="19">
        <v>0</v>
      </c>
      <c r="Y29" s="19">
        <v>0</v>
      </c>
      <c r="Z29" s="19">
        <v>0</v>
      </c>
      <c r="AA29" s="19">
        <v>0</v>
      </c>
      <c r="AB29" s="20">
        <v>5.250134576234391E-4</v>
      </c>
      <c r="AC29" s="20">
        <v>0</v>
      </c>
      <c r="AD29" s="20">
        <v>0</v>
      </c>
      <c r="AE29" s="20">
        <v>0</v>
      </c>
      <c r="AF29" s="20">
        <v>0</v>
      </c>
      <c r="AG29" s="19">
        <v>237</v>
      </c>
      <c r="AH29" s="19">
        <v>0</v>
      </c>
      <c r="AI29" s="19">
        <v>0</v>
      </c>
      <c r="AJ29" s="19">
        <v>0</v>
      </c>
      <c r="AK29" s="19">
        <v>0</v>
      </c>
      <c r="AL29" s="20">
        <v>1</v>
      </c>
      <c r="AM29" s="20">
        <v>0</v>
      </c>
      <c r="AN29" s="20">
        <v>0</v>
      </c>
      <c r="AO29" s="20">
        <v>0</v>
      </c>
      <c r="AP29" s="20">
        <v>0</v>
      </c>
      <c r="AQ29" s="37">
        <v>475.0005250134576</v>
      </c>
      <c r="AS29" s="19">
        <v>0</v>
      </c>
      <c r="AT29" s="19">
        <v>0</v>
      </c>
      <c r="AU29" s="19" t="s">
        <v>168</v>
      </c>
      <c r="AV29" s="19" t="s">
        <v>168</v>
      </c>
      <c r="AW29" s="19" t="s">
        <v>168</v>
      </c>
      <c r="AX29" s="19" t="s">
        <v>168</v>
      </c>
    </row>
    <row r="30" spans="1:50" s="19" customFormat="1" ht="12.75" x14ac:dyDescent="0.2">
      <c r="A30" s="18" t="s">
        <v>36</v>
      </c>
      <c r="B30" s="19">
        <v>157</v>
      </c>
      <c r="C30" s="19">
        <v>199</v>
      </c>
      <c r="D30" s="19">
        <v>685</v>
      </c>
      <c r="E30" s="19">
        <v>1390</v>
      </c>
      <c r="F30" s="19">
        <v>2987</v>
      </c>
      <c r="G30" s="20">
        <v>2.3830014586397464E-4</v>
      </c>
      <c r="H30" s="20">
        <v>3.0123445577227278E-4</v>
      </c>
      <c r="I30" s="20">
        <v>1.0306811975161335E-3</v>
      </c>
      <c r="J30" s="20">
        <v>2.116373115057614E-3</v>
      </c>
      <c r="K30" s="20">
        <v>4.534868538913028E-3</v>
      </c>
      <c r="L30" s="19">
        <v>157</v>
      </c>
      <c r="M30" s="19">
        <v>199</v>
      </c>
      <c r="N30" s="19">
        <v>685</v>
      </c>
      <c r="O30" s="19">
        <v>1390</v>
      </c>
      <c r="P30" s="19">
        <v>2987</v>
      </c>
      <c r="Q30" s="20">
        <v>1</v>
      </c>
      <c r="R30" s="20">
        <v>1</v>
      </c>
      <c r="S30" s="20">
        <v>1</v>
      </c>
      <c r="T30" s="20">
        <v>1</v>
      </c>
      <c r="U30" s="20">
        <v>1</v>
      </c>
      <c r="W30" s="19">
        <v>0</v>
      </c>
      <c r="X30" s="19">
        <v>114</v>
      </c>
      <c r="Y30" s="19">
        <v>117</v>
      </c>
      <c r="Z30" s="19">
        <v>151</v>
      </c>
      <c r="AA30" s="19">
        <v>1390</v>
      </c>
      <c r="AB30" s="20">
        <v>0</v>
      </c>
      <c r="AC30" s="20">
        <v>1.7377492488807522E-4</v>
      </c>
      <c r="AD30" s="20">
        <v>1.8136835447747312E-4</v>
      </c>
      <c r="AE30" s="20">
        <v>2.3015520996709239E-4</v>
      </c>
      <c r="AF30" s="20">
        <v>2.116373115057614E-3</v>
      </c>
      <c r="AG30" s="19">
        <v>0</v>
      </c>
      <c r="AH30" s="19">
        <v>114</v>
      </c>
      <c r="AI30" s="19">
        <v>117</v>
      </c>
      <c r="AJ30" s="19">
        <v>151</v>
      </c>
      <c r="AK30" s="19">
        <v>1390</v>
      </c>
      <c r="AL30" s="20">
        <v>0</v>
      </c>
      <c r="AM30" s="20">
        <v>1</v>
      </c>
      <c r="AN30" s="20">
        <v>1</v>
      </c>
      <c r="AO30" s="20">
        <v>1</v>
      </c>
      <c r="AP30" s="20">
        <v>1</v>
      </c>
      <c r="AQ30" s="37">
        <v>14389.010923129057</v>
      </c>
      <c r="AS30" s="19">
        <v>0</v>
      </c>
      <c r="AT30" s="19">
        <v>0</v>
      </c>
      <c r="AU30" s="19" t="s">
        <v>168</v>
      </c>
      <c r="AV30" s="19" t="s">
        <v>168</v>
      </c>
      <c r="AW30" s="19" t="s">
        <v>168</v>
      </c>
      <c r="AX30" s="19" t="s">
        <v>168</v>
      </c>
    </row>
    <row r="31" spans="1:50" s="19" customFormat="1" ht="12.75" x14ac:dyDescent="0.2">
      <c r="A31" s="18" t="s">
        <v>37</v>
      </c>
      <c r="B31" s="19">
        <v>5169</v>
      </c>
      <c r="C31" s="19">
        <v>4843</v>
      </c>
      <c r="D31" s="19">
        <v>3899</v>
      </c>
      <c r="E31" s="19">
        <v>2866</v>
      </c>
      <c r="F31" s="19">
        <v>2854</v>
      </c>
      <c r="G31" s="20">
        <v>7.8456907896234714E-3</v>
      </c>
      <c r="H31" s="20">
        <v>7.3310475844478255E-3</v>
      </c>
      <c r="I31" s="20">
        <v>5.8666072833801529E-3</v>
      </c>
      <c r="J31" s="20">
        <v>4.3636873005432533E-3</v>
      </c>
      <c r="K31" s="20">
        <v>4.3329477100963448E-3</v>
      </c>
      <c r="L31" s="19">
        <v>4937</v>
      </c>
      <c r="M31" s="19">
        <v>4658</v>
      </c>
      <c r="N31" s="19">
        <v>3726</v>
      </c>
      <c r="O31" s="19">
        <v>2799</v>
      </c>
      <c r="P31" s="19">
        <v>2795</v>
      </c>
      <c r="Q31" s="20">
        <v>0.955117043915651</v>
      </c>
      <c r="R31" s="20">
        <v>0.96180053685731981</v>
      </c>
      <c r="S31" s="20">
        <v>0.95562964862785327</v>
      </c>
      <c r="T31" s="20">
        <v>0.97662247034193994</v>
      </c>
      <c r="U31" s="20">
        <v>0.97932725998598458</v>
      </c>
      <c r="W31" s="19">
        <v>2105</v>
      </c>
      <c r="X31" s="19">
        <v>3629</v>
      </c>
      <c r="Y31" s="19">
        <v>6198</v>
      </c>
      <c r="Z31" s="19">
        <v>5396</v>
      </c>
      <c r="AA31" s="19">
        <v>2866</v>
      </c>
      <c r="AB31" s="20">
        <v>4.66309421222506E-3</v>
      </c>
      <c r="AC31" s="20">
        <v>5.5318351089370613E-3</v>
      </c>
      <c r="AD31" s="20">
        <v>9.6078723166784473E-3</v>
      </c>
      <c r="AE31" s="20">
        <v>8.2246192912743734E-3</v>
      </c>
      <c r="AF31" s="20">
        <v>4.3636873005432533E-3</v>
      </c>
      <c r="AG31" s="19">
        <v>1942</v>
      </c>
      <c r="AH31" s="19">
        <v>3402</v>
      </c>
      <c r="AI31" s="19">
        <v>5951</v>
      </c>
      <c r="AJ31" s="19">
        <v>5146</v>
      </c>
      <c r="AK31" s="19">
        <v>2799</v>
      </c>
      <c r="AL31" s="20">
        <v>0.92256532066508312</v>
      </c>
      <c r="AM31" s="20">
        <v>0.93744833287407003</v>
      </c>
      <c r="AN31" s="20">
        <v>0.96014843497902547</v>
      </c>
      <c r="AO31" s="20">
        <v>0.95366938472942919</v>
      </c>
      <c r="AP31" s="20">
        <v>0.97662247034193994</v>
      </c>
      <c r="AQ31" s="37">
        <v>77989.641081992231</v>
      </c>
      <c r="AS31" s="19">
        <v>0</v>
      </c>
      <c r="AT31" s="19">
        <v>0</v>
      </c>
      <c r="AU31" s="19" t="s">
        <v>168</v>
      </c>
      <c r="AV31" s="19" t="s">
        <v>168</v>
      </c>
      <c r="AW31" s="19" t="s">
        <v>168</v>
      </c>
      <c r="AX31" s="19" t="s">
        <v>168</v>
      </c>
    </row>
    <row r="32" spans="1:50" s="19" customFormat="1" ht="12.75" x14ac:dyDescent="0.2">
      <c r="A32" s="18" t="s">
        <v>38</v>
      </c>
      <c r="B32" s="19">
        <v>298</v>
      </c>
      <c r="C32" s="19">
        <v>34</v>
      </c>
      <c r="D32" s="19">
        <v>60</v>
      </c>
      <c r="E32" s="19">
        <v>60</v>
      </c>
      <c r="F32" s="19">
        <v>60</v>
      </c>
      <c r="G32" s="20">
        <v>4.5231492654435951E-4</v>
      </c>
      <c r="H32" s="20">
        <v>5.1467193448529019E-5</v>
      </c>
      <c r="I32" s="20">
        <v>9.0278645037909511E-5</v>
      </c>
      <c r="J32" s="20">
        <v>9.1354235182343049E-5</v>
      </c>
      <c r="K32" s="20">
        <v>9.1092103225571375E-5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W32" s="19">
        <v>0</v>
      </c>
      <c r="X32" s="19">
        <v>298</v>
      </c>
      <c r="Y32" s="19">
        <v>298</v>
      </c>
      <c r="Z32" s="19">
        <v>298</v>
      </c>
      <c r="AA32" s="19">
        <v>60</v>
      </c>
      <c r="AB32" s="20">
        <v>0</v>
      </c>
      <c r="AC32" s="20">
        <v>4.5425375102321422E-4</v>
      </c>
      <c r="AD32" s="20">
        <v>4.619467490109999E-4</v>
      </c>
      <c r="AE32" s="20">
        <v>4.542135931800896E-4</v>
      </c>
      <c r="AF32" s="20">
        <v>9.1354235182343049E-5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37">
        <v>1466.0022382754321</v>
      </c>
      <c r="AS32" s="19">
        <v>0</v>
      </c>
      <c r="AT32" s="19">
        <v>0</v>
      </c>
      <c r="AU32" s="19" t="s">
        <v>168</v>
      </c>
      <c r="AV32" s="19" t="s">
        <v>168</v>
      </c>
      <c r="AW32" s="19" t="s">
        <v>168</v>
      </c>
      <c r="AX32" s="19" t="s">
        <v>168</v>
      </c>
    </row>
    <row r="33" spans="1:50" s="19" customFormat="1" ht="12.75" x14ac:dyDescent="0.2">
      <c r="A33" s="18" t="s">
        <v>39</v>
      </c>
      <c r="B33" s="19">
        <v>8</v>
      </c>
      <c r="C33" s="19">
        <v>7</v>
      </c>
      <c r="D33" s="19">
        <v>7</v>
      </c>
      <c r="E33" s="19">
        <v>5</v>
      </c>
      <c r="F33" s="19">
        <v>15</v>
      </c>
      <c r="G33" s="20">
        <v>1.2142682591794885E-5</v>
      </c>
      <c r="H33" s="20">
        <v>1.0596186886461857E-5</v>
      </c>
      <c r="I33" s="20">
        <v>1.0532508587756109E-5</v>
      </c>
      <c r="J33" s="20">
        <v>7.6128529318619213E-6</v>
      </c>
      <c r="K33" s="20">
        <v>2.2773025806392844E-5</v>
      </c>
      <c r="L33" s="19">
        <v>8</v>
      </c>
      <c r="M33" s="19">
        <v>7</v>
      </c>
      <c r="N33" s="19">
        <v>7</v>
      </c>
      <c r="O33" s="19">
        <v>5</v>
      </c>
      <c r="P33" s="19">
        <v>12</v>
      </c>
      <c r="Q33" s="20">
        <v>1</v>
      </c>
      <c r="R33" s="20">
        <v>1</v>
      </c>
      <c r="S33" s="20">
        <v>1</v>
      </c>
      <c r="T33" s="20">
        <v>1</v>
      </c>
      <c r="U33" s="20">
        <v>0.8</v>
      </c>
      <c r="W33" s="19">
        <v>0</v>
      </c>
      <c r="X33" s="19">
        <v>0</v>
      </c>
      <c r="Y33" s="19">
        <v>0</v>
      </c>
      <c r="Z33" s="19">
        <v>8</v>
      </c>
      <c r="AA33" s="19">
        <v>5</v>
      </c>
      <c r="AB33" s="20">
        <v>0</v>
      </c>
      <c r="AC33" s="20">
        <v>0</v>
      </c>
      <c r="AD33" s="20">
        <v>0</v>
      </c>
      <c r="AE33" s="20">
        <v>1.2193653508190325E-5</v>
      </c>
      <c r="AF33" s="20">
        <v>7.6128529318619213E-6</v>
      </c>
      <c r="AG33" s="19">
        <v>0</v>
      </c>
      <c r="AH33" s="19">
        <v>0</v>
      </c>
      <c r="AI33" s="19">
        <v>0</v>
      </c>
      <c r="AJ33" s="19">
        <v>8</v>
      </c>
      <c r="AK33" s="19">
        <v>5</v>
      </c>
      <c r="AL33" s="20">
        <v>0</v>
      </c>
      <c r="AM33" s="20">
        <v>0</v>
      </c>
      <c r="AN33" s="20">
        <v>0</v>
      </c>
      <c r="AO33" s="20">
        <v>1</v>
      </c>
      <c r="AP33" s="20">
        <v>1</v>
      </c>
      <c r="AQ33" s="37">
        <v>113.80008346376324</v>
      </c>
      <c r="AS33" s="19">
        <v>0</v>
      </c>
      <c r="AT33" s="19">
        <v>0</v>
      </c>
      <c r="AU33" s="19" t="s">
        <v>168</v>
      </c>
      <c r="AV33" s="19" t="s">
        <v>168</v>
      </c>
      <c r="AW33" s="19" t="s">
        <v>168</v>
      </c>
      <c r="AX33" s="19" t="s">
        <v>168</v>
      </c>
    </row>
    <row r="34" spans="1:50" s="19" customFormat="1" ht="12.75" x14ac:dyDescent="0.2">
      <c r="A34" s="18" t="s">
        <v>40</v>
      </c>
      <c r="B34" s="19">
        <v>8745</v>
      </c>
      <c r="C34" s="19">
        <v>8505</v>
      </c>
      <c r="D34" s="19">
        <v>8109</v>
      </c>
      <c r="E34" s="19">
        <v>8116</v>
      </c>
      <c r="F34" s="19">
        <v>8290</v>
      </c>
      <c r="G34" s="20">
        <v>1.3273469908155784E-2</v>
      </c>
      <c r="H34" s="20">
        <v>1.2874367067051157E-2</v>
      </c>
      <c r="I34" s="20">
        <v>1.220115887687347E-2</v>
      </c>
      <c r="J34" s="20">
        <v>1.235718287899827E-2</v>
      </c>
      <c r="K34" s="20">
        <v>1.2585892262333111E-2</v>
      </c>
      <c r="L34" s="19">
        <v>8221</v>
      </c>
      <c r="M34" s="19">
        <v>7840</v>
      </c>
      <c r="N34" s="19">
        <v>7944</v>
      </c>
      <c r="O34" s="19">
        <v>7943</v>
      </c>
      <c r="P34" s="19">
        <v>8121</v>
      </c>
      <c r="Q34" s="20">
        <v>0.94008004574042314</v>
      </c>
      <c r="R34" s="20">
        <v>0.92181069958847739</v>
      </c>
      <c r="S34" s="20">
        <v>0.97965223825379211</v>
      </c>
      <c r="T34" s="20">
        <v>0.97868408082799407</v>
      </c>
      <c r="U34" s="20">
        <v>0.97961399276236427</v>
      </c>
      <c r="W34" s="19">
        <v>20943</v>
      </c>
      <c r="X34" s="19">
        <v>15446</v>
      </c>
      <c r="Y34" s="19">
        <v>11295</v>
      </c>
      <c r="Z34" s="19">
        <v>9318</v>
      </c>
      <c r="AA34" s="19">
        <v>8116</v>
      </c>
      <c r="AB34" s="20">
        <v>4.6393910729990231E-2</v>
      </c>
      <c r="AC34" s="20">
        <v>2.3544977980887807E-2</v>
      </c>
      <c r="AD34" s="20">
        <v>1.7509021913017599E-2</v>
      </c>
      <c r="AE34" s="20">
        <v>1.4202557923664681E-2</v>
      </c>
      <c r="AF34" s="20">
        <v>1.235718287899827E-2</v>
      </c>
      <c r="AG34" s="19">
        <v>20688</v>
      </c>
      <c r="AH34" s="19">
        <v>14896</v>
      </c>
      <c r="AI34" s="19">
        <v>10551</v>
      </c>
      <c r="AJ34" s="19">
        <v>8826</v>
      </c>
      <c r="AK34" s="19">
        <v>7943</v>
      </c>
      <c r="AL34" s="20">
        <v>0.98782409396934534</v>
      </c>
      <c r="AM34" s="20">
        <v>0.964392075618283</v>
      </c>
      <c r="AN34" s="20">
        <v>0.93413014608233735</v>
      </c>
      <c r="AO34" s="20">
        <v>0.94719896973599482</v>
      </c>
      <c r="AP34" s="20">
        <v>0.97868408082799407</v>
      </c>
      <c r="AQ34" s="37">
        <v>209865.78937014579</v>
      </c>
      <c r="AS34" s="19">
        <v>0</v>
      </c>
      <c r="AT34" s="19">
        <v>0</v>
      </c>
      <c r="AU34" s="19" t="s">
        <v>168</v>
      </c>
      <c r="AV34" s="19" t="s">
        <v>168</v>
      </c>
      <c r="AW34" s="19" t="s">
        <v>168</v>
      </c>
      <c r="AX34" s="19" t="s">
        <v>168</v>
      </c>
    </row>
    <row r="35" spans="1:50" s="19" customFormat="1" ht="12.75" x14ac:dyDescent="0.2">
      <c r="A35" s="18" t="s">
        <v>41</v>
      </c>
      <c r="B35" s="19">
        <v>6807</v>
      </c>
      <c r="C35" s="19">
        <v>7246</v>
      </c>
      <c r="D35" s="19">
        <v>7208</v>
      </c>
      <c r="E35" s="19">
        <v>7374</v>
      </c>
      <c r="F35" s="19">
        <v>7367</v>
      </c>
      <c r="G35" s="20">
        <v>1.0331905050293473E-2</v>
      </c>
      <c r="H35" s="20">
        <v>1.0968567168471803E-2</v>
      </c>
      <c r="I35" s="20">
        <v>1.0845474557220862E-2</v>
      </c>
      <c r="J35" s="20">
        <v>1.1227435503909962E-2</v>
      </c>
      <c r="K35" s="20">
        <v>1.1184592074379739E-2</v>
      </c>
      <c r="L35" s="19">
        <v>6677</v>
      </c>
      <c r="M35" s="19">
        <v>7017</v>
      </c>
      <c r="N35" s="19">
        <v>6934</v>
      </c>
      <c r="O35" s="19">
        <v>7150</v>
      </c>
      <c r="P35" s="19">
        <v>7015</v>
      </c>
      <c r="Q35" s="20">
        <v>0.98090201263405319</v>
      </c>
      <c r="R35" s="20">
        <v>0.9683963566105438</v>
      </c>
      <c r="S35" s="20">
        <v>0.96198668146503885</v>
      </c>
      <c r="T35" s="20">
        <v>0.96962299972877675</v>
      </c>
      <c r="U35" s="20">
        <v>0.95221935659019952</v>
      </c>
      <c r="W35" s="19">
        <v>353</v>
      </c>
      <c r="X35" s="19">
        <v>3141</v>
      </c>
      <c r="Y35" s="19">
        <v>4305</v>
      </c>
      <c r="Z35" s="19">
        <v>3808</v>
      </c>
      <c r="AA35" s="19">
        <v>7374</v>
      </c>
      <c r="AB35" s="20">
        <v>7.819820697935612E-4</v>
      </c>
      <c r="AC35" s="20">
        <v>4.7879564831003881E-3</v>
      </c>
      <c r="AD35" s="20">
        <v>6.6734253506454851E-3</v>
      </c>
      <c r="AE35" s="20">
        <v>5.8041790698985943E-3</v>
      </c>
      <c r="AF35" s="20">
        <v>1.1227435503909962E-2</v>
      </c>
      <c r="AG35" s="19">
        <v>353</v>
      </c>
      <c r="AH35" s="19">
        <v>3077</v>
      </c>
      <c r="AI35" s="19">
        <v>4194</v>
      </c>
      <c r="AJ35" s="19">
        <v>3689</v>
      </c>
      <c r="AK35" s="19">
        <v>7150</v>
      </c>
      <c r="AL35" s="20">
        <v>1</v>
      </c>
      <c r="AM35" s="20">
        <v>0.97962432346386497</v>
      </c>
      <c r="AN35" s="20">
        <v>0.97421602787456441</v>
      </c>
      <c r="AO35" s="20">
        <v>0.96875</v>
      </c>
      <c r="AP35" s="20">
        <v>0.96962299972877675</v>
      </c>
      <c r="AQ35" s="37">
        <v>108248.80917371095</v>
      </c>
      <c r="AS35" s="19">
        <v>0</v>
      </c>
      <c r="AT35" s="19">
        <v>0</v>
      </c>
      <c r="AU35" s="19" t="s">
        <v>168</v>
      </c>
      <c r="AV35" s="19" t="s">
        <v>168</v>
      </c>
      <c r="AW35" s="19" t="s">
        <v>168</v>
      </c>
      <c r="AX35" s="19" t="s">
        <v>168</v>
      </c>
    </row>
    <row r="36" spans="1:50" s="19" customFormat="1" ht="12.75" x14ac:dyDescent="0.2">
      <c r="A36" s="18" t="s">
        <v>42</v>
      </c>
      <c r="B36" s="19">
        <v>449</v>
      </c>
      <c r="C36" s="19">
        <v>558</v>
      </c>
      <c r="D36" s="19">
        <v>563</v>
      </c>
      <c r="E36" s="19">
        <v>588</v>
      </c>
      <c r="F36" s="19">
        <v>576</v>
      </c>
      <c r="G36" s="20">
        <v>6.8150806046448796E-4</v>
      </c>
      <c r="H36" s="20">
        <v>8.4466746894938812E-4</v>
      </c>
      <c r="I36" s="20">
        <v>8.4711461927238418E-4</v>
      </c>
      <c r="J36" s="20">
        <v>8.9527150478696191E-4</v>
      </c>
      <c r="K36" s="20">
        <v>8.744841909654852E-4</v>
      </c>
      <c r="L36" s="19">
        <v>203</v>
      </c>
      <c r="M36" s="19">
        <v>313</v>
      </c>
      <c r="N36" s="19">
        <v>355</v>
      </c>
      <c r="O36" s="19">
        <v>396</v>
      </c>
      <c r="P36" s="19">
        <v>576</v>
      </c>
      <c r="Q36" s="20">
        <v>0.45211581291759467</v>
      </c>
      <c r="R36" s="20">
        <v>0.56093189964157708</v>
      </c>
      <c r="S36" s="20">
        <v>0.63055062166962694</v>
      </c>
      <c r="T36" s="20">
        <v>0.67346938775510201</v>
      </c>
      <c r="U36" s="20">
        <v>1</v>
      </c>
      <c r="W36" s="19">
        <v>0</v>
      </c>
      <c r="X36" s="19">
        <v>0</v>
      </c>
      <c r="Y36" s="19">
        <v>121</v>
      </c>
      <c r="Z36" s="19">
        <v>393</v>
      </c>
      <c r="AA36" s="19">
        <v>588</v>
      </c>
      <c r="AB36" s="20">
        <v>0</v>
      </c>
      <c r="AC36" s="20">
        <v>0</v>
      </c>
      <c r="AD36" s="20">
        <v>1.8756898198097648E-4</v>
      </c>
      <c r="AE36" s="20">
        <v>5.9901322858984965E-4</v>
      </c>
      <c r="AF36" s="20">
        <v>8.9527150478696191E-4</v>
      </c>
      <c r="AG36" s="19">
        <v>0</v>
      </c>
      <c r="AH36" s="19">
        <v>0</v>
      </c>
      <c r="AI36" s="19">
        <v>121</v>
      </c>
      <c r="AJ36" s="19">
        <v>108</v>
      </c>
      <c r="AK36" s="19">
        <v>396</v>
      </c>
      <c r="AL36" s="20">
        <v>0</v>
      </c>
      <c r="AM36" s="20">
        <v>0</v>
      </c>
      <c r="AN36" s="20">
        <v>1</v>
      </c>
      <c r="AO36" s="20">
        <v>0.27480916030534353</v>
      </c>
      <c r="AP36" s="20">
        <v>0.67346938775510201</v>
      </c>
      <c r="AQ36" s="37">
        <v>6309.2711711696038</v>
      </c>
      <c r="AS36" s="19">
        <v>0</v>
      </c>
      <c r="AT36" s="19">
        <v>0</v>
      </c>
      <c r="AU36" s="19" t="s">
        <v>168</v>
      </c>
      <c r="AV36" s="19" t="s">
        <v>168</v>
      </c>
      <c r="AW36" s="19" t="s">
        <v>168</v>
      </c>
      <c r="AX36" s="19" t="s">
        <v>168</v>
      </c>
    </row>
    <row r="37" spans="1:50" s="19" customFormat="1" ht="12.75" x14ac:dyDescent="0.2">
      <c r="A37" s="18" t="s">
        <v>43</v>
      </c>
      <c r="B37" s="19">
        <v>206949</v>
      </c>
      <c r="C37" s="19">
        <v>206371</v>
      </c>
      <c r="D37" s="19">
        <v>204506</v>
      </c>
      <c r="E37" s="19">
        <v>203026</v>
      </c>
      <c r="F37" s="19">
        <v>198520</v>
      </c>
      <c r="G37" s="20">
        <v>0.31411450246116995</v>
      </c>
      <c r="H37" s="20">
        <v>0.31239224056371712</v>
      </c>
      <c r="I37" s="20">
        <v>0.30770874303537871</v>
      </c>
      <c r="J37" s="20">
        <v>0.30912141586883968</v>
      </c>
      <c r="K37" s="20">
        <v>0.30139340553900718</v>
      </c>
      <c r="L37" s="19">
        <v>150831</v>
      </c>
      <c r="M37" s="19">
        <v>151162</v>
      </c>
      <c r="N37" s="19">
        <v>148422</v>
      </c>
      <c r="O37" s="19">
        <v>148172</v>
      </c>
      <c r="P37" s="19">
        <v>144416</v>
      </c>
      <c r="Q37" s="20">
        <v>0.7288317411536176</v>
      </c>
      <c r="R37" s="20">
        <v>0.73247694685784337</v>
      </c>
      <c r="S37" s="20">
        <v>0.72575865744770329</v>
      </c>
      <c r="T37" s="20">
        <v>0.7298178558411238</v>
      </c>
      <c r="U37" s="20">
        <v>0.72746322788635909</v>
      </c>
      <c r="W37" s="19">
        <v>131557</v>
      </c>
      <c r="X37" s="19">
        <v>192664</v>
      </c>
      <c r="Y37" s="19">
        <v>204561</v>
      </c>
      <c r="Z37" s="19">
        <v>198443</v>
      </c>
      <c r="AA37" s="19">
        <v>203026</v>
      </c>
      <c r="AB37" s="20">
        <v>0.29143120440745474</v>
      </c>
      <c r="AC37" s="20">
        <v>0.29368572042663266</v>
      </c>
      <c r="AD37" s="20">
        <v>0.31710164068603741</v>
      </c>
      <c r="AE37" s="20">
        <v>0.30246814789072657</v>
      </c>
      <c r="AF37" s="20">
        <v>0.30912141586883968</v>
      </c>
      <c r="AG37" s="19">
        <v>72975</v>
      </c>
      <c r="AH37" s="19">
        <v>117472</v>
      </c>
      <c r="AI37" s="19">
        <v>135615</v>
      </c>
      <c r="AJ37" s="19">
        <v>140366</v>
      </c>
      <c r="AK37" s="19">
        <v>148172</v>
      </c>
      <c r="AL37" s="20">
        <v>0.55470252438106671</v>
      </c>
      <c r="AM37" s="20">
        <v>0.60972470207200102</v>
      </c>
      <c r="AN37" s="20">
        <v>0.66295628198923551</v>
      </c>
      <c r="AO37" s="20">
        <v>0.70733661555207283</v>
      </c>
      <c r="AP37" s="20">
        <v>0.7298178558411238</v>
      </c>
      <c r="AQ37" s="37">
        <v>3307235.9674248463</v>
      </c>
      <c r="AS37" s="19">
        <v>0</v>
      </c>
      <c r="AT37" s="19">
        <v>0</v>
      </c>
      <c r="AU37" s="19" t="s">
        <v>168</v>
      </c>
      <c r="AV37" s="19" t="s">
        <v>168</v>
      </c>
      <c r="AW37" s="19" t="s">
        <v>168</v>
      </c>
      <c r="AX37" s="19" t="s">
        <v>168</v>
      </c>
    </row>
    <row r="38" spans="1:50" s="19" customFormat="1" ht="12.75" x14ac:dyDescent="0.2">
      <c r="A38" s="18" t="s">
        <v>44</v>
      </c>
      <c r="B38" s="19">
        <v>33</v>
      </c>
      <c r="C38" s="19">
        <v>28</v>
      </c>
      <c r="D38" s="19">
        <v>29</v>
      </c>
      <c r="E38" s="19">
        <v>27</v>
      </c>
      <c r="F38" s="19">
        <v>13</v>
      </c>
      <c r="G38" s="20">
        <v>5.0088565691153905E-5</v>
      </c>
      <c r="H38" s="20">
        <v>4.2384747545847428E-5</v>
      </c>
      <c r="I38" s="20">
        <v>4.3634678434989593E-5</v>
      </c>
      <c r="J38" s="20">
        <v>4.1109405832054373E-5</v>
      </c>
      <c r="K38" s="20">
        <v>1.9736622365540464E-5</v>
      </c>
      <c r="L38" s="19">
        <v>23</v>
      </c>
      <c r="M38" s="19">
        <v>20</v>
      </c>
      <c r="N38" s="19">
        <v>9</v>
      </c>
      <c r="O38" s="19">
        <v>21</v>
      </c>
      <c r="P38" s="19">
        <v>12</v>
      </c>
      <c r="Q38" s="20">
        <v>0.69696969696969702</v>
      </c>
      <c r="R38" s="20">
        <v>0.7142857142857143</v>
      </c>
      <c r="S38" s="20">
        <v>0.31034482758620691</v>
      </c>
      <c r="T38" s="20">
        <v>0.77777777777777779</v>
      </c>
      <c r="U38" s="20">
        <v>0.92307692307692313</v>
      </c>
      <c r="W38" s="19">
        <v>0</v>
      </c>
      <c r="X38" s="19">
        <v>0</v>
      </c>
      <c r="Y38" s="19">
        <v>25</v>
      </c>
      <c r="Z38" s="19">
        <v>34</v>
      </c>
      <c r="AA38" s="19">
        <v>27</v>
      </c>
      <c r="AB38" s="20">
        <v>0</v>
      </c>
      <c r="AC38" s="20">
        <v>0</v>
      </c>
      <c r="AD38" s="20">
        <v>3.8753921896895967E-5</v>
      </c>
      <c r="AE38" s="20">
        <v>5.1823027409808881E-5</v>
      </c>
      <c r="AF38" s="20">
        <v>4.1109405832054373E-5</v>
      </c>
      <c r="AG38" s="19">
        <v>0</v>
      </c>
      <c r="AH38" s="19">
        <v>0</v>
      </c>
      <c r="AI38" s="19">
        <v>25</v>
      </c>
      <c r="AJ38" s="19">
        <v>24</v>
      </c>
      <c r="AK38" s="19">
        <v>21</v>
      </c>
      <c r="AL38" s="20">
        <v>0</v>
      </c>
      <c r="AM38" s="20">
        <v>0</v>
      </c>
      <c r="AN38" s="20">
        <v>1</v>
      </c>
      <c r="AO38" s="20">
        <v>0.70588235294117652</v>
      </c>
      <c r="AP38" s="20">
        <v>0.77777777777777779</v>
      </c>
      <c r="AQ38" s="37">
        <v>376.90644371079031</v>
      </c>
      <c r="AS38" s="19">
        <v>0</v>
      </c>
      <c r="AT38" s="19">
        <v>0</v>
      </c>
      <c r="AU38" s="19" t="s">
        <v>168</v>
      </c>
      <c r="AV38" s="19" t="s">
        <v>168</v>
      </c>
      <c r="AW38" s="19" t="s">
        <v>168</v>
      </c>
      <c r="AX38" s="19" t="s">
        <v>168</v>
      </c>
    </row>
    <row r="39" spans="1:50" s="19" customFormat="1" ht="12.75" x14ac:dyDescent="0.2">
      <c r="A39" s="18" t="s">
        <v>45</v>
      </c>
      <c r="B39" s="19">
        <v>11</v>
      </c>
      <c r="C39" s="19">
        <v>11</v>
      </c>
      <c r="D39" s="19">
        <v>11</v>
      </c>
      <c r="E39" s="19">
        <v>11</v>
      </c>
      <c r="F39" s="19">
        <v>11</v>
      </c>
      <c r="G39" s="20">
        <v>1.6696188563717968E-5</v>
      </c>
      <c r="H39" s="20">
        <v>1.6651150821582918E-5</v>
      </c>
      <c r="I39" s="20">
        <v>1.6551084923616744E-5</v>
      </c>
      <c r="J39" s="20">
        <v>1.6748276450096226E-5</v>
      </c>
      <c r="K39" s="20">
        <v>1.6700218924688087E-5</v>
      </c>
      <c r="L39" s="19">
        <v>11</v>
      </c>
      <c r="M39" s="19">
        <v>11</v>
      </c>
      <c r="N39" s="19">
        <v>11</v>
      </c>
      <c r="O39" s="19">
        <v>11</v>
      </c>
      <c r="P39" s="19">
        <v>11</v>
      </c>
      <c r="Q39" s="20">
        <v>1</v>
      </c>
      <c r="R39" s="20">
        <v>1</v>
      </c>
      <c r="S39" s="20">
        <v>1</v>
      </c>
      <c r="T39" s="20">
        <v>1</v>
      </c>
      <c r="U39" s="20">
        <v>1</v>
      </c>
      <c r="W39" s="19">
        <v>6</v>
      </c>
      <c r="X39" s="19">
        <v>9</v>
      </c>
      <c r="Y39" s="19">
        <v>9</v>
      </c>
      <c r="Z39" s="19">
        <v>9</v>
      </c>
      <c r="AA39" s="19">
        <v>11</v>
      </c>
      <c r="AB39" s="20">
        <v>1.3291479939833901E-5</v>
      </c>
      <c r="AC39" s="20">
        <v>1.3719073017479623E-5</v>
      </c>
      <c r="AD39" s="20">
        <v>1.3951411882882548E-5</v>
      </c>
      <c r="AE39" s="20">
        <v>1.3717860196714115E-5</v>
      </c>
      <c r="AF39" s="20">
        <v>1.6748276450096226E-5</v>
      </c>
      <c r="AG39" s="19">
        <v>6</v>
      </c>
      <c r="AH39" s="19">
        <v>9</v>
      </c>
      <c r="AI39" s="19">
        <v>9</v>
      </c>
      <c r="AJ39" s="19">
        <v>9</v>
      </c>
      <c r="AK39" s="19">
        <v>11</v>
      </c>
      <c r="AL39" s="20">
        <v>1</v>
      </c>
      <c r="AM39" s="20">
        <v>1</v>
      </c>
      <c r="AN39" s="20">
        <v>1</v>
      </c>
      <c r="AO39" s="20">
        <v>1</v>
      </c>
      <c r="AP39" s="20">
        <v>1</v>
      </c>
      <c r="AQ39" s="37">
        <v>208.00015477502117</v>
      </c>
      <c r="AS39" s="19">
        <v>0</v>
      </c>
      <c r="AT39" s="19">
        <v>0</v>
      </c>
      <c r="AU39" s="19" t="s">
        <v>168</v>
      </c>
      <c r="AV39" s="19" t="s">
        <v>168</v>
      </c>
      <c r="AW39" s="19" t="s">
        <v>168</v>
      </c>
      <c r="AX39" s="19" t="s">
        <v>168</v>
      </c>
    </row>
    <row r="40" spans="1:50" s="19" customFormat="1" ht="12.75" x14ac:dyDescent="0.2">
      <c r="A40" s="18" t="s">
        <v>46</v>
      </c>
      <c r="B40" s="19">
        <v>0</v>
      </c>
      <c r="C40" s="19">
        <v>0</v>
      </c>
      <c r="D40" s="19">
        <v>0</v>
      </c>
      <c r="E40" s="19">
        <v>12</v>
      </c>
      <c r="F40" s="19">
        <v>41</v>
      </c>
      <c r="G40" s="20">
        <v>0</v>
      </c>
      <c r="H40" s="20">
        <v>0</v>
      </c>
      <c r="I40" s="20">
        <v>0</v>
      </c>
      <c r="J40" s="20">
        <v>1.827084703646861E-5</v>
      </c>
      <c r="K40" s="20">
        <v>6.2246270537473771E-5</v>
      </c>
      <c r="L40" s="19">
        <v>0</v>
      </c>
      <c r="M40" s="19">
        <v>0</v>
      </c>
      <c r="N40" s="19">
        <v>0</v>
      </c>
      <c r="O40" s="19">
        <v>12</v>
      </c>
      <c r="P40" s="19">
        <v>41</v>
      </c>
      <c r="Q40" s="20">
        <v>0</v>
      </c>
      <c r="R40" s="20">
        <v>0</v>
      </c>
      <c r="S40" s="20">
        <v>0</v>
      </c>
      <c r="T40" s="20">
        <v>1</v>
      </c>
      <c r="U40" s="20">
        <v>1</v>
      </c>
      <c r="W40" s="19">
        <v>0</v>
      </c>
      <c r="X40" s="19">
        <v>0</v>
      </c>
      <c r="Y40" s="19">
        <v>0</v>
      </c>
      <c r="Z40" s="19">
        <v>0</v>
      </c>
      <c r="AA40" s="19">
        <v>12</v>
      </c>
      <c r="AB40" s="20">
        <v>0</v>
      </c>
      <c r="AC40" s="20">
        <v>0</v>
      </c>
      <c r="AD40" s="20">
        <v>0</v>
      </c>
      <c r="AE40" s="20">
        <v>0</v>
      </c>
      <c r="AF40" s="20">
        <v>1.827084703646861E-5</v>
      </c>
      <c r="AG40" s="19">
        <v>0</v>
      </c>
      <c r="AH40" s="19">
        <v>0</v>
      </c>
      <c r="AI40" s="19">
        <v>0</v>
      </c>
      <c r="AJ40" s="19">
        <v>0</v>
      </c>
      <c r="AK40" s="19">
        <v>12</v>
      </c>
      <c r="AL40" s="20">
        <v>0</v>
      </c>
      <c r="AM40" s="20">
        <v>0</v>
      </c>
      <c r="AN40" s="20">
        <v>0</v>
      </c>
      <c r="AO40" s="20">
        <v>0</v>
      </c>
      <c r="AP40" s="20">
        <v>1</v>
      </c>
      <c r="AQ40" s="37">
        <v>133.00009878796459</v>
      </c>
      <c r="AS40" s="19">
        <v>0</v>
      </c>
      <c r="AT40" s="19">
        <v>0</v>
      </c>
      <c r="AU40" s="19" t="s">
        <v>168</v>
      </c>
      <c r="AV40" s="19" t="s">
        <v>168</v>
      </c>
      <c r="AW40" s="19" t="s">
        <v>168</v>
      </c>
      <c r="AX40" s="19" t="s">
        <v>168</v>
      </c>
    </row>
    <row r="41" spans="1:50" s="19" customFormat="1" ht="12.75" x14ac:dyDescent="0.2">
      <c r="A41" s="18" t="s">
        <v>126</v>
      </c>
      <c r="B41" s="19">
        <v>15288</v>
      </c>
      <c r="C41" s="19">
        <v>14412</v>
      </c>
      <c r="D41" s="19">
        <v>13727</v>
      </c>
      <c r="E41" s="19">
        <v>13054</v>
      </c>
      <c r="F41" s="19">
        <v>12488</v>
      </c>
      <c r="G41" s="20">
        <v>2.3204666432920028E-2</v>
      </c>
      <c r="H41" s="20">
        <v>2.1816035058241184E-2</v>
      </c>
      <c r="I41" s="20">
        <v>2.065424934058973E-2</v>
      </c>
      <c r="J41" s="20">
        <v>1.9875636434505104E-2</v>
      </c>
      <c r="K41" s="20">
        <v>1.8959303084682255E-2</v>
      </c>
      <c r="L41" s="19">
        <v>13059</v>
      </c>
      <c r="M41" s="19">
        <v>12299</v>
      </c>
      <c r="N41" s="19">
        <v>11597</v>
      </c>
      <c r="O41" s="19">
        <v>11076</v>
      </c>
      <c r="P41" s="19">
        <v>10626</v>
      </c>
      <c r="Q41" s="20">
        <v>0.85419937205651486</v>
      </c>
      <c r="R41" s="20">
        <v>0.85338606716625032</v>
      </c>
      <c r="S41" s="20">
        <v>0.84483135426531653</v>
      </c>
      <c r="T41" s="20">
        <v>0.84847556304580973</v>
      </c>
      <c r="U41" s="20">
        <v>0.85089686098654704</v>
      </c>
      <c r="W41" s="19">
        <v>31948</v>
      </c>
      <c r="X41" s="19">
        <v>39880</v>
      </c>
      <c r="Y41" s="19">
        <v>23904</v>
      </c>
      <c r="Z41" s="19">
        <v>18689</v>
      </c>
      <c r="AA41" s="19">
        <v>13054</v>
      </c>
      <c r="AB41" s="20">
        <v>7.0772700186302245E-2</v>
      </c>
      <c r="AC41" s="20">
        <v>6.0790736881898601E-2</v>
      </c>
      <c r="AD41" s="20">
        <v>3.705494996093605E-2</v>
      </c>
      <c r="AE41" s="20">
        <v>2.8485898801821122E-2</v>
      </c>
      <c r="AF41" s="20">
        <v>1.9875636434505104E-2</v>
      </c>
      <c r="AG41" s="19">
        <v>30238</v>
      </c>
      <c r="AH41" s="19">
        <v>37015</v>
      </c>
      <c r="AI41" s="19">
        <v>21615</v>
      </c>
      <c r="AJ41" s="19">
        <v>16174</v>
      </c>
      <c r="AK41" s="19">
        <v>11076</v>
      </c>
      <c r="AL41" s="20">
        <v>0.94647552272442714</v>
      </c>
      <c r="AM41" s="20">
        <v>0.92815947843530588</v>
      </c>
      <c r="AN41" s="20">
        <v>0.90424196787148592</v>
      </c>
      <c r="AO41" s="20">
        <v>0.86542886189737278</v>
      </c>
      <c r="AP41" s="20">
        <v>0.84847556304580973</v>
      </c>
      <c r="AQ41" s="37">
        <v>371228.06606042408</v>
      </c>
      <c r="AS41" s="19" t="s">
        <v>168</v>
      </c>
      <c r="AT41" s="19" t="s">
        <v>168</v>
      </c>
      <c r="AU41" s="19" t="s">
        <v>168</v>
      </c>
      <c r="AV41" s="19" t="s">
        <v>168</v>
      </c>
    </row>
    <row r="42" spans="1:50" s="19" customFormat="1" ht="12.75" x14ac:dyDescent="0.2">
      <c r="A42" s="18" t="s">
        <v>47</v>
      </c>
      <c r="B42" s="19">
        <v>0</v>
      </c>
      <c r="C42" s="19">
        <v>2</v>
      </c>
      <c r="D42" s="19">
        <v>2</v>
      </c>
      <c r="E42" s="19">
        <v>2</v>
      </c>
      <c r="F42" s="19">
        <v>3</v>
      </c>
      <c r="G42" s="20">
        <v>0</v>
      </c>
      <c r="H42" s="20">
        <v>3.0274819675605306E-6</v>
      </c>
      <c r="I42" s="20">
        <v>3.0092881679303171E-6</v>
      </c>
      <c r="J42" s="20">
        <v>3.0451411727447683E-6</v>
      </c>
      <c r="K42" s="20">
        <v>4.5546051612785688E-6</v>
      </c>
      <c r="L42" s="19">
        <v>0</v>
      </c>
      <c r="M42" s="19">
        <v>2</v>
      </c>
      <c r="N42" s="19">
        <v>2</v>
      </c>
      <c r="O42" s="19">
        <v>2</v>
      </c>
      <c r="P42" s="19">
        <v>3</v>
      </c>
      <c r="Q42" s="20">
        <v>0</v>
      </c>
      <c r="R42" s="20">
        <v>1</v>
      </c>
      <c r="S42" s="20">
        <v>1</v>
      </c>
      <c r="T42" s="20">
        <v>1</v>
      </c>
      <c r="U42" s="20">
        <v>1</v>
      </c>
      <c r="W42" s="19">
        <v>0</v>
      </c>
      <c r="X42" s="19">
        <v>0</v>
      </c>
      <c r="Y42" s="19">
        <v>0</v>
      </c>
      <c r="Z42" s="19">
        <v>0</v>
      </c>
      <c r="AA42" s="19">
        <v>2</v>
      </c>
      <c r="AB42" s="20">
        <v>0</v>
      </c>
      <c r="AC42" s="20">
        <v>0</v>
      </c>
      <c r="AD42" s="20">
        <v>0</v>
      </c>
      <c r="AE42" s="20">
        <v>0</v>
      </c>
      <c r="AF42" s="20">
        <v>3.0451411727447683E-6</v>
      </c>
      <c r="AG42" s="19">
        <v>0</v>
      </c>
      <c r="AH42" s="19">
        <v>0</v>
      </c>
      <c r="AI42" s="19">
        <v>0</v>
      </c>
      <c r="AJ42" s="19">
        <v>0</v>
      </c>
      <c r="AK42" s="19">
        <v>2</v>
      </c>
      <c r="AL42" s="20">
        <v>0</v>
      </c>
      <c r="AM42" s="20">
        <v>0</v>
      </c>
      <c r="AN42" s="20">
        <v>0</v>
      </c>
      <c r="AO42" s="20">
        <v>0</v>
      </c>
      <c r="AP42" s="20">
        <v>1</v>
      </c>
      <c r="AQ42" s="37">
        <v>27.000016681657645</v>
      </c>
      <c r="AS42" s="19" t="s">
        <v>168</v>
      </c>
      <c r="AT42" s="19" t="s">
        <v>168</v>
      </c>
      <c r="AU42" s="19" t="s">
        <v>168</v>
      </c>
      <c r="AV42" s="19" t="s">
        <v>168</v>
      </c>
    </row>
    <row r="43" spans="1:50" s="19" customFormat="1" ht="12.75" x14ac:dyDescent="0.2">
      <c r="A43" s="18" t="s">
        <v>48</v>
      </c>
      <c r="B43" s="19">
        <v>1786</v>
      </c>
      <c r="C43" s="19">
        <v>1810</v>
      </c>
      <c r="D43" s="19">
        <v>2443</v>
      </c>
      <c r="E43" s="19">
        <v>2330</v>
      </c>
      <c r="F43" s="19">
        <v>2249</v>
      </c>
      <c r="G43" s="20">
        <v>2.7108538886182081E-3</v>
      </c>
      <c r="H43" s="20">
        <v>2.7398711806422803E-3</v>
      </c>
      <c r="I43" s="20">
        <v>3.6758454971268823E-3</v>
      </c>
      <c r="J43" s="20">
        <v>3.5475894662476554E-3</v>
      </c>
      <c r="K43" s="20">
        <v>3.4144356692385005E-3</v>
      </c>
      <c r="L43" s="19">
        <v>1786</v>
      </c>
      <c r="M43" s="19">
        <v>1810</v>
      </c>
      <c r="N43" s="19">
        <v>2379</v>
      </c>
      <c r="O43" s="19">
        <v>2278</v>
      </c>
      <c r="P43" s="19">
        <v>2141</v>
      </c>
      <c r="Q43" s="20">
        <v>1</v>
      </c>
      <c r="R43" s="20">
        <v>1</v>
      </c>
      <c r="S43" s="20">
        <v>0.97380270159639792</v>
      </c>
      <c r="T43" s="20">
        <v>0.97768240343347634</v>
      </c>
      <c r="U43" s="20">
        <v>0.9519786571809693</v>
      </c>
      <c r="W43" s="19">
        <v>239</v>
      </c>
      <c r="X43" s="19">
        <v>899</v>
      </c>
      <c r="Y43" s="19">
        <v>1506</v>
      </c>
      <c r="Z43" s="19">
        <v>1533</v>
      </c>
      <c r="AA43" s="19">
        <v>2330</v>
      </c>
      <c r="AB43" s="20">
        <v>5.2944395093671706E-4</v>
      </c>
      <c r="AC43" s="20">
        <v>1.3703829603015757E-3</v>
      </c>
      <c r="AD43" s="20">
        <v>2.3345362550690131E-3</v>
      </c>
      <c r="AE43" s="20">
        <v>2.3366088535069708E-3</v>
      </c>
      <c r="AF43" s="20">
        <v>3.5475894662476554E-3</v>
      </c>
      <c r="AG43" s="19">
        <v>239</v>
      </c>
      <c r="AH43" s="19">
        <v>899</v>
      </c>
      <c r="AI43" s="19">
        <v>1506</v>
      </c>
      <c r="AJ43" s="19">
        <v>1533</v>
      </c>
      <c r="AK43" s="19">
        <v>2278</v>
      </c>
      <c r="AL43" s="20">
        <v>1</v>
      </c>
      <c r="AM43" s="20">
        <v>1</v>
      </c>
      <c r="AN43" s="20">
        <v>1</v>
      </c>
      <c r="AO43" s="20">
        <v>1</v>
      </c>
      <c r="AP43" s="20">
        <v>0.97768240343347634</v>
      </c>
      <c r="AQ43" s="37">
        <v>33983.907353322829</v>
      </c>
      <c r="AS43" s="19" t="s">
        <v>168</v>
      </c>
      <c r="AT43" s="19" t="s">
        <v>168</v>
      </c>
      <c r="AU43" s="19" t="s">
        <v>168</v>
      </c>
      <c r="AV43" s="19" t="s">
        <v>168</v>
      </c>
    </row>
    <row r="44" spans="1:50" s="19" customFormat="1" ht="12.75" x14ac:dyDescent="0.2">
      <c r="A44" s="18" t="s">
        <v>49</v>
      </c>
      <c r="B44" s="19">
        <v>6841</v>
      </c>
      <c r="C44" s="19">
        <v>6659</v>
      </c>
      <c r="D44" s="19">
        <v>6481</v>
      </c>
      <c r="E44" s="19">
        <v>7063</v>
      </c>
      <c r="F44" s="19">
        <v>6991</v>
      </c>
      <c r="G44" s="20">
        <v>1.0383511451308601E-2</v>
      </c>
      <c r="H44" s="20">
        <v>1.0080001210992787E-2</v>
      </c>
      <c r="I44" s="20">
        <v>9.7515983081781915E-3</v>
      </c>
      <c r="J44" s="20">
        <v>1.075391605154815E-2</v>
      </c>
      <c r="K44" s="20">
        <v>1.0613748227499491E-2</v>
      </c>
      <c r="L44" s="19">
        <v>5414</v>
      </c>
      <c r="M44" s="19">
        <v>5332</v>
      </c>
      <c r="N44" s="19">
        <v>5235</v>
      </c>
      <c r="O44" s="19">
        <v>5139</v>
      </c>
      <c r="P44" s="19">
        <v>5138</v>
      </c>
      <c r="Q44" s="20">
        <v>0.79140476538517757</v>
      </c>
      <c r="R44" s="20">
        <v>0.80072082895329633</v>
      </c>
      <c r="S44" s="20">
        <v>0.80774571825335595</v>
      </c>
      <c r="T44" s="20">
        <v>0.72759450658360469</v>
      </c>
      <c r="U44" s="20">
        <v>0.73494492919467891</v>
      </c>
      <c r="W44" s="19">
        <v>6220</v>
      </c>
      <c r="X44" s="19">
        <v>14013</v>
      </c>
      <c r="Y44" s="19">
        <v>9561</v>
      </c>
      <c r="Z44" s="19">
        <v>6943</v>
      </c>
      <c r="AA44" s="19">
        <v>7063</v>
      </c>
      <c r="AB44" s="20">
        <v>1.3778834204294477E-2</v>
      </c>
      <c r="AC44" s="20">
        <v>2.1360596688215775E-2</v>
      </c>
      <c r="AD44" s="20">
        <v>1.4821049890248893E-2</v>
      </c>
      <c r="AE44" s="20">
        <v>1.0582567038420677E-2</v>
      </c>
      <c r="AF44" s="20">
        <v>1.075391605154815E-2</v>
      </c>
      <c r="AG44" s="19">
        <v>5907</v>
      </c>
      <c r="AH44" s="19">
        <v>11246</v>
      </c>
      <c r="AI44" s="19">
        <v>5642</v>
      </c>
      <c r="AJ44" s="19">
        <v>5348</v>
      </c>
      <c r="AK44" s="19">
        <v>5139</v>
      </c>
      <c r="AL44" s="20">
        <v>0.94967845659163985</v>
      </c>
      <c r="AM44" s="20">
        <v>0.80254049810889883</v>
      </c>
      <c r="AN44" s="20">
        <v>0.59010563748561862</v>
      </c>
      <c r="AO44" s="20">
        <v>0.77027221662105716</v>
      </c>
      <c r="AP44" s="20">
        <v>0.72759450658360469</v>
      </c>
      <c r="AQ44" s="37">
        <v>137382.82548180284</v>
      </c>
    </row>
    <row r="45" spans="1:50" s="19" customFormat="1" ht="12.75" x14ac:dyDescent="0.2">
      <c r="A45" s="18" t="s">
        <v>50</v>
      </c>
      <c r="B45" s="19">
        <v>2</v>
      </c>
      <c r="C45" s="19">
        <v>5</v>
      </c>
      <c r="D45" s="19">
        <v>4</v>
      </c>
      <c r="E45" s="19">
        <v>5</v>
      </c>
      <c r="F45" s="19">
        <v>7</v>
      </c>
      <c r="G45" s="20">
        <v>3.0356706479487213E-6</v>
      </c>
      <c r="H45" s="20">
        <v>7.5687049189013264E-6</v>
      </c>
      <c r="I45" s="20">
        <v>6.0185763358606343E-6</v>
      </c>
      <c r="J45" s="20">
        <v>7.6128529318619213E-6</v>
      </c>
      <c r="K45" s="20">
        <v>1.0627412042983328E-5</v>
      </c>
      <c r="L45" s="19">
        <v>2</v>
      </c>
      <c r="M45" s="19">
        <v>5</v>
      </c>
      <c r="N45" s="19">
        <v>4</v>
      </c>
      <c r="O45" s="19">
        <v>5</v>
      </c>
      <c r="P45" s="19">
        <v>7</v>
      </c>
      <c r="Q45" s="20">
        <v>1</v>
      </c>
      <c r="R45" s="20">
        <v>1</v>
      </c>
      <c r="S45" s="20">
        <v>1</v>
      </c>
      <c r="T45" s="20">
        <v>1</v>
      </c>
      <c r="U45" s="20">
        <v>1</v>
      </c>
      <c r="W45" s="19">
        <v>0</v>
      </c>
      <c r="X45" s="19">
        <v>0</v>
      </c>
      <c r="Y45" s="19">
        <v>0</v>
      </c>
      <c r="Z45" s="19">
        <v>1</v>
      </c>
      <c r="AA45" s="19">
        <v>5</v>
      </c>
      <c r="AB45" s="20">
        <v>0</v>
      </c>
      <c r="AC45" s="20">
        <v>0</v>
      </c>
      <c r="AD45" s="20">
        <v>0</v>
      </c>
      <c r="AE45" s="20">
        <v>1.5242066885237906E-6</v>
      </c>
      <c r="AF45" s="20">
        <v>7.6128529318619213E-6</v>
      </c>
      <c r="AG45" s="19">
        <v>0</v>
      </c>
      <c r="AH45" s="19">
        <v>0</v>
      </c>
      <c r="AI45" s="19">
        <v>0</v>
      </c>
      <c r="AJ45" s="19">
        <v>1</v>
      </c>
      <c r="AK45" s="19">
        <v>5</v>
      </c>
      <c r="AL45" s="20">
        <v>0</v>
      </c>
      <c r="AM45" s="20">
        <v>0</v>
      </c>
      <c r="AN45" s="20">
        <v>0</v>
      </c>
      <c r="AO45" s="20">
        <v>1</v>
      </c>
      <c r="AP45" s="20">
        <v>1</v>
      </c>
      <c r="AQ45" s="37">
        <v>65.000044000276503</v>
      </c>
    </row>
    <row r="46" spans="1:50" s="19" customFormat="1" ht="12.75" x14ac:dyDescent="0.2">
      <c r="A46" s="18" t="s">
        <v>52</v>
      </c>
      <c r="B46" s="19">
        <v>6243</v>
      </c>
      <c r="C46" s="19">
        <v>6458</v>
      </c>
      <c r="D46" s="19">
        <v>7332</v>
      </c>
      <c r="E46" s="19">
        <v>8589</v>
      </c>
      <c r="F46" s="19">
        <v>9173</v>
      </c>
      <c r="G46" s="20">
        <v>9.4758459275719343E-3</v>
      </c>
      <c r="H46" s="20">
        <v>9.7757392732529536E-3</v>
      </c>
      <c r="I46" s="20">
        <v>1.1032050423632542E-2</v>
      </c>
      <c r="J46" s="20">
        <v>1.3077358766352408E-2</v>
      </c>
      <c r="K46" s="20">
        <v>1.3926464381469437E-2</v>
      </c>
      <c r="L46" s="19">
        <v>6082</v>
      </c>
      <c r="M46" s="19">
        <v>6317</v>
      </c>
      <c r="N46" s="19">
        <v>7186</v>
      </c>
      <c r="O46" s="19">
        <v>8425</v>
      </c>
      <c r="P46" s="19">
        <v>9034</v>
      </c>
      <c r="Q46" s="20">
        <v>0.97421111645042446</v>
      </c>
      <c r="R46" s="20">
        <v>0.97816661505109936</v>
      </c>
      <c r="S46" s="20">
        <v>0.98008728859792693</v>
      </c>
      <c r="T46" s="20">
        <v>0.98090580975666553</v>
      </c>
      <c r="U46" s="20">
        <v>0.98484683309713295</v>
      </c>
      <c r="W46" s="19">
        <v>5280</v>
      </c>
      <c r="X46" s="19">
        <v>5228</v>
      </c>
      <c r="Y46" s="19">
        <v>6174</v>
      </c>
      <c r="Z46" s="19">
        <v>6085</v>
      </c>
      <c r="AA46" s="19">
        <v>8589</v>
      </c>
      <c r="AB46" s="20">
        <v>1.1696502347053833E-2</v>
      </c>
      <c r="AC46" s="20">
        <v>7.9692570817092752E-3</v>
      </c>
      <c r="AD46" s="20">
        <v>9.5706685516574273E-3</v>
      </c>
      <c r="AE46" s="20">
        <v>9.2747976996672664E-3</v>
      </c>
      <c r="AF46" s="20">
        <v>1.3077358766352408E-2</v>
      </c>
      <c r="AG46" s="19">
        <v>5278</v>
      </c>
      <c r="AH46" s="19">
        <v>5226</v>
      </c>
      <c r="AI46" s="19">
        <v>6073</v>
      </c>
      <c r="AJ46" s="19">
        <v>5977</v>
      </c>
      <c r="AK46" s="19">
        <v>8425</v>
      </c>
      <c r="AL46" s="20">
        <v>0.99962121212121213</v>
      </c>
      <c r="AM46" s="20">
        <v>0.99961744452945678</v>
      </c>
      <c r="AN46" s="20">
        <v>0.98364107547781021</v>
      </c>
      <c r="AO46" s="20">
        <v>0.98225143796220216</v>
      </c>
      <c r="AP46" s="20">
        <v>0.98090580975666553</v>
      </c>
      <c r="AQ46" s="37">
        <v>137183.95313068604</v>
      </c>
    </row>
    <row r="47" spans="1:50" s="19" customFormat="1" ht="12.75" x14ac:dyDescent="0.2">
      <c r="A47" s="18" t="s">
        <v>53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W47" s="19">
        <v>25</v>
      </c>
      <c r="X47" s="19">
        <v>86</v>
      </c>
      <c r="Y47" s="19">
        <v>0</v>
      </c>
      <c r="Z47" s="19">
        <v>5</v>
      </c>
      <c r="AA47" s="19">
        <v>0</v>
      </c>
      <c r="AB47" s="20">
        <v>5.5381166415974585E-5</v>
      </c>
      <c r="AC47" s="20">
        <v>1.3109336438924974E-4</v>
      </c>
      <c r="AD47" s="20">
        <v>0</v>
      </c>
      <c r="AE47" s="20">
        <v>7.6210334426189527E-6</v>
      </c>
      <c r="AF47" s="20">
        <v>0</v>
      </c>
      <c r="AG47" s="19">
        <v>23</v>
      </c>
      <c r="AH47" s="19">
        <v>66</v>
      </c>
      <c r="AI47" s="19">
        <v>0</v>
      </c>
      <c r="AJ47" s="19">
        <v>5</v>
      </c>
      <c r="AK47" s="19">
        <v>0</v>
      </c>
      <c r="AL47" s="20">
        <v>0.92</v>
      </c>
      <c r="AM47" s="20">
        <v>0.76744186046511631</v>
      </c>
      <c r="AN47" s="20">
        <v>0</v>
      </c>
      <c r="AO47" s="20">
        <v>1</v>
      </c>
      <c r="AP47" s="20">
        <v>0</v>
      </c>
      <c r="AQ47" s="37">
        <v>212.68763595602937</v>
      </c>
    </row>
    <row r="48" spans="1:50" s="19" customFormat="1" ht="12.75" x14ac:dyDescent="0.2">
      <c r="A48" s="18" t="s">
        <v>54</v>
      </c>
      <c r="B48" s="19">
        <v>42</v>
      </c>
      <c r="C48" s="19">
        <v>93</v>
      </c>
      <c r="D48" s="19">
        <v>177</v>
      </c>
      <c r="E48" s="19">
        <v>182</v>
      </c>
      <c r="F48" s="19">
        <v>198</v>
      </c>
      <c r="G48" s="20">
        <v>6.3749083606923145E-5</v>
      </c>
      <c r="H48" s="20">
        <v>1.4077791149156468E-4</v>
      </c>
      <c r="I48" s="20">
        <v>2.6632200286183305E-4</v>
      </c>
      <c r="J48" s="20">
        <v>2.7710784671977395E-4</v>
      </c>
      <c r="K48" s="20">
        <v>3.0060394064438555E-4</v>
      </c>
      <c r="L48" s="19">
        <v>42</v>
      </c>
      <c r="M48" s="19">
        <v>93</v>
      </c>
      <c r="N48" s="19">
        <v>169</v>
      </c>
      <c r="O48" s="19">
        <v>178</v>
      </c>
      <c r="P48" s="19">
        <v>183</v>
      </c>
      <c r="Q48" s="20">
        <v>1</v>
      </c>
      <c r="R48" s="20">
        <v>1</v>
      </c>
      <c r="S48" s="20">
        <v>0.95480225988700562</v>
      </c>
      <c r="T48" s="20">
        <v>0.97802197802197799</v>
      </c>
      <c r="U48" s="20">
        <v>0.9242424242424242</v>
      </c>
      <c r="W48" s="19">
        <v>0</v>
      </c>
      <c r="X48" s="19">
        <v>11</v>
      </c>
      <c r="Y48" s="19">
        <v>24</v>
      </c>
      <c r="Z48" s="19">
        <v>40</v>
      </c>
      <c r="AA48" s="19">
        <v>182</v>
      </c>
      <c r="AB48" s="20">
        <v>0</v>
      </c>
      <c r="AC48" s="20">
        <v>1.6767755910252873E-5</v>
      </c>
      <c r="AD48" s="20">
        <v>3.7203765021020128E-5</v>
      </c>
      <c r="AE48" s="20">
        <v>6.0968267540951622E-5</v>
      </c>
      <c r="AF48" s="20">
        <v>2.7710784671977395E-4</v>
      </c>
      <c r="AG48" s="19">
        <v>0</v>
      </c>
      <c r="AH48" s="19">
        <v>11</v>
      </c>
      <c r="AI48" s="19">
        <v>0</v>
      </c>
      <c r="AJ48" s="19">
        <v>40</v>
      </c>
      <c r="AK48" s="19">
        <v>178</v>
      </c>
      <c r="AL48" s="20">
        <v>0</v>
      </c>
      <c r="AM48" s="20">
        <v>1</v>
      </c>
      <c r="AN48" s="20">
        <v>0</v>
      </c>
      <c r="AO48" s="20">
        <v>1</v>
      </c>
      <c r="AP48" s="20">
        <v>0.97802197802197799</v>
      </c>
      <c r="AQ48" s="37">
        <v>1850.8365292485939</v>
      </c>
    </row>
    <row r="49" spans="1:55" s="19" customFormat="1" ht="12.75" x14ac:dyDescent="0.2">
      <c r="A49" s="18" t="s">
        <v>55</v>
      </c>
      <c r="B49" s="19">
        <v>6499</v>
      </c>
      <c r="C49" s="19">
        <v>6321</v>
      </c>
      <c r="D49" s="19">
        <v>6297</v>
      </c>
      <c r="E49" s="19">
        <v>6385</v>
      </c>
      <c r="F49" s="19">
        <v>6537</v>
      </c>
      <c r="G49" s="20">
        <v>9.8644117705093699E-3</v>
      </c>
      <c r="H49" s="20">
        <v>9.5683567584750571E-3</v>
      </c>
      <c r="I49" s="20">
        <v>9.4747437967286022E-3</v>
      </c>
      <c r="J49" s="20">
        <v>9.7216131939876736E-3</v>
      </c>
      <c r="K49" s="20">
        <v>9.924484646426002E-3</v>
      </c>
      <c r="L49" s="19">
        <v>6447</v>
      </c>
      <c r="M49" s="19">
        <v>6270</v>
      </c>
      <c r="N49" s="19">
        <v>6187</v>
      </c>
      <c r="O49" s="19">
        <v>6251</v>
      </c>
      <c r="P49" s="19">
        <v>6400</v>
      </c>
      <c r="Q49" s="20">
        <v>0.99199876904139095</v>
      </c>
      <c r="R49" s="20">
        <v>0.99193165638348357</v>
      </c>
      <c r="S49" s="20">
        <v>0.98253136414165476</v>
      </c>
      <c r="T49" s="20">
        <v>0.97901331245105716</v>
      </c>
      <c r="U49" s="20">
        <v>0.97904237417775741</v>
      </c>
      <c r="W49" s="19">
        <v>8273</v>
      </c>
      <c r="X49" s="19">
        <v>8173</v>
      </c>
      <c r="Y49" s="19">
        <v>8560</v>
      </c>
      <c r="Z49" s="19">
        <v>6770</v>
      </c>
      <c r="AA49" s="19">
        <v>6385</v>
      </c>
      <c r="AB49" s="20">
        <v>1.8326735590374309E-2</v>
      </c>
      <c r="AC49" s="20">
        <v>1.2458442641317884E-2</v>
      </c>
      <c r="AD49" s="20">
        <v>1.3269342857497179E-2</v>
      </c>
      <c r="AE49" s="20">
        <v>1.0318879281306063E-2</v>
      </c>
      <c r="AF49" s="20">
        <v>9.7216131939876736E-3</v>
      </c>
      <c r="AG49" s="19">
        <v>8233</v>
      </c>
      <c r="AH49" s="19">
        <v>8106</v>
      </c>
      <c r="AI49" s="19">
        <v>8499</v>
      </c>
      <c r="AJ49" s="19">
        <v>6715</v>
      </c>
      <c r="AK49" s="19">
        <v>6251</v>
      </c>
      <c r="AL49" s="20">
        <v>0.99516499456061891</v>
      </c>
      <c r="AM49" s="20">
        <v>0.99180227578612501</v>
      </c>
      <c r="AN49" s="20">
        <v>0.99287383177570099</v>
      </c>
      <c r="AO49" s="20">
        <v>0.99187592319054652</v>
      </c>
      <c r="AP49" s="20">
        <v>0.97901331245105716</v>
      </c>
      <c r="AQ49" s="37">
        <v>139568.9878964377</v>
      </c>
    </row>
    <row r="50" spans="1:55" s="19" customFormat="1" ht="12.75" x14ac:dyDescent="0.2">
      <c r="A50" s="18" t="s">
        <v>56</v>
      </c>
      <c r="B50" s="19">
        <v>0</v>
      </c>
      <c r="C50" s="19">
        <v>0</v>
      </c>
      <c r="D50" s="19">
        <v>0</v>
      </c>
      <c r="E50" s="19">
        <v>67</v>
      </c>
      <c r="F50" s="19">
        <v>79</v>
      </c>
      <c r="G50" s="20">
        <v>0</v>
      </c>
      <c r="H50" s="20">
        <v>0</v>
      </c>
      <c r="I50" s="20">
        <v>0</v>
      </c>
      <c r="J50" s="20">
        <v>1.0201222928694975E-4</v>
      </c>
      <c r="K50" s="20">
        <v>1.1993793591366898E-4</v>
      </c>
      <c r="L50" s="19">
        <v>0</v>
      </c>
      <c r="M50" s="19">
        <v>0</v>
      </c>
      <c r="N50" s="19">
        <v>0</v>
      </c>
      <c r="O50" s="19">
        <v>67</v>
      </c>
      <c r="P50" s="19">
        <v>65</v>
      </c>
      <c r="Q50" s="20">
        <v>0</v>
      </c>
      <c r="R50" s="20">
        <v>0</v>
      </c>
      <c r="S50" s="20">
        <v>0</v>
      </c>
      <c r="T50" s="20">
        <v>1</v>
      </c>
      <c r="U50" s="20">
        <v>0.82278481012658233</v>
      </c>
      <c r="W50" s="19">
        <v>0</v>
      </c>
      <c r="X50" s="19">
        <v>0</v>
      </c>
      <c r="Y50" s="19">
        <v>0</v>
      </c>
      <c r="Z50" s="19">
        <v>0</v>
      </c>
      <c r="AA50" s="19">
        <v>67</v>
      </c>
      <c r="AB50" s="20">
        <v>0</v>
      </c>
      <c r="AC50" s="20">
        <v>0</v>
      </c>
      <c r="AD50" s="20">
        <v>0</v>
      </c>
      <c r="AE50" s="20">
        <v>0</v>
      </c>
      <c r="AF50" s="20">
        <v>1.0201222928694975E-4</v>
      </c>
      <c r="AG50" s="19">
        <v>0</v>
      </c>
      <c r="AH50" s="19">
        <v>0</v>
      </c>
      <c r="AI50" s="19">
        <v>0</v>
      </c>
      <c r="AJ50" s="19">
        <v>0</v>
      </c>
      <c r="AK50" s="19">
        <v>67</v>
      </c>
      <c r="AL50" s="20">
        <v>0</v>
      </c>
      <c r="AM50" s="20">
        <v>0</v>
      </c>
      <c r="AN50" s="20">
        <v>0</v>
      </c>
      <c r="AO50" s="20">
        <v>0</v>
      </c>
      <c r="AP50" s="20">
        <v>1</v>
      </c>
      <c r="AQ50" s="37">
        <v>414.82310877252104</v>
      </c>
    </row>
    <row r="51" spans="1:55" s="19" customFormat="1" ht="12.75" x14ac:dyDescent="0.2">
      <c r="A51" s="18" t="s">
        <v>58</v>
      </c>
      <c r="B51" s="19">
        <v>136</v>
      </c>
      <c r="C51" s="19">
        <v>77</v>
      </c>
      <c r="D51" s="19">
        <v>54</v>
      </c>
      <c r="E51" s="19">
        <v>126</v>
      </c>
      <c r="F51" s="19">
        <v>23</v>
      </c>
      <c r="G51" s="20">
        <v>2.0642560406051305E-4</v>
      </c>
      <c r="H51" s="20">
        <v>1.1655805575108043E-4</v>
      </c>
      <c r="I51" s="20">
        <v>8.1250780534118563E-5</v>
      </c>
      <c r="J51" s="20">
        <v>1.918438938829204E-4</v>
      </c>
      <c r="K51" s="20">
        <v>3.4918639569802358E-5</v>
      </c>
      <c r="L51" s="19">
        <v>136</v>
      </c>
      <c r="M51" s="19">
        <v>0</v>
      </c>
      <c r="N51" s="19">
        <v>30</v>
      </c>
      <c r="O51" s="19">
        <v>101</v>
      </c>
      <c r="P51" s="19">
        <v>14</v>
      </c>
      <c r="Q51" s="20">
        <v>1</v>
      </c>
      <c r="R51" s="20">
        <v>0</v>
      </c>
      <c r="S51" s="20">
        <v>0.55555555555555558</v>
      </c>
      <c r="T51" s="20">
        <v>0.80158730158730163</v>
      </c>
      <c r="U51" s="20">
        <v>0.60869565217391308</v>
      </c>
      <c r="W51" s="19">
        <v>51</v>
      </c>
      <c r="X51" s="19">
        <v>60</v>
      </c>
      <c r="Y51" s="19">
        <v>49</v>
      </c>
      <c r="Z51" s="19">
        <v>97</v>
      </c>
      <c r="AA51" s="19">
        <v>126</v>
      </c>
      <c r="AB51" s="20">
        <v>1.1297757948858816E-4</v>
      </c>
      <c r="AC51" s="20">
        <v>9.1460486783197486E-5</v>
      </c>
      <c r="AD51" s="20">
        <v>7.5957686917916094E-5</v>
      </c>
      <c r="AE51" s="20">
        <v>1.4784804878680769E-4</v>
      </c>
      <c r="AF51" s="20">
        <v>1.918438938829204E-4</v>
      </c>
      <c r="AG51" s="19">
        <v>51</v>
      </c>
      <c r="AH51" s="19">
        <v>58</v>
      </c>
      <c r="AI51" s="19">
        <v>49</v>
      </c>
      <c r="AJ51" s="19">
        <v>97</v>
      </c>
      <c r="AK51" s="19">
        <v>101</v>
      </c>
      <c r="AL51" s="20">
        <v>1</v>
      </c>
      <c r="AM51" s="20">
        <v>0.96666666666666667</v>
      </c>
      <c r="AN51" s="20">
        <v>1</v>
      </c>
      <c r="AO51" s="20">
        <v>1</v>
      </c>
      <c r="AP51" s="20">
        <v>0.80158730158730163</v>
      </c>
      <c r="AQ51" s="37">
        <v>1443.7353435622404</v>
      </c>
    </row>
    <row r="52" spans="1:55" s="19" customFormat="1" ht="12.75" x14ac:dyDescent="0.2">
      <c r="A52" s="18" t="s">
        <v>59</v>
      </c>
      <c r="B52" s="19">
        <v>0</v>
      </c>
      <c r="C52" s="19">
        <v>0</v>
      </c>
      <c r="D52" s="19">
        <v>1</v>
      </c>
      <c r="E52" s="19">
        <v>4</v>
      </c>
      <c r="F52" s="19">
        <v>4</v>
      </c>
      <c r="G52" s="20">
        <v>0</v>
      </c>
      <c r="H52" s="20">
        <v>0</v>
      </c>
      <c r="I52" s="20">
        <v>1.5046440839651586E-6</v>
      </c>
      <c r="J52" s="20">
        <v>6.0902823454895365E-6</v>
      </c>
      <c r="K52" s="20">
        <v>6.0728068817047581E-6</v>
      </c>
      <c r="L52" s="19">
        <v>0</v>
      </c>
      <c r="M52" s="19">
        <v>0</v>
      </c>
      <c r="N52" s="19">
        <v>1</v>
      </c>
      <c r="O52" s="19">
        <v>4</v>
      </c>
      <c r="P52" s="19">
        <v>4</v>
      </c>
      <c r="Q52" s="20">
        <v>0</v>
      </c>
      <c r="R52" s="20">
        <v>0</v>
      </c>
      <c r="S52" s="20">
        <v>1</v>
      </c>
      <c r="T52" s="20">
        <v>1</v>
      </c>
      <c r="U52" s="20">
        <v>1</v>
      </c>
      <c r="W52" s="19">
        <v>0</v>
      </c>
      <c r="X52" s="19">
        <v>0</v>
      </c>
      <c r="Y52" s="19">
        <v>0</v>
      </c>
      <c r="Z52" s="19">
        <v>0</v>
      </c>
      <c r="AA52" s="19">
        <v>4</v>
      </c>
      <c r="AB52" s="20">
        <v>0</v>
      </c>
      <c r="AC52" s="20">
        <v>0</v>
      </c>
      <c r="AD52" s="20">
        <v>0</v>
      </c>
      <c r="AE52" s="20">
        <v>0</v>
      </c>
      <c r="AF52" s="20">
        <v>6.0902823454895365E-6</v>
      </c>
      <c r="AG52" s="19">
        <v>0</v>
      </c>
      <c r="AH52" s="19">
        <v>0</v>
      </c>
      <c r="AI52" s="19">
        <v>0</v>
      </c>
      <c r="AJ52" s="19">
        <v>0</v>
      </c>
      <c r="AK52" s="19">
        <v>4</v>
      </c>
      <c r="AL52" s="20">
        <v>0</v>
      </c>
      <c r="AM52" s="20">
        <v>0</v>
      </c>
      <c r="AN52" s="20">
        <v>0</v>
      </c>
      <c r="AO52" s="20">
        <v>0</v>
      </c>
      <c r="AP52" s="20">
        <v>1</v>
      </c>
      <c r="AQ52" s="37">
        <v>30.000019758015657</v>
      </c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</row>
    <row r="53" spans="1:55" s="19" customFormat="1" ht="12.75" x14ac:dyDescent="0.2">
      <c r="A53" s="18" t="s">
        <v>61</v>
      </c>
      <c r="B53" s="19">
        <v>46</v>
      </c>
      <c r="C53" s="19">
        <v>25</v>
      </c>
      <c r="D53" s="19">
        <v>150</v>
      </c>
      <c r="E53" s="19">
        <v>268</v>
      </c>
      <c r="F53" s="19">
        <v>57</v>
      </c>
      <c r="G53" s="20">
        <v>6.9820424902820589E-5</v>
      </c>
      <c r="H53" s="20">
        <v>3.7843524594506632E-5</v>
      </c>
      <c r="I53" s="20">
        <v>2.2569661259477377E-4</v>
      </c>
      <c r="J53" s="20">
        <v>4.08048917147799E-4</v>
      </c>
      <c r="K53" s="20">
        <v>8.65374980642928E-5</v>
      </c>
      <c r="L53" s="19">
        <v>46</v>
      </c>
      <c r="M53" s="19">
        <v>25</v>
      </c>
      <c r="N53" s="19">
        <v>150</v>
      </c>
      <c r="O53" s="19">
        <v>268</v>
      </c>
      <c r="P53" s="19">
        <v>57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W53" s="19">
        <v>1</v>
      </c>
      <c r="X53" s="19">
        <v>0</v>
      </c>
      <c r="Y53" s="19">
        <v>0</v>
      </c>
      <c r="Z53" s="19">
        <v>16</v>
      </c>
      <c r="AA53" s="19">
        <v>268</v>
      </c>
      <c r="AB53" s="20">
        <v>2.2152466566389833E-6</v>
      </c>
      <c r="AC53" s="20">
        <v>0</v>
      </c>
      <c r="AD53" s="20">
        <v>0</v>
      </c>
      <c r="AE53" s="20">
        <v>2.438730701638065E-5</v>
      </c>
      <c r="AF53" s="20">
        <v>4.08048917147799E-4</v>
      </c>
      <c r="AG53" s="19">
        <v>1</v>
      </c>
      <c r="AH53" s="19">
        <v>0</v>
      </c>
      <c r="AI53" s="19">
        <v>0</v>
      </c>
      <c r="AJ53" s="19">
        <v>16</v>
      </c>
      <c r="AK53" s="19">
        <v>268</v>
      </c>
      <c r="AL53" s="20">
        <v>1</v>
      </c>
      <c r="AM53" s="20">
        <v>0</v>
      </c>
      <c r="AN53" s="20">
        <v>0</v>
      </c>
      <c r="AO53" s="20">
        <v>1</v>
      </c>
      <c r="AP53" s="20">
        <v>1</v>
      </c>
      <c r="AQ53" s="37">
        <v>1670.0012625984482</v>
      </c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</row>
    <row r="54" spans="1:55" s="21" customFormat="1" ht="12.75" x14ac:dyDescent="0.2">
      <c r="A54" s="1" t="s">
        <v>62</v>
      </c>
      <c r="B54" s="21">
        <v>658833</v>
      </c>
      <c r="C54" s="21">
        <v>660615</v>
      </c>
      <c r="D54" s="21">
        <v>664609</v>
      </c>
      <c r="E54" s="21">
        <v>656784</v>
      </c>
      <c r="F54" s="21">
        <v>658674</v>
      </c>
      <c r="G54" s="22">
        <v>1</v>
      </c>
      <c r="H54" s="22">
        <v>1</v>
      </c>
      <c r="I54" s="22">
        <v>1</v>
      </c>
      <c r="J54" s="22">
        <v>1</v>
      </c>
      <c r="K54" s="22">
        <v>1</v>
      </c>
      <c r="L54" s="21">
        <v>416132</v>
      </c>
      <c r="M54" s="21">
        <v>420235</v>
      </c>
      <c r="N54" s="21">
        <v>420552</v>
      </c>
      <c r="O54" s="21">
        <v>418592</v>
      </c>
      <c r="P54" s="21">
        <v>423059</v>
      </c>
      <c r="Q54" s="22">
        <v>0.63161984903609869</v>
      </c>
      <c r="R54" s="22">
        <v>0.63612694231889977</v>
      </c>
      <c r="S54" s="22">
        <v>0.63278107879971535</v>
      </c>
      <c r="T54" s="22">
        <v>0.63733586689078903</v>
      </c>
      <c r="U54" s="22">
        <v>0.64228890164178332</v>
      </c>
      <c r="W54" s="21">
        <v>451417</v>
      </c>
      <c r="X54" s="21">
        <v>656021</v>
      </c>
      <c r="Y54" s="21">
        <v>645096</v>
      </c>
      <c r="Z54" s="21">
        <v>656079</v>
      </c>
      <c r="AA54" s="21">
        <v>656784</v>
      </c>
      <c r="AB54" s="22">
        <v>1</v>
      </c>
      <c r="AC54" s="22">
        <v>1</v>
      </c>
      <c r="AD54" s="22">
        <v>1</v>
      </c>
      <c r="AE54" s="22">
        <v>1</v>
      </c>
      <c r="AF54" s="22">
        <v>1</v>
      </c>
      <c r="AG54" s="21">
        <v>269133</v>
      </c>
      <c r="AH54" s="21">
        <v>367527</v>
      </c>
      <c r="AI54" s="21">
        <v>372978</v>
      </c>
      <c r="AJ54" s="21">
        <v>408107</v>
      </c>
      <c r="AK54" s="21">
        <v>418592</v>
      </c>
      <c r="AL54" s="22">
        <v>0.59619597844121952</v>
      </c>
      <c r="AM54" s="22">
        <v>0.56023663876613705</v>
      </c>
      <c r="AN54" s="22">
        <v>0.57817441125041857</v>
      </c>
      <c r="AO54" s="22">
        <v>0.62203941903337856</v>
      </c>
      <c r="AP54" s="22">
        <v>0.63733586689078903</v>
      </c>
      <c r="AQ54" s="37">
        <v>10299835.174134953</v>
      </c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</row>
    <row r="55" spans="1:55" s="19" customFormat="1" ht="12.75" x14ac:dyDescent="0.2">
      <c r="A55" s="23"/>
      <c r="AQ55" s="37">
        <v>1</v>
      </c>
    </row>
    <row r="56" spans="1:55" s="19" customFormat="1" ht="12.75" x14ac:dyDescent="0.2">
      <c r="A56" s="1" t="s">
        <v>63</v>
      </c>
      <c r="AQ56" s="37">
        <v>1</v>
      </c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</row>
    <row r="57" spans="1:55" s="25" customFormat="1" ht="12.75" x14ac:dyDescent="0.2">
      <c r="A57" s="24" t="s">
        <v>64</v>
      </c>
      <c r="B57" s="25" t="s">
        <v>10</v>
      </c>
      <c r="C57" s="25" t="s">
        <v>11</v>
      </c>
      <c r="D57" s="25" t="s">
        <v>12</v>
      </c>
      <c r="E57" s="25" t="s">
        <v>164</v>
      </c>
      <c r="F57" s="25" t="s">
        <v>195</v>
      </c>
      <c r="G57" s="25" t="s">
        <v>10</v>
      </c>
      <c r="H57" s="25" t="s">
        <v>11</v>
      </c>
      <c r="I57" s="25" t="s">
        <v>12</v>
      </c>
      <c r="J57" s="25" t="s">
        <v>164</v>
      </c>
      <c r="K57" s="25" t="s">
        <v>195</v>
      </c>
      <c r="L57" s="25" t="s">
        <v>10</v>
      </c>
      <c r="M57" s="25" t="s">
        <v>11</v>
      </c>
      <c r="N57" s="25" t="s">
        <v>12</v>
      </c>
      <c r="O57" s="25" t="s">
        <v>164</v>
      </c>
      <c r="P57" s="25" t="s">
        <v>195</v>
      </c>
      <c r="Q57" s="25" t="s">
        <v>10</v>
      </c>
      <c r="R57" s="25" t="s">
        <v>11</v>
      </c>
      <c r="S57" s="25" t="s">
        <v>12</v>
      </c>
      <c r="T57" s="25" t="s">
        <v>164</v>
      </c>
      <c r="U57" s="25" t="s">
        <v>195</v>
      </c>
      <c r="W57" s="25" t="s">
        <v>13</v>
      </c>
      <c r="X57" s="25" t="s">
        <v>14</v>
      </c>
      <c r="Y57" s="25" t="s">
        <v>15</v>
      </c>
      <c r="Z57" s="25" t="s">
        <v>16</v>
      </c>
      <c r="AA57" s="25" t="s">
        <v>165</v>
      </c>
      <c r="AB57" s="25" t="s">
        <v>13</v>
      </c>
      <c r="AC57" s="25" t="s">
        <v>14</v>
      </c>
      <c r="AD57" s="25" t="s">
        <v>15</v>
      </c>
      <c r="AE57" s="25" t="s">
        <v>16</v>
      </c>
      <c r="AF57" s="25" t="s">
        <v>165</v>
      </c>
      <c r="AG57" s="25" t="s">
        <v>13</v>
      </c>
      <c r="AH57" s="25" t="s">
        <v>14</v>
      </c>
      <c r="AI57" s="25" t="s">
        <v>15</v>
      </c>
      <c r="AJ57" s="25" t="s">
        <v>16</v>
      </c>
      <c r="AK57" s="25" t="s">
        <v>165</v>
      </c>
      <c r="AL57" s="25" t="s">
        <v>13</v>
      </c>
      <c r="AM57" s="25" t="s">
        <v>14</v>
      </c>
      <c r="AN57" s="25" t="s">
        <v>15</v>
      </c>
      <c r="AO57" s="25" t="s">
        <v>16</v>
      </c>
      <c r="AP57" s="25" t="s">
        <v>165</v>
      </c>
      <c r="AQ57" s="37">
        <v>1</v>
      </c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</row>
    <row r="58" spans="1:55" s="19" customFormat="1" ht="12.75" x14ac:dyDescent="0.2">
      <c r="A58" s="18" t="s">
        <v>18</v>
      </c>
      <c r="B58" s="19">
        <v>11014</v>
      </c>
      <c r="C58" s="19">
        <v>11219</v>
      </c>
      <c r="D58" s="19">
        <v>10538</v>
      </c>
      <c r="E58" s="19">
        <v>10531</v>
      </c>
      <c r="F58" s="19">
        <v>10583</v>
      </c>
      <c r="G58" s="20">
        <v>0.82607065176629413</v>
      </c>
      <c r="H58" s="20">
        <v>0.82772613250700899</v>
      </c>
      <c r="I58" s="20">
        <v>0.810054577600123</v>
      </c>
      <c r="J58" s="20">
        <v>0.80957872078720783</v>
      </c>
      <c r="K58" s="20">
        <v>0.81070936111536696</v>
      </c>
      <c r="L58" s="19">
        <v>1750</v>
      </c>
      <c r="M58" s="19">
        <v>1863</v>
      </c>
      <c r="N58" s="19">
        <v>1734</v>
      </c>
      <c r="O58" s="19">
        <v>2057</v>
      </c>
      <c r="P58" s="19">
        <v>2201</v>
      </c>
      <c r="Q58" s="20">
        <v>0.15888868712547666</v>
      </c>
      <c r="R58" s="20">
        <v>0.16605758088956235</v>
      </c>
      <c r="S58" s="20">
        <v>0.16454735243879293</v>
      </c>
      <c r="T58" s="20">
        <v>0.19532807900484284</v>
      </c>
      <c r="U58" s="20">
        <v>0.20797505433241992</v>
      </c>
      <c r="W58" s="19">
        <v>11194</v>
      </c>
      <c r="X58" s="19">
        <v>10760</v>
      </c>
      <c r="Y58" s="19">
        <v>10489</v>
      </c>
      <c r="Z58" s="19">
        <v>10879</v>
      </c>
      <c r="AA58" s="19">
        <v>10531</v>
      </c>
      <c r="AB58" s="20">
        <v>0.89230769230769236</v>
      </c>
      <c r="AC58" s="20">
        <v>0.84891518737672589</v>
      </c>
      <c r="AD58" s="20">
        <v>0.83985907598686849</v>
      </c>
      <c r="AE58" s="20">
        <v>0.82573055028462994</v>
      </c>
      <c r="AF58" s="20">
        <v>0.80957872078720783</v>
      </c>
      <c r="AG58" s="19">
        <v>1299</v>
      </c>
      <c r="AH58" s="19">
        <v>1489</v>
      </c>
      <c r="AI58" s="19">
        <v>1667</v>
      </c>
      <c r="AJ58" s="19">
        <v>1678</v>
      </c>
      <c r="AK58" s="19">
        <v>2057</v>
      </c>
      <c r="AL58" s="20">
        <v>0.11604430945149187</v>
      </c>
      <c r="AM58" s="20">
        <v>0.13838289962825279</v>
      </c>
      <c r="AN58" s="20">
        <v>0.15892840118219087</v>
      </c>
      <c r="AO58" s="20">
        <v>0.15424211784171341</v>
      </c>
      <c r="AP58" s="20">
        <v>0.19532807900484284</v>
      </c>
      <c r="AQ58" s="37">
        <v>125542.95625323144</v>
      </c>
    </row>
    <row r="59" spans="1:55" s="19" customFormat="1" ht="12.75" x14ac:dyDescent="0.2">
      <c r="A59" s="18" t="s">
        <v>29</v>
      </c>
      <c r="B59" s="19">
        <v>0</v>
      </c>
      <c r="C59" s="19">
        <v>0</v>
      </c>
      <c r="D59" s="19">
        <v>1</v>
      </c>
      <c r="E59" s="19">
        <v>12</v>
      </c>
      <c r="F59" s="19">
        <v>3</v>
      </c>
      <c r="G59" s="20">
        <v>0</v>
      </c>
      <c r="H59" s="20">
        <v>0</v>
      </c>
      <c r="I59" s="20">
        <v>7.6869859328157432E-5</v>
      </c>
      <c r="J59" s="20">
        <v>9.225092250922509E-4</v>
      </c>
      <c r="K59" s="20">
        <v>2.2981461620959093E-4</v>
      </c>
      <c r="L59" s="19">
        <v>0</v>
      </c>
      <c r="M59" s="19">
        <v>0</v>
      </c>
      <c r="N59" s="19">
        <v>1</v>
      </c>
      <c r="O59" s="19">
        <v>12</v>
      </c>
      <c r="P59" s="19">
        <v>3</v>
      </c>
      <c r="Q59" s="20">
        <v>0</v>
      </c>
      <c r="R59" s="20">
        <v>0</v>
      </c>
      <c r="S59" s="20">
        <v>1</v>
      </c>
      <c r="T59" s="20">
        <v>1</v>
      </c>
      <c r="U59" s="20">
        <v>1</v>
      </c>
      <c r="W59" s="19">
        <v>0</v>
      </c>
      <c r="X59" s="19">
        <v>0</v>
      </c>
      <c r="Y59" s="19">
        <v>0</v>
      </c>
      <c r="Z59" s="19">
        <v>0</v>
      </c>
      <c r="AA59" s="19">
        <v>12</v>
      </c>
      <c r="AB59" s="20">
        <v>0</v>
      </c>
      <c r="AC59" s="20">
        <v>0</v>
      </c>
      <c r="AD59" s="20">
        <v>0</v>
      </c>
      <c r="AE59" s="20">
        <v>0</v>
      </c>
      <c r="AF59" s="20">
        <v>9.225092250922509E-4</v>
      </c>
      <c r="AG59" s="19">
        <v>0</v>
      </c>
      <c r="AH59" s="19">
        <v>0</v>
      </c>
      <c r="AI59" s="19">
        <v>0</v>
      </c>
      <c r="AJ59" s="19">
        <v>0</v>
      </c>
      <c r="AK59" s="19">
        <v>12</v>
      </c>
      <c r="AL59" s="20">
        <v>0</v>
      </c>
      <c r="AM59" s="20">
        <v>0</v>
      </c>
      <c r="AN59" s="20">
        <v>0</v>
      </c>
      <c r="AO59" s="20">
        <v>0</v>
      </c>
      <c r="AP59" s="20">
        <v>1</v>
      </c>
      <c r="AQ59" s="37">
        <v>60.002151702925715</v>
      </c>
    </row>
    <row r="60" spans="1:55" s="19" customFormat="1" ht="12.75" x14ac:dyDescent="0.2">
      <c r="A60" s="18" t="s">
        <v>30</v>
      </c>
      <c r="B60" s="19">
        <v>412</v>
      </c>
      <c r="C60" s="19">
        <v>446</v>
      </c>
      <c r="D60" s="19">
        <v>455</v>
      </c>
      <c r="E60" s="19">
        <v>396</v>
      </c>
      <c r="F60" s="19">
        <v>367</v>
      </c>
      <c r="G60" s="20">
        <v>3.0900772519312981E-2</v>
      </c>
      <c r="H60" s="20">
        <v>3.2905415375534895E-2</v>
      </c>
      <c r="I60" s="20">
        <v>3.4975785994311628E-2</v>
      </c>
      <c r="J60" s="20">
        <v>3.0442804428044281E-2</v>
      </c>
      <c r="K60" s="20">
        <v>2.8113988049639958E-2</v>
      </c>
      <c r="L60" s="19">
        <v>401</v>
      </c>
      <c r="M60" s="19">
        <v>435</v>
      </c>
      <c r="N60" s="19">
        <v>444</v>
      </c>
      <c r="O60" s="19">
        <v>387</v>
      </c>
      <c r="P60" s="19">
        <v>358</v>
      </c>
      <c r="Q60" s="20">
        <v>0.97330097087378642</v>
      </c>
      <c r="R60" s="20">
        <v>0.9753363228699552</v>
      </c>
      <c r="S60" s="20">
        <v>0.9758241758241758</v>
      </c>
      <c r="T60" s="20">
        <v>0.97727272727272729</v>
      </c>
      <c r="U60" s="20">
        <v>0.97547683923705719</v>
      </c>
      <c r="W60" s="19">
        <v>264</v>
      </c>
      <c r="X60" s="19">
        <v>224</v>
      </c>
      <c r="Y60" s="19">
        <v>256</v>
      </c>
      <c r="Z60" s="19">
        <v>396</v>
      </c>
      <c r="AA60" s="19">
        <v>396</v>
      </c>
      <c r="AB60" s="20">
        <v>2.1044240733359903E-2</v>
      </c>
      <c r="AC60" s="20">
        <v>1.7672583826429979E-2</v>
      </c>
      <c r="AD60" s="20">
        <v>2.0498038273680838E-2</v>
      </c>
      <c r="AE60" s="20">
        <v>3.0056925996204933E-2</v>
      </c>
      <c r="AF60" s="20">
        <v>3.0442804428044281E-2</v>
      </c>
      <c r="AG60" s="19">
        <v>248</v>
      </c>
      <c r="AH60" s="19">
        <v>209</v>
      </c>
      <c r="AI60" s="19">
        <v>250</v>
      </c>
      <c r="AJ60" s="19">
        <v>382</v>
      </c>
      <c r="AK60" s="19">
        <v>387</v>
      </c>
      <c r="AL60" s="20">
        <v>0.93939393939393945</v>
      </c>
      <c r="AM60" s="20">
        <v>0.9330357142857143</v>
      </c>
      <c r="AN60" s="20">
        <v>0.9765625</v>
      </c>
      <c r="AO60" s="20">
        <v>0.96464646464646464</v>
      </c>
      <c r="AP60" s="20">
        <v>0.97727272727272729</v>
      </c>
      <c r="AQ60" s="37">
        <v>7122.9451757413017</v>
      </c>
    </row>
    <row r="61" spans="1:55" s="19" customFormat="1" ht="12.75" x14ac:dyDescent="0.2">
      <c r="A61" s="18" t="s">
        <v>80</v>
      </c>
      <c r="B61" s="19">
        <v>23</v>
      </c>
      <c r="C61" s="19">
        <v>27</v>
      </c>
      <c r="D61" s="19">
        <v>38</v>
      </c>
      <c r="E61" s="19">
        <v>34</v>
      </c>
      <c r="F61" s="19">
        <v>37</v>
      </c>
      <c r="G61" s="20">
        <v>1.7250431260781519E-3</v>
      </c>
      <c r="H61" s="20">
        <v>1.9920318725099601E-3</v>
      </c>
      <c r="I61" s="20">
        <v>2.9210546544699823E-3</v>
      </c>
      <c r="J61" s="20">
        <v>2.6137761377613778E-3</v>
      </c>
      <c r="K61" s="20">
        <v>2.8343802665849547E-3</v>
      </c>
      <c r="L61" s="19">
        <v>18</v>
      </c>
      <c r="M61" s="19">
        <v>22</v>
      </c>
      <c r="N61" s="19">
        <v>26</v>
      </c>
      <c r="O61" s="19">
        <v>30</v>
      </c>
      <c r="P61" s="19">
        <v>30</v>
      </c>
      <c r="Q61" s="20">
        <v>0.78260869565217395</v>
      </c>
      <c r="R61" s="20">
        <v>0.81481481481481477</v>
      </c>
      <c r="S61" s="20">
        <v>0.68421052631578949</v>
      </c>
      <c r="T61" s="20">
        <v>0.88235294117647056</v>
      </c>
      <c r="U61" s="20">
        <v>0.81081081081081086</v>
      </c>
      <c r="W61" s="19">
        <v>14</v>
      </c>
      <c r="X61" s="19">
        <v>26</v>
      </c>
      <c r="Y61" s="19">
        <v>27</v>
      </c>
      <c r="Z61" s="19">
        <v>34</v>
      </c>
      <c r="AA61" s="19">
        <v>34</v>
      </c>
      <c r="AB61" s="20">
        <v>1.1159824631327222E-3</v>
      </c>
      <c r="AC61" s="20">
        <v>2.0512820512820513E-3</v>
      </c>
      <c r="AD61" s="20">
        <v>2.1619024741772758E-3</v>
      </c>
      <c r="AE61" s="20">
        <v>2.5806451612903226E-3</v>
      </c>
      <c r="AF61" s="20">
        <v>2.6137761377613778E-3</v>
      </c>
      <c r="AG61" s="19">
        <v>13</v>
      </c>
      <c r="AH61" s="19">
        <v>26</v>
      </c>
      <c r="AI61" s="19">
        <v>26</v>
      </c>
      <c r="AJ61" s="19">
        <v>32</v>
      </c>
      <c r="AK61" s="19">
        <v>30</v>
      </c>
      <c r="AL61" s="20">
        <v>0.9285714285714286</v>
      </c>
      <c r="AM61" s="20">
        <v>1</v>
      </c>
      <c r="AN61" s="20">
        <v>0.96296296296296291</v>
      </c>
      <c r="AO61" s="20">
        <v>0.94117647058823528</v>
      </c>
      <c r="AP61" s="20">
        <v>0.88235294117647056</v>
      </c>
      <c r="AQ61" s="37">
        <v>555.71247146641429</v>
      </c>
    </row>
    <row r="62" spans="1:55" s="19" customFormat="1" ht="12.75" x14ac:dyDescent="0.2">
      <c r="A62" s="18" t="s">
        <v>40</v>
      </c>
      <c r="B62" s="19">
        <v>1</v>
      </c>
      <c r="C62" s="19">
        <v>0</v>
      </c>
      <c r="D62" s="19">
        <v>0</v>
      </c>
      <c r="E62" s="19">
        <v>0</v>
      </c>
      <c r="F62" s="19">
        <v>0</v>
      </c>
      <c r="G62" s="20">
        <v>7.5001875046876168E-5</v>
      </c>
      <c r="H62" s="20">
        <v>0</v>
      </c>
      <c r="I62" s="20">
        <v>0</v>
      </c>
      <c r="J62" s="20">
        <v>0</v>
      </c>
      <c r="K62" s="20">
        <v>0</v>
      </c>
      <c r="L62" s="19">
        <v>1</v>
      </c>
      <c r="M62" s="19">
        <v>0</v>
      </c>
      <c r="N62" s="19">
        <v>0</v>
      </c>
      <c r="O62" s="19">
        <v>0</v>
      </c>
      <c r="P62" s="19">
        <v>0</v>
      </c>
      <c r="Q62" s="20">
        <v>1</v>
      </c>
      <c r="R62" s="20">
        <v>0</v>
      </c>
      <c r="S62" s="20">
        <v>0</v>
      </c>
      <c r="T62" s="20">
        <v>0</v>
      </c>
      <c r="U62" s="20">
        <v>0</v>
      </c>
      <c r="W62" s="19">
        <v>31</v>
      </c>
      <c r="X62" s="19">
        <v>0</v>
      </c>
      <c r="Y62" s="19">
        <v>0</v>
      </c>
      <c r="Z62" s="19">
        <v>2</v>
      </c>
      <c r="AA62" s="19">
        <v>0</v>
      </c>
      <c r="AB62" s="20">
        <v>2.4711040255081707E-3</v>
      </c>
      <c r="AC62" s="20">
        <v>0</v>
      </c>
      <c r="AD62" s="20">
        <v>0</v>
      </c>
      <c r="AE62" s="20">
        <v>1.5180265654648957E-4</v>
      </c>
      <c r="AF62" s="20">
        <v>0</v>
      </c>
      <c r="AG62" s="19">
        <v>0</v>
      </c>
      <c r="AH62" s="19">
        <v>0</v>
      </c>
      <c r="AI62" s="19">
        <v>0</v>
      </c>
      <c r="AJ62" s="19">
        <v>2</v>
      </c>
      <c r="AK62" s="19">
        <v>0</v>
      </c>
      <c r="AL62" s="20">
        <v>0</v>
      </c>
      <c r="AM62" s="20">
        <v>0</v>
      </c>
      <c r="AN62" s="20">
        <v>0</v>
      </c>
      <c r="AO62" s="20">
        <v>1</v>
      </c>
      <c r="AP62" s="20">
        <v>0</v>
      </c>
      <c r="AQ62" s="37">
        <v>39.002697908557103</v>
      </c>
    </row>
    <row r="63" spans="1:55" s="19" customFormat="1" ht="12.75" x14ac:dyDescent="0.2">
      <c r="A63" s="18" t="s">
        <v>41</v>
      </c>
      <c r="B63" s="19">
        <v>87</v>
      </c>
      <c r="C63" s="19">
        <v>92</v>
      </c>
      <c r="D63" s="19">
        <v>89</v>
      </c>
      <c r="E63" s="19">
        <v>89</v>
      </c>
      <c r="F63" s="19">
        <v>85</v>
      </c>
      <c r="G63" s="20">
        <v>6.5251631290782269E-3</v>
      </c>
      <c r="H63" s="20">
        <v>6.7876641581820869E-3</v>
      </c>
      <c r="I63" s="20">
        <v>6.8414174802060111E-3</v>
      </c>
      <c r="J63" s="20">
        <v>6.8419434194341945E-3</v>
      </c>
      <c r="K63" s="20">
        <v>6.51141412593841E-3</v>
      </c>
      <c r="L63" s="19">
        <v>85</v>
      </c>
      <c r="M63" s="19">
        <v>90</v>
      </c>
      <c r="N63" s="19">
        <v>86</v>
      </c>
      <c r="O63" s="19">
        <v>88</v>
      </c>
      <c r="P63" s="19">
        <v>82</v>
      </c>
      <c r="Q63" s="20">
        <v>0.97701149425287359</v>
      </c>
      <c r="R63" s="20">
        <v>0.97826086956521741</v>
      </c>
      <c r="S63" s="20">
        <v>0.9662921348314607</v>
      </c>
      <c r="T63" s="20">
        <v>0.9887640449438202</v>
      </c>
      <c r="U63" s="20">
        <v>0.96470588235294119</v>
      </c>
      <c r="W63" s="19">
        <v>0</v>
      </c>
      <c r="X63" s="19">
        <v>61</v>
      </c>
      <c r="Y63" s="19">
        <v>98</v>
      </c>
      <c r="Z63" s="19">
        <v>59</v>
      </c>
      <c r="AA63" s="19">
        <v>89</v>
      </c>
      <c r="AB63" s="20">
        <v>0</v>
      </c>
      <c r="AC63" s="20">
        <v>4.8126232741617361E-3</v>
      </c>
      <c r="AD63" s="20">
        <v>7.8469052766434455E-3</v>
      </c>
      <c r="AE63" s="20">
        <v>4.4781783681214424E-3</v>
      </c>
      <c r="AF63" s="20">
        <v>6.8419434194341945E-3</v>
      </c>
      <c r="AG63" s="19">
        <v>0</v>
      </c>
      <c r="AH63" s="19">
        <v>60</v>
      </c>
      <c r="AI63" s="19">
        <v>98</v>
      </c>
      <c r="AJ63" s="19">
        <v>58</v>
      </c>
      <c r="AK63" s="19">
        <v>88</v>
      </c>
      <c r="AL63" s="20">
        <v>0</v>
      </c>
      <c r="AM63" s="20">
        <v>0.98360655737704916</v>
      </c>
      <c r="AN63" s="20">
        <v>1</v>
      </c>
      <c r="AO63" s="20">
        <v>0.98305084745762716</v>
      </c>
      <c r="AP63" s="20">
        <v>0.9887640449438202</v>
      </c>
      <c r="AQ63" s="37">
        <v>1492.8879431283758</v>
      </c>
    </row>
    <row r="64" spans="1:55" s="19" customFormat="1" ht="12.75" x14ac:dyDescent="0.2">
      <c r="A64" s="18" t="s">
        <v>43</v>
      </c>
      <c r="B64" s="19">
        <v>1729</v>
      </c>
      <c r="C64" s="19">
        <v>1702</v>
      </c>
      <c r="D64" s="19">
        <v>1816</v>
      </c>
      <c r="E64" s="19">
        <v>1872</v>
      </c>
      <c r="F64" s="19">
        <v>1902</v>
      </c>
      <c r="G64" s="20">
        <v>0.12967824195604891</v>
      </c>
      <c r="H64" s="20">
        <v>0.12557178692636861</v>
      </c>
      <c r="I64" s="20">
        <v>0.13959566453993388</v>
      </c>
      <c r="J64" s="20">
        <v>0.14391143911439114</v>
      </c>
      <c r="K64" s="20">
        <v>0.14570246667688064</v>
      </c>
      <c r="L64" s="19">
        <v>1626</v>
      </c>
      <c r="M64" s="19">
        <v>1591</v>
      </c>
      <c r="N64" s="19">
        <v>1674</v>
      </c>
      <c r="O64" s="19">
        <v>1714</v>
      </c>
      <c r="P64" s="19">
        <v>1751</v>
      </c>
      <c r="Q64" s="20">
        <v>0.94042799305957203</v>
      </c>
      <c r="R64" s="20">
        <v>0.93478260869565222</v>
      </c>
      <c r="S64" s="20">
        <v>0.92180616740088106</v>
      </c>
      <c r="T64" s="20">
        <v>0.91559829059829057</v>
      </c>
      <c r="U64" s="20">
        <v>0.92060988433228186</v>
      </c>
      <c r="W64" s="19">
        <v>618</v>
      </c>
      <c r="X64" s="19">
        <v>1237</v>
      </c>
      <c r="Y64" s="19">
        <v>1458</v>
      </c>
      <c r="Z64" s="19">
        <v>1683</v>
      </c>
      <c r="AA64" s="19">
        <v>1872</v>
      </c>
      <c r="AB64" s="20">
        <v>4.9262654444001595E-2</v>
      </c>
      <c r="AC64" s="20">
        <v>9.7593688362919137E-2</v>
      </c>
      <c r="AD64" s="20">
        <v>0.1167427336055729</v>
      </c>
      <c r="AE64" s="20">
        <v>0.12774193548387097</v>
      </c>
      <c r="AF64" s="20">
        <v>0.14391143911439114</v>
      </c>
      <c r="AG64" s="19">
        <v>610</v>
      </c>
      <c r="AH64" s="19">
        <v>1213</v>
      </c>
      <c r="AI64" s="19">
        <v>1403</v>
      </c>
      <c r="AJ64" s="19">
        <v>1590</v>
      </c>
      <c r="AK64" s="19">
        <v>1714</v>
      </c>
      <c r="AL64" s="20">
        <v>0.98705501618122982</v>
      </c>
      <c r="AM64" s="20">
        <v>0.98059822150363785</v>
      </c>
      <c r="AN64" s="20">
        <v>0.9622770919067215</v>
      </c>
      <c r="AO64" s="20">
        <v>0.94474153297682706</v>
      </c>
      <c r="AP64" s="20">
        <v>0.91559829059829057</v>
      </c>
      <c r="AQ64" s="37">
        <v>30785.64320714747</v>
      </c>
    </row>
    <row r="65" spans="1:55" s="19" customFormat="1" ht="12.75" x14ac:dyDescent="0.2">
      <c r="A65" s="18" t="s">
        <v>126</v>
      </c>
      <c r="B65" s="19">
        <v>54</v>
      </c>
      <c r="C65" s="19">
        <v>51</v>
      </c>
      <c r="D65" s="19">
        <v>55</v>
      </c>
      <c r="E65" s="19">
        <v>53</v>
      </c>
      <c r="F65" s="19">
        <v>55</v>
      </c>
      <c r="G65" s="20">
        <v>4.0501012525313131E-3</v>
      </c>
      <c r="H65" s="20">
        <v>3.7627268702965914E-3</v>
      </c>
      <c r="I65" s="20">
        <v>4.2278422630486583E-3</v>
      </c>
      <c r="J65" s="20">
        <v>4.0744157441574419E-3</v>
      </c>
      <c r="K65" s="20">
        <v>4.2132679638425003E-3</v>
      </c>
      <c r="L65" s="19">
        <v>46</v>
      </c>
      <c r="M65" s="19">
        <v>44</v>
      </c>
      <c r="N65" s="19">
        <v>50</v>
      </c>
      <c r="O65" s="19">
        <v>48</v>
      </c>
      <c r="P65" s="19">
        <v>51</v>
      </c>
      <c r="Q65" s="20">
        <v>0.85185185185185186</v>
      </c>
      <c r="R65" s="20">
        <v>0.86274509803921573</v>
      </c>
      <c r="S65" s="20">
        <v>0.90909090909090906</v>
      </c>
      <c r="T65" s="20">
        <v>0.90566037735849059</v>
      </c>
      <c r="U65" s="20">
        <v>0.92727272727272725</v>
      </c>
      <c r="W65" s="19">
        <v>380</v>
      </c>
      <c r="X65" s="19">
        <v>302</v>
      </c>
      <c r="Y65" s="19">
        <v>121</v>
      </c>
      <c r="Z65" s="19">
        <v>99</v>
      </c>
      <c r="AA65" s="19">
        <v>53</v>
      </c>
      <c r="AB65" s="20">
        <v>3.0290952570745319E-2</v>
      </c>
      <c r="AC65" s="20">
        <v>2.3826429980276134E-2</v>
      </c>
      <c r="AD65" s="20">
        <v>9.6885259027944589E-3</v>
      </c>
      <c r="AE65" s="20">
        <v>7.5142314990512332E-3</v>
      </c>
      <c r="AF65" s="20">
        <v>4.0744157441574419E-3</v>
      </c>
      <c r="AG65" s="19">
        <v>376</v>
      </c>
      <c r="AH65" s="19">
        <v>298</v>
      </c>
      <c r="AI65" s="19">
        <v>110</v>
      </c>
      <c r="AJ65" s="19">
        <v>91</v>
      </c>
      <c r="AK65" s="19">
        <v>48</v>
      </c>
      <c r="AL65" s="20">
        <v>0.98947368421052628</v>
      </c>
      <c r="AM65" s="20">
        <v>0.98675496688741726</v>
      </c>
      <c r="AN65" s="20">
        <v>0.90909090909090906</v>
      </c>
      <c r="AO65" s="20">
        <v>0.91919191919191923</v>
      </c>
      <c r="AP65" s="20">
        <v>0.90566037735849059</v>
      </c>
      <c r="AQ65" s="37">
        <v>2394.2625157301441</v>
      </c>
    </row>
    <row r="66" spans="1:55" s="19" customFormat="1" ht="12.75" x14ac:dyDescent="0.2">
      <c r="A66" s="18" t="s">
        <v>52</v>
      </c>
      <c r="B66" s="19">
        <v>12</v>
      </c>
      <c r="C66" s="19">
        <v>13</v>
      </c>
      <c r="D66" s="19">
        <v>13</v>
      </c>
      <c r="E66" s="19">
        <v>18</v>
      </c>
      <c r="F66" s="19">
        <v>15</v>
      </c>
      <c r="G66" s="20">
        <v>9.0002250056251407E-4</v>
      </c>
      <c r="H66" s="20">
        <v>9.5912645713442529E-4</v>
      </c>
      <c r="I66" s="20">
        <v>9.9930817126604667E-4</v>
      </c>
      <c r="J66" s="20">
        <v>1.3837638376383763E-3</v>
      </c>
      <c r="K66" s="20">
        <v>1.1490730810479546E-3</v>
      </c>
      <c r="L66" s="19">
        <v>12</v>
      </c>
      <c r="M66" s="19">
        <v>13</v>
      </c>
      <c r="N66" s="19">
        <v>13</v>
      </c>
      <c r="O66" s="19">
        <v>17</v>
      </c>
      <c r="P66" s="19">
        <v>15</v>
      </c>
      <c r="Q66" s="20">
        <v>1</v>
      </c>
      <c r="R66" s="20">
        <v>1</v>
      </c>
      <c r="S66" s="20">
        <v>1</v>
      </c>
      <c r="T66" s="20">
        <v>0.94444444444444442</v>
      </c>
      <c r="U66" s="20">
        <v>1</v>
      </c>
      <c r="W66" s="19">
        <v>41</v>
      </c>
      <c r="X66" s="19">
        <v>40</v>
      </c>
      <c r="Y66" s="19">
        <v>35</v>
      </c>
      <c r="Z66" s="19">
        <v>19</v>
      </c>
      <c r="AA66" s="19">
        <v>18</v>
      </c>
      <c r="AB66" s="20">
        <v>3.2682343563172579E-3</v>
      </c>
      <c r="AC66" s="20">
        <v>3.1558185404339249E-3</v>
      </c>
      <c r="AD66" s="20">
        <v>2.802466170229802E-3</v>
      </c>
      <c r="AE66" s="20">
        <v>1.4421252371916509E-3</v>
      </c>
      <c r="AF66" s="20">
        <v>1.3837638376383763E-3</v>
      </c>
      <c r="AG66" s="19">
        <v>41</v>
      </c>
      <c r="AH66" s="19">
        <v>40</v>
      </c>
      <c r="AI66" s="19">
        <v>35</v>
      </c>
      <c r="AJ66" s="19">
        <v>19</v>
      </c>
      <c r="AK66" s="19">
        <v>17</v>
      </c>
      <c r="AL66" s="20">
        <v>1</v>
      </c>
      <c r="AM66" s="20">
        <v>1</v>
      </c>
      <c r="AN66" s="20">
        <v>1</v>
      </c>
      <c r="AO66" s="20">
        <v>1</v>
      </c>
      <c r="AP66" s="20">
        <v>0.94444444444444442</v>
      </c>
      <c r="AQ66" s="37">
        <v>455.90633259107835</v>
      </c>
    </row>
    <row r="67" spans="1:55" s="19" customFormat="1" ht="12.75" x14ac:dyDescent="0.2">
      <c r="A67" s="18" t="s">
        <v>55</v>
      </c>
      <c r="B67" s="19">
        <v>1</v>
      </c>
      <c r="C67" s="19">
        <v>4</v>
      </c>
      <c r="D67" s="19">
        <v>4</v>
      </c>
      <c r="E67" s="19">
        <v>3</v>
      </c>
      <c r="F67" s="19">
        <v>7</v>
      </c>
      <c r="G67" s="20">
        <v>7.5001875046876168E-5</v>
      </c>
      <c r="H67" s="20">
        <v>2.9511583296443856E-4</v>
      </c>
      <c r="I67" s="20">
        <v>3.0747943731262973E-4</v>
      </c>
      <c r="J67" s="20">
        <v>2.3062730627306272E-4</v>
      </c>
      <c r="K67" s="20">
        <v>5.3623410448904547E-4</v>
      </c>
      <c r="L67" s="19">
        <v>1</v>
      </c>
      <c r="M67" s="19">
        <v>4</v>
      </c>
      <c r="N67" s="19">
        <v>4</v>
      </c>
      <c r="O67" s="19">
        <v>3</v>
      </c>
      <c r="P67" s="19">
        <v>7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W67" s="19">
        <v>3</v>
      </c>
      <c r="X67" s="19">
        <v>25</v>
      </c>
      <c r="Y67" s="19">
        <v>5</v>
      </c>
      <c r="Z67" s="19">
        <v>4</v>
      </c>
      <c r="AA67" s="19">
        <v>3</v>
      </c>
      <c r="AB67" s="20">
        <v>2.3913909924272618E-4</v>
      </c>
      <c r="AC67" s="20">
        <v>1.9723865877712033E-3</v>
      </c>
      <c r="AD67" s="20">
        <v>4.0035231003282887E-4</v>
      </c>
      <c r="AE67" s="20">
        <v>3.0360531309297915E-4</v>
      </c>
      <c r="AF67" s="20">
        <v>2.3062730627306272E-4</v>
      </c>
      <c r="AG67" s="19">
        <v>3</v>
      </c>
      <c r="AH67" s="19">
        <v>25</v>
      </c>
      <c r="AI67" s="19">
        <v>5</v>
      </c>
      <c r="AJ67" s="19">
        <v>4</v>
      </c>
      <c r="AK67" s="19">
        <v>3</v>
      </c>
      <c r="AL67" s="20">
        <v>1</v>
      </c>
      <c r="AM67" s="20">
        <v>1</v>
      </c>
      <c r="AN67" s="20">
        <v>1</v>
      </c>
      <c r="AO67" s="20">
        <v>1</v>
      </c>
      <c r="AP67" s="20">
        <v>1</v>
      </c>
      <c r="AQ67" s="37">
        <v>128.00459056917251</v>
      </c>
    </row>
    <row r="68" spans="1:55" s="27" customFormat="1" ht="12.75" x14ac:dyDescent="0.2">
      <c r="A68" s="26" t="s">
        <v>65</v>
      </c>
      <c r="B68" s="27">
        <v>13333</v>
      </c>
      <c r="C68" s="27">
        <v>13554</v>
      </c>
      <c r="D68" s="27">
        <v>13009</v>
      </c>
      <c r="E68" s="27">
        <v>13008</v>
      </c>
      <c r="F68" s="27">
        <v>13054</v>
      </c>
      <c r="G68" s="22">
        <v>1</v>
      </c>
      <c r="H68" s="22">
        <v>1</v>
      </c>
      <c r="I68" s="22">
        <v>1</v>
      </c>
      <c r="J68" s="22">
        <v>1</v>
      </c>
      <c r="K68" s="22">
        <v>1</v>
      </c>
      <c r="L68" s="27">
        <v>3940</v>
      </c>
      <c r="M68" s="27">
        <v>4062</v>
      </c>
      <c r="N68" s="27">
        <v>4032</v>
      </c>
      <c r="O68" s="27">
        <v>4356</v>
      </c>
      <c r="P68" s="27">
        <v>4498</v>
      </c>
      <c r="Q68" s="22">
        <v>0.29550738768469209</v>
      </c>
      <c r="R68" s="22">
        <v>0.29969012837538733</v>
      </c>
      <c r="S68" s="22">
        <v>0.30993927281113076</v>
      </c>
      <c r="T68" s="22">
        <v>0.3348708487084871</v>
      </c>
      <c r="U68" s="22">
        <v>0.34456871457024668</v>
      </c>
      <c r="W68" s="27">
        <v>12545</v>
      </c>
      <c r="X68" s="27">
        <v>12675</v>
      </c>
      <c r="Y68" s="27">
        <v>12489</v>
      </c>
      <c r="Z68" s="27">
        <v>13175</v>
      </c>
      <c r="AA68" s="27">
        <v>13008</v>
      </c>
      <c r="AB68" s="22">
        <v>1</v>
      </c>
      <c r="AC68" s="22">
        <v>1</v>
      </c>
      <c r="AD68" s="22">
        <v>1</v>
      </c>
      <c r="AE68" s="22">
        <v>1</v>
      </c>
      <c r="AF68" s="22">
        <v>1</v>
      </c>
      <c r="AG68" s="27">
        <v>2590</v>
      </c>
      <c r="AH68" s="27">
        <v>3360</v>
      </c>
      <c r="AI68" s="27">
        <v>3594</v>
      </c>
      <c r="AJ68" s="27">
        <v>3856</v>
      </c>
      <c r="AK68" s="27">
        <v>4356</v>
      </c>
      <c r="AL68" s="22">
        <v>0.2064567556795536</v>
      </c>
      <c r="AM68" s="22">
        <v>0.26508875739644971</v>
      </c>
      <c r="AN68" s="22">
        <v>0.28777324045159741</v>
      </c>
      <c r="AO68" s="22">
        <v>0.29267552182163187</v>
      </c>
      <c r="AP68" s="22">
        <v>0.3348708487084871</v>
      </c>
      <c r="AQ68" s="37">
        <v>168506.9714414762</v>
      </c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</row>
    <row r="69" spans="1:55" s="19" customFormat="1" ht="12.75" x14ac:dyDescent="0.2">
      <c r="A69" s="18"/>
      <c r="AB69" s="20"/>
      <c r="AC69" s="20"/>
      <c r="AD69" s="20"/>
      <c r="AE69" s="20"/>
      <c r="AF69" s="20"/>
      <c r="AL69" s="20"/>
      <c r="AM69" s="20"/>
      <c r="AN69" s="20"/>
      <c r="AO69" s="20"/>
      <c r="AP69" s="20"/>
      <c r="AQ69" s="37">
        <v>1</v>
      </c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</row>
    <row r="70" spans="1:55" s="25" customFormat="1" ht="12.75" x14ac:dyDescent="0.2">
      <c r="A70" s="28" t="s">
        <v>66</v>
      </c>
      <c r="B70" s="25" t="s">
        <v>10</v>
      </c>
      <c r="C70" s="25" t="s">
        <v>11</v>
      </c>
      <c r="D70" s="25" t="s">
        <v>12</v>
      </c>
      <c r="E70" s="25" t="s">
        <v>164</v>
      </c>
      <c r="F70" s="25" t="s">
        <v>195</v>
      </c>
      <c r="G70" s="25" t="s">
        <v>10</v>
      </c>
      <c r="H70" s="25" t="s">
        <v>11</v>
      </c>
      <c r="I70" s="25" t="s">
        <v>12</v>
      </c>
      <c r="J70" s="25" t="s">
        <v>164</v>
      </c>
      <c r="K70" s="25" t="s">
        <v>195</v>
      </c>
      <c r="L70" s="25" t="s">
        <v>10</v>
      </c>
      <c r="M70" s="25" t="s">
        <v>11</v>
      </c>
      <c r="N70" s="25" t="s">
        <v>12</v>
      </c>
      <c r="O70" s="25" t="s">
        <v>164</v>
      </c>
      <c r="P70" s="25" t="s">
        <v>195</v>
      </c>
      <c r="Q70" s="25" t="s">
        <v>10</v>
      </c>
      <c r="R70" s="25" t="s">
        <v>11</v>
      </c>
      <c r="S70" s="25" t="s">
        <v>12</v>
      </c>
      <c r="T70" s="25" t="s">
        <v>164</v>
      </c>
      <c r="U70" s="25" t="s">
        <v>195</v>
      </c>
      <c r="W70" s="25" t="s">
        <v>13</v>
      </c>
      <c r="X70" s="25" t="s">
        <v>14</v>
      </c>
      <c r="Y70" s="25" t="s">
        <v>15</v>
      </c>
      <c r="Z70" s="25" t="s">
        <v>16</v>
      </c>
      <c r="AA70" s="25" t="s">
        <v>165</v>
      </c>
      <c r="AB70" s="25" t="s">
        <v>13</v>
      </c>
      <c r="AC70" s="25" t="s">
        <v>14</v>
      </c>
      <c r="AD70" s="25" t="s">
        <v>15</v>
      </c>
      <c r="AE70" s="25" t="s">
        <v>16</v>
      </c>
      <c r="AF70" s="25" t="s">
        <v>165</v>
      </c>
      <c r="AG70" s="25" t="s">
        <v>13</v>
      </c>
      <c r="AH70" s="25" t="s">
        <v>14</v>
      </c>
      <c r="AI70" s="25" t="s">
        <v>15</v>
      </c>
      <c r="AJ70" s="25" t="s">
        <v>16</v>
      </c>
      <c r="AK70" s="25" t="s">
        <v>165</v>
      </c>
      <c r="AL70" s="25" t="s">
        <v>13</v>
      </c>
      <c r="AM70" s="25" t="s">
        <v>14</v>
      </c>
      <c r="AN70" s="25" t="s">
        <v>15</v>
      </c>
      <c r="AO70" s="25" t="s">
        <v>16</v>
      </c>
      <c r="AP70" s="25" t="s">
        <v>165</v>
      </c>
      <c r="AQ70" s="37">
        <v>1</v>
      </c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</row>
    <row r="71" spans="1:55" s="19" customFormat="1" ht="12.75" x14ac:dyDescent="0.2">
      <c r="A71" s="18" t="s">
        <v>17</v>
      </c>
      <c r="B71" s="19">
        <v>1316</v>
      </c>
      <c r="C71" s="19">
        <v>1288</v>
      </c>
      <c r="D71" s="19">
        <v>1262</v>
      </c>
      <c r="E71" s="19">
        <v>1118</v>
      </c>
      <c r="F71" s="19">
        <v>1265</v>
      </c>
      <c r="G71" s="20">
        <v>4.0441289450232013E-3</v>
      </c>
      <c r="H71" s="20">
        <v>3.9408987574542035E-3</v>
      </c>
      <c r="I71" s="20">
        <v>3.7951006513619661E-3</v>
      </c>
      <c r="J71" s="20">
        <v>3.4245106747940088E-3</v>
      </c>
      <c r="K71" s="20">
        <v>3.8670351304092637E-3</v>
      </c>
      <c r="L71" s="19">
        <v>1216</v>
      </c>
      <c r="M71" s="19">
        <v>1187</v>
      </c>
      <c r="N71" s="19">
        <v>1136</v>
      </c>
      <c r="O71" s="19">
        <v>987</v>
      </c>
      <c r="P71" s="19">
        <v>1108</v>
      </c>
      <c r="Q71" s="20">
        <v>0.92401215805471126</v>
      </c>
      <c r="R71" s="20">
        <v>0.92158385093167705</v>
      </c>
      <c r="S71" s="20">
        <v>0.90015847860538822</v>
      </c>
      <c r="T71" s="20">
        <v>0.88282647584973162</v>
      </c>
      <c r="U71" s="20">
        <v>0.87588932806324116</v>
      </c>
      <c r="W71" s="19">
        <v>0</v>
      </c>
      <c r="X71" s="19">
        <v>1813</v>
      </c>
      <c r="Y71" s="19">
        <v>2086</v>
      </c>
      <c r="Z71" s="19">
        <v>1417</v>
      </c>
      <c r="AA71" s="19">
        <v>1118</v>
      </c>
      <c r="AB71" s="20">
        <v>0</v>
      </c>
      <c r="AC71" s="20">
        <v>5.7975741645001711E-3</v>
      </c>
      <c r="AD71" s="20">
        <v>6.6664536128599279E-3</v>
      </c>
      <c r="AE71" s="20">
        <v>4.4078351836701682E-3</v>
      </c>
      <c r="AF71" s="20">
        <v>3.4245106747940088E-3</v>
      </c>
      <c r="AG71" s="19">
        <v>0</v>
      </c>
      <c r="AH71" s="19">
        <v>1813</v>
      </c>
      <c r="AI71" s="19">
        <v>1901</v>
      </c>
      <c r="AJ71" s="19">
        <v>1331</v>
      </c>
      <c r="AK71" s="19">
        <v>987</v>
      </c>
      <c r="AL71" s="20">
        <v>0</v>
      </c>
      <c r="AM71" s="20">
        <v>1</v>
      </c>
      <c r="AN71" s="20">
        <v>0.91131351869606902</v>
      </c>
      <c r="AO71" s="20">
        <v>0.93930839802399435</v>
      </c>
      <c r="AP71" s="20">
        <v>0.88282647584973162</v>
      </c>
      <c r="AQ71" s="37">
        <v>24357.277286731874</v>
      </c>
    </row>
    <row r="72" spans="1:55" s="19" customFormat="1" ht="12.75" x14ac:dyDescent="0.2">
      <c r="A72" s="18" t="s">
        <v>18</v>
      </c>
      <c r="B72" s="19">
        <v>1280</v>
      </c>
      <c r="C72" s="19">
        <v>1290</v>
      </c>
      <c r="D72" s="19">
        <v>1270</v>
      </c>
      <c r="E72" s="19">
        <v>1265</v>
      </c>
      <c r="F72" s="19">
        <v>1272</v>
      </c>
      <c r="G72" s="20">
        <v>3.9334992778341168E-3</v>
      </c>
      <c r="H72" s="20">
        <v>3.9470181654626731E-3</v>
      </c>
      <c r="I72" s="20">
        <v>3.8191583417034047E-3</v>
      </c>
      <c r="J72" s="20">
        <v>3.8747817563635251E-3</v>
      </c>
      <c r="K72" s="20">
        <v>3.8884337437791175E-3</v>
      </c>
      <c r="L72" s="19">
        <v>937</v>
      </c>
      <c r="M72" s="19">
        <v>888</v>
      </c>
      <c r="N72" s="19">
        <v>617</v>
      </c>
      <c r="O72" s="19">
        <v>663</v>
      </c>
      <c r="P72" s="19">
        <v>660</v>
      </c>
      <c r="Q72" s="20">
        <v>0.73203125000000002</v>
      </c>
      <c r="R72" s="20">
        <v>0.68837209302325586</v>
      </c>
      <c r="S72" s="20">
        <v>0.48582677165354332</v>
      </c>
      <c r="T72" s="20">
        <v>0.52411067193675887</v>
      </c>
      <c r="U72" s="20">
        <v>0.51886792452830188</v>
      </c>
      <c r="W72" s="19">
        <v>1271</v>
      </c>
      <c r="X72" s="19">
        <v>1396</v>
      </c>
      <c r="Y72" s="19">
        <v>1364</v>
      </c>
      <c r="Z72" s="19">
        <v>1341</v>
      </c>
      <c r="AA72" s="19">
        <v>1265</v>
      </c>
      <c r="AB72" s="20">
        <v>4.0763048344782905E-3</v>
      </c>
      <c r="AC72" s="20">
        <v>4.4641001288705127E-3</v>
      </c>
      <c r="AD72" s="20">
        <v>4.3590808858777284E-3</v>
      </c>
      <c r="AE72" s="20">
        <v>4.1714234165855296E-3</v>
      </c>
      <c r="AF72" s="20">
        <v>3.8747817563635251E-3</v>
      </c>
      <c r="AG72" s="19">
        <v>763</v>
      </c>
      <c r="AH72" s="19">
        <v>866</v>
      </c>
      <c r="AI72" s="19">
        <v>656</v>
      </c>
      <c r="AJ72" s="19">
        <v>979</v>
      </c>
      <c r="AK72" s="19">
        <v>663</v>
      </c>
      <c r="AL72" s="20">
        <v>0.60031471282454762</v>
      </c>
      <c r="AM72" s="20">
        <v>0.62034383954154726</v>
      </c>
      <c r="AN72" s="20">
        <v>0.48093841642228741</v>
      </c>
      <c r="AO72" s="20">
        <v>0.73005219985085756</v>
      </c>
      <c r="AP72" s="20">
        <v>0.52411067193675887</v>
      </c>
      <c r="AQ72" s="37">
        <v>20711.945377134027</v>
      </c>
    </row>
    <row r="73" spans="1:55" s="19" customFormat="1" ht="12.75" x14ac:dyDescent="0.2">
      <c r="A73" s="18" t="s">
        <v>19</v>
      </c>
      <c r="B73" s="19">
        <v>56140</v>
      </c>
      <c r="C73" s="19">
        <v>57385</v>
      </c>
      <c r="D73" s="19">
        <v>59867</v>
      </c>
      <c r="E73" s="19">
        <v>60996</v>
      </c>
      <c r="F73" s="19">
        <v>64471</v>
      </c>
      <c r="G73" s="20">
        <v>0.17252081988875573</v>
      </c>
      <c r="H73" s="20">
        <v>0.17558111428300427</v>
      </c>
      <c r="I73" s="20">
        <v>0.18003271845886434</v>
      </c>
      <c r="J73" s="20">
        <v>0.18683493123411032</v>
      </c>
      <c r="K73" s="20">
        <v>0.19708428608111908</v>
      </c>
      <c r="L73" s="19">
        <v>50226</v>
      </c>
      <c r="M73" s="19">
        <v>51503</v>
      </c>
      <c r="N73" s="19">
        <v>52813</v>
      </c>
      <c r="O73" s="19">
        <v>53920</v>
      </c>
      <c r="P73" s="19">
        <v>57538</v>
      </c>
      <c r="Q73" s="20">
        <v>0.89465621660135375</v>
      </c>
      <c r="R73" s="20">
        <v>0.89749934651912522</v>
      </c>
      <c r="S73" s="20">
        <v>0.88217214826198076</v>
      </c>
      <c r="T73" s="20">
        <v>0.88399239294379961</v>
      </c>
      <c r="U73" s="20">
        <v>0.89246327806300507</v>
      </c>
      <c r="W73" s="19">
        <v>47124</v>
      </c>
      <c r="X73" s="19">
        <v>47292</v>
      </c>
      <c r="Y73" s="19">
        <v>50007</v>
      </c>
      <c r="Z73" s="19">
        <v>56579</v>
      </c>
      <c r="AA73" s="19">
        <v>60996</v>
      </c>
      <c r="AB73" s="20">
        <v>0.15113437373717936</v>
      </c>
      <c r="AC73" s="20">
        <v>0.15122938631414345</v>
      </c>
      <c r="AD73" s="20">
        <v>0.1598127257038765</v>
      </c>
      <c r="AE73" s="20">
        <v>0.17599922855107583</v>
      </c>
      <c r="AF73" s="20">
        <v>0.18683493123411032</v>
      </c>
      <c r="AG73" s="19">
        <v>41170</v>
      </c>
      <c r="AH73" s="19">
        <v>40672</v>
      </c>
      <c r="AI73" s="19">
        <v>42963</v>
      </c>
      <c r="AJ73" s="19">
        <v>50513</v>
      </c>
      <c r="AK73" s="19">
        <v>53920</v>
      </c>
      <c r="AL73" s="20">
        <v>0.87365249129955014</v>
      </c>
      <c r="AM73" s="20">
        <v>0.86001860779835915</v>
      </c>
      <c r="AN73" s="20">
        <v>0.85913972043913855</v>
      </c>
      <c r="AO73" s="20">
        <v>0.89278707647713818</v>
      </c>
      <c r="AP73" s="20">
        <v>0.88399239294379961</v>
      </c>
      <c r="AQ73" s="37">
        <v>1056105.5574381868</v>
      </c>
    </row>
    <row r="74" spans="1:55" s="19" customFormat="1" ht="12.75" x14ac:dyDescent="0.2">
      <c r="A74" s="18" t="s">
        <v>20</v>
      </c>
      <c r="B74" s="19">
        <v>10207</v>
      </c>
      <c r="C74" s="19">
        <v>10309</v>
      </c>
      <c r="D74" s="19">
        <v>10148</v>
      </c>
      <c r="E74" s="19">
        <v>9660</v>
      </c>
      <c r="F74" s="19">
        <v>10461</v>
      </c>
      <c r="G74" s="20">
        <v>3.1366583694416278E-2</v>
      </c>
      <c r="H74" s="20">
        <v>3.1542488579654804E-2</v>
      </c>
      <c r="I74" s="20">
        <v>3.0517180198115081E-2</v>
      </c>
      <c r="J74" s="20">
        <v>2.9589242503139646E-2</v>
      </c>
      <c r="K74" s="20">
        <v>3.1978699208862697E-2</v>
      </c>
      <c r="L74" s="19">
        <v>9977</v>
      </c>
      <c r="M74" s="19">
        <v>10069</v>
      </c>
      <c r="N74" s="19">
        <v>9658</v>
      </c>
      <c r="O74" s="19">
        <v>9242</v>
      </c>
      <c r="P74" s="19">
        <v>9833</v>
      </c>
      <c r="Q74" s="20">
        <v>0.97746644459684529</v>
      </c>
      <c r="R74" s="20">
        <v>0.97671937142302845</v>
      </c>
      <c r="S74" s="20">
        <v>0.951714623571147</v>
      </c>
      <c r="T74" s="20">
        <v>0.95672877846790894</v>
      </c>
      <c r="U74" s="20">
        <v>0.93996749832711979</v>
      </c>
      <c r="W74" s="19">
        <v>0</v>
      </c>
      <c r="X74" s="19">
        <v>1131</v>
      </c>
      <c r="Y74" s="19">
        <v>6205</v>
      </c>
      <c r="Z74" s="19">
        <v>10195</v>
      </c>
      <c r="AA74" s="19">
        <v>9660</v>
      </c>
      <c r="AB74" s="20">
        <v>0</v>
      </c>
      <c r="AC74" s="20">
        <v>3.6166885714559809E-3</v>
      </c>
      <c r="AD74" s="20">
        <v>1.9829983062222365E-2</v>
      </c>
      <c r="AE74" s="20">
        <v>3.1713394281945917E-2</v>
      </c>
      <c r="AF74" s="20">
        <v>2.9589242503139646E-2</v>
      </c>
      <c r="AG74" s="19">
        <v>0</v>
      </c>
      <c r="AH74" s="19">
        <v>1069</v>
      </c>
      <c r="AI74" s="19">
        <v>6204</v>
      </c>
      <c r="AJ74" s="19">
        <v>10039</v>
      </c>
      <c r="AK74" s="19">
        <v>9242</v>
      </c>
      <c r="AL74" s="20">
        <v>0</v>
      </c>
      <c r="AM74" s="20">
        <v>0.94518125552608312</v>
      </c>
      <c r="AN74" s="20">
        <v>0.99983883964544717</v>
      </c>
      <c r="AO74" s="20">
        <v>0.984698381559588</v>
      </c>
      <c r="AP74" s="20">
        <v>0.95672877846790894</v>
      </c>
      <c r="AQ74" s="37">
        <v>153317.9287874742</v>
      </c>
    </row>
    <row r="75" spans="1:55" s="19" customFormat="1" ht="12.75" x14ac:dyDescent="0.2">
      <c r="A75" s="18" t="s">
        <v>21</v>
      </c>
      <c r="B75" s="19">
        <v>1469</v>
      </c>
      <c r="C75" s="19">
        <v>1514</v>
      </c>
      <c r="D75" s="19">
        <v>1744</v>
      </c>
      <c r="E75" s="19">
        <v>1836</v>
      </c>
      <c r="F75" s="19">
        <v>1882</v>
      </c>
      <c r="G75" s="20">
        <v>4.5143050305768108E-3</v>
      </c>
      <c r="H75" s="20">
        <v>4.6323918624112306E-3</v>
      </c>
      <c r="I75" s="20">
        <v>5.2445764944336519E-3</v>
      </c>
      <c r="J75" s="20">
        <v>5.6237939167457958E-3</v>
      </c>
      <c r="K75" s="20">
        <v>5.7531700517235058E-3</v>
      </c>
      <c r="L75" s="19">
        <v>1408</v>
      </c>
      <c r="M75" s="19">
        <v>1430</v>
      </c>
      <c r="N75" s="19">
        <v>1568</v>
      </c>
      <c r="O75" s="19">
        <v>1670</v>
      </c>
      <c r="P75" s="19">
        <v>1710</v>
      </c>
      <c r="Q75" s="20">
        <v>0.95847515316541865</v>
      </c>
      <c r="R75" s="20">
        <v>0.94451783355350061</v>
      </c>
      <c r="S75" s="20">
        <v>0.8990825688073395</v>
      </c>
      <c r="T75" s="20">
        <v>0.90958605664488013</v>
      </c>
      <c r="U75" s="20">
        <v>0.90860786397449522</v>
      </c>
      <c r="W75" s="19">
        <v>142</v>
      </c>
      <c r="X75" s="19">
        <v>262</v>
      </c>
      <c r="Y75" s="19">
        <v>943</v>
      </c>
      <c r="Z75" s="19">
        <v>1257</v>
      </c>
      <c r="AA75" s="19">
        <v>1836</v>
      </c>
      <c r="AB75" s="20">
        <v>4.5541721990237393E-4</v>
      </c>
      <c r="AC75" s="20">
        <v>8.3781821902870646E-4</v>
      </c>
      <c r="AD75" s="20">
        <v>3.0136460963216261E-3</v>
      </c>
      <c r="AE75" s="20">
        <v>3.9101262003340869E-3</v>
      </c>
      <c r="AF75" s="20">
        <v>5.6237939167457958E-3</v>
      </c>
      <c r="AG75" s="19">
        <v>141</v>
      </c>
      <c r="AH75" s="19">
        <v>249</v>
      </c>
      <c r="AI75" s="19">
        <v>911</v>
      </c>
      <c r="AJ75" s="19">
        <v>1205</v>
      </c>
      <c r="AK75" s="19">
        <v>1670</v>
      </c>
      <c r="AL75" s="20">
        <v>0.99295774647887325</v>
      </c>
      <c r="AM75" s="20">
        <v>0.95038167938931295</v>
      </c>
      <c r="AN75" s="20">
        <v>0.96606574761399788</v>
      </c>
      <c r="AO75" s="20">
        <v>0.95863166268894195</v>
      </c>
      <c r="AP75" s="20">
        <v>0.90958605664488013</v>
      </c>
      <c r="AQ75" s="37">
        <v>24856.437501407963</v>
      </c>
    </row>
    <row r="76" spans="1:55" s="19" customFormat="1" ht="12.75" x14ac:dyDescent="0.2">
      <c r="A76" s="18" t="s">
        <v>196</v>
      </c>
      <c r="B76" s="19">
        <v>0</v>
      </c>
      <c r="C76" s="19">
        <v>0</v>
      </c>
      <c r="D76" s="19">
        <v>0</v>
      </c>
      <c r="E76" s="19">
        <v>0</v>
      </c>
      <c r="F76" s="19">
        <v>278</v>
      </c>
      <c r="G76" s="20">
        <v>0</v>
      </c>
      <c r="H76" s="20">
        <v>0</v>
      </c>
      <c r="I76" s="20">
        <v>0</v>
      </c>
      <c r="J76" s="20">
        <v>0</v>
      </c>
      <c r="K76" s="20">
        <v>8.4983064525990149E-4</v>
      </c>
      <c r="L76" s="19">
        <v>0</v>
      </c>
      <c r="M76" s="19">
        <v>0</v>
      </c>
      <c r="N76" s="19">
        <v>0</v>
      </c>
      <c r="O76" s="19">
        <v>0</v>
      </c>
      <c r="P76" s="19">
        <v>278</v>
      </c>
      <c r="Q76" s="20">
        <v>0</v>
      </c>
      <c r="R76" s="20">
        <v>0</v>
      </c>
      <c r="S76" s="20">
        <v>0</v>
      </c>
      <c r="T76" s="20">
        <v>0</v>
      </c>
      <c r="U76" s="20">
        <v>1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37">
        <v>557.00084983064528</v>
      </c>
    </row>
    <row r="77" spans="1:55" s="19" customFormat="1" ht="12.75" x14ac:dyDescent="0.2">
      <c r="A77" s="18" t="s">
        <v>24</v>
      </c>
      <c r="B77" s="19">
        <v>4628</v>
      </c>
      <c r="C77" s="19">
        <v>5021</v>
      </c>
      <c r="D77" s="19">
        <v>5026</v>
      </c>
      <c r="E77" s="19">
        <v>4881</v>
      </c>
      <c r="F77" s="19">
        <v>4545</v>
      </c>
      <c r="G77" s="20">
        <v>1.422205832641898E-2</v>
      </c>
      <c r="H77" s="20">
        <v>1.5362773805262079E-2</v>
      </c>
      <c r="I77" s="20">
        <v>1.5114243957008907E-2</v>
      </c>
      <c r="J77" s="20">
        <v>1.4950837749257206E-2</v>
      </c>
      <c r="K77" s="20">
        <v>1.3893813966569251E-2</v>
      </c>
      <c r="L77" s="19">
        <v>4628</v>
      </c>
      <c r="M77" s="19">
        <v>5021</v>
      </c>
      <c r="N77" s="19">
        <v>4931</v>
      </c>
      <c r="O77" s="19">
        <v>4881</v>
      </c>
      <c r="P77" s="19">
        <v>4535</v>
      </c>
      <c r="Q77" s="20">
        <v>1</v>
      </c>
      <c r="R77" s="20">
        <v>1</v>
      </c>
      <c r="S77" s="20">
        <v>0.98109828889773176</v>
      </c>
      <c r="T77" s="20">
        <v>1</v>
      </c>
      <c r="U77" s="20">
        <v>0.99779977997799785</v>
      </c>
      <c r="W77" s="19">
        <v>770</v>
      </c>
      <c r="X77" s="19">
        <v>1847</v>
      </c>
      <c r="Y77" s="19">
        <v>2157</v>
      </c>
      <c r="Z77" s="19">
        <v>4261</v>
      </c>
      <c r="AA77" s="19">
        <v>4881</v>
      </c>
      <c r="AB77" s="20">
        <v>2.4695159107382251E-3</v>
      </c>
      <c r="AC77" s="20">
        <v>5.9062986662061865E-3</v>
      </c>
      <c r="AD77" s="20">
        <v>6.8933559170368478E-3</v>
      </c>
      <c r="AE77" s="20">
        <v>1.325461236246901E-2</v>
      </c>
      <c r="AF77" s="20">
        <v>1.4950837749257206E-2</v>
      </c>
      <c r="AG77" s="19">
        <v>770</v>
      </c>
      <c r="AH77" s="19">
        <v>1818</v>
      </c>
      <c r="AI77" s="19">
        <v>2157</v>
      </c>
      <c r="AJ77" s="19">
        <v>4261</v>
      </c>
      <c r="AK77" s="19">
        <v>4881</v>
      </c>
      <c r="AL77" s="20">
        <v>1</v>
      </c>
      <c r="AM77" s="20">
        <v>0.98429886302111536</v>
      </c>
      <c r="AN77" s="20">
        <v>1</v>
      </c>
      <c r="AO77" s="20">
        <v>1</v>
      </c>
      <c r="AP77" s="20">
        <v>1</v>
      </c>
      <c r="AQ77" s="37">
        <v>75910.080215280308</v>
      </c>
    </row>
    <row r="78" spans="1:55" s="19" customFormat="1" ht="12.75" x14ac:dyDescent="0.2">
      <c r="A78" s="18" t="s">
        <v>198</v>
      </c>
      <c r="B78" s="19">
        <v>0</v>
      </c>
      <c r="C78" s="19">
        <v>0</v>
      </c>
      <c r="D78" s="19">
        <v>0</v>
      </c>
      <c r="E78" s="19">
        <v>0</v>
      </c>
      <c r="F78" s="19">
        <v>18</v>
      </c>
      <c r="G78" s="20">
        <v>0</v>
      </c>
      <c r="H78" s="20">
        <v>0</v>
      </c>
      <c r="I78" s="20">
        <v>0</v>
      </c>
      <c r="J78" s="20">
        <v>0</v>
      </c>
      <c r="K78" s="20">
        <v>5.502500580819506E-5</v>
      </c>
      <c r="L78" s="19">
        <v>0</v>
      </c>
      <c r="M78" s="19">
        <v>0</v>
      </c>
      <c r="N78" s="19">
        <v>0</v>
      </c>
      <c r="O78" s="19">
        <v>0</v>
      </c>
      <c r="P78" s="19">
        <v>18</v>
      </c>
      <c r="Q78" s="20">
        <v>0</v>
      </c>
      <c r="R78" s="20">
        <v>0</v>
      </c>
      <c r="S78" s="20">
        <v>0</v>
      </c>
      <c r="T78" s="20">
        <v>0</v>
      </c>
      <c r="U78" s="20">
        <v>1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37">
        <v>37.000055025005807</v>
      </c>
    </row>
    <row r="79" spans="1:55" s="19" customFormat="1" ht="12.75" x14ac:dyDescent="0.2">
      <c r="A79" s="18" t="s">
        <v>25</v>
      </c>
      <c r="B79" s="19">
        <v>4292</v>
      </c>
      <c r="C79" s="19">
        <v>4569</v>
      </c>
      <c r="D79" s="19">
        <v>4952</v>
      </c>
      <c r="E79" s="19">
        <v>4975</v>
      </c>
      <c r="F79" s="19">
        <v>4877</v>
      </c>
      <c r="G79" s="20">
        <v>1.3189514765987523E-2</v>
      </c>
      <c r="H79" s="20">
        <v>1.3979787595348027E-2</v>
      </c>
      <c r="I79" s="20">
        <v>1.4891710321350598E-2</v>
      </c>
      <c r="J79" s="20">
        <v>1.5238766195975128E-2</v>
      </c>
      <c r="K79" s="20">
        <v>1.4908719629253738E-2</v>
      </c>
      <c r="L79" s="19">
        <v>4121</v>
      </c>
      <c r="M79" s="19">
        <v>4385</v>
      </c>
      <c r="N79" s="19">
        <v>4639</v>
      </c>
      <c r="O79" s="19">
        <v>4646</v>
      </c>
      <c r="P79" s="19">
        <v>4523</v>
      </c>
      <c r="Q79" s="20">
        <v>0.96015843429636538</v>
      </c>
      <c r="R79" s="20">
        <v>0.95972860582184283</v>
      </c>
      <c r="S79" s="20">
        <v>0.93679321486268174</v>
      </c>
      <c r="T79" s="20">
        <v>0.93386934673366839</v>
      </c>
      <c r="U79" s="20">
        <v>0.92741439409473037</v>
      </c>
      <c r="W79" s="19">
        <v>2981</v>
      </c>
      <c r="X79" s="19">
        <v>4594</v>
      </c>
      <c r="Y79" s="19">
        <v>3792</v>
      </c>
      <c r="Z79" s="19">
        <v>4267</v>
      </c>
      <c r="AA79" s="19">
        <v>4975</v>
      </c>
      <c r="AB79" s="20">
        <v>9.5605544544294131E-3</v>
      </c>
      <c r="AC79" s="20">
        <v>1.4690598848159838E-2</v>
      </c>
      <c r="AD79" s="20">
        <v>1.2118500527308172E-2</v>
      </c>
      <c r="AE79" s="20">
        <v>1.3273276449344113E-2</v>
      </c>
      <c r="AF79" s="20">
        <v>1.5238766195975128E-2</v>
      </c>
      <c r="AG79" s="19">
        <v>2981</v>
      </c>
      <c r="AH79" s="19">
        <v>4503</v>
      </c>
      <c r="AI79" s="19">
        <v>3671</v>
      </c>
      <c r="AJ79" s="19">
        <v>4102</v>
      </c>
      <c r="AK79" s="19">
        <v>4646</v>
      </c>
      <c r="AL79" s="20">
        <v>1</v>
      </c>
      <c r="AM79" s="20">
        <v>0.98019155420113191</v>
      </c>
      <c r="AN79" s="20">
        <v>0.96809071729957807</v>
      </c>
      <c r="AO79" s="20">
        <v>0.96133114600421843</v>
      </c>
      <c r="AP79" s="20">
        <v>0.93386934673366839</v>
      </c>
      <c r="AQ79" s="37">
        <v>86500.698536955009</v>
      </c>
    </row>
    <row r="80" spans="1:55" s="19" customFormat="1" ht="12.75" x14ac:dyDescent="0.2">
      <c r="A80" s="18" t="s">
        <v>26</v>
      </c>
      <c r="B80" s="19">
        <v>41</v>
      </c>
      <c r="C80" s="19">
        <v>53</v>
      </c>
      <c r="D80" s="19">
        <v>47</v>
      </c>
      <c r="E80" s="19">
        <v>125</v>
      </c>
      <c r="F80" s="19">
        <v>195</v>
      </c>
      <c r="G80" s="20">
        <v>1.2599489874312407E-4</v>
      </c>
      <c r="H80" s="20">
        <v>1.6216431222443542E-4</v>
      </c>
      <c r="I80" s="20">
        <v>1.4133893075595277E-4</v>
      </c>
      <c r="J80" s="20">
        <v>3.8288357276319417E-4</v>
      </c>
      <c r="K80" s="20">
        <v>5.9610422958877982E-4</v>
      </c>
      <c r="L80" s="19">
        <v>41</v>
      </c>
      <c r="M80" s="19">
        <v>45</v>
      </c>
      <c r="N80" s="19">
        <v>47</v>
      </c>
      <c r="O80" s="19">
        <v>117</v>
      </c>
      <c r="P80" s="19">
        <v>183</v>
      </c>
      <c r="Q80" s="20">
        <v>1</v>
      </c>
      <c r="R80" s="20">
        <v>0.84905660377358494</v>
      </c>
      <c r="S80" s="20">
        <v>1</v>
      </c>
      <c r="T80" s="20">
        <v>0.93600000000000005</v>
      </c>
      <c r="U80" s="20">
        <v>0.93846153846153846</v>
      </c>
      <c r="W80" s="19">
        <v>12</v>
      </c>
      <c r="X80" s="19">
        <v>27</v>
      </c>
      <c r="Y80" s="19">
        <v>48</v>
      </c>
      <c r="Z80" s="19">
        <v>50</v>
      </c>
      <c r="AA80" s="19">
        <v>125</v>
      </c>
      <c r="AB80" s="20">
        <v>3.8485962245271034E-5</v>
      </c>
      <c r="AC80" s="20">
        <v>8.6340045472423953E-5</v>
      </c>
      <c r="AD80" s="20">
        <v>1.5339874085200218E-4</v>
      </c>
      <c r="AE80" s="20">
        <v>1.5553405729252536E-4</v>
      </c>
      <c r="AF80" s="20">
        <v>3.8288357276319417E-4</v>
      </c>
      <c r="AG80" s="19">
        <v>12</v>
      </c>
      <c r="AH80" s="19">
        <v>27</v>
      </c>
      <c r="AI80" s="19">
        <v>48</v>
      </c>
      <c r="AJ80" s="19">
        <v>50</v>
      </c>
      <c r="AK80" s="19">
        <v>117</v>
      </c>
      <c r="AL80" s="20">
        <v>1</v>
      </c>
      <c r="AM80" s="20">
        <v>1</v>
      </c>
      <c r="AN80" s="20">
        <v>1</v>
      </c>
      <c r="AO80" s="20">
        <v>1</v>
      </c>
      <c r="AP80" s="20">
        <v>0.93600000000000005</v>
      </c>
      <c r="AQ80" s="37">
        <v>1419.6617432705577</v>
      </c>
    </row>
    <row r="81" spans="1:43" s="19" customFormat="1" ht="12.75" x14ac:dyDescent="0.2">
      <c r="A81" s="18" t="s">
        <v>27</v>
      </c>
      <c r="B81" s="19">
        <v>0</v>
      </c>
      <c r="C81" s="19">
        <v>0</v>
      </c>
      <c r="D81" s="19">
        <v>0</v>
      </c>
      <c r="E81" s="19">
        <v>1</v>
      </c>
      <c r="F81" s="19">
        <v>11</v>
      </c>
      <c r="G81" s="20">
        <v>0</v>
      </c>
      <c r="H81" s="20">
        <v>0</v>
      </c>
      <c r="I81" s="20">
        <v>0</v>
      </c>
      <c r="J81" s="20">
        <v>3.0630685821055535E-6</v>
      </c>
      <c r="K81" s="20">
        <v>3.3626392438341426E-5</v>
      </c>
      <c r="L81" s="19">
        <v>0</v>
      </c>
      <c r="M81" s="19">
        <v>0</v>
      </c>
      <c r="N81" s="19">
        <v>0</v>
      </c>
      <c r="O81" s="19">
        <v>1</v>
      </c>
      <c r="P81" s="19">
        <v>11</v>
      </c>
      <c r="Q81" s="20">
        <v>0</v>
      </c>
      <c r="R81" s="20">
        <v>0</v>
      </c>
      <c r="S81" s="20">
        <v>0</v>
      </c>
      <c r="T81" s="20">
        <v>1</v>
      </c>
      <c r="U81" s="20">
        <v>1</v>
      </c>
      <c r="W81" s="19">
        <v>0</v>
      </c>
      <c r="X81" s="19">
        <v>0</v>
      </c>
      <c r="Y81" s="19">
        <v>0</v>
      </c>
      <c r="Z81" s="19">
        <v>0</v>
      </c>
      <c r="AA81" s="19">
        <v>1</v>
      </c>
      <c r="AB81" s="20">
        <v>0</v>
      </c>
      <c r="AC81" s="20">
        <v>0</v>
      </c>
      <c r="AD81" s="20">
        <v>0</v>
      </c>
      <c r="AE81" s="20">
        <v>0</v>
      </c>
      <c r="AF81" s="20">
        <v>3.0630685821055535E-6</v>
      </c>
      <c r="AG81" s="19">
        <v>0</v>
      </c>
      <c r="AH81" s="19">
        <v>0</v>
      </c>
      <c r="AI81" s="19">
        <v>0</v>
      </c>
      <c r="AJ81" s="19">
        <v>0</v>
      </c>
      <c r="AK81" s="19">
        <v>1</v>
      </c>
      <c r="AL81" s="20">
        <v>0</v>
      </c>
      <c r="AM81" s="20">
        <v>0</v>
      </c>
      <c r="AN81" s="20">
        <v>0</v>
      </c>
      <c r="AO81" s="20">
        <v>0</v>
      </c>
      <c r="AP81" s="20">
        <v>1</v>
      </c>
      <c r="AQ81" s="37">
        <v>29.000039752529602</v>
      </c>
    </row>
    <row r="82" spans="1:43" s="19" customFormat="1" ht="12.75" x14ac:dyDescent="0.2">
      <c r="A82" s="18" t="s">
        <v>28</v>
      </c>
      <c r="B82" s="19">
        <v>1735</v>
      </c>
      <c r="C82" s="19">
        <v>1615</v>
      </c>
      <c r="D82" s="19">
        <v>1534</v>
      </c>
      <c r="E82" s="19">
        <v>1410</v>
      </c>
      <c r="F82" s="19">
        <v>1334</v>
      </c>
      <c r="G82" s="20">
        <v>5.3317353492517133E-3</v>
      </c>
      <c r="H82" s="20">
        <v>4.941421966838928E-3</v>
      </c>
      <c r="I82" s="20">
        <v>4.6130621229708846E-3</v>
      </c>
      <c r="J82" s="20">
        <v>4.31892670076883E-3</v>
      </c>
      <c r="K82" s="20">
        <v>4.0779643193406779E-3</v>
      </c>
      <c r="L82" s="19">
        <v>1580</v>
      </c>
      <c r="M82" s="19">
        <v>1473</v>
      </c>
      <c r="N82" s="19">
        <v>1411</v>
      </c>
      <c r="O82" s="19">
        <v>1284</v>
      </c>
      <c r="P82" s="19">
        <v>1201</v>
      </c>
      <c r="Q82" s="20">
        <v>0.91066282420749278</v>
      </c>
      <c r="R82" s="20">
        <v>0.91207430340557272</v>
      </c>
      <c r="S82" s="20">
        <v>0.91981747066492825</v>
      </c>
      <c r="T82" s="20">
        <v>0.91063829787234041</v>
      </c>
      <c r="U82" s="20">
        <v>0.90029985007496249</v>
      </c>
      <c r="W82" s="19">
        <v>865</v>
      </c>
      <c r="X82" s="19">
        <v>2066</v>
      </c>
      <c r="Y82" s="19">
        <v>2332</v>
      </c>
      <c r="Z82" s="19">
        <v>1869</v>
      </c>
      <c r="AA82" s="19">
        <v>1410</v>
      </c>
      <c r="AB82" s="20">
        <v>2.7741964451799541E-3</v>
      </c>
      <c r="AC82" s="20">
        <v>6.6066123683714032E-3</v>
      </c>
      <c r="AD82" s="20">
        <v>7.4526221597264386E-3</v>
      </c>
      <c r="AE82" s="20">
        <v>5.8138630615945973E-3</v>
      </c>
      <c r="AF82" s="20">
        <v>4.31892670076883E-3</v>
      </c>
      <c r="AG82" s="19">
        <v>863</v>
      </c>
      <c r="AH82" s="19">
        <v>2036</v>
      </c>
      <c r="AI82" s="19">
        <v>2216</v>
      </c>
      <c r="AJ82" s="19">
        <v>1729</v>
      </c>
      <c r="AK82" s="19">
        <v>1284</v>
      </c>
      <c r="AL82" s="20">
        <v>0.9976878612716763</v>
      </c>
      <c r="AM82" s="20">
        <v>0.98547918683446278</v>
      </c>
      <c r="AN82" s="20">
        <v>0.95025728987993141</v>
      </c>
      <c r="AO82" s="20">
        <v>0.92509363295880154</v>
      </c>
      <c r="AP82" s="20">
        <v>0.91063829787234041</v>
      </c>
      <c r="AQ82" s="37">
        <v>31256.372898346239</v>
      </c>
    </row>
    <row r="83" spans="1:43" s="19" customFormat="1" ht="12.75" x14ac:dyDescent="0.2">
      <c r="A83" s="18" t="s">
        <v>29</v>
      </c>
      <c r="B83" s="19">
        <v>267</v>
      </c>
      <c r="C83" s="19">
        <v>279</v>
      </c>
      <c r="D83" s="19">
        <v>258</v>
      </c>
      <c r="E83" s="19">
        <v>640</v>
      </c>
      <c r="F83" s="19">
        <v>750</v>
      </c>
      <c r="G83" s="20">
        <v>8.2050336498571037E-4</v>
      </c>
      <c r="H83" s="20">
        <v>8.5365741718146186E-4</v>
      </c>
      <c r="I83" s="20">
        <v>7.7586051351140036E-4</v>
      </c>
      <c r="J83" s="20">
        <v>1.9603638925475542E-3</v>
      </c>
      <c r="K83" s="20">
        <v>2.2927085753414607E-3</v>
      </c>
      <c r="L83" s="19">
        <v>258</v>
      </c>
      <c r="M83" s="19">
        <v>264</v>
      </c>
      <c r="N83" s="19">
        <v>258</v>
      </c>
      <c r="O83" s="19">
        <v>632</v>
      </c>
      <c r="P83" s="19">
        <v>740</v>
      </c>
      <c r="Q83" s="20">
        <v>0.9662921348314607</v>
      </c>
      <c r="R83" s="20">
        <v>0.94623655913978499</v>
      </c>
      <c r="S83" s="20">
        <v>1</v>
      </c>
      <c r="T83" s="20">
        <v>0.98750000000000004</v>
      </c>
      <c r="U83" s="20">
        <v>0.98666666666666669</v>
      </c>
      <c r="W83" s="19">
        <v>0</v>
      </c>
      <c r="X83" s="19">
        <v>0</v>
      </c>
      <c r="Y83" s="19">
        <v>12</v>
      </c>
      <c r="Z83" s="19">
        <v>246</v>
      </c>
      <c r="AA83" s="19">
        <v>640</v>
      </c>
      <c r="AB83" s="20">
        <v>0</v>
      </c>
      <c r="AC83" s="20">
        <v>0</v>
      </c>
      <c r="AD83" s="20">
        <v>3.8349685213000545E-5</v>
      </c>
      <c r="AE83" s="20">
        <v>7.6522756187922473E-4</v>
      </c>
      <c r="AF83" s="20">
        <v>1.9603638925475542E-3</v>
      </c>
      <c r="AG83" s="19">
        <v>0</v>
      </c>
      <c r="AH83" s="19">
        <v>0</v>
      </c>
      <c r="AI83" s="19">
        <v>12</v>
      </c>
      <c r="AJ83" s="19">
        <v>245</v>
      </c>
      <c r="AK83" s="19">
        <v>632</v>
      </c>
      <c r="AL83" s="20">
        <v>0</v>
      </c>
      <c r="AM83" s="20">
        <v>0</v>
      </c>
      <c r="AN83" s="20">
        <v>1</v>
      </c>
      <c r="AO83" s="20">
        <v>0.99593495934959353</v>
      </c>
      <c r="AP83" s="20">
        <v>0.98750000000000004</v>
      </c>
      <c r="AQ83" s="37">
        <v>6140.8795973548913</v>
      </c>
    </row>
    <row r="84" spans="1:43" s="19" customFormat="1" ht="12.75" x14ac:dyDescent="0.2">
      <c r="A84" s="18" t="s">
        <v>30</v>
      </c>
      <c r="B84" s="19">
        <v>85168</v>
      </c>
      <c r="C84" s="19">
        <v>84581</v>
      </c>
      <c r="D84" s="19">
        <v>85269</v>
      </c>
      <c r="E84" s="19">
        <v>79477</v>
      </c>
      <c r="F84" s="19">
        <v>79068</v>
      </c>
      <c r="G84" s="20">
        <v>0.26172520819888756</v>
      </c>
      <c r="H84" s="20">
        <v>0.25879282438216927</v>
      </c>
      <c r="I84" s="20">
        <v>0.25642189971551782</v>
      </c>
      <c r="J84" s="20">
        <v>0.24344350170000306</v>
      </c>
      <c r="K84" s="20">
        <v>0.24170650884679815</v>
      </c>
      <c r="L84" s="19">
        <v>58987</v>
      </c>
      <c r="M84" s="19">
        <v>59981</v>
      </c>
      <c r="N84" s="19">
        <v>61223</v>
      </c>
      <c r="O84" s="19">
        <v>57849</v>
      </c>
      <c r="P84" s="19">
        <v>58377</v>
      </c>
      <c r="Q84" s="20">
        <v>0.69259581063310161</v>
      </c>
      <c r="R84" s="20">
        <v>0.70915453825327202</v>
      </c>
      <c r="S84" s="20">
        <v>0.71799833468200636</v>
      </c>
      <c r="T84" s="20">
        <v>0.72787095637731669</v>
      </c>
      <c r="U84" s="20">
        <v>0.73831385642737901</v>
      </c>
      <c r="W84" s="19">
        <v>90829</v>
      </c>
      <c r="X84" s="19">
        <v>84934</v>
      </c>
      <c r="Y84" s="19">
        <v>82573</v>
      </c>
      <c r="Z84" s="19">
        <v>86079</v>
      </c>
      <c r="AA84" s="19">
        <v>79477</v>
      </c>
      <c r="AB84" s="20">
        <v>0.29130345539797692</v>
      </c>
      <c r="AC84" s="20">
        <v>0.2716002008205502</v>
      </c>
      <c r="AD84" s="20">
        <v>0.26388737975775783</v>
      </c>
      <c r="AE84" s="20">
        <v>0.26776432235366576</v>
      </c>
      <c r="AF84" s="20">
        <v>0.24344350170000306</v>
      </c>
      <c r="AG84" s="19">
        <v>37712</v>
      </c>
      <c r="AH84" s="19">
        <v>43365</v>
      </c>
      <c r="AI84" s="19">
        <v>47654</v>
      </c>
      <c r="AJ84" s="19">
        <v>58007</v>
      </c>
      <c r="AK84" s="19">
        <v>57849</v>
      </c>
      <c r="AL84" s="20">
        <v>0.41519778925233131</v>
      </c>
      <c r="AM84" s="20">
        <v>0.51057291544022421</v>
      </c>
      <c r="AN84" s="20">
        <v>0.57711358434355053</v>
      </c>
      <c r="AO84" s="20">
        <v>0.67388096980680534</v>
      </c>
      <c r="AP84" s="20">
        <v>0.72787095637731669</v>
      </c>
      <c r="AQ84" s="37">
        <v>1378468.0906585145</v>
      </c>
    </row>
    <row r="85" spans="1:43" s="19" customFormat="1" ht="12.75" x14ac:dyDescent="0.2">
      <c r="A85" s="18" t="s">
        <v>31</v>
      </c>
      <c r="B85" s="19">
        <v>329</v>
      </c>
      <c r="C85" s="19">
        <v>329</v>
      </c>
      <c r="D85" s="19">
        <v>371</v>
      </c>
      <c r="E85" s="19">
        <v>393</v>
      </c>
      <c r="F85" s="19">
        <v>427</v>
      </c>
      <c r="G85" s="20">
        <v>1.0110322362558003E-3</v>
      </c>
      <c r="H85" s="20">
        <v>1.0066426173931933E-3</v>
      </c>
      <c r="I85" s="20">
        <v>1.115675389584223E-3</v>
      </c>
      <c r="J85" s="20">
        <v>1.2037859527674825E-3</v>
      </c>
      <c r="K85" s="20">
        <v>1.3053154155610717E-3</v>
      </c>
      <c r="L85" s="19">
        <v>313</v>
      </c>
      <c r="M85" s="19">
        <v>313</v>
      </c>
      <c r="N85" s="19">
        <v>355</v>
      </c>
      <c r="O85" s="19">
        <v>381</v>
      </c>
      <c r="P85" s="19">
        <v>417</v>
      </c>
      <c r="Q85" s="20">
        <v>0.95136778115501519</v>
      </c>
      <c r="R85" s="20">
        <v>0.95136778115501519</v>
      </c>
      <c r="S85" s="20">
        <v>0.95687331536388143</v>
      </c>
      <c r="T85" s="20">
        <v>0.96946564885496178</v>
      </c>
      <c r="U85" s="20">
        <v>0.97658079625292737</v>
      </c>
      <c r="W85" s="19">
        <v>0</v>
      </c>
      <c r="X85" s="19">
        <v>2</v>
      </c>
      <c r="Y85" s="19">
        <v>184</v>
      </c>
      <c r="Z85" s="19">
        <v>291</v>
      </c>
      <c r="AA85" s="19">
        <v>393</v>
      </c>
      <c r="AB85" s="20">
        <v>0</v>
      </c>
      <c r="AC85" s="20">
        <v>6.3955589238832559E-6</v>
      </c>
      <c r="AD85" s="20">
        <v>5.8802850659934167E-4</v>
      </c>
      <c r="AE85" s="20">
        <v>9.0520821344249752E-4</v>
      </c>
      <c r="AF85" s="20">
        <v>1.2037859527674825E-3</v>
      </c>
      <c r="AG85" s="19">
        <v>0</v>
      </c>
      <c r="AH85" s="19">
        <v>2</v>
      </c>
      <c r="AI85" s="19">
        <v>184</v>
      </c>
      <c r="AJ85" s="19">
        <v>276</v>
      </c>
      <c r="AK85" s="19">
        <v>381</v>
      </c>
      <c r="AL85" s="20">
        <v>0</v>
      </c>
      <c r="AM85" s="20">
        <v>1</v>
      </c>
      <c r="AN85" s="20">
        <v>1</v>
      </c>
      <c r="AO85" s="20">
        <v>0.94845360824742264</v>
      </c>
      <c r="AP85" s="20">
        <v>0.96946564885496178</v>
      </c>
      <c r="AQ85" s="37">
        <v>5349.7319204497253</v>
      </c>
    </row>
    <row r="86" spans="1:43" s="19" customFormat="1" ht="12.75" x14ac:dyDescent="0.2">
      <c r="A86" s="18" t="s">
        <v>79</v>
      </c>
      <c r="B86" s="19">
        <v>0</v>
      </c>
      <c r="C86" s="19">
        <v>15</v>
      </c>
      <c r="D86" s="19">
        <v>15</v>
      </c>
      <c r="E86" s="19">
        <v>20</v>
      </c>
      <c r="F86" s="19">
        <v>20</v>
      </c>
      <c r="G86" s="20">
        <v>0</v>
      </c>
      <c r="H86" s="20">
        <v>4.5895560063519453E-5</v>
      </c>
      <c r="I86" s="20">
        <v>4.5108169390197692E-5</v>
      </c>
      <c r="J86" s="20">
        <v>6.1261371642111069E-5</v>
      </c>
      <c r="K86" s="20">
        <v>6.1138895342438952E-5</v>
      </c>
      <c r="L86" s="19">
        <v>0</v>
      </c>
      <c r="M86" s="19">
        <v>15</v>
      </c>
      <c r="N86" s="19">
        <v>15</v>
      </c>
      <c r="O86" s="19">
        <v>20</v>
      </c>
      <c r="P86" s="19">
        <v>20</v>
      </c>
      <c r="Q86" s="20">
        <v>0</v>
      </c>
      <c r="R86" s="20">
        <v>1</v>
      </c>
      <c r="S86" s="20">
        <v>1</v>
      </c>
      <c r="T86" s="20">
        <v>1</v>
      </c>
      <c r="U86" s="20">
        <v>1</v>
      </c>
      <c r="W86" s="19">
        <v>0</v>
      </c>
      <c r="X86" s="19">
        <v>0</v>
      </c>
      <c r="Y86" s="19">
        <v>0</v>
      </c>
      <c r="Z86" s="19">
        <v>0</v>
      </c>
      <c r="AA86" s="19">
        <v>20</v>
      </c>
      <c r="AB86" s="20">
        <v>0</v>
      </c>
      <c r="AC86" s="20">
        <v>0</v>
      </c>
      <c r="AD86" s="20">
        <v>0</v>
      </c>
      <c r="AE86" s="20">
        <v>0</v>
      </c>
      <c r="AF86" s="20">
        <v>6.1261371642111069E-5</v>
      </c>
      <c r="AG86" s="19">
        <v>0</v>
      </c>
      <c r="AH86" s="19">
        <v>0</v>
      </c>
      <c r="AI86" s="19">
        <v>0</v>
      </c>
      <c r="AJ86" s="19">
        <v>0</v>
      </c>
      <c r="AK86" s="19">
        <v>20</v>
      </c>
      <c r="AL86" s="20">
        <v>0</v>
      </c>
      <c r="AM86" s="20">
        <v>0</v>
      </c>
      <c r="AN86" s="20">
        <v>0</v>
      </c>
      <c r="AO86" s="20">
        <v>0</v>
      </c>
      <c r="AP86" s="20">
        <v>1</v>
      </c>
      <c r="AQ86" s="37">
        <v>185.0002746653681</v>
      </c>
    </row>
    <row r="87" spans="1:43" s="19" customFormat="1" ht="12.75" x14ac:dyDescent="0.2">
      <c r="A87" s="18" t="s">
        <v>80</v>
      </c>
      <c r="B87" s="19">
        <v>349</v>
      </c>
      <c r="C87" s="19">
        <v>331</v>
      </c>
      <c r="D87" s="19">
        <v>2634</v>
      </c>
      <c r="E87" s="19">
        <v>1980</v>
      </c>
      <c r="F87" s="19">
        <v>1771</v>
      </c>
      <c r="G87" s="20">
        <v>1.0724931624719585E-3</v>
      </c>
      <c r="H87" s="20">
        <v>1.0127620254016627E-3</v>
      </c>
      <c r="I87" s="20">
        <v>7.920994544918715E-3</v>
      </c>
      <c r="J87" s="20">
        <v>6.0648757925689956E-3</v>
      </c>
      <c r="K87" s="20">
        <v>5.413849182572969E-3</v>
      </c>
      <c r="L87" s="19">
        <v>276</v>
      </c>
      <c r="M87" s="19">
        <v>181</v>
      </c>
      <c r="N87" s="19">
        <v>168</v>
      </c>
      <c r="O87" s="19">
        <v>138</v>
      </c>
      <c r="P87" s="19">
        <v>134</v>
      </c>
      <c r="Q87" s="20">
        <v>0.79083094555873923</v>
      </c>
      <c r="R87" s="20">
        <v>0.54682779456193353</v>
      </c>
      <c r="S87" s="20">
        <v>6.3781321184510256E-2</v>
      </c>
      <c r="T87" s="20">
        <v>6.9696969696969702E-2</v>
      </c>
      <c r="U87" s="20">
        <v>7.5663466967814799E-2</v>
      </c>
      <c r="W87" s="19">
        <v>2556</v>
      </c>
      <c r="X87" s="19">
        <v>4049</v>
      </c>
      <c r="Y87" s="19">
        <v>3483</v>
      </c>
      <c r="Z87" s="19">
        <v>2973</v>
      </c>
      <c r="AA87" s="19">
        <v>1980</v>
      </c>
      <c r="AB87" s="20">
        <v>8.1975099582427303E-3</v>
      </c>
      <c r="AC87" s="20">
        <v>1.2947809041401651E-2</v>
      </c>
      <c r="AD87" s="20">
        <v>1.1130996133073407E-2</v>
      </c>
      <c r="AE87" s="20">
        <v>9.2480550466135566E-3</v>
      </c>
      <c r="AF87" s="20">
        <v>6.0648757925689956E-3</v>
      </c>
      <c r="AG87" s="19">
        <v>2555</v>
      </c>
      <c r="AH87" s="19">
        <v>4036</v>
      </c>
      <c r="AI87" s="19">
        <v>3450</v>
      </c>
      <c r="AJ87" s="19">
        <v>2931</v>
      </c>
      <c r="AK87" s="19">
        <v>138</v>
      </c>
      <c r="AL87" s="20">
        <v>0.99960876369327079</v>
      </c>
      <c r="AM87" s="20">
        <v>0.99678933069893805</v>
      </c>
      <c r="AN87" s="20">
        <v>0.99052540913006026</v>
      </c>
      <c r="AO87" s="20">
        <v>0.98587285570131178</v>
      </c>
      <c r="AP87" s="20">
        <v>6.9696969696969702E-2</v>
      </c>
      <c r="AQ87" s="37">
        <v>36118.65836804756</v>
      </c>
    </row>
    <row r="88" spans="1:43" s="19" customFormat="1" ht="12.75" x14ac:dyDescent="0.2">
      <c r="A88" s="18" t="s">
        <v>33</v>
      </c>
      <c r="B88" s="19">
        <v>0</v>
      </c>
      <c r="C88" s="19">
        <v>0</v>
      </c>
      <c r="D88" s="19">
        <v>0</v>
      </c>
      <c r="E88" s="19">
        <v>2</v>
      </c>
      <c r="F88" s="19">
        <v>2</v>
      </c>
      <c r="G88" s="20">
        <v>0</v>
      </c>
      <c r="H88" s="20">
        <v>0</v>
      </c>
      <c r="I88" s="20">
        <v>0</v>
      </c>
      <c r="J88" s="20">
        <v>6.1261371642111071E-6</v>
      </c>
      <c r="K88" s="20">
        <v>6.1138895342438951E-6</v>
      </c>
      <c r="L88" s="19">
        <v>0</v>
      </c>
      <c r="M88" s="19">
        <v>0</v>
      </c>
      <c r="N88" s="19">
        <v>0</v>
      </c>
      <c r="O88" s="19">
        <v>2</v>
      </c>
      <c r="P88" s="19">
        <v>2</v>
      </c>
      <c r="Q88" s="20">
        <v>0</v>
      </c>
      <c r="R88" s="20">
        <v>0</v>
      </c>
      <c r="S88" s="20">
        <v>0</v>
      </c>
      <c r="T88" s="20">
        <v>1</v>
      </c>
      <c r="U88" s="20">
        <v>1</v>
      </c>
      <c r="W88" s="19">
        <v>0</v>
      </c>
      <c r="X88" s="19">
        <v>0</v>
      </c>
      <c r="Y88" s="19">
        <v>0</v>
      </c>
      <c r="Z88" s="19">
        <v>0</v>
      </c>
      <c r="AA88" s="19">
        <v>2</v>
      </c>
      <c r="AB88" s="20">
        <v>0</v>
      </c>
      <c r="AC88" s="20">
        <v>0</v>
      </c>
      <c r="AD88" s="20">
        <v>0</v>
      </c>
      <c r="AE88" s="20">
        <v>0</v>
      </c>
      <c r="AF88" s="20">
        <v>6.1261371642111071E-6</v>
      </c>
      <c r="AG88" s="19">
        <v>0</v>
      </c>
      <c r="AH88" s="19">
        <v>0</v>
      </c>
      <c r="AI88" s="19">
        <v>0</v>
      </c>
      <c r="AJ88" s="19">
        <v>0</v>
      </c>
      <c r="AK88" s="19">
        <v>2</v>
      </c>
      <c r="AL88" s="20">
        <v>0</v>
      </c>
      <c r="AM88" s="20">
        <v>0</v>
      </c>
      <c r="AN88" s="20">
        <v>0</v>
      </c>
      <c r="AO88" s="20">
        <v>0</v>
      </c>
      <c r="AP88" s="20">
        <v>1</v>
      </c>
      <c r="AQ88" s="37">
        <v>15.000018366163863</v>
      </c>
    </row>
    <row r="89" spans="1:43" s="19" customFormat="1" ht="12.75" x14ac:dyDescent="0.2">
      <c r="A89" s="18" t="s">
        <v>34</v>
      </c>
      <c r="B89" s="19">
        <v>2</v>
      </c>
      <c r="C89" s="19">
        <v>9</v>
      </c>
      <c r="D89" s="19">
        <v>9</v>
      </c>
      <c r="E89" s="19">
        <v>9</v>
      </c>
      <c r="F89" s="19">
        <v>9</v>
      </c>
      <c r="G89" s="20">
        <v>6.1460926216158079E-6</v>
      </c>
      <c r="H89" s="20">
        <v>2.7537336038111671E-5</v>
      </c>
      <c r="I89" s="20">
        <v>2.7064901634118617E-5</v>
      </c>
      <c r="J89" s="20">
        <v>2.756761723894998E-5</v>
      </c>
      <c r="K89" s="20">
        <v>2.751250290409753E-5</v>
      </c>
      <c r="L89" s="19">
        <v>2</v>
      </c>
      <c r="M89" s="19">
        <v>9</v>
      </c>
      <c r="N89" s="19">
        <v>9</v>
      </c>
      <c r="O89" s="19">
        <v>9</v>
      </c>
      <c r="P89" s="19">
        <v>9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W89" s="19">
        <v>0</v>
      </c>
      <c r="X89" s="19">
        <v>0</v>
      </c>
      <c r="Y89" s="19">
        <v>0</v>
      </c>
      <c r="Z89" s="19">
        <v>0</v>
      </c>
      <c r="AA89" s="19">
        <v>9</v>
      </c>
      <c r="AB89" s="20">
        <v>0</v>
      </c>
      <c r="AC89" s="20">
        <v>0</v>
      </c>
      <c r="AD89" s="20">
        <v>0</v>
      </c>
      <c r="AE89" s="20">
        <v>0</v>
      </c>
      <c r="AF89" s="20">
        <v>2.756761723894998E-5</v>
      </c>
      <c r="AG89" s="19">
        <v>0</v>
      </c>
      <c r="AH89" s="19">
        <v>0</v>
      </c>
      <c r="AI89" s="19">
        <v>0</v>
      </c>
      <c r="AJ89" s="19">
        <v>0</v>
      </c>
      <c r="AK89" s="19">
        <v>9</v>
      </c>
      <c r="AL89" s="20">
        <v>0</v>
      </c>
      <c r="AM89" s="20">
        <v>0</v>
      </c>
      <c r="AN89" s="20">
        <v>0</v>
      </c>
      <c r="AO89" s="20">
        <v>0</v>
      </c>
      <c r="AP89" s="20">
        <v>1</v>
      </c>
      <c r="AQ89" s="37">
        <v>100.00014339606768</v>
      </c>
    </row>
    <row r="90" spans="1:43" s="19" customFormat="1" ht="12.75" x14ac:dyDescent="0.2">
      <c r="A90" s="18" t="s">
        <v>166</v>
      </c>
      <c r="B90" s="19">
        <v>0</v>
      </c>
      <c r="C90" s="19">
        <v>0</v>
      </c>
      <c r="D90" s="19">
        <v>0</v>
      </c>
      <c r="E90" s="19">
        <v>0</v>
      </c>
      <c r="F90" s="19">
        <v>25</v>
      </c>
      <c r="G90" s="20">
        <v>0</v>
      </c>
      <c r="H90" s="20">
        <v>0</v>
      </c>
      <c r="I90" s="20">
        <v>0</v>
      </c>
      <c r="J90" s="20">
        <v>0</v>
      </c>
      <c r="K90" s="20">
        <v>7.6423619178048687E-5</v>
      </c>
      <c r="L90" s="19">
        <v>0</v>
      </c>
      <c r="M90" s="19">
        <v>0</v>
      </c>
      <c r="N90" s="19">
        <v>0</v>
      </c>
      <c r="O90" s="19">
        <v>0</v>
      </c>
      <c r="P90" s="19">
        <v>25</v>
      </c>
      <c r="Q90" s="20">
        <v>0</v>
      </c>
      <c r="R90" s="20">
        <v>0</v>
      </c>
      <c r="S90" s="20">
        <v>0</v>
      </c>
      <c r="T90" s="20">
        <v>0</v>
      </c>
      <c r="U90" s="20">
        <v>1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37">
        <v>51.000076423619177</v>
      </c>
    </row>
    <row r="91" spans="1:43" s="19" customFormat="1" ht="12.75" x14ac:dyDescent="0.2">
      <c r="A91" s="18" t="s">
        <v>35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W91" s="19">
        <v>230</v>
      </c>
      <c r="X91" s="19">
        <v>0</v>
      </c>
      <c r="Y91" s="19">
        <v>0</v>
      </c>
      <c r="Z91" s="19">
        <v>0</v>
      </c>
      <c r="AA91" s="19">
        <v>0</v>
      </c>
      <c r="AB91" s="20">
        <v>7.3764760970102818E-4</v>
      </c>
      <c r="AC91" s="20">
        <v>0</v>
      </c>
      <c r="AD91" s="20">
        <v>0</v>
      </c>
      <c r="AE91" s="20">
        <v>0</v>
      </c>
      <c r="AF91" s="20">
        <v>0</v>
      </c>
      <c r="AG91" s="19">
        <v>230</v>
      </c>
      <c r="AH91" s="19">
        <v>0</v>
      </c>
      <c r="AI91" s="19">
        <v>0</v>
      </c>
      <c r="AJ91" s="19">
        <v>0</v>
      </c>
      <c r="AK91" s="19">
        <v>0</v>
      </c>
      <c r="AL91" s="20">
        <v>1</v>
      </c>
      <c r="AM91" s="20">
        <v>0</v>
      </c>
      <c r="AN91" s="20">
        <v>0</v>
      </c>
      <c r="AO91" s="20">
        <v>0</v>
      </c>
      <c r="AP91" s="20">
        <v>0</v>
      </c>
      <c r="AQ91" s="37">
        <v>461.0007376476097</v>
      </c>
    </row>
    <row r="92" spans="1:43" s="19" customFormat="1" ht="12.75" x14ac:dyDescent="0.2">
      <c r="A92" s="18" t="s">
        <v>36</v>
      </c>
      <c r="B92" s="19">
        <v>6</v>
      </c>
      <c r="C92" s="19">
        <v>6</v>
      </c>
      <c r="D92" s="19">
        <v>7</v>
      </c>
      <c r="E92" s="19">
        <v>11</v>
      </c>
      <c r="F92" s="19">
        <v>89</v>
      </c>
      <c r="G92" s="20">
        <v>1.8438277864847422E-5</v>
      </c>
      <c r="H92" s="20">
        <v>1.8358224025407782E-5</v>
      </c>
      <c r="I92" s="20">
        <v>2.1050479048758923E-5</v>
      </c>
      <c r="J92" s="20">
        <v>3.3693754403161086E-5</v>
      </c>
      <c r="K92" s="20">
        <v>2.7206808427385334E-4</v>
      </c>
      <c r="L92" s="19">
        <v>6</v>
      </c>
      <c r="M92" s="19">
        <v>6</v>
      </c>
      <c r="N92" s="19">
        <v>7</v>
      </c>
      <c r="O92" s="19">
        <v>11</v>
      </c>
      <c r="P92" s="19">
        <v>89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W92" s="19">
        <v>0</v>
      </c>
      <c r="X92" s="19">
        <v>0</v>
      </c>
      <c r="Y92" s="19">
        <v>3</v>
      </c>
      <c r="Z92" s="19">
        <v>6</v>
      </c>
      <c r="AA92" s="19">
        <v>11</v>
      </c>
      <c r="AB92" s="20">
        <v>0</v>
      </c>
      <c r="AC92" s="20">
        <v>0</v>
      </c>
      <c r="AD92" s="20">
        <v>9.5874213032501362E-6</v>
      </c>
      <c r="AE92" s="20">
        <v>1.8664086875103041E-5</v>
      </c>
      <c r="AF92" s="20">
        <v>3.3693754403161086E-5</v>
      </c>
      <c r="AG92" s="19">
        <v>0</v>
      </c>
      <c r="AH92" s="19">
        <v>0</v>
      </c>
      <c r="AI92" s="19">
        <v>3</v>
      </c>
      <c r="AJ92" s="19">
        <v>6</v>
      </c>
      <c r="AK92" s="19">
        <v>11</v>
      </c>
      <c r="AL92" s="20">
        <v>0</v>
      </c>
      <c r="AM92" s="20">
        <v>0</v>
      </c>
      <c r="AN92" s="20">
        <v>1</v>
      </c>
      <c r="AO92" s="20">
        <v>1</v>
      </c>
      <c r="AP92" s="20">
        <v>1</v>
      </c>
      <c r="AQ92" s="37">
        <v>286.0004255540822</v>
      </c>
    </row>
    <row r="93" spans="1:43" s="19" customFormat="1" ht="12.75" x14ac:dyDescent="0.2">
      <c r="A93" s="18" t="s">
        <v>37</v>
      </c>
      <c r="B93" s="19">
        <v>1000</v>
      </c>
      <c r="C93" s="19">
        <v>946</v>
      </c>
      <c r="D93" s="19">
        <v>672</v>
      </c>
      <c r="E93" s="19">
        <v>0</v>
      </c>
      <c r="F93" s="19">
        <v>0</v>
      </c>
      <c r="G93" s="20">
        <v>3.073046310807904E-3</v>
      </c>
      <c r="H93" s="20">
        <v>2.8944799880059602E-3</v>
      </c>
      <c r="I93" s="20">
        <v>2.0208459886808566E-3</v>
      </c>
      <c r="J93" s="20">
        <v>0</v>
      </c>
      <c r="K93" s="20">
        <v>0</v>
      </c>
      <c r="L93" s="19">
        <v>953</v>
      </c>
      <c r="M93" s="19">
        <v>908</v>
      </c>
      <c r="N93" s="19">
        <v>644</v>
      </c>
      <c r="O93" s="19">
        <v>0</v>
      </c>
      <c r="P93" s="19">
        <v>0</v>
      </c>
      <c r="Q93" s="20">
        <v>0.95299999999999996</v>
      </c>
      <c r="R93" s="20">
        <v>0.95983086680761098</v>
      </c>
      <c r="S93" s="20">
        <v>0.95833333333333337</v>
      </c>
      <c r="T93" s="20">
        <v>0</v>
      </c>
      <c r="U93" s="20">
        <v>0</v>
      </c>
      <c r="W93" s="19">
        <v>552</v>
      </c>
      <c r="X93" s="19">
        <v>507</v>
      </c>
      <c r="Y93" s="19">
        <v>1395</v>
      </c>
      <c r="Z93" s="19">
        <v>1062</v>
      </c>
      <c r="AA93" s="19">
        <v>0</v>
      </c>
      <c r="AB93" s="20">
        <v>1.7703542632824677E-3</v>
      </c>
      <c r="AC93" s="20">
        <v>1.6212741872044052E-3</v>
      </c>
      <c r="AD93" s="20">
        <v>4.458150906011313E-3</v>
      </c>
      <c r="AE93" s="20">
        <v>3.3035433768932383E-3</v>
      </c>
      <c r="AF93" s="20">
        <v>0</v>
      </c>
      <c r="AG93" s="19">
        <v>488</v>
      </c>
      <c r="AH93" s="19">
        <v>458</v>
      </c>
      <c r="AI93" s="19">
        <v>1335</v>
      </c>
      <c r="AJ93" s="19">
        <v>1014</v>
      </c>
      <c r="AK93" s="19">
        <v>0</v>
      </c>
      <c r="AL93" s="20">
        <v>0.88405797101449279</v>
      </c>
      <c r="AM93" s="20">
        <v>0.903353057199211</v>
      </c>
      <c r="AN93" s="20">
        <v>0.956989247311828</v>
      </c>
      <c r="AO93" s="20">
        <v>0.95480225988700562</v>
      </c>
      <c r="AP93" s="20">
        <v>0</v>
      </c>
      <c r="AQ93" s="37">
        <v>11940.589508430574</v>
      </c>
    </row>
    <row r="94" spans="1:43" s="19" customFormat="1" ht="12.75" x14ac:dyDescent="0.2">
      <c r="A94" s="18" t="s">
        <v>39</v>
      </c>
      <c r="B94" s="19">
        <v>8</v>
      </c>
      <c r="C94" s="19">
        <v>7</v>
      </c>
      <c r="D94" s="19">
        <v>7</v>
      </c>
      <c r="E94" s="19">
        <v>5</v>
      </c>
      <c r="F94" s="19">
        <v>10</v>
      </c>
      <c r="G94" s="20">
        <v>2.4584370486463232E-5</v>
      </c>
      <c r="H94" s="20">
        <v>2.1417928029642413E-5</v>
      </c>
      <c r="I94" s="20">
        <v>2.1050479048758923E-5</v>
      </c>
      <c r="J94" s="20">
        <v>1.5315342910527767E-5</v>
      </c>
      <c r="K94" s="20">
        <v>3.0569447671219476E-5</v>
      </c>
      <c r="L94" s="19">
        <v>8</v>
      </c>
      <c r="M94" s="19">
        <v>7</v>
      </c>
      <c r="N94" s="19">
        <v>7</v>
      </c>
      <c r="O94" s="19">
        <v>5</v>
      </c>
      <c r="P94" s="19">
        <v>9</v>
      </c>
      <c r="Q94" s="20">
        <v>1</v>
      </c>
      <c r="R94" s="20">
        <v>1</v>
      </c>
      <c r="S94" s="20">
        <v>1</v>
      </c>
      <c r="T94" s="20">
        <v>1</v>
      </c>
      <c r="U94" s="20">
        <v>0.9</v>
      </c>
      <c r="W94" s="19">
        <v>0</v>
      </c>
      <c r="X94" s="19">
        <v>0</v>
      </c>
      <c r="Y94" s="19">
        <v>0</v>
      </c>
      <c r="Z94" s="19">
        <v>8</v>
      </c>
      <c r="AA94" s="19">
        <v>5</v>
      </c>
      <c r="AB94" s="20">
        <v>0</v>
      </c>
      <c r="AC94" s="20">
        <v>0</v>
      </c>
      <c r="AD94" s="20">
        <v>0</v>
      </c>
      <c r="AE94" s="20">
        <v>2.4885449166804055E-5</v>
      </c>
      <c r="AF94" s="20">
        <v>1.5315342910527767E-5</v>
      </c>
      <c r="AG94" s="19">
        <v>0</v>
      </c>
      <c r="AH94" s="19">
        <v>0</v>
      </c>
      <c r="AI94" s="19">
        <v>0</v>
      </c>
      <c r="AJ94" s="19">
        <v>8</v>
      </c>
      <c r="AK94" s="19">
        <v>5</v>
      </c>
      <c r="AL94" s="20">
        <v>0</v>
      </c>
      <c r="AM94" s="20">
        <v>0</v>
      </c>
      <c r="AN94" s="20">
        <v>0</v>
      </c>
      <c r="AO94" s="20">
        <v>1</v>
      </c>
      <c r="AP94" s="20">
        <v>1</v>
      </c>
      <c r="AQ94" s="37">
        <v>105.90015313836024</v>
      </c>
    </row>
    <row r="95" spans="1:43" s="19" customFormat="1" ht="12.75" x14ac:dyDescent="0.2">
      <c r="A95" s="18" t="s">
        <v>40</v>
      </c>
      <c r="B95" s="19">
        <v>5384</v>
      </c>
      <c r="C95" s="19">
        <v>5323</v>
      </c>
      <c r="D95" s="19">
        <v>5146</v>
      </c>
      <c r="E95" s="19">
        <v>5218</v>
      </c>
      <c r="F95" s="19">
        <v>5439</v>
      </c>
      <c r="G95" s="20">
        <v>1.6545281337389754E-2</v>
      </c>
      <c r="H95" s="20">
        <v>1.6286804414540938E-2</v>
      </c>
      <c r="I95" s="20">
        <v>1.5475109312130489E-2</v>
      </c>
      <c r="J95" s="20">
        <v>1.5983091861426778E-2</v>
      </c>
      <c r="K95" s="20">
        <v>1.6626722588376275E-2</v>
      </c>
      <c r="L95" s="19">
        <v>5082</v>
      </c>
      <c r="M95" s="19">
        <v>4915</v>
      </c>
      <c r="N95" s="19">
        <v>5037</v>
      </c>
      <c r="O95" s="19">
        <v>5106</v>
      </c>
      <c r="P95" s="19">
        <v>5334</v>
      </c>
      <c r="Q95" s="20">
        <v>0.94390787518573549</v>
      </c>
      <c r="R95" s="20">
        <v>0.9233514935186925</v>
      </c>
      <c r="S95" s="20">
        <v>0.97881849980567426</v>
      </c>
      <c r="T95" s="20">
        <v>0.97853583748562667</v>
      </c>
      <c r="U95" s="20">
        <v>0.98069498069498073</v>
      </c>
      <c r="W95" s="19">
        <v>12365</v>
      </c>
      <c r="X95" s="19">
        <v>9169</v>
      </c>
      <c r="Y95" s="19">
        <v>6826</v>
      </c>
      <c r="Z95" s="19">
        <v>5747</v>
      </c>
      <c r="AA95" s="19">
        <v>5218</v>
      </c>
      <c r="AB95" s="20">
        <v>3.9656576930231363E-2</v>
      </c>
      <c r="AC95" s="20">
        <v>2.9320439886542784E-2</v>
      </c>
      <c r="AD95" s="20">
        <v>2.1814579271995142E-2</v>
      </c>
      <c r="AE95" s="20">
        <v>1.7877084545202863E-2</v>
      </c>
      <c r="AF95" s="20">
        <v>1.5983091861426778E-2</v>
      </c>
      <c r="AG95" s="19">
        <v>12183</v>
      </c>
      <c r="AH95" s="19">
        <v>8849</v>
      </c>
      <c r="AI95" s="19">
        <v>6325</v>
      </c>
      <c r="AJ95" s="19">
        <v>5445</v>
      </c>
      <c r="AK95" s="19">
        <v>5106</v>
      </c>
      <c r="AL95" s="20">
        <v>0.98528103517994337</v>
      </c>
      <c r="AM95" s="20">
        <v>0.96509979278001967</v>
      </c>
      <c r="AN95" s="20">
        <v>0.9266041605625549</v>
      </c>
      <c r="AO95" s="20">
        <v>0.94745084391856615</v>
      </c>
      <c r="AP95" s="20">
        <v>0.97853583748562667</v>
      </c>
      <c r="AQ95" s="37">
        <v>129226.81384913862</v>
      </c>
    </row>
    <row r="96" spans="1:43" s="19" customFormat="1" ht="12.75" x14ac:dyDescent="0.2">
      <c r="A96" s="18" t="s">
        <v>41</v>
      </c>
      <c r="B96" s="19">
        <v>6012</v>
      </c>
      <c r="C96" s="19">
        <v>6340</v>
      </c>
      <c r="D96" s="19">
        <v>6163</v>
      </c>
      <c r="E96" s="19">
        <v>6213</v>
      </c>
      <c r="F96" s="19">
        <v>6081</v>
      </c>
      <c r="G96" s="20">
        <v>1.8475154420577119E-2</v>
      </c>
      <c r="H96" s="20">
        <v>1.9398523386847555E-2</v>
      </c>
      <c r="I96" s="20">
        <v>1.8533443196785893E-2</v>
      </c>
      <c r="J96" s="20">
        <v>1.9030845100621804E-2</v>
      </c>
      <c r="K96" s="20">
        <v>1.8589281128868564E-2</v>
      </c>
      <c r="L96" s="19">
        <v>5890</v>
      </c>
      <c r="M96" s="19">
        <v>6130</v>
      </c>
      <c r="N96" s="19">
        <v>5926</v>
      </c>
      <c r="O96" s="19">
        <v>6018</v>
      </c>
      <c r="P96" s="19">
        <v>5769</v>
      </c>
      <c r="Q96" s="20">
        <v>0.979707252162342</v>
      </c>
      <c r="R96" s="20">
        <v>0.96687697160883279</v>
      </c>
      <c r="S96" s="20">
        <v>0.96154470225539512</v>
      </c>
      <c r="T96" s="20">
        <v>0.96861419604056009</v>
      </c>
      <c r="U96" s="20">
        <v>0.94869264923532315</v>
      </c>
      <c r="W96" s="19">
        <v>353</v>
      </c>
      <c r="X96" s="19">
        <v>3034</v>
      </c>
      <c r="Y96" s="19">
        <v>4159</v>
      </c>
      <c r="Z96" s="19">
        <v>3632</v>
      </c>
      <c r="AA96" s="19">
        <v>6213</v>
      </c>
      <c r="AB96" s="20">
        <v>1.1321287227150562E-3</v>
      </c>
      <c r="AC96" s="20">
        <v>9.7020628875308986E-3</v>
      </c>
      <c r="AD96" s="20">
        <v>1.3291361733405772E-2</v>
      </c>
      <c r="AE96" s="20">
        <v>1.1297993921729041E-2</v>
      </c>
      <c r="AF96" s="20">
        <v>1.9030845100621804E-2</v>
      </c>
      <c r="AG96" s="19">
        <v>353</v>
      </c>
      <c r="AH96" s="19">
        <v>2971</v>
      </c>
      <c r="AI96" s="19">
        <v>4052</v>
      </c>
      <c r="AJ96" s="19">
        <v>3517</v>
      </c>
      <c r="AK96" s="19">
        <v>6018</v>
      </c>
      <c r="AL96" s="20">
        <v>1</v>
      </c>
      <c r="AM96" s="20">
        <v>0.97923533289386944</v>
      </c>
      <c r="AN96" s="20">
        <v>0.97427266169752347</v>
      </c>
      <c r="AO96" s="20">
        <v>0.96833700440528636</v>
      </c>
      <c r="AP96" s="20">
        <v>0.96861419604056009</v>
      </c>
      <c r="AQ96" s="37">
        <v>94853.864376605925</v>
      </c>
    </row>
    <row r="97" spans="1:55" s="19" customFormat="1" ht="12.75" x14ac:dyDescent="0.2">
      <c r="A97" s="18" t="s">
        <v>42</v>
      </c>
      <c r="B97" s="19">
        <v>388</v>
      </c>
      <c r="C97" s="19">
        <v>480</v>
      </c>
      <c r="D97" s="19">
        <v>493</v>
      </c>
      <c r="E97" s="19">
        <v>517</v>
      </c>
      <c r="F97" s="19">
        <v>483</v>
      </c>
      <c r="G97" s="20">
        <v>1.1923419685934667E-3</v>
      </c>
      <c r="H97" s="20">
        <v>1.4686579220326225E-3</v>
      </c>
      <c r="I97" s="20">
        <v>1.4825551672911642E-3</v>
      </c>
      <c r="J97" s="20">
        <v>1.583606456948571E-3</v>
      </c>
      <c r="K97" s="20">
        <v>1.4765043225199008E-3</v>
      </c>
      <c r="L97" s="19">
        <v>148</v>
      </c>
      <c r="M97" s="19">
        <v>240</v>
      </c>
      <c r="N97" s="19">
        <v>290</v>
      </c>
      <c r="O97" s="19">
        <v>330</v>
      </c>
      <c r="P97" s="19">
        <v>483</v>
      </c>
      <c r="Q97" s="20">
        <v>0.38144329896907214</v>
      </c>
      <c r="R97" s="20">
        <v>0.5</v>
      </c>
      <c r="S97" s="20">
        <v>0.58823529411764708</v>
      </c>
      <c r="T97" s="20">
        <v>0.63829787234042556</v>
      </c>
      <c r="U97" s="20">
        <v>1</v>
      </c>
      <c r="W97" s="19">
        <v>0</v>
      </c>
      <c r="X97" s="19">
        <v>0</v>
      </c>
      <c r="Y97" s="19">
        <v>80</v>
      </c>
      <c r="Z97" s="19">
        <v>344</v>
      </c>
      <c r="AA97" s="19">
        <v>517</v>
      </c>
      <c r="AB97" s="20">
        <v>0</v>
      </c>
      <c r="AC97" s="20">
        <v>0</v>
      </c>
      <c r="AD97" s="20">
        <v>2.5566456808667027E-4</v>
      </c>
      <c r="AE97" s="20">
        <v>1.0700743141725743E-3</v>
      </c>
      <c r="AF97" s="20">
        <v>1.583606456948571E-3</v>
      </c>
      <c r="AG97" s="19">
        <v>0</v>
      </c>
      <c r="AH97" s="19">
        <v>0</v>
      </c>
      <c r="AI97" s="19">
        <v>80</v>
      </c>
      <c r="AJ97" s="19">
        <v>67</v>
      </c>
      <c r="AK97" s="19">
        <v>330</v>
      </c>
      <c r="AL97" s="20">
        <v>0</v>
      </c>
      <c r="AM97" s="20">
        <v>0</v>
      </c>
      <c r="AN97" s="20">
        <v>1</v>
      </c>
      <c r="AO97" s="20">
        <v>0.19476744186046513</v>
      </c>
      <c r="AP97" s="20">
        <v>0.63829787234042556</v>
      </c>
      <c r="AQ97" s="37">
        <v>5274.9511547908041</v>
      </c>
    </row>
    <row r="98" spans="1:55" s="19" customFormat="1" ht="12.75" x14ac:dyDescent="0.2">
      <c r="A98" s="18" t="s">
        <v>43</v>
      </c>
      <c r="B98" s="19">
        <v>128282</v>
      </c>
      <c r="C98" s="19">
        <v>128546</v>
      </c>
      <c r="D98" s="19">
        <v>128764</v>
      </c>
      <c r="E98" s="19">
        <v>128325</v>
      </c>
      <c r="F98" s="19">
        <v>124301</v>
      </c>
      <c r="G98" s="20">
        <v>0.39421652684305952</v>
      </c>
      <c r="H98" s="20">
        <v>0.3933127109283448</v>
      </c>
      <c r="I98" s="20">
        <v>0.38722055489062773</v>
      </c>
      <c r="J98" s="20">
        <v>0.39306827579869513</v>
      </c>
      <c r="K98" s="20">
        <v>0.37998129149802523</v>
      </c>
      <c r="L98" s="19">
        <v>91128</v>
      </c>
      <c r="M98" s="19">
        <v>91840</v>
      </c>
      <c r="N98" s="19">
        <v>91226</v>
      </c>
      <c r="O98" s="19">
        <v>91505</v>
      </c>
      <c r="P98" s="19">
        <v>88029</v>
      </c>
      <c r="Q98" s="20">
        <v>0.71037246067258075</v>
      </c>
      <c r="R98" s="20">
        <v>0.71445241392186454</v>
      </c>
      <c r="S98" s="20">
        <v>0.70847441831567826</v>
      </c>
      <c r="T98" s="20">
        <v>0.71307227742061174</v>
      </c>
      <c r="U98" s="20">
        <v>0.7081922108430343</v>
      </c>
      <c r="W98" s="19">
        <v>115442</v>
      </c>
      <c r="X98" s="19">
        <v>115470</v>
      </c>
      <c r="Y98" s="19">
        <v>121385</v>
      </c>
      <c r="Z98" s="19">
        <v>120623</v>
      </c>
      <c r="AA98" s="19">
        <v>128325</v>
      </c>
      <c r="AB98" s="20">
        <v>0.37024137112654826</v>
      </c>
      <c r="AC98" s="20">
        <v>0.36924759447039973</v>
      </c>
      <c r="AD98" s="20">
        <v>0.3879230449650059</v>
      </c>
      <c r="AE98" s="20">
        <v>0.37521969185592569</v>
      </c>
      <c r="AF98" s="20">
        <v>0.39306827579869513</v>
      </c>
      <c r="AG98" s="19">
        <v>57535</v>
      </c>
      <c r="AH98" s="19">
        <v>65088</v>
      </c>
      <c r="AI98" s="19">
        <v>75626</v>
      </c>
      <c r="AJ98" s="19">
        <v>82086</v>
      </c>
      <c r="AK98" s="19">
        <v>91505</v>
      </c>
      <c r="AL98" s="20">
        <v>0.49838880130281871</v>
      </c>
      <c r="AM98" s="20">
        <v>0.56367887763055335</v>
      </c>
      <c r="AN98" s="20">
        <v>0.6230259092968653</v>
      </c>
      <c r="AO98" s="20">
        <v>0.68051698266499761</v>
      </c>
      <c r="AP98" s="20">
        <v>0.71307227742061174</v>
      </c>
      <c r="AQ98" s="37">
        <v>2065041.4767459675</v>
      </c>
    </row>
    <row r="99" spans="1:55" s="19" customFormat="1" ht="12.75" x14ac:dyDescent="0.2">
      <c r="A99" s="18" t="s">
        <v>44</v>
      </c>
      <c r="B99" s="19">
        <v>19</v>
      </c>
      <c r="C99" s="19">
        <v>17</v>
      </c>
      <c r="D99" s="19">
        <v>17</v>
      </c>
      <c r="E99" s="19">
        <v>15</v>
      </c>
      <c r="F99" s="19">
        <v>6</v>
      </c>
      <c r="G99" s="20">
        <v>5.8387879905350176E-5</v>
      </c>
      <c r="H99" s="20">
        <v>5.2014968071988715E-5</v>
      </c>
      <c r="I99" s="20">
        <v>5.1122591975557389E-5</v>
      </c>
      <c r="J99" s="20">
        <v>4.5946028731583299E-5</v>
      </c>
      <c r="K99" s="20">
        <v>1.8341668602731684E-5</v>
      </c>
      <c r="L99" s="19">
        <v>9</v>
      </c>
      <c r="M99" s="19">
        <v>9</v>
      </c>
      <c r="N99" s="19">
        <v>9</v>
      </c>
      <c r="O99" s="19">
        <v>9</v>
      </c>
      <c r="P99" s="19">
        <v>5</v>
      </c>
      <c r="Q99" s="20">
        <v>0.47368421052631576</v>
      </c>
      <c r="R99" s="20">
        <v>0.52941176470588236</v>
      </c>
      <c r="S99" s="20">
        <v>0.52941176470588236</v>
      </c>
      <c r="T99" s="20">
        <v>0.6</v>
      </c>
      <c r="U99" s="20">
        <v>0.83333333333333337</v>
      </c>
      <c r="W99" s="19">
        <v>0</v>
      </c>
      <c r="X99" s="19">
        <v>0</v>
      </c>
      <c r="Y99" s="19">
        <v>14</v>
      </c>
      <c r="Z99" s="19">
        <v>20</v>
      </c>
      <c r="AA99" s="19">
        <v>15</v>
      </c>
      <c r="AB99" s="20">
        <v>0</v>
      </c>
      <c r="AC99" s="20">
        <v>0</v>
      </c>
      <c r="AD99" s="20">
        <v>4.4741299415167299E-5</v>
      </c>
      <c r="AE99" s="20">
        <v>6.2213622917010137E-5</v>
      </c>
      <c r="AF99" s="20">
        <v>4.5946028731583299E-5</v>
      </c>
      <c r="AG99" s="19">
        <v>0</v>
      </c>
      <c r="AH99" s="19">
        <v>0</v>
      </c>
      <c r="AI99" s="19">
        <v>14</v>
      </c>
      <c r="AJ99" s="19">
        <v>10</v>
      </c>
      <c r="AK99" s="19">
        <v>9</v>
      </c>
      <c r="AL99" s="20">
        <v>0</v>
      </c>
      <c r="AM99" s="20">
        <v>0</v>
      </c>
      <c r="AN99" s="20">
        <v>1</v>
      </c>
      <c r="AO99" s="20">
        <v>0.5</v>
      </c>
      <c r="AP99" s="20">
        <v>0.6</v>
      </c>
      <c r="AQ99" s="37">
        <v>202.06621978735976</v>
      </c>
    </row>
    <row r="100" spans="1:55" s="19" customFormat="1" ht="12.75" x14ac:dyDescent="0.2">
      <c r="A100" s="18" t="s">
        <v>45</v>
      </c>
      <c r="B100" s="19">
        <v>11</v>
      </c>
      <c r="C100" s="19">
        <v>11</v>
      </c>
      <c r="D100" s="19">
        <v>11</v>
      </c>
      <c r="E100" s="19">
        <v>11</v>
      </c>
      <c r="F100" s="19">
        <v>11</v>
      </c>
      <c r="G100" s="20">
        <v>3.3803509418886944E-5</v>
      </c>
      <c r="H100" s="20">
        <v>3.3656744046580937E-5</v>
      </c>
      <c r="I100" s="20">
        <v>3.3079324219478311E-5</v>
      </c>
      <c r="J100" s="20">
        <v>3.3693754403161086E-5</v>
      </c>
      <c r="K100" s="20">
        <v>3.3626392438341426E-5</v>
      </c>
      <c r="L100" s="19">
        <v>11</v>
      </c>
      <c r="M100" s="19">
        <v>11</v>
      </c>
      <c r="N100" s="19">
        <v>11</v>
      </c>
      <c r="O100" s="19">
        <v>11</v>
      </c>
      <c r="P100" s="19">
        <v>11</v>
      </c>
      <c r="Q100" s="20">
        <v>1</v>
      </c>
      <c r="R100" s="20">
        <v>1</v>
      </c>
      <c r="S100" s="20">
        <v>1</v>
      </c>
      <c r="T100" s="20">
        <v>1</v>
      </c>
      <c r="U100" s="20">
        <v>1</v>
      </c>
      <c r="W100" s="19">
        <v>6</v>
      </c>
      <c r="X100" s="19">
        <v>9</v>
      </c>
      <c r="Y100" s="19">
        <v>9</v>
      </c>
      <c r="Z100" s="19">
        <v>9</v>
      </c>
      <c r="AA100" s="19">
        <v>11</v>
      </c>
      <c r="AB100" s="20">
        <v>1.9242981122635517E-5</v>
      </c>
      <c r="AC100" s="20">
        <v>2.878001515747465E-5</v>
      </c>
      <c r="AD100" s="20">
        <v>2.8762263909750407E-5</v>
      </c>
      <c r="AE100" s="20">
        <v>2.7996130312654562E-5</v>
      </c>
      <c r="AF100" s="20">
        <v>3.3693754403161086E-5</v>
      </c>
      <c r="AG100" s="19">
        <v>6</v>
      </c>
      <c r="AH100" s="19">
        <v>9</v>
      </c>
      <c r="AI100" s="19">
        <v>9</v>
      </c>
      <c r="AJ100" s="19">
        <v>9</v>
      </c>
      <c r="AK100" s="19">
        <v>11</v>
      </c>
      <c r="AL100" s="20">
        <v>1</v>
      </c>
      <c r="AM100" s="20">
        <v>1</v>
      </c>
      <c r="AN100" s="20">
        <v>1</v>
      </c>
      <c r="AO100" s="20">
        <v>1</v>
      </c>
      <c r="AP100" s="20">
        <v>1</v>
      </c>
      <c r="AQ100" s="37">
        <v>208.00030633486944</v>
      </c>
    </row>
    <row r="101" spans="1:55" s="19" customFormat="1" ht="12.75" x14ac:dyDescent="0.2">
      <c r="A101" s="18" t="s">
        <v>46</v>
      </c>
      <c r="B101" s="19">
        <v>0</v>
      </c>
      <c r="C101" s="19">
        <v>0</v>
      </c>
      <c r="D101" s="19">
        <v>0</v>
      </c>
      <c r="E101" s="19">
        <v>3</v>
      </c>
      <c r="F101" s="19">
        <v>9</v>
      </c>
      <c r="G101" s="20">
        <v>0</v>
      </c>
      <c r="H101" s="20">
        <v>0</v>
      </c>
      <c r="I101" s="20">
        <v>0</v>
      </c>
      <c r="J101" s="20">
        <v>9.1892057463166594E-6</v>
      </c>
      <c r="K101" s="20">
        <v>2.751250290409753E-5</v>
      </c>
      <c r="L101" s="19">
        <v>0</v>
      </c>
      <c r="M101" s="19">
        <v>0</v>
      </c>
      <c r="N101" s="19">
        <v>0</v>
      </c>
      <c r="O101" s="19">
        <v>3</v>
      </c>
      <c r="P101" s="19">
        <v>9</v>
      </c>
      <c r="Q101" s="20">
        <v>0</v>
      </c>
      <c r="R101" s="20">
        <v>0</v>
      </c>
      <c r="S101" s="20">
        <v>0</v>
      </c>
      <c r="T101" s="20">
        <v>1</v>
      </c>
      <c r="U101" s="20">
        <v>1</v>
      </c>
      <c r="W101" s="19">
        <v>0</v>
      </c>
      <c r="X101" s="19">
        <v>0</v>
      </c>
      <c r="Y101" s="19">
        <v>0</v>
      </c>
      <c r="Z101" s="19">
        <v>0</v>
      </c>
      <c r="AA101" s="19">
        <v>3</v>
      </c>
      <c r="AB101" s="20">
        <v>0</v>
      </c>
      <c r="AC101" s="20">
        <v>0</v>
      </c>
      <c r="AD101" s="20">
        <v>0</v>
      </c>
      <c r="AE101" s="20">
        <v>0</v>
      </c>
      <c r="AF101" s="20">
        <v>9.1892057463166594E-6</v>
      </c>
      <c r="AG101" s="19">
        <v>0</v>
      </c>
      <c r="AH101" s="19">
        <v>0</v>
      </c>
      <c r="AI101" s="19">
        <v>0</v>
      </c>
      <c r="AJ101" s="19">
        <v>0</v>
      </c>
      <c r="AK101" s="19">
        <v>3</v>
      </c>
      <c r="AL101" s="20">
        <v>0</v>
      </c>
      <c r="AM101" s="20">
        <v>0</v>
      </c>
      <c r="AN101" s="20">
        <v>0</v>
      </c>
      <c r="AO101" s="20">
        <v>0</v>
      </c>
      <c r="AP101" s="20">
        <v>1</v>
      </c>
      <c r="AQ101" s="37">
        <v>33.000045890914393</v>
      </c>
    </row>
    <row r="102" spans="1:55" s="19" customFormat="1" ht="12.75" x14ac:dyDescent="0.2">
      <c r="A102" s="18" t="s">
        <v>126</v>
      </c>
      <c r="B102" s="19">
        <v>4838</v>
      </c>
      <c r="C102" s="19">
        <v>4452</v>
      </c>
      <c r="D102" s="19">
        <v>4165</v>
      </c>
      <c r="E102" s="19">
        <v>3846</v>
      </c>
      <c r="F102" s="19">
        <v>3611</v>
      </c>
      <c r="G102" s="20">
        <v>1.4867398051688638E-2</v>
      </c>
      <c r="H102" s="20">
        <v>1.3621802226852574E-2</v>
      </c>
      <c r="I102" s="20">
        <v>1.252503503401156E-2</v>
      </c>
      <c r="J102" s="20">
        <v>1.1780561766777959E-2</v>
      </c>
      <c r="K102" s="20">
        <v>1.1038627554077352E-2</v>
      </c>
      <c r="L102" s="19">
        <v>4226</v>
      </c>
      <c r="M102" s="19">
        <v>3867</v>
      </c>
      <c r="N102" s="19">
        <v>3515</v>
      </c>
      <c r="O102" s="19">
        <v>3281</v>
      </c>
      <c r="P102" s="19">
        <v>3082</v>
      </c>
      <c r="Q102" s="20">
        <v>0.87350144687887554</v>
      </c>
      <c r="R102" s="20">
        <v>0.8685983827493261</v>
      </c>
      <c r="S102" s="20">
        <v>0.84393757503001199</v>
      </c>
      <c r="T102" s="20">
        <v>0.85309412376495064</v>
      </c>
      <c r="U102" s="20">
        <v>0.85350318471337583</v>
      </c>
      <c r="W102" s="19">
        <v>22120</v>
      </c>
      <c r="X102" s="19">
        <v>20142</v>
      </c>
      <c r="Y102" s="19">
        <v>9629</v>
      </c>
      <c r="Z102" s="19">
        <v>7010</v>
      </c>
      <c r="AA102" s="19">
        <v>3846</v>
      </c>
      <c r="AB102" s="20">
        <v>7.0942457072116286E-2</v>
      </c>
      <c r="AC102" s="20">
        <v>6.4409673922428259E-2</v>
      </c>
      <c r="AD102" s="20">
        <v>3.0772426576331852E-2</v>
      </c>
      <c r="AE102" s="20">
        <v>2.1805874832412052E-2</v>
      </c>
      <c r="AF102" s="20">
        <v>1.1780561766777959E-2</v>
      </c>
      <c r="AG102" s="19">
        <v>20952</v>
      </c>
      <c r="AH102" s="19">
        <v>18857</v>
      </c>
      <c r="AI102" s="19">
        <v>9166</v>
      </c>
      <c r="AJ102" s="19">
        <v>6247</v>
      </c>
      <c r="AK102" s="19">
        <v>3281</v>
      </c>
      <c r="AL102" s="20">
        <v>0.94719710669077761</v>
      </c>
      <c r="AM102" s="20">
        <v>0.93620295899116279</v>
      </c>
      <c r="AN102" s="20">
        <v>0.95191608682106132</v>
      </c>
      <c r="AO102" s="20">
        <v>0.89115549215406564</v>
      </c>
      <c r="AP102" s="20">
        <v>0.85309412376495064</v>
      </c>
      <c r="AQ102" s="37">
        <v>160142.13574490033</v>
      </c>
    </row>
    <row r="103" spans="1:55" s="19" customFormat="1" ht="12.75" x14ac:dyDescent="0.2">
      <c r="A103" s="18" t="s">
        <v>48</v>
      </c>
      <c r="B103" s="19">
        <v>1565</v>
      </c>
      <c r="C103" s="19">
        <v>1471</v>
      </c>
      <c r="D103" s="19">
        <v>1844</v>
      </c>
      <c r="E103" s="19">
        <v>1746</v>
      </c>
      <c r="F103" s="19">
        <v>2119</v>
      </c>
      <c r="G103" s="20">
        <v>4.8093174764143693E-3</v>
      </c>
      <c r="H103" s="20">
        <v>4.5008245902291412E-3</v>
      </c>
      <c r="I103" s="20">
        <v>5.5452976237016366E-3</v>
      </c>
      <c r="J103" s="20">
        <v>5.3481177443562965E-3</v>
      </c>
      <c r="K103" s="20">
        <v>6.4776659615314071E-3</v>
      </c>
      <c r="L103" s="19">
        <v>1565</v>
      </c>
      <c r="M103" s="19">
        <v>1471</v>
      </c>
      <c r="N103" s="19">
        <v>1782</v>
      </c>
      <c r="O103" s="19">
        <v>1695</v>
      </c>
      <c r="P103" s="19">
        <v>2035</v>
      </c>
      <c r="Q103" s="20">
        <v>1</v>
      </c>
      <c r="R103" s="20">
        <v>1</v>
      </c>
      <c r="S103" s="20">
        <v>0.96637744034707163</v>
      </c>
      <c r="T103" s="20">
        <v>0.97079037800687284</v>
      </c>
      <c r="U103" s="20">
        <v>0.96035865974516277</v>
      </c>
      <c r="W103" s="19">
        <v>239</v>
      </c>
      <c r="X103" s="19">
        <v>899</v>
      </c>
      <c r="Y103" s="19">
        <v>1408</v>
      </c>
      <c r="Z103" s="19">
        <v>1376</v>
      </c>
      <c r="AA103" s="19">
        <v>1746</v>
      </c>
      <c r="AB103" s="20">
        <v>7.6651208138498145E-4</v>
      </c>
      <c r="AC103" s="20">
        <v>2.8748037362855234E-3</v>
      </c>
      <c r="AD103" s="20">
        <v>4.499696398325397E-3</v>
      </c>
      <c r="AE103" s="20">
        <v>4.2802972566902972E-3</v>
      </c>
      <c r="AF103" s="20">
        <v>5.3481177443562965E-3</v>
      </c>
      <c r="AG103" s="19">
        <v>239</v>
      </c>
      <c r="AH103" s="19">
        <v>899</v>
      </c>
      <c r="AI103" s="19">
        <v>1408</v>
      </c>
      <c r="AJ103" s="19">
        <v>1376</v>
      </c>
      <c r="AK103" s="19">
        <v>1695</v>
      </c>
      <c r="AL103" s="20">
        <v>1</v>
      </c>
      <c r="AM103" s="20">
        <v>1</v>
      </c>
      <c r="AN103" s="20">
        <v>1</v>
      </c>
      <c r="AO103" s="20">
        <v>1</v>
      </c>
      <c r="AP103" s="20">
        <v>0.97079037800687284</v>
      </c>
      <c r="AQ103" s="37">
        <v>28587.912767506725</v>
      </c>
    </row>
    <row r="104" spans="1:55" s="19" customFormat="1" ht="12.75" x14ac:dyDescent="0.2">
      <c r="A104" s="18" t="s">
        <v>49</v>
      </c>
      <c r="B104" s="19">
        <v>3257</v>
      </c>
      <c r="C104" s="19">
        <v>3071</v>
      </c>
      <c r="D104" s="19">
        <v>2905</v>
      </c>
      <c r="E104" s="19">
        <v>2789</v>
      </c>
      <c r="F104" s="19">
        <v>2730</v>
      </c>
      <c r="G104" s="20">
        <v>1.0008911834301342E-2</v>
      </c>
      <c r="H104" s="20">
        <v>9.3963509970045496E-3</v>
      </c>
      <c r="I104" s="20">
        <v>8.7359488052349537E-3</v>
      </c>
      <c r="J104" s="20">
        <v>8.5428982754923877E-3</v>
      </c>
      <c r="K104" s="20">
        <v>8.3454592142429163E-3</v>
      </c>
      <c r="L104" s="19">
        <v>2981</v>
      </c>
      <c r="M104" s="19">
        <v>2803</v>
      </c>
      <c r="N104" s="19">
        <v>2637</v>
      </c>
      <c r="O104" s="19">
        <v>2501</v>
      </c>
      <c r="P104" s="19">
        <v>2451</v>
      </c>
      <c r="Q104" s="20">
        <v>0.91525944120356151</v>
      </c>
      <c r="R104" s="20">
        <v>0.91273200911755126</v>
      </c>
      <c r="S104" s="20">
        <v>0.90774526678141132</v>
      </c>
      <c r="T104" s="20">
        <v>0.89673718178558626</v>
      </c>
      <c r="U104" s="20">
        <v>0.89780219780219783</v>
      </c>
      <c r="W104" s="19">
        <v>5857</v>
      </c>
      <c r="X104" s="19">
        <v>6266</v>
      </c>
      <c r="Y104" s="19">
        <v>4271</v>
      </c>
      <c r="Z104" s="19">
        <v>3453</v>
      </c>
      <c r="AA104" s="19">
        <v>2789</v>
      </c>
      <c r="AB104" s="20">
        <v>1.8784356739212707E-2</v>
      </c>
      <c r="AC104" s="20">
        <v>2.0037286108526238E-2</v>
      </c>
      <c r="AD104" s="20">
        <v>1.3649292128727109E-2</v>
      </c>
      <c r="AE104" s="20">
        <v>1.07411819966218E-2</v>
      </c>
      <c r="AF104" s="20">
        <v>8.5428982754923877E-3</v>
      </c>
      <c r="AG104" s="19">
        <v>5584</v>
      </c>
      <c r="AH104" s="19">
        <v>5992</v>
      </c>
      <c r="AI104" s="19">
        <v>3981</v>
      </c>
      <c r="AJ104" s="19">
        <v>3094</v>
      </c>
      <c r="AK104" s="19">
        <v>2501</v>
      </c>
      <c r="AL104" s="20">
        <v>0.95338910705139146</v>
      </c>
      <c r="AM104" s="20">
        <v>0.95627194382381109</v>
      </c>
      <c r="AN104" s="20">
        <v>0.93210021072348392</v>
      </c>
      <c r="AO104" s="20">
        <v>0.89603243556327827</v>
      </c>
      <c r="AP104" s="20">
        <v>0.89673718178558626</v>
      </c>
      <c r="AQ104" s="37">
        <v>71922.281591560008</v>
      </c>
    </row>
    <row r="105" spans="1:55" s="19" customFormat="1" ht="12.75" x14ac:dyDescent="0.2">
      <c r="A105" s="18" t="s">
        <v>50</v>
      </c>
      <c r="B105" s="19">
        <v>2</v>
      </c>
      <c r="C105" s="19">
        <v>5</v>
      </c>
      <c r="D105" s="19">
        <v>4</v>
      </c>
      <c r="E105" s="19">
        <v>5</v>
      </c>
      <c r="F105" s="19">
        <v>7</v>
      </c>
      <c r="G105" s="20">
        <v>6.1460926216158079E-6</v>
      </c>
      <c r="H105" s="20">
        <v>1.5298520021173151E-5</v>
      </c>
      <c r="I105" s="20">
        <v>1.2028845170719384E-5</v>
      </c>
      <c r="J105" s="20">
        <v>1.5315342910527767E-5</v>
      </c>
      <c r="K105" s="20">
        <v>2.1398613369853634E-5</v>
      </c>
      <c r="L105" s="19">
        <v>2</v>
      </c>
      <c r="M105" s="19">
        <v>5</v>
      </c>
      <c r="N105" s="19">
        <v>4</v>
      </c>
      <c r="O105" s="19">
        <v>5</v>
      </c>
      <c r="P105" s="19">
        <v>7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W105" s="19">
        <v>0</v>
      </c>
      <c r="X105" s="19">
        <v>0</v>
      </c>
      <c r="Y105" s="19">
        <v>0</v>
      </c>
      <c r="Z105" s="19">
        <v>1</v>
      </c>
      <c r="AA105" s="19">
        <v>5</v>
      </c>
      <c r="AB105" s="20">
        <v>0</v>
      </c>
      <c r="AC105" s="20">
        <v>0</v>
      </c>
      <c r="AD105" s="20">
        <v>0</v>
      </c>
      <c r="AE105" s="20">
        <v>3.1106811458505069E-6</v>
      </c>
      <c r="AF105" s="20">
        <v>1.5315342910527767E-5</v>
      </c>
      <c r="AG105" s="19">
        <v>0</v>
      </c>
      <c r="AH105" s="19">
        <v>0</v>
      </c>
      <c r="AI105" s="19">
        <v>0</v>
      </c>
      <c r="AJ105" s="19">
        <v>1</v>
      </c>
      <c r="AK105" s="19">
        <v>5</v>
      </c>
      <c r="AL105" s="20">
        <v>0</v>
      </c>
      <c r="AM105" s="20">
        <v>0</v>
      </c>
      <c r="AN105" s="20">
        <v>0</v>
      </c>
      <c r="AO105" s="20">
        <v>1</v>
      </c>
      <c r="AP105" s="20">
        <v>1</v>
      </c>
      <c r="AQ105" s="37">
        <v>65.000088613438152</v>
      </c>
    </row>
    <row r="106" spans="1:55" s="19" customFormat="1" ht="12.75" x14ac:dyDescent="0.2">
      <c r="A106" s="18" t="s">
        <v>52</v>
      </c>
      <c r="B106" s="19">
        <v>4919</v>
      </c>
      <c r="C106" s="19">
        <v>5156</v>
      </c>
      <c r="D106" s="19">
        <v>5470</v>
      </c>
      <c r="E106" s="19">
        <v>6387</v>
      </c>
      <c r="F106" s="19">
        <v>7000</v>
      </c>
      <c r="G106" s="20">
        <v>1.511631480286408E-2</v>
      </c>
      <c r="H106" s="20">
        <v>1.5775833845833753E-2</v>
      </c>
      <c r="I106" s="20">
        <v>1.6449445770958759E-2</v>
      </c>
      <c r="J106" s="20">
        <v>1.9563819033908168E-2</v>
      </c>
      <c r="K106" s="20">
        <v>2.1398613369853634E-2</v>
      </c>
      <c r="L106" s="19">
        <v>4792</v>
      </c>
      <c r="M106" s="19">
        <v>5046</v>
      </c>
      <c r="N106" s="19">
        <v>5352</v>
      </c>
      <c r="O106" s="19">
        <v>6261</v>
      </c>
      <c r="P106" s="19">
        <v>6890</v>
      </c>
      <c r="Q106" s="20">
        <v>0.9741817442569628</v>
      </c>
      <c r="R106" s="20">
        <v>0.9786656322730799</v>
      </c>
      <c r="S106" s="20">
        <v>0.9784277879341865</v>
      </c>
      <c r="T106" s="20">
        <v>0.98027242837012685</v>
      </c>
      <c r="U106" s="20">
        <v>0.98428571428571432</v>
      </c>
      <c r="W106" s="19">
        <v>4539</v>
      </c>
      <c r="X106" s="19">
        <v>4338</v>
      </c>
      <c r="Y106" s="19">
        <v>5277</v>
      </c>
      <c r="Z106" s="19">
        <v>4729</v>
      </c>
      <c r="AA106" s="19">
        <v>6387</v>
      </c>
      <c r="AB106" s="20">
        <v>1.4557315219273771E-2</v>
      </c>
      <c r="AC106" s="20">
        <v>1.3871967305902781E-2</v>
      </c>
      <c r="AD106" s="20">
        <v>1.6864274072416988E-2</v>
      </c>
      <c r="AE106" s="20">
        <v>1.4710411138727047E-2</v>
      </c>
      <c r="AF106" s="20">
        <v>1.9563819033908168E-2</v>
      </c>
      <c r="AG106" s="19">
        <v>4538</v>
      </c>
      <c r="AH106" s="19">
        <v>4337</v>
      </c>
      <c r="AI106" s="19">
        <v>5176</v>
      </c>
      <c r="AJ106" s="19">
        <v>4650</v>
      </c>
      <c r="AK106" s="19">
        <v>6261</v>
      </c>
      <c r="AL106" s="20">
        <v>0.99977968715576115</v>
      </c>
      <c r="AM106" s="20">
        <v>0.99976947902259106</v>
      </c>
      <c r="AN106" s="20">
        <v>0.98086033731286715</v>
      </c>
      <c r="AO106" s="20">
        <v>0.98329456544724048</v>
      </c>
      <c r="AP106" s="20">
        <v>0.98027242837012685</v>
      </c>
      <c r="AQ106" s="37">
        <v>107515.00768161805</v>
      </c>
    </row>
    <row r="107" spans="1:55" s="19" customFormat="1" ht="12.75" x14ac:dyDescent="0.2">
      <c r="A107" s="18" t="s">
        <v>53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W107" s="19">
        <v>16</v>
      </c>
      <c r="X107" s="19">
        <v>82</v>
      </c>
      <c r="Y107" s="19">
        <v>0</v>
      </c>
      <c r="Z107" s="19">
        <v>0</v>
      </c>
      <c r="AA107" s="19">
        <v>0</v>
      </c>
      <c r="AB107" s="20">
        <v>5.1314616327028052E-5</v>
      </c>
      <c r="AC107" s="20">
        <v>2.6221791587921348E-4</v>
      </c>
      <c r="AD107" s="20">
        <v>0</v>
      </c>
      <c r="AE107" s="20">
        <v>0</v>
      </c>
      <c r="AF107" s="20">
        <v>0</v>
      </c>
      <c r="AG107" s="19">
        <v>14</v>
      </c>
      <c r="AH107" s="19">
        <v>63</v>
      </c>
      <c r="AI107" s="19">
        <v>0</v>
      </c>
      <c r="AJ107" s="19">
        <v>0</v>
      </c>
      <c r="AK107" s="19">
        <v>0</v>
      </c>
      <c r="AL107" s="20">
        <v>0.875</v>
      </c>
      <c r="AM107" s="20">
        <v>0.76829268292682928</v>
      </c>
      <c r="AN107" s="20">
        <v>0</v>
      </c>
      <c r="AO107" s="20">
        <v>0</v>
      </c>
      <c r="AP107" s="20">
        <v>0</v>
      </c>
      <c r="AQ107" s="37">
        <v>176.64360621545904</v>
      </c>
    </row>
    <row r="108" spans="1:55" s="19" customFormat="1" ht="12.75" x14ac:dyDescent="0.2">
      <c r="A108" s="18" t="s">
        <v>54</v>
      </c>
      <c r="B108" s="19">
        <v>4</v>
      </c>
      <c r="C108" s="19">
        <v>4</v>
      </c>
      <c r="D108" s="19">
        <v>4</v>
      </c>
      <c r="E108" s="19">
        <v>16</v>
      </c>
      <c r="F108" s="19">
        <v>16</v>
      </c>
      <c r="G108" s="20">
        <v>1.2292185243231616E-5</v>
      </c>
      <c r="H108" s="20">
        <v>1.2238816016938522E-5</v>
      </c>
      <c r="I108" s="20">
        <v>1.2028845170719384E-5</v>
      </c>
      <c r="J108" s="20">
        <v>4.9009097313688857E-5</v>
      </c>
      <c r="K108" s="20">
        <v>4.891111627395116E-5</v>
      </c>
      <c r="L108" s="19">
        <v>4</v>
      </c>
      <c r="M108" s="19">
        <v>4</v>
      </c>
      <c r="N108" s="19">
        <v>4</v>
      </c>
      <c r="O108" s="19">
        <v>13</v>
      </c>
      <c r="P108" s="19">
        <v>14</v>
      </c>
      <c r="Q108" s="20">
        <v>1</v>
      </c>
      <c r="R108" s="20">
        <v>1</v>
      </c>
      <c r="S108" s="20">
        <v>1</v>
      </c>
      <c r="T108" s="20">
        <v>0.8125</v>
      </c>
      <c r="U108" s="20">
        <v>0.875</v>
      </c>
      <c r="W108" s="19">
        <v>0</v>
      </c>
      <c r="X108" s="19">
        <v>0</v>
      </c>
      <c r="Y108" s="19">
        <v>4</v>
      </c>
      <c r="Z108" s="19">
        <v>4</v>
      </c>
      <c r="AA108" s="19">
        <v>16</v>
      </c>
      <c r="AB108" s="20">
        <v>0</v>
      </c>
      <c r="AC108" s="20">
        <v>0</v>
      </c>
      <c r="AD108" s="20">
        <v>1.2783228404333515E-5</v>
      </c>
      <c r="AE108" s="20">
        <v>1.2442724583402027E-5</v>
      </c>
      <c r="AF108" s="20">
        <v>4.9009097313688857E-5</v>
      </c>
      <c r="AG108" s="19">
        <v>0</v>
      </c>
      <c r="AH108" s="19">
        <v>0</v>
      </c>
      <c r="AI108" s="19">
        <v>0</v>
      </c>
      <c r="AJ108" s="19">
        <v>4</v>
      </c>
      <c r="AK108" s="19">
        <v>13</v>
      </c>
      <c r="AL108" s="20">
        <v>0</v>
      </c>
      <c r="AM108" s="20">
        <v>0</v>
      </c>
      <c r="AN108" s="20">
        <v>0</v>
      </c>
      <c r="AO108" s="20">
        <v>1</v>
      </c>
      <c r="AP108" s="20">
        <v>0.8125</v>
      </c>
      <c r="AQ108" s="37">
        <v>130.50020871511032</v>
      </c>
    </row>
    <row r="109" spans="1:55" s="19" customFormat="1" ht="12.75" x14ac:dyDescent="0.2">
      <c r="A109" s="18" t="s">
        <v>55</v>
      </c>
      <c r="B109" s="19">
        <v>2446</v>
      </c>
      <c r="C109" s="19">
        <v>2381</v>
      </c>
      <c r="D109" s="19">
        <v>2372</v>
      </c>
      <c r="E109" s="19">
        <v>2363</v>
      </c>
      <c r="F109" s="19">
        <v>2401</v>
      </c>
      <c r="G109" s="20">
        <v>7.5166712762361329E-3</v>
      </c>
      <c r="H109" s="20">
        <v>7.2851552340826549E-3</v>
      </c>
      <c r="I109" s="20">
        <v>7.1331051862365954E-3</v>
      </c>
      <c r="J109" s="20">
        <v>7.2380310595154228E-3</v>
      </c>
      <c r="K109" s="20">
        <v>7.3397243858597961E-3</v>
      </c>
      <c r="L109" s="19">
        <v>2441</v>
      </c>
      <c r="M109" s="19">
        <v>2377</v>
      </c>
      <c r="N109" s="19">
        <v>2320</v>
      </c>
      <c r="O109" s="19">
        <v>2298</v>
      </c>
      <c r="P109" s="19">
        <v>2331</v>
      </c>
      <c r="Q109" s="20">
        <v>0.99795584627964018</v>
      </c>
      <c r="R109" s="20">
        <v>0.99832003359932797</v>
      </c>
      <c r="S109" s="20">
        <v>0.97807757166947729</v>
      </c>
      <c r="T109" s="20">
        <v>0.97249259415996614</v>
      </c>
      <c r="U109" s="20">
        <v>0.9708454810495627</v>
      </c>
      <c r="W109" s="19">
        <v>3533</v>
      </c>
      <c r="X109" s="19">
        <v>3388</v>
      </c>
      <c r="Y109" s="19">
        <v>3264</v>
      </c>
      <c r="Z109" s="19">
        <v>2608</v>
      </c>
      <c r="AA109" s="19">
        <v>2363</v>
      </c>
      <c r="AB109" s="20">
        <v>1.1330908717711882E-2</v>
      </c>
      <c r="AC109" s="20">
        <v>1.0834076817058235E-2</v>
      </c>
      <c r="AD109" s="20">
        <v>1.0431114377936148E-2</v>
      </c>
      <c r="AE109" s="20">
        <v>8.1126564283781222E-3</v>
      </c>
      <c r="AF109" s="20">
        <v>7.2380310595154228E-3</v>
      </c>
      <c r="AG109" s="19">
        <v>3531</v>
      </c>
      <c r="AH109" s="19">
        <v>3381</v>
      </c>
      <c r="AI109" s="19">
        <v>3259</v>
      </c>
      <c r="AJ109" s="19">
        <v>2602</v>
      </c>
      <c r="AK109" s="19">
        <v>2298</v>
      </c>
      <c r="AL109" s="20">
        <v>0.99943390885932637</v>
      </c>
      <c r="AM109" s="20">
        <v>0.99793388429752061</v>
      </c>
      <c r="AN109" s="20">
        <v>0.99846813725490191</v>
      </c>
      <c r="AO109" s="20">
        <v>0.99769938650306744</v>
      </c>
      <c r="AP109" s="20">
        <v>0.97249259415996614</v>
      </c>
      <c r="AQ109" s="37">
        <v>53966.968178912372</v>
      </c>
    </row>
    <row r="110" spans="1:55" s="19" customFormat="1" ht="12.75" x14ac:dyDescent="0.2">
      <c r="A110" s="18" t="s">
        <v>56</v>
      </c>
      <c r="B110" s="19">
        <v>0</v>
      </c>
      <c r="C110" s="19">
        <v>0</v>
      </c>
      <c r="D110" s="19">
        <v>0</v>
      </c>
      <c r="E110" s="19">
        <v>67</v>
      </c>
      <c r="F110" s="19">
        <v>79</v>
      </c>
      <c r="G110" s="20">
        <v>0</v>
      </c>
      <c r="H110" s="20">
        <v>0</v>
      </c>
      <c r="I110" s="20">
        <v>0</v>
      </c>
      <c r="J110" s="20">
        <v>2.0522559500107208E-4</v>
      </c>
      <c r="K110" s="20">
        <v>2.4149863660263387E-4</v>
      </c>
      <c r="L110" s="19">
        <v>0</v>
      </c>
      <c r="M110" s="19">
        <v>0</v>
      </c>
      <c r="N110" s="19">
        <v>0</v>
      </c>
      <c r="O110" s="19">
        <v>67</v>
      </c>
      <c r="P110" s="19">
        <v>65</v>
      </c>
      <c r="Q110" s="20">
        <v>0</v>
      </c>
      <c r="R110" s="20">
        <v>0</v>
      </c>
      <c r="S110" s="20">
        <v>0</v>
      </c>
      <c r="T110" s="20">
        <v>1</v>
      </c>
      <c r="U110" s="20">
        <v>0.82278481012658233</v>
      </c>
      <c r="W110" s="19">
        <v>0</v>
      </c>
      <c r="X110" s="19">
        <v>0</v>
      </c>
      <c r="Y110" s="19">
        <v>0</v>
      </c>
      <c r="Z110" s="19">
        <v>0</v>
      </c>
      <c r="AA110" s="19">
        <v>67</v>
      </c>
      <c r="AB110" s="20">
        <v>0</v>
      </c>
      <c r="AC110" s="20">
        <v>0</v>
      </c>
      <c r="AD110" s="20">
        <v>0</v>
      </c>
      <c r="AE110" s="20">
        <v>0</v>
      </c>
      <c r="AF110" s="20">
        <v>2.0522559500107208E-4</v>
      </c>
      <c r="AG110" s="19">
        <v>0</v>
      </c>
      <c r="AH110" s="19">
        <v>0</v>
      </c>
      <c r="AI110" s="19">
        <v>0</v>
      </c>
      <c r="AJ110" s="19">
        <v>0</v>
      </c>
      <c r="AK110" s="19">
        <v>67</v>
      </c>
      <c r="AL110" s="20">
        <v>0</v>
      </c>
      <c r="AM110" s="20">
        <v>0</v>
      </c>
      <c r="AN110" s="20">
        <v>0</v>
      </c>
      <c r="AO110" s="20">
        <v>0</v>
      </c>
      <c r="AP110" s="20">
        <v>1</v>
      </c>
      <c r="AQ110" s="37">
        <v>414.82343675995315</v>
      </c>
    </row>
    <row r="111" spans="1:55" s="19" customFormat="1" ht="12.75" x14ac:dyDescent="0.2">
      <c r="A111" s="18" t="s">
        <v>58</v>
      </c>
      <c r="B111" s="19">
        <v>0</v>
      </c>
      <c r="C111" s="19">
        <v>0</v>
      </c>
      <c r="D111" s="19">
        <v>0</v>
      </c>
      <c r="E111" s="19">
        <v>0</v>
      </c>
      <c r="F111" s="19">
        <v>1</v>
      </c>
      <c r="G111" s="20">
        <v>0</v>
      </c>
      <c r="H111" s="20">
        <v>0</v>
      </c>
      <c r="I111" s="20">
        <v>0</v>
      </c>
      <c r="J111" s="20">
        <v>0</v>
      </c>
      <c r="K111" s="20">
        <v>3.0569447671219475E-6</v>
      </c>
      <c r="L111" s="19">
        <v>0</v>
      </c>
      <c r="M111" s="19">
        <v>0</v>
      </c>
      <c r="N111" s="19">
        <v>0</v>
      </c>
      <c r="O111" s="19">
        <v>0</v>
      </c>
      <c r="P111" s="19">
        <v>1</v>
      </c>
      <c r="Q111" s="20">
        <v>0</v>
      </c>
      <c r="R111" s="20">
        <v>0</v>
      </c>
      <c r="S111" s="20">
        <v>0</v>
      </c>
      <c r="T111" s="20">
        <v>0</v>
      </c>
      <c r="U111" s="20">
        <v>1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37">
        <v>3.0000030569447671</v>
      </c>
    </row>
    <row r="112" spans="1:55" s="19" customFormat="1" ht="12.75" x14ac:dyDescent="0.2">
      <c r="A112" s="18" t="s">
        <v>59</v>
      </c>
      <c r="B112" s="19">
        <v>0</v>
      </c>
      <c r="C112" s="19">
        <v>0</v>
      </c>
      <c r="D112" s="19">
        <v>0</v>
      </c>
      <c r="E112" s="19">
        <v>2</v>
      </c>
      <c r="F112" s="19">
        <v>0</v>
      </c>
      <c r="G112" s="20">
        <v>0</v>
      </c>
      <c r="H112" s="20">
        <v>0</v>
      </c>
      <c r="I112" s="20">
        <v>0</v>
      </c>
      <c r="J112" s="20">
        <v>6.1261371642111071E-6</v>
      </c>
      <c r="K112" s="20">
        <v>0</v>
      </c>
      <c r="L112" s="19">
        <v>0</v>
      </c>
      <c r="M112" s="19">
        <v>0</v>
      </c>
      <c r="N112" s="19">
        <v>0</v>
      </c>
      <c r="O112" s="19">
        <v>2</v>
      </c>
      <c r="P112" s="19">
        <v>0</v>
      </c>
      <c r="Q112" s="20">
        <v>0</v>
      </c>
      <c r="R112" s="20">
        <v>0</v>
      </c>
      <c r="S112" s="20">
        <v>0</v>
      </c>
      <c r="T112" s="20">
        <v>1</v>
      </c>
      <c r="U112" s="20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2</v>
      </c>
      <c r="AB112" s="20">
        <v>0</v>
      </c>
      <c r="AC112" s="20">
        <v>0</v>
      </c>
      <c r="AD112" s="20">
        <v>0</v>
      </c>
      <c r="AE112" s="20">
        <v>0</v>
      </c>
      <c r="AF112" s="20">
        <v>6.1261371642111071E-6</v>
      </c>
      <c r="AG112" s="19">
        <v>0</v>
      </c>
      <c r="AH112" s="19">
        <v>0</v>
      </c>
      <c r="AI112" s="19">
        <v>0</v>
      </c>
      <c r="AJ112" s="19">
        <v>0</v>
      </c>
      <c r="AK112" s="19">
        <v>2</v>
      </c>
      <c r="AL112" s="20">
        <v>0</v>
      </c>
      <c r="AM112" s="20">
        <v>0</v>
      </c>
      <c r="AN112" s="20">
        <v>0</v>
      </c>
      <c r="AO112" s="20">
        <v>0</v>
      </c>
      <c r="AP112" s="20">
        <v>1</v>
      </c>
      <c r="AQ112" s="37">
        <v>10.000012252274328</v>
      </c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</row>
    <row r="113" spans="1:55" s="19" customFormat="1" ht="12.75" x14ac:dyDescent="0.2">
      <c r="A113" s="18" t="s">
        <v>61</v>
      </c>
      <c r="B113" s="19">
        <v>46</v>
      </c>
      <c r="C113" s="19">
        <v>25</v>
      </c>
      <c r="D113" s="19">
        <v>84</v>
      </c>
      <c r="E113" s="19">
        <v>143</v>
      </c>
      <c r="F113" s="19">
        <v>50</v>
      </c>
      <c r="G113" s="20">
        <v>1.4136013029716359E-4</v>
      </c>
      <c r="H113" s="20">
        <v>7.6492600105865756E-5</v>
      </c>
      <c r="I113" s="20">
        <v>2.5260574858510708E-4</v>
      </c>
      <c r="J113" s="20">
        <v>4.3801880724109415E-4</v>
      </c>
      <c r="K113" s="20">
        <v>1.5284723835609737E-4</v>
      </c>
      <c r="L113" s="19">
        <v>46</v>
      </c>
      <c r="M113" s="19">
        <v>25</v>
      </c>
      <c r="N113" s="19">
        <v>84</v>
      </c>
      <c r="O113" s="19">
        <v>143</v>
      </c>
      <c r="P113" s="19">
        <v>50</v>
      </c>
      <c r="Q113" s="20">
        <v>1</v>
      </c>
      <c r="R113" s="20">
        <v>1</v>
      </c>
      <c r="S113" s="20">
        <v>1</v>
      </c>
      <c r="T113" s="20">
        <v>1</v>
      </c>
      <c r="U113" s="20">
        <v>1</v>
      </c>
      <c r="W113" s="19">
        <v>0</v>
      </c>
      <c r="X113" s="19">
        <v>0</v>
      </c>
      <c r="Y113" s="19">
        <v>0</v>
      </c>
      <c r="Z113" s="19">
        <v>16</v>
      </c>
      <c r="AA113" s="19">
        <v>143</v>
      </c>
      <c r="AB113" s="20">
        <v>0</v>
      </c>
      <c r="AC113" s="20">
        <v>0</v>
      </c>
      <c r="AD113" s="20">
        <v>0</v>
      </c>
      <c r="AE113" s="20">
        <v>4.977089833360811E-5</v>
      </c>
      <c r="AF113" s="20">
        <v>4.3801880724109415E-4</v>
      </c>
      <c r="AG113" s="19">
        <v>0</v>
      </c>
      <c r="AH113" s="19">
        <v>0</v>
      </c>
      <c r="AI113" s="19">
        <v>0</v>
      </c>
      <c r="AJ113" s="19">
        <v>16</v>
      </c>
      <c r="AK113" s="19">
        <v>143</v>
      </c>
      <c r="AL113" s="20">
        <v>0</v>
      </c>
      <c r="AM113" s="20">
        <v>0</v>
      </c>
      <c r="AN113" s="20">
        <v>0</v>
      </c>
      <c r="AO113" s="20">
        <v>1</v>
      </c>
      <c r="AP113" s="20">
        <v>1</v>
      </c>
      <c r="AQ113" s="37">
        <v>1021.0015491142302</v>
      </c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</row>
    <row r="114" spans="1:55" s="21" customFormat="1" ht="12.75" x14ac:dyDescent="0.2">
      <c r="A114" s="29" t="s">
        <v>67</v>
      </c>
      <c r="B114" s="27">
        <v>325410</v>
      </c>
      <c r="C114" s="27">
        <v>326829</v>
      </c>
      <c r="D114" s="27">
        <v>332534</v>
      </c>
      <c r="E114" s="27">
        <v>326470</v>
      </c>
      <c r="F114" s="27">
        <v>327124</v>
      </c>
      <c r="G114" s="22">
        <v>1</v>
      </c>
      <c r="H114" s="22">
        <v>1</v>
      </c>
      <c r="I114" s="22">
        <v>1</v>
      </c>
      <c r="J114" s="22">
        <v>1</v>
      </c>
      <c r="K114" s="22">
        <v>1</v>
      </c>
      <c r="L114" s="27">
        <v>253262</v>
      </c>
      <c r="M114" s="27">
        <v>256428</v>
      </c>
      <c r="N114" s="27">
        <v>257703</v>
      </c>
      <c r="O114" s="27">
        <v>255706</v>
      </c>
      <c r="P114" s="27">
        <v>257986</v>
      </c>
      <c r="Q114" s="22">
        <v>0.7782858547678313</v>
      </c>
      <c r="R114" s="22">
        <v>0.78459377839787781</v>
      </c>
      <c r="S114" s="22">
        <v>0.77496737175747443</v>
      </c>
      <c r="T114" s="22">
        <v>0.7832450148558826</v>
      </c>
      <c r="U114" s="22">
        <v>0.78864895269072277</v>
      </c>
      <c r="W114" s="27">
        <v>311802</v>
      </c>
      <c r="X114" s="27">
        <v>312717</v>
      </c>
      <c r="Y114" s="27">
        <v>312910</v>
      </c>
      <c r="Z114" s="27">
        <v>321473</v>
      </c>
      <c r="AA114" s="27">
        <v>326470</v>
      </c>
      <c r="AB114" s="22">
        <v>1</v>
      </c>
      <c r="AC114" s="22">
        <v>1</v>
      </c>
      <c r="AD114" s="22">
        <v>1</v>
      </c>
      <c r="AE114" s="22">
        <v>1</v>
      </c>
      <c r="AF114" s="22">
        <v>1</v>
      </c>
      <c r="AG114" s="27">
        <v>192620</v>
      </c>
      <c r="AH114" s="27">
        <v>211360</v>
      </c>
      <c r="AI114" s="27">
        <v>222461</v>
      </c>
      <c r="AJ114" s="27">
        <v>245820</v>
      </c>
      <c r="AK114" s="27">
        <v>255706</v>
      </c>
      <c r="AL114" s="22">
        <v>0.6177638373070089</v>
      </c>
      <c r="AM114" s="22">
        <v>0.67588266707598244</v>
      </c>
      <c r="AN114" s="22">
        <v>0.71094244351410951</v>
      </c>
      <c r="AO114" s="22">
        <v>0.76466763927297166</v>
      </c>
      <c r="AP114" s="22">
        <v>0.7832450148558826</v>
      </c>
      <c r="AQ114" s="37">
        <v>5632808.4622425754</v>
      </c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</row>
    <row r="115" spans="1:55" s="19" customFormat="1" ht="12.75" x14ac:dyDescent="0.2">
      <c r="A115" s="18"/>
      <c r="AQ115" s="37">
        <v>1</v>
      </c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</row>
    <row r="116" spans="1:55" s="25" customFormat="1" ht="12.75" x14ac:dyDescent="0.2">
      <c r="A116" s="28" t="s">
        <v>68</v>
      </c>
      <c r="B116" s="25" t="s">
        <v>10</v>
      </c>
      <c r="C116" s="25" t="s">
        <v>11</v>
      </c>
      <c r="D116" s="25" t="s">
        <v>12</v>
      </c>
      <c r="E116" s="25" t="s">
        <v>164</v>
      </c>
      <c r="F116" s="25" t="s">
        <v>195</v>
      </c>
      <c r="G116" s="25" t="s">
        <v>10</v>
      </c>
      <c r="H116" s="25" t="s">
        <v>11</v>
      </c>
      <c r="I116" s="25" t="s">
        <v>12</v>
      </c>
      <c r="J116" s="25" t="s">
        <v>164</v>
      </c>
      <c r="K116" s="25" t="s">
        <v>195</v>
      </c>
      <c r="L116" s="25" t="s">
        <v>10</v>
      </c>
      <c r="M116" s="25" t="s">
        <v>11</v>
      </c>
      <c r="N116" s="25" t="s">
        <v>12</v>
      </c>
      <c r="O116" s="25" t="s">
        <v>164</v>
      </c>
      <c r="P116" s="25" t="s">
        <v>195</v>
      </c>
      <c r="Q116" s="25" t="s">
        <v>10</v>
      </c>
      <c r="R116" s="25" t="s">
        <v>11</v>
      </c>
      <c r="S116" s="25" t="s">
        <v>12</v>
      </c>
      <c r="T116" s="25" t="s">
        <v>164</v>
      </c>
      <c r="U116" s="25" t="s">
        <v>195</v>
      </c>
      <c r="W116" s="25" t="s">
        <v>13</v>
      </c>
      <c r="X116" s="25" t="s">
        <v>14</v>
      </c>
      <c r="Y116" s="25" t="s">
        <v>15</v>
      </c>
      <c r="Z116" s="25" t="s">
        <v>16</v>
      </c>
      <c r="AA116" s="25" t="s">
        <v>165</v>
      </c>
      <c r="AB116" s="25" t="s">
        <v>13</v>
      </c>
      <c r="AC116" s="25" t="s">
        <v>14</v>
      </c>
      <c r="AD116" s="25" t="s">
        <v>15</v>
      </c>
      <c r="AE116" s="25" t="s">
        <v>16</v>
      </c>
      <c r="AF116" s="25" t="s">
        <v>165</v>
      </c>
      <c r="AG116" s="25" t="s">
        <v>13</v>
      </c>
      <c r="AH116" s="25" t="s">
        <v>14</v>
      </c>
      <c r="AI116" s="25" t="s">
        <v>15</v>
      </c>
      <c r="AJ116" s="25" t="s">
        <v>16</v>
      </c>
      <c r="AK116" s="25" t="s">
        <v>165</v>
      </c>
      <c r="AL116" s="25" t="s">
        <v>13</v>
      </c>
      <c r="AM116" s="25" t="s">
        <v>14</v>
      </c>
      <c r="AN116" s="25" t="s">
        <v>15</v>
      </c>
      <c r="AO116" s="25" t="s">
        <v>16</v>
      </c>
      <c r="AP116" s="25" t="s">
        <v>165</v>
      </c>
      <c r="AQ116" s="37">
        <v>1</v>
      </c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</row>
    <row r="117" spans="1:55" s="19" customFormat="1" ht="12.75" x14ac:dyDescent="0.2">
      <c r="A117" s="18" t="s">
        <v>17</v>
      </c>
      <c r="B117" s="19">
        <v>70</v>
      </c>
      <c r="C117" s="19">
        <v>86</v>
      </c>
      <c r="D117" s="19">
        <v>87</v>
      </c>
      <c r="E117" s="19">
        <v>86</v>
      </c>
      <c r="F117" s="19">
        <v>100</v>
      </c>
      <c r="G117" s="20">
        <v>3.6161320818072396E-4</v>
      </c>
      <c r="H117" s="20">
        <v>4.4323499701074071E-4</v>
      </c>
      <c r="I117" s="20">
        <v>4.4694229820812099E-4</v>
      </c>
      <c r="J117" s="20">
        <v>4.4453404045259766E-4</v>
      </c>
      <c r="K117" s="20">
        <v>5.1431069509090446E-4</v>
      </c>
      <c r="L117" s="19">
        <v>67</v>
      </c>
      <c r="M117" s="19">
        <v>84</v>
      </c>
      <c r="N117" s="19">
        <v>82</v>
      </c>
      <c r="O117" s="19">
        <v>79</v>
      </c>
      <c r="P117" s="19">
        <v>90</v>
      </c>
      <c r="Q117" s="20">
        <v>0.95714285714285718</v>
      </c>
      <c r="R117" s="20">
        <v>0.97674418604651159</v>
      </c>
      <c r="S117" s="20">
        <v>0.94252873563218387</v>
      </c>
      <c r="T117" s="20">
        <v>0.91860465116279066</v>
      </c>
      <c r="U117" s="20">
        <v>0.9</v>
      </c>
      <c r="W117" s="19">
        <v>0</v>
      </c>
      <c r="X117" s="19">
        <v>0</v>
      </c>
      <c r="Y117" s="19">
        <v>0</v>
      </c>
      <c r="Z117" s="19">
        <v>50</v>
      </c>
      <c r="AA117" s="19">
        <v>86</v>
      </c>
      <c r="AB117" s="20">
        <v>0</v>
      </c>
      <c r="AC117" s="20">
        <v>0</v>
      </c>
      <c r="AD117" s="20">
        <v>0</v>
      </c>
      <c r="AE117" s="20">
        <v>2.5683304311199459E-4</v>
      </c>
      <c r="AF117" s="20">
        <v>4.4453404045259766E-4</v>
      </c>
      <c r="AG117" s="19">
        <v>0</v>
      </c>
      <c r="AH117" s="19">
        <v>0</v>
      </c>
      <c r="AI117" s="19">
        <v>0</v>
      </c>
      <c r="AJ117" s="19">
        <v>49</v>
      </c>
      <c r="AK117" s="19">
        <v>79</v>
      </c>
      <c r="AL117" s="20">
        <v>0</v>
      </c>
      <c r="AM117" s="20">
        <v>0</v>
      </c>
      <c r="AN117" s="20">
        <v>0</v>
      </c>
      <c r="AO117" s="20">
        <v>0.98</v>
      </c>
      <c r="AP117" s="20">
        <v>0.91860465116279066</v>
      </c>
      <c r="AQ117" s="37">
        <v>1101.5965370834697</v>
      </c>
    </row>
    <row r="118" spans="1:55" s="19" customFormat="1" ht="12.75" x14ac:dyDescent="0.2">
      <c r="A118" s="18" t="s">
        <v>19</v>
      </c>
      <c r="B118" s="19">
        <v>20229</v>
      </c>
      <c r="C118" s="19">
        <v>20159</v>
      </c>
      <c r="D118" s="19">
        <v>20441</v>
      </c>
      <c r="E118" s="19">
        <v>20430</v>
      </c>
      <c r="F118" s="19">
        <v>20618</v>
      </c>
      <c r="G118" s="20">
        <v>0.10450105126125521</v>
      </c>
      <c r="H118" s="20">
        <v>0.10389737563650607</v>
      </c>
      <c r="I118" s="20">
        <v>0.10501089100772645</v>
      </c>
      <c r="J118" s="20">
        <v>0.10560267960984385</v>
      </c>
      <c r="K118" s="20">
        <v>0.10604057911384267</v>
      </c>
      <c r="L118" s="19">
        <v>14558</v>
      </c>
      <c r="M118" s="19">
        <v>14561</v>
      </c>
      <c r="N118" s="19">
        <v>14936</v>
      </c>
      <c r="O118" s="19">
        <v>15189</v>
      </c>
      <c r="P118" s="19">
        <v>15544</v>
      </c>
      <c r="Q118" s="20">
        <v>0.71965989421128085</v>
      </c>
      <c r="R118" s="20">
        <v>0.72230765414951137</v>
      </c>
      <c r="S118" s="20">
        <v>0.73068832248911497</v>
      </c>
      <c r="T118" s="20">
        <v>0.74346549192364175</v>
      </c>
      <c r="U118" s="20">
        <v>0.75390435541759626</v>
      </c>
      <c r="W118" s="19">
        <v>0</v>
      </c>
      <c r="X118" s="19">
        <v>20491</v>
      </c>
      <c r="Y118" s="19">
        <v>18627</v>
      </c>
      <c r="Z118" s="19">
        <v>20192</v>
      </c>
      <c r="AA118" s="19">
        <v>20430</v>
      </c>
      <c r="AB118" s="20">
        <v>0</v>
      </c>
      <c r="AC118" s="20">
        <v>0.10101054914719511</v>
      </c>
      <c r="AD118" s="20">
        <v>9.5121129177220362E-2</v>
      </c>
      <c r="AE118" s="20">
        <v>0.1037194561303479</v>
      </c>
      <c r="AF118" s="20">
        <v>0.10560267960984385</v>
      </c>
      <c r="AG118" s="19">
        <v>0</v>
      </c>
      <c r="AH118" s="19">
        <v>12138</v>
      </c>
      <c r="AI118" s="19">
        <v>11527</v>
      </c>
      <c r="AJ118" s="19">
        <v>14301</v>
      </c>
      <c r="AK118" s="19">
        <v>15189</v>
      </c>
      <c r="AL118" s="20">
        <v>0</v>
      </c>
      <c r="AM118" s="20">
        <v>0.59235762041872042</v>
      </c>
      <c r="AN118" s="20">
        <v>0.61883287700649592</v>
      </c>
      <c r="AO118" s="20">
        <v>0.70825079239302691</v>
      </c>
      <c r="AP118" s="20">
        <v>0.74346549192364175</v>
      </c>
      <c r="AQ118" s="37">
        <v>309567.26343889063</v>
      </c>
    </row>
    <row r="119" spans="1:55" s="19" customFormat="1" ht="12.75" x14ac:dyDescent="0.2">
      <c r="A119" s="18" t="s">
        <v>20</v>
      </c>
      <c r="B119" s="19">
        <v>8079</v>
      </c>
      <c r="C119" s="19">
        <v>9105</v>
      </c>
      <c r="D119" s="19">
        <v>9634</v>
      </c>
      <c r="E119" s="19">
        <v>9782</v>
      </c>
      <c r="F119" s="19">
        <v>10081</v>
      </c>
      <c r="G119" s="20">
        <v>4.1735330127029555E-2</v>
      </c>
      <c r="H119" s="20">
        <v>4.6926216834683655E-2</v>
      </c>
      <c r="I119" s="20">
        <v>4.949243794180503E-2</v>
      </c>
      <c r="J119" s="20">
        <v>5.0563162601247796E-2</v>
      </c>
      <c r="K119" s="20">
        <v>5.1847661172114076E-2</v>
      </c>
      <c r="L119" s="19">
        <v>8000</v>
      </c>
      <c r="M119" s="19">
        <v>8977</v>
      </c>
      <c r="N119" s="19">
        <v>9414</v>
      </c>
      <c r="O119" s="19">
        <v>9551</v>
      </c>
      <c r="P119" s="19">
        <v>9737</v>
      </c>
      <c r="Q119" s="20">
        <v>0.99022156207451417</v>
      </c>
      <c r="R119" s="20">
        <v>0.98594179022515105</v>
      </c>
      <c r="S119" s="20">
        <v>0.97716421008926713</v>
      </c>
      <c r="T119" s="20">
        <v>0.97638519730116535</v>
      </c>
      <c r="U119" s="20">
        <v>0.96587640115067952</v>
      </c>
      <c r="W119" s="19">
        <v>0</v>
      </c>
      <c r="X119" s="19">
        <v>0</v>
      </c>
      <c r="Y119" s="19">
        <v>0</v>
      </c>
      <c r="Z119" s="19">
        <v>6897</v>
      </c>
      <c r="AA119" s="19">
        <v>9782</v>
      </c>
      <c r="AB119" s="20">
        <v>0</v>
      </c>
      <c r="AC119" s="20">
        <v>0</v>
      </c>
      <c r="AD119" s="20">
        <v>0</v>
      </c>
      <c r="AE119" s="20">
        <v>3.5427549966868539E-2</v>
      </c>
      <c r="AF119" s="20">
        <v>5.0563162601247796E-2</v>
      </c>
      <c r="AG119" s="19">
        <v>0</v>
      </c>
      <c r="AH119" s="19">
        <v>0</v>
      </c>
      <c r="AI119" s="19">
        <v>0</v>
      </c>
      <c r="AJ119" s="19">
        <v>6869</v>
      </c>
      <c r="AK119" s="19">
        <v>9551</v>
      </c>
      <c r="AL119" s="20">
        <v>0</v>
      </c>
      <c r="AM119" s="20">
        <v>0</v>
      </c>
      <c r="AN119" s="20">
        <v>0</v>
      </c>
      <c r="AO119" s="20">
        <v>0.99594026388284762</v>
      </c>
      <c r="AP119" s="20">
        <v>0.97638519730116535</v>
      </c>
      <c r="AQ119" s="37">
        <v>125466.19447014322</v>
      </c>
    </row>
    <row r="120" spans="1:55" s="19" customFormat="1" ht="12.75" x14ac:dyDescent="0.2">
      <c r="A120" s="18" t="s">
        <v>21</v>
      </c>
      <c r="B120" s="19">
        <v>1324</v>
      </c>
      <c r="C120" s="19">
        <v>1283</v>
      </c>
      <c r="D120" s="19">
        <v>1378</v>
      </c>
      <c r="E120" s="19">
        <v>1362</v>
      </c>
      <c r="F120" s="19">
        <v>1406</v>
      </c>
      <c r="G120" s="20">
        <v>6.8396555375896933E-3</v>
      </c>
      <c r="H120" s="20">
        <v>6.6124476879625624E-3</v>
      </c>
      <c r="I120" s="20">
        <v>7.0791550221929967E-3</v>
      </c>
      <c r="J120" s="20">
        <v>7.0401786406562566E-3</v>
      </c>
      <c r="K120" s="20">
        <v>7.2312083729781157E-3</v>
      </c>
      <c r="L120" s="19">
        <v>1187</v>
      </c>
      <c r="M120" s="19">
        <v>1151</v>
      </c>
      <c r="N120" s="19">
        <v>1134</v>
      </c>
      <c r="O120" s="19">
        <v>1116</v>
      </c>
      <c r="P120" s="19">
        <v>1159</v>
      </c>
      <c r="Q120" s="20">
        <v>0.8965256797583081</v>
      </c>
      <c r="R120" s="20">
        <v>0.89711613406079505</v>
      </c>
      <c r="S120" s="20">
        <v>0.82293178519593613</v>
      </c>
      <c r="T120" s="20">
        <v>0.81938325991189431</v>
      </c>
      <c r="U120" s="20">
        <v>0.82432432432432434</v>
      </c>
      <c r="W120" s="19">
        <v>0</v>
      </c>
      <c r="X120" s="19">
        <v>1268</v>
      </c>
      <c r="Y120" s="19">
        <v>1551</v>
      </c>
      <c r="Z120" s="19">
        <v>1318</v>
      </c>
      <c r="AA120" s="19">
        <v>1362</v>
      </c>
      <c r="AB120" s="20">
        <v>0</v>
      </c>
      <c r="AC120" s="20">
        <v>6.2506161885043871E-3</v>
      </c>
      <c r="AD120" s="20">
        <v>7.920377481820411E-3</v>
      </c>
      <c r="AE120" s="20">
        <v>6.7701190164321783E-3</v>
      </c>
      <c r="AF120" s="20">
        <v>7.0401786406562566E-3</v>
      </c>
      <c r="AG120" s="19">
        <v>0</v>
      </c>
      <c r="AH120" s="19">
        <v>1138</v>
      </c>
      <c r="AI120" s="19">
        <v>1436</v>
      </c>
      <c r="AJ120" s="19">
        <v>1162</v>
      </c>
      <c r="AK120" s="19">
        <v>1116</v>
      </c>
      <c r="AL120" s="20">
        <v>0</v>
      </c>
      <c r="AM120" s="20">
        <v>0.89747634069400628</v>
      </c>
      <c r="AN120" s="20">
        <v>0.92585428755641519</v>
      </c>
      <c r="AO120" s="20">
        <v>0.88163884673748105</v>
      </c>
      <c r="AP120" s="20">
        <v>0.81938325991189431</v>
      </c>
      <c r="AQ120" s="37">
        <v>22858.847417854748</v>
      </c>
    </row>
    <row r="121" spans="1:55" s="19" customFormat="1" ht="12.75" x14ac:dyDescent="0.2">
      <c r="A121" s="18" t="s">
        <v>26</v>
      </c>
      <c r="B121" s="19">
        <v>577</v>
      </c>
      <c r="C121" s="19">
        <v>589</v>
      </c>
      <c r="D121" s="19">
        <v>588</v>
      </c>
      <c r="E121" s="19">
        <v>609</v>
      </c>
      <c r="F121" s="19">
        <v>580</v>
      </c>
      <c r="G121" s="20">
        <v>2.9807260160039672E-3</v>
      </c>
      <c r="H121" s="20">
        <v>3.035644339992166E-3</v>
      </c>
      <c r="I121" s="20">
        <v>3.0207134637514382E-3</v>
      </c>
      <c r="J121" s="20">
        <v>3.147921286460837E-3</v>
      </c>
      <c r="K121" s="20">
        <v>2.9830020315272454E-3</v>
      </c>
      <c r="L121" s="19">
        <v>444</v>
      </c>
      <c r="M121" s="19">
        <v>458</v>
      </c>
      <c r="N121" s="19">
        <v>467</v>
      </c>
      <c r="O121" s="19">
        <v>523</v>
      </c>
      <c r="P121" s="19">
        <v>502</v>
      </c>
      <c r="Q121" s="20">
        <v>0.7694974003466204</v>
      </c>
      <c r="R121" s="20">
        <v>0.77758913412563668</v>
      </c>
      <c r="S121" s="20">
        <v>0.79421768707482998</v>
      </c>
      <c r="T121" s="20">
        <v>0.85878489326765184</v>
      </c>
      <c r="U121" s="20">
        <v>0.8655172413793103</v>
      </c>
      <c r="W121" s="19">
        <v>0</v>
      </c>
      <c r="X121" s="19">
        <v>451</v>
      </c>
      <c r="Y121" s="19">
        <v>532</v>
      </c>
      <c r="Z121" s="19">
        <v>580</v>
      </c>
      <c r="AA121" s="19">
        <v>609</v>
      </c>
      <c r="AB121" s="20">
        <v>0</v>
      </c>
      <c r="AC121" s="20">
        <v>2.223208123829242E-3</v>
      </c>
      <c r="AD121" s="20">
        <v>2.7167252226489094E-3</v>
      </c>
      <c r="AE121" s="20">
        <v>2.9792633000991376E-3</v>
      </c>
      <c r="AF121" s="20">
        <v>3.147921286460837E-3</v>
      </c>
      <c r="AG121" s="19">
        <v>0</v>
      </c>
      <c r="AH121" s="19">
        <v>422</v>
      </c>
      <c r="AI121" s="19">
        <v>442</v>
      </c>
      <c r="AJ121" s="19">
        <v>441</v>
      </c>
      <c r="AK121" s="19">
        <v>523</v>
      </c>
      <c r="AL121" s="20">
        <v>0</v>
      </c>
      <c r="AM121" s="20">
        <v>0.93569844789356982</v>
      </c>
      <c r="AN121" s="20">
        <v>0.83082706766917291</v>
      </c>
      <c r="AO121" s="20">
        <v>0.76034482758620692</v>
      </c>
      <c r="AP121" s="20">
        <v>0.85878489326765184</v>
      </c>
      <c r="AQ121" s="37">
        <v>9344.4774967176818</v>
      </c>
    </row>
    <row r="122" spans="1:55" s="19" customFormat="1" ht="12.75" x14ac:dyDescent="0.2">
      <c r="A122" s="18" t="s">
        <v>27</v>
      </c>
      <c r="B122" s="19">
        <v>0</v>
      </c>
      <c r="C122" s="19">
        <v>0</v>
      </c>
      <c r="D122" s="19">
        <v>0</v>
      </c>
      <c r="E122" s="19">
        <v>1</v>
      </c>
      <c r="F122" s="19">
        <v>1</v>
      </c>
      <c r="G122" s="20">
        <v>0</v>
      </c>
      <c r="H122" s="20">
        <v>0</v>
      </c>
      <c r="I122" s="20">
        <v>0</v>
      </c>
      <c r="J122" s="20">
        <v>5.1690004703790432E-6</v>
      </c>
      <c r="K122" s="20">
        <v>5.1431069509090442E-6</v>
      </c>
      <c r="L122" s="19">
        <v>0</v>
      </c>
      <c r="M122" s="19">
        <v>0</v>
      </c>
      <c r="N122" s="19">
        <v>0</v>
      </c>
      <c r="O122" s="19">
        <v>1</v>
      </c>
      <c r="P122" s="19">
        <v>1</v>
      </c>
      <c r="Q122" s="20">
        <v>0</v>
      </c>
      <c r="R122" s="20">
        <v>0</v>
      </c>
      <c r="S122" s="20">
        <v>0</v>
      </c>
      <c r="T122" s="20">
        <v>1</v>
      </c>
      <c r="U122" s="20">
        <v>1</v>
      </c>
      <c r="W122" s="19">
        <v>0</v>
      </c>
      <c r="X122" s="19">
        <v>0</v>
      </c>
      <c r="Y122" s="19">
        <v>0</v>
      </c>
      <c r="Z122" s="19">
        <v>0</v>
      </c>
      <c r="AA122" s="19">
        <v>1</v>
      </c>
      <c r="AB122" s="20">
        <v>0</v>
      </c>
      <c r="AC122" s="20">
        <v>0</v>
      </c>
      <c r="AD122" s="20">
        <v>0</v>
      </c>
      <c r="AE122" s="20">
        <v>0</v>
      </c>
      <c r="AF122" s="20">
        <v>5.1690004703790432E-6</v>
      </c>
      <c r="AG122" s="19">
        <v>0</v>
      </c>
      <c r="AH122" s="19">
        <v>0</v>
      </c>
      <c r="AI122" s="19">
        <v>0</v>
      </c>
      <c r="AJ122" s="19">
        <v>0</v>
      </c>
      <c r="AK122" s="19">
        <v>1</v>
      </c>
      <c r="AL122" s="20">
        <v>0</v>
      </c>
      <c r="AM122" s="20">
        <v>0</v>
      </c>
      <c r="AN122" s="20">
        <v>0</v>
      </c>
      <c r="AO122" s="20">
        <v>0</v>
      </c>
      <c r="AP122" s="20">
        <v>1</v>
      </c>
      <c r="AQ122" s="37">
        <v>9.0000154811078907</v>
      </c>
    </row>
    <row r="123" spans="1:55" s="19" customFormat="1" ht="12.75" x14ac:dyDescent="0.2">
      <c r="A123" s="18" t="s">
        <v>28</v>
      </c>
      <c r="B123" s="19">
        <v>1</v>
      </c>
      <c r="C123" s="19">
        <v>1</v>
      </c>
      <c r="D123" s="19">
        <v>1</v>
      </c>
      <c r="E123" s="19">
        <v>0</v>
      </c>
      <c r="F123" s="19">
        <v>0</v>
      </c>
      <c r="G123" s="20">
        <v>5.1659029740103422E-6</v>
      </c>
      <c r="H123" s="20">
        <v>5.1538953140783807E-6</v>
      </c>
      <c r="I123" s="20">
        <v>5.137267795495644E-6</v>
      </c>
      <c r="J123" s="20">
        <v>0</v>
      </c>
      <c r="K123" s="20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20">
        <v>0</v>
      </c>
      <c r="AC123" s="20">
        <v>0</v>
      </c>
      <c r="AD123" s="20">
        <v>0</v>
      </c>
      <c r="AE123" s="20">
        <v>0</v>
      </c>
      <c r="AF123" s="20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37">
        <v>3.0000154570660835</v>
      </c>
    </row>
    <row r="124" spans="1:55" s="19" customFormat="1" ht="12.75" x14ac:dyDescent="0.2">
      <c r="A124" s="18" t="s">
        <v>29</v>
      </c>
      <c r="B124" s="19">
        <v>44</v>
      </c>
      <c r="C124" s="19">
        <v>51</v>
      </c>
      <c r="D124" s="19">
        <v>55</v>
      </c>
      <c r="E124" s="19">
        <v>100</v>
      </c>
      <c r="F124" s="19">
        <v>68</v>
      </c>
      <c r="G124" s="20">
        <v>2.2729973085645506E-4</v>
      </c>
      <c r="H124" s="20">
        <v>2.6284866101799738E-4</v>
      </c>
      <c r="I124" s="20">
        <v>2.8254972875226041E-4</v>
      </c>
      <c r="J124" s="20">
        <v>5.1690004703790432E-4</v>
      </c>
      <c r="K124" s="20">
        <v>3.4973127266181499E-4</v>
      </c>
      <c r="L124" s="19">
        <v>44</v>
      </c>
      <c r="M124" s="19">
        <v>50</v>
      </c>
      <c r="N124" s="19">
        <v>55</v>
      </c>
      <c r="O124" s="19">
        <v>100</v>
      </c>
      <c r="P124" s="19">
        <v>66</v>
      </c>
      <c r="Q124" s="20">
        <v>1</v>
      </c>
      <c r="R124" s="20">
        <v>0.98039215686274506</v>
      </c>
      <c r="S124" s="20">
        <v>1</v>
      </c>
      <c r="T124" s="20">
        <v>1</v>
      </c>
      <c r="U124" s="20">
        <v>0.97058823529411764</v>
      </c>
      <c r="W124" s="19">
        <v>0</v>
      </c>
      <c r="X124" s="19">
        <v>0</v>
      </c>
      <c r="Y124" s="19">
        <v>7</v>
      </c>
      <c r="Z124" s="19">
        <v>34</v>
      </c>
      <c r="AA124" s="19">
        <v>100</v>
      </c>
      <c r="AB124" s="20">
        <v>0</v>
      </c>
      <c r="AC124" s="20">
        <v>0</v>
      </c>
      <c r="AD124" s="20">
        <v>3.5746384508538277E-5</v>
      </c>
      <c r="AE124" s="20">
        <v>1.7464646931615634E-4</v>
      </c>
      <c r="AF124" s="20">
        <v>5.1690004703790432E-4</v>
      </c>
      <c r="AG124" s="19">
        <v>0</v>
      </c>
      <c r="AH124" s="19">
        <v>0</v>
      </c>
      <c r="AI124" s="19">
        <v>7</v>
      </c>
      <c r="AJ124" s="19">
        <v>34</v>
      </c>
      <c r="AK124" s="19">
        <v>100</v>
      </c>
      <c r="AL124" s="20">
        <v>0</v>
      </c>
      <c r="AM124" s="20">
        <v>0</v>
      </c>
      <c r="AN124" s="20">
        <v>1</v>
      </c>
      <c r="AO124" s="20">
        <v>1</v>
      </c>
      <c r="AP124" s="20">
        <v>1</v>
      </c>
      <c r="AQ124" s="37">
        <v>922.95334701449804</v>
      </c>
    </row>
    <row r="125" spans="1:55" s="19" customFormat="1" ht="12.75" x14ac:dyDescent="0.2">
      <c r="A125" s="18" t="s">
        <v>30</v>
      </c>
      <c r="B125" s="19">
        <v>9238</v>
      </c>
      <c r="C125" s="19">
        <v>9086</v>
      </c>
      <c r="D125" s="19">
        <v>9094</v>
      </c>
      <c r="E125" s="19">
        <v>8075</v>
      </c>
      <c r="F125" s="19">
        <v>8229</v>
      </c>
      <c r="G125" s="20">
        <v>4.7722611673907539E-2</v>
      </c>
      <c r="H125" s="20">
        <v>4.6828292823716165E-2</v>
      </c>
      <c r="I125" s="20">
        <v>4.6718313332237381E-2</v>
      </c>
      <c r="J125" s="20">
        <v>4.1739678798310774E-2</v>
      </c>
      <c r="K125" s="20">
        <v>4.2322627099030521E-2</v>
      </c>
      <c r="L125" s="19">
        <v>8365</v>
      </c>
      <c r="M125" s="19">
        <v>8245</v>
      </c>
      <c r="N125" s="19">
        <v>8261</v>
      </c>
      <c r="O125" s="19">
        <v>7554</v>
      </c>
      <c r="P125" s="19">
        <v>7718</v>
      </c>
      <c r="Q125" s="20">
        <v>0.90549902576315222</v>
      </c>
      <c r="R125" s="20">
        <v>0.9074400176095091</v>
      </c>
      <c r="S125" s="20">
        <v>0.90840114361117219</v>
      </c>
      <c r="T125" s="20">
        <v>0.93547987616099071</v>
      </c>
      <c r="U125" s="20">
        <v>0.93790253979827443</v>
      </c>
      <c r="W125" s="19">
        <v>0</v>
      </c>
      <c r="X125" s="19">
        <v>9320</v>
      </c>
      <c r="Y125" s="19">
        <v>9408</v>
      </c>
      <c r="Z125" s="19">
        <v>10099</v>
      </c>
      <c r="AA125" s="19">
        <v>8075</v>
      </c>
      <c r="AB125" s="20">
        <v>0</v>
      </c>
      <c r="AC125" s="20">
        <v>4.5943014887114268E-2</v>
      </c>
      <c r="AD125" s="20">
        <v>4.8043140779475448E-2</v>
      </c>
      <c r="AE125" s="20">
        <v>5.1875138047760672E-2</v>
      </c>
      <c r="AF125" s="20">
        <v>4.1739678798310774E-2</v>
      </c>
      <c r="AG125" s="19">
        <v>0</v>
      </c>
      <c r="AH125" s="19">
        <v>8718</v>
      </c>
      <c r="AI125" s="19">
        <v>8900</v>
      </c>
      <c r="AJ125" s="19">
        <v>9172</v>
      </c>
      <c r="AK125" s="19">
        <v>7554</v>
      </c>
      <c r="AL125" s="20">
        <v>0</v>
      </c>
      <c r="AM125" s="20">
        <v>0.93540772532188843</v>
      </c>
      <c r="AN125" s="20">
        <v>0.94600340136054417</v>
      </c>
      <c r="AO125" s="20">
        <v>0.90820873353797404</v>
      </c>
      <c r="AP125" s="20">
        <v>0.93547987616099071</v>
      </c>
      <c r="AQ125" s="37">
        <v>155119.73275483551</v>
      </c>
    </row>
    <row r="126" spans="1:55" s="19" customFormat="1" ht="12.75" x14ac:dyDescent="0.2">
      <c r="A126" s="18" t="s">
        <v>32</v>
      </c>
      <c r="B126" s="19">
        <v>88214</v>
      </c>
      <c r="C126" s="19">
        <v>88544</v>
      </c>
      <c r="D126" s="19">
        <v>88010</v>
      </c>
      <c r="E126" s="19">
        <v>87657</v>
      </c>
      <c r="F126" s="19">
        <v>87565</v>
      </c>
      <c r="G126" s="20">
        <v>0.45570496494934831</v>
      </c>
      <c r="H126" s="20">
        <v>0.45634650668975613</v>
      </c>
      <c r="I126" s="20">
        <v>0.45213093868157161</v>
      </c>
      <c r="J126" s="20">
        <v>0.45309907423201573</v>
      </c>
      <c r="K126" s="20">
        <v>0.45035616015635044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W126" s="19">
        <v>0</v>
      </c>
      <c r="X126" s="19">
        <v>91580</v>
      </c>
      <c r="Y126" s="19">
        <v>89960</v>
      </c>
      <c r="Z126" s="19">
        <v>88873</v>
      </c>
      <c r="AA126" s="19">
        <v>87657</v>
      </c>
      <c r="AB126" s="20">
        <v>0</v>
      </c>
      <c r="AC126" s="20">
        <v>0.45144434585428372</v>
      </c>
      <c r="AD126" s="20">
        <v>0.45939210719830054</v>
      </c>
      <c r="AE126" s="20">
        <v>0.45651046080984597</v>
      </c>
      <c r="AF126" s="20">
        <v>0.45309907423201573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37">
        <v>798064.08808363287</v>
      </c>
    </row>
    <row r="127" spans="1:55" s="19" customFormat="1" ht="12.75" x14ac:dyDescent="0.2">
      <c r="A127" s="18" t="s">
        <v>80</v>
      </c>
      <c r="B127" s="19">
        <v>42</v>
      </c>
      <c r="C127" s="19">
        <v>46</v>
      </c>
      <c r="D127" s="19">
        <v>58</v>
      </c>
      <c r="E127" s="19">
        <v>53</v>
      </c>
      <c r="F127" s="19">
        <v>54</v>
      </c>
      <c r="G127" s="20">
        <v>2.1696792490843436E-4</v>
      </c>
      <c r="H127" s="20">
        <v>2.370791844476055E-4</v>
      </c>
      <c r="I127" s="20">
        <v>2.9796153213874731E-4</v>
      </c>
      <c r="J127" s="20">
        <v>2.7395702493008926E-4</v>
      </c>
      <c r="K127" s="20">
        <v>2.7772777534908839E-4</v>
      </c>
      <c r="L127" s="19">
        <v>40</v>
      </c>
      <c r="M127" s="19">
        <v>42</v>
      </c>
      <c r="N127" s="19">
        <v>47</v>
      </c>
      <c r="O127" s="19">
        <v>45</v>
      </c>
      <c r="P127" s="19">
        <v>43</v>
      </c>
      <c r="Q127" s="20">
        <v>0.95238095238095233</v>
      </c>
      <c r="R127" s="20">
        <v>0.91304347826086951</v>
      </c>
      <c r="S127" s="20">
        <v>0.81034482758620685</v>
      </c>
      <c r="T127" s="20">
        <v>0.84905660377358494</v>
      </c>
      <c r="U127" s="20">
        <v>0.79629629629629628</v>
      </c>
      <c r="W127" s="19">
        <v>0</v>
      </c>
      <c r="X127" s="19">
        <v>34</v>
      </c>
      <c r="Y127" s="19">
        <v>158</v>
      </c>
      <c r="Z127" s="19">
        <v>245</v>
      </c>
      <c r="AA127" s="19">
        <v>53</v>
      </c>
      <c r="AB127" s="20">
        <v>0</v>
      </c>
      <c r="AC127" s="20">
        <v>1.6760327319333531E-4</v>
      </c>
      <c r="AD127" s="20">
        <v>8.0684696462129263E-4</v>
      </c>
      <c r="AE127" s="20">
        <v>1.2584819112487736E-3</v>
      </c>
      <c r="AF127" s="20">
        <v>2.7395702493008926E-4</v>
      </c>
      <c r="AG127" s="19">
        <v>0</v>
      </c>
      <c r="AH127" s="19">
        <v>34</v>
      </c>
      <c r="AI127" s="19">
        <v>157</v>
      </c>
      <c r="AJ127" s="19">
        <v>244</v>
      </c>
      <c r="AK127" s="19">
        <v>45</v>
      </c>
      <c r="AL127" s="20">
        <v>0</v>
      </c>
      <c r="AM127" s="20">
        <v>1</v>
      </c>
      <c r="AN127" s="20">
        <v>0.99367088607594933</v>
      </c>
      <c r="AO127" s="20">
        <v>0.99591836734693873</v>
      </c>
      <c r="AP127" s="20">
        <v>0.84905660377358494</v>
      </c>
      <c r="AQ127" s="37">
        <v>1448.16357859811</v>
      </c>
    </row>
    <row r="128" spans="1:55" s="19" customFormat="1" ht="12.75" x14ac:dyDescent="0.2">
      <c r="A128" s="18" t="s">
        <v>34</v>
      </c>
      <c r="B128" s="19">
        <v>0</v>
      </c>
      <c r="C128" s="19">
        <v>408</v>
      </c>
      <c r="D128" s="19">
        <v>385</v>
      </c>
      <c r="E128" s="19">
        <v>348</v>
      </c>
      <c r="F128" s="19">
        <v>348</v>
      </c>
      <c r="G128" s="20">
        <v>0</v>
      </c>
      <c r="H128" s="20">
        <v>2.102789288143979E-3</v>
      </c>
      <c r="I128" s="20">
        <v>1.9778481012658229E-3</v>
      </c>
      <c r="J128" s="20">
        <v>1.7988121636919069E-3</v>
      </c>
      <c r="K128" s="20">
        <v>1.7898012189163474E-3</v>
      </c>
      <c r="L128" s="19">
        <v>0</v>
      </c>
      <c r="M128" s="19">
        <v>408</v>
      </c>
      <c r="N128" s="19">
        <v>385</v>
      </c>
      <c r="O128" s="19">
        <v>348</v>
      </c>
      <c r="P128" s="19">
        <v>348</v>
      </c>
      <c r="Q128" s="20">
        <v>0</v>
      </c>
      <c r="R128" s="20">
        <v>1</v>
      </c>
      <c r="S128" s="20">
        <v>1</v>
      </c>
      <c r="T128" s="20">
        <v>1</v>
      </c>
      <c r="U128" s="20">
        <v>1</v>
      </c>
      <c r="W128" s="19">
        <v>0</v>
      </c>
      <c r="X128" s="19">
        <v>0</v>
      </c>
      <c r="Y128" s="19">
        <v>0</v>
      </c>
      <c r="Z128" s="19">
        <v>3</v>
      </c>
      <c r="AA128" s="19">
        <v>348</v>
      </c>
      <c r="AB128" s="20">
        <v>0</v>
      </c>
      <c r="AC128" s="20">
        <v>0</v>
      </c>
      <c r="AD128" s="20">
        <v>0</v>
      </c>
      <c r="AE128" s="20">
        <v>1.5409982586719676E-5</v>
      </c>
      <c r="AF128" s="20">
        <v>1.7988121636919069E-3</v>
      </c>
      <c r="AG128" s="19">
        <v>0</v>
      </c>
      <c r="AH128" s="19">
        <v>0</v>
      </c>
      <c r="AI128" s="19">
        <v>0</v>
      </c>
      <c r="AJ128" s="19">
        <v>3</v>
      </c>
      <c r="AK128" s="19">
        <v>348</v>
      </c>
      <c r="AL128" s="20">
        <v>0</v>
      </c>
      <c r="AM128" s="20">
        <v>0</v>
      </c>
      <c r="AN128" s="20">
        <v>0</v>
      </c>
      <c r="AO128" s="20">
        <v>1</v>
      </c>
      <c r="AP128" s="20">
        <v>1</v>
      </c>
      <c r="AQ128" s="37">
        <v>3686.009483472918</v>
      </c>
    </row>
    <row r="129" spans="1:43" s="19" customFormat="1" ht="12.75" x14ac:dyDescent="0.2">
      <c r="A129" s="18" t="s">
        <v>166</v>
      </c>
      <c r="B129" s="19">
        <v>0</v>
      </c>
      <c r="C129" s="19">
        <v>0</v>
      </c>
      <c r="D129" s="19">
        <v>0</v>
      </c>
      <c r="E129" s="19">
        <v>4</v>
      </c>
      <c r="F129" s="19">
        <v>27</v>
      </c>
      <c r="G129" s="20">
        <v>0</v>
      </c>
      <c r="H129" s="20">
        <v>0</v>
      </c>
      <c r="I129" s="20">
        <v>0</v>
      </c>
      <c r="J129" s="20">
        <v>2.0676001881516173E-5</v>
      </c>
      <c r="K129" s="20">
        <v>1.388638876745442E-4</v>
      </c>
      <c r="L129" s="19">
        <v>0</v>
      </c>
      <c r="M129" s="19">
        <v>0</v>
      </c>
      <c r="N129" s="19">
        <v>0</v>
      </c>
      <c r="O129" s="19">
        <v>4</v>
      </c>
      <c r="P129" s="19">
        <v>27</v>
      </c>
      <c r="Q129" s="20">
        <v>0</v>
      </c>
      <c r="R129" s="20">
        <v>0</v>
      </c>
      <c r="S129" s="20">
        <v>0</v>
      </c>
      <c r="T129" s="20">
        <v>1</v>
      </c>
      <c r="U129" s="20">
        <v>1</v>
      </c>
      <c r="W129" s="19">
        <v>0</v>
      </c>
      <c r="X129" s="19">
        <v>0</v>
      </c>
      <c r="Y129" s="19">
        <v>0</v>
      </c>
      <c r="Z129" s="19">
        <v>0</v>
      </c>
      <c r="AA129" s="19">
        <v>4</v>
      </c>
      <c r="AB129" s="20">
        <v>0</v>
      </c>
      <c r="AC129" s="20">
        <v>0</v>
      </c>
      <c r="AD129" s="20">
        <v>0</v>
      </c>
      <c r="AE129" s="20">
        <v>0</v>
      </c>
      <c r="AF129" s="20">
        <v>2.0676001881516173E-5</v>
      </c>
      <c r="AG129" s="19">
        <v>0</v>
      </c>
      <c r="AH129" s="19">
        <v>0</v>
      </c>
      <c r="AI129" s="19">
        <v>0</v>
      </c>
      <c r="AJ129" s="19">
        <v>0</v>
      </c>
      <c r="AK129" s="19">
        <v>4</v>
      </c>
      <c r="AL129" s="20">
        <v>0</v>
      </c>
      <c r="AM129" s="20">
        <v>0</v>
      </c>
      <c r="AN129" s="20">
        <v>0</v>
      </c>
      <c r="AO129" s="20">
        <v>0</v>
      </c>
      <c r="AP129" s="20">
        <v>1</v>
      </c>
      <c r="AQ129" s="37">
        <v>73.000180215891433</v>
      </c>
    </row>
    <row r="130" spans="1:43" s="19" customFormat="1" ht="12.75" x14ac:dyDescent="0.2">
      <c r="A130" s="18" t="s">
        <v>36</v>
      </c>
      <c r="B130" s="19">
        <v>151</v>
      </c>
      <c r="C130" s="19">
        <v>193</v>
      </c>
      <c r="D130" s="19">
        <v>678</v>
      </c>
      <c r="E130" s="19">
        <v>1379</v>
      </c>
      <c r="F130" s="19">
        <v>2898</v>
      </c>
      <c r="G130" s="20">
        <v>7.8005134907556167E-4</v>
      </c>
      <c r="H130" s="20">
        <v>9.9470179561712748E-4</v>
      </c>
      <c r="I130" s="20">
        <v>3.4830675653460463E-3</v>
      </c>
      <c r="J130" s="20">
        <v>7.1280516486527E-3</v>
      </c>
      <c r="K130" s="20">
        <v>1.490472394373441E-2</v>
      </c>
      <c r="L130" s="19">
        <v>151</v>
      </c>
      <c r="M130" s="19">
        <v>193</v>
      </c>
      <c r="N130" s="19">
        <v>678</v>
      </c>
      <c r="O130" s="19">
        <v>1379</v>
      </c>
      <c r="P130" s="19">
        <v>2898</v>
      </c>
      <c r="Q130" s="20">
        <v>1</v>
      </c>
      <c r="R130" s="20">
        <v>1</v>
      </c>
      <c r="S130" s="20">
        <v>1</v>
      </c>
      <c r="T130" s="20">
        <v>1</v>
      </c>
      <c r="U130" s="20">
        <v>1</v>
      </c>
      <c r="W130" s="19">
        <v>0</v>
      </c>
      <c r="X130" s="19">
        <v>114</v>
      </c>
      <c r="Y130" s="19">
        <v>114</v>
      </c>
      <c r="Z130" s="19">
        <v>145</v>
      </c>
      <c r="AA130" s="19">
        <v>1379</v>
      </c>
      <c r="AB130" s="20">
        <v>0</v>
      </c>
      <c r="AC130" s="20">
        <v>5.6196391600118307E-4</v>
      </c>
      <c r="AD130" s="20">
        <v>5.821554048533377E-4</v>
      </c>
      <c r="AE130" s="20">
        <v>7.448158250247844E-4</v>
      </c>
      <c r="AF130" s="20">
        <v>7.1280516486527E-3</v>
      </c>
      <c r="AG130" s="19">
        <v>0</v>
      </c>
      <c r="AH130" s="19">
        <v>114</v>
      </c>
      <c r="AI130" s="19">
        <v>114</v>
      </c>
      <c r="AJ130" s="19">
        <v>145</v>
      </c>
      <c r="AK130" s="19">
        <v>1379</v>
      </c>
      <c r="AL130" s="20">
        <v>0</v>
      </c>
      <c r="AM130" s="20">
        <v>1</v>
      </c>
      <c r="AN130" s="20">
        <v>1</v>
      </c>
      <c r="AO130" s="20">
        <v>1</v>
      </c>
      <c r="AP130" s="20">
        <v>1</v>
      </c>
      <c r="AQ130" s="37">
        <v>14111.036307583097</v>
      </c>
    </row>
    <row r="131" spans="1:43" s="19" customFormat="1" ht="12.75" x14ac:dyDescent="0.2">
      <c r="A131" s="18" t="s">
        <v>37</v>
      </c>
      <c r="B131" s="19">
        <v>1349</v>
      </c>
      <c r="C131" s="19">
        <v>1199</v>
      </c>
      <c r="D131" s="19">
        <v>532</v>
      </c>
      <c r="E131" s="19">
        <v>0</v>
      </c>
      <c r="F131" s="19">
        <v>0</v>
      </c>
      <c r="G131" s="20">
        <v>6.9688031119399512E-3</v>
      </c>
      <c r="H131" s="20">
        <v>6.1795204815799781E-3</v>
      </c>
      <c r="I131" s="20">
        <v>2.7330264672036824E-3</v>
      </c>
      <c r="J131" s="20">
        <v>0</v>
      </c>
      <c r="K131" s="20">
        <v>0</v>
      </c>
      <c r="L131" s="19">
        <v>1282</v>
      </c>
      <c r="M131" s="19">
        <v>1169</v>
      </c>
      <c r="N131" s="19">
        <v>497</v>
      </c>
      <c r="O131" s="19">
        <v>0</v>
      </c>
      <c r="P131" s="19">
        <v>0</v>
      </c>
      <c r="Q131" s="20">
        <v>0.95033358042994809</v>
      </c>
      <c r="R131" s="20">
        <v>0.97497914929107588</v>
      </c>
      <c r="S131" s="20">
        <v>0.93421052631578949</v>
      </c>
      <c r="T131" s="20">
        <v>0</v>
      </c>
      <c r="U131" s="20">
        <v>0</v>
      </c>
      <c r="W131" s="19">
        <v>0</v>
      </c>
      <c r="X131" s="19">
        <v>1483</v>
      </c>
      <c r="Y131" s="19">
        <v>2197</v>
      </c>
      <c r="Z131" s="19">
        <v>1458</v>
      </c>
      <c r="AA131" s="19">
        <v>0</v>
      </c>
      <c r="AB131" s="20">
        <v>0</v>
      </c>
      <c r="AC131" s="20">
        <v>7.3104604160504783E-3</v>
      </c>
      <c r="AD131" s="20">
        <v>1.1219258109322658E-2</v>
      </c>
      <c r="AE131" s="20">
        <v>7.4892515371457634E-3</v>
      </c>
      <c r="AF131" s="20">
        <v>0</v>
      </c>
      <c r="AG131" s="19">
        <v>0</v>
      </c>
      <c r="AH131" s="19">
        <v>1397</v>
      </c>
      <c r="AI131" s="19">
        <v>2128</v>
      </c>
      <c r="AJ131" s="19">
        <v>1374</v>
      </c>
      <c r="AK131" s="19">
        <v>0</v>
      </c>
      <c r="AL131" s="20">
        <v>0</v>
      </c>
      <c r="AM131" s="20">
        <v>0.94200944032366829</v>
      </c>
      <c r="AN131" s="20">
        <v>0.96859353664087389</v>
      </c>
      <c r="AO131" s="20">
        <v>0.9423868312757202</v>
      </c>
      <c r="AP131" s="20">
        <v>0</v>
      </c>
      <c r="AQ131" s="37">
        <v>16070.754413384399</v>
      </c>
    </row>
    <row r="132" spans="1:43" s="19" customFormat="1" ht="12.75" x14ac:dyDescent="0.2">
      <c r="A132" s="18" t="s">
        <v>38</v>
      </c>
      <c r="B132" s="19">
        <v>298</v>
      </c>
      <c r="C132" s="19">
        <v>34</v>
      </c>
      <c r="D132" s="19">
        <v>60</v>
      </c>
      <c r="E132" s="19">
        <v>60</v>
      </c>
      <c r="F132" s="19">
        <v>60</v>
      </c>
      <c r="G132" s="20">
        <v>1.5394390862550819E-3</v>
      </c>
      <c r="H132" s="20">
        <v>1.7523244067866494E-4</v>
      </c>
      <c r="I132" s="20">
        <v>3.0823606772973863E-4</v>
      </c>
      <c r="J132" s="20">
        <v>3.1014002822274259E-4</v>
      </c>
      <c r="K132" s="20">
        <v>3.0858641705454266E-4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W132" s="19">
        <v>0</v>
      </c>
      <c r="X132" s="19">
        <v>298</v>
      </c>
      <c r="Y132" s="19">
        <v>298</v>
      </c>
      <c r="Z132" s="19">
        <v>298</v>
      </c>
      <c r="AA132" s="19">
        <v>60</v>
      </c>
      <c r="AB132" s="20">
        <v>0</v>
      </c>
      <c r="AC132" s="20">
        <v>1.4689933944592329E-3</v>
      </c>
      <c r="AD132" s="20">
        <v>1.5217746547920581E-3</v>
      </c>
      <c r="AE132" s="20">
        <v>1.5307249369474879E-3</v>
      </c>
      <c r="AF132" s="20">
        <v>3.1014002822274259E-4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37">
        <v>1466.0074732670544</v>
      </c>
    </row>
    <row r="133" spans="1:43" s="19" customFormat="1" ht="12.75" x14ac:dyDescent="0.2">
      <c r="A133" s="18" t="s">
        <v>39</v>
      </c>
      <c r="B133" s="19">
        <v>0</v>
      </c>
      <c r="C133" s="19">
        <v>0</v>
      </c>
      <c r="D133" s="19">
        <v>0</v>
      </c>
      <c r="E133" s="19">
        <v>0</v>
      </c>
      <c r="F133" s="19">
        <v>4</v>
      </c>
      <c r="G133" s="20">
        <v>0</v>
      </c>
      <c r="H133" s="20">
        <v>0</v>
      </c>
      <c r="I133" s="20">
        <v>0</v>
      </c>
      <c r="J133" s="20">
        <v>0</v>
      </c>
      <c r="K133" s="20">
        <v>2.0572427803636177E-5</v>
      </c>
      <c r="L133" s="19">
        <v>0</v>
      </c>
      <c r="M133" s="19">
        <v>0</v>
      </c>
      <c r="N133" s="19">
        <v>0</v>
      </c>
      <c r="O133" s="19">
        <v>0</v>
      </c>
      <c r="P133" s="19">
        <v>2</v>
      </c>
      <c r="Q133" s="20">
        <v>0</v>
      </c>
      <c r="R133" s="20">
        <v>0</v>
      </c>
      <c r="S133" s="20">
        <v>0</v>
      </c>
      <c r="T133" s="20">
        <v>0</v>
      </c>
      <c r="U133" s="20">
        <v>0.5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37">
        <v>6.500020572427804</v>
      </c>
    </row>
    <row r="134" spans="1:43" s="19" customFormat="1" ht="12.75" x14ac:dyDescent="0.2">
      <c r="A134" s="18" t="s">
        <v>40</v>
      </c>
      <c r="B134" s="19">
        <v>24</v>
      </c>
      <c r="C134" s="19">
        <v>18</v>
      </c>
      <c r="D134" s="19">
        <v>18</v>
      </c>
      <c r="E134" s="19">
        <v>19</v>
      </c>
      <c r="F134" s="19">
        <v>20</v>
      </c>
      <c r="G134" s="20">
        <v>1.2398167137624822E-4</v>
      </c>
      <c r="H134" s="20">
        <v>9.2770115653410847E-5</v>
      </c>
      <c r="I134" s="20">
        <v>9.2470820318921583E-5</v>
      </c>
      <c r="J134" s="20">
        <v>9.8211008937201807E-5</v>
      </c>
      <c r="K134" s="20">
        <v>1.0286213901818088E-4</v>
      </c>
      <c r="L134" s="19">
        <v>3</v>
      </c>
      <c r="M134" s="19">
        <v>0</v>
      </c>
      <c r="N134" s="19">
        <v>0</v>
      </c>
      <c r="O134" s="19">
        <v>0</v>
      </c>
      <c r="P134" s="19">
        <v>0</v>
      </c>
      <c r="Q134" s="20">
        <v>0.125</v>
      </c>
      <c r="R134" s="20">
        <v>0</v>
      </c>
      <c r="S134" s="20">
        <v>0</v>
      </c>
      <c r="T134" s="20">
        <v>0</v>
      </c>
      <c r="U134" s="20">
        <v>0</v>
      </c>
      <c r="W134" s="19">
        <v>0</v>
      </c>
      <c r="X134" s="19">
        <v>6</v>
      </c>
      <c r="Y134" s="19">
        <v>9</v>
      </c>
      <c r="Z134" s="19">
        <v>25</v>
      </c>
      <c r="AA134" s="19">
        <v>19</v>
      </c>
      <c r="AB134" s="20">
        <v>0</v>
      </c>
      <c r="AC134" s="20">
        <v>2.9577048210588582E-5</v>
      </c>
      <c r="AD134" s="20">
        <v>4.59596372252635E-5</v>
      </c>
      <c r="AE134" s="20">
        <v>1.284165215559973E-4</v>
      </c>
      <c r="AF134" s="20">
        <v>9.8211008937201807E-5</v>
      </c>
      <c r="AG134" s="19">
        <v>0</v>
      </c>
      <c r="AH134" s="19">
        <v>6</v>
      </c>
      <c r="AI134" s="19">
        <v>9</v>
      </c>
      <c r="AJ134" s="19">
        <v>22</v>
      </c>
      <c r="AK134" s="19">
        <v>0</v>
      </c>
      <c r="AL134" s="20">
        <v>0</v>
      </c>
      <c r="AM134" s="20">
        <v>1</v>
      </c>
      <c r="AN134" s="20">
        <v>1</v>
      </c>
      <c r="AO134" s="20">
        <v>0.88</v>
      </c>
      <c r="AP134" s="20">
        <v>0</v>
      </c>
      <c r="AQ134" s="37">
        <v>201.00581245997125</v>
      </c>
    </row>
    <row r="135" spans="1:43" s="19" customFormat="1" ht="12.75" x14ac:dyDescent="0.2">
      <c r="A135" s="18" t="s">
        <v>41</v>
      </c>
      <c r="B135" s="19">
        <v>439</v>
      </c>
      <c r="C135" s="19">
        <v>539</v>
      </c>
      <c r="D135" s="19">
        <v>698</v>
      </c>
      <c r="E135" s="19">
        <v>825</v>
      </c>
      <c r="F135" s="19">
        <v>964</v>
      </c>
      <c r="G135" s="20">
        <v>2.26783140559054E-3</v>
      </c>
      <c r="H135" s="20">
        <v>2.7779495742882472E-3</v>
      </c>
      <c r="I135" s="20">
        <v>3.5858129212559594E-3</v>
      </c>
      <c r="J135" s="20">
        <v>4.2644253880627101E-3</v>
      </c>
      <c r="K135" s="20">
        <v>4.9579551006763188E-3</v>
      </c>
      <c r="L135" s="19">
        <v>436</v>
      </c>
      <c r="M135" s="19">
        <v>531</v>
      </c>
      <c r="N135" s="19">
        <v>682</v>
      </c>
      <c r="O135" s="19">
        <v>811</v>
      </c>
      <c r="P135" s="19">
        <v>940</v>
      </c>
      <c r="Q135" s="20">
        <v>0.99316628701594534</v>
      </c>
      <c r="R135" s="20">
        <v>0.98515769944341369</v>
      </c>
      <c r="S135" s="20">
        <v>0.97707736389684818</v>
      </c>
      <c r="T135" s="20">
        <v>0.98303030303030303</v>
      </c>
      <c r="U135" s="20">
        <v>0.975103734439834</v>
      </c>
      <c r="W135" s="19">
        <v>0</v>
      </c>
      <c r="X135" s="19">
        <v>22</v>
      </c>
      <c r="Y135" s="19">
        <v>31</v>
      </c>
      <c r="Z135" s="19">
        <v>106</v>
      </c>
      <c r="AA135" s="19">
        <v>825</v>
      </c>
      <c r="AB135" s="20">
        <v>0</v>
      </c>
      <c r="AC135" s="20">
        <v>1.0844917677215814E-4</v>
      </c>
      <c r="AD135" s="20">
        <v>1.5830541710924094E-4</v>
      </c>
      <c r="AE135" s="20">
        <v>5.4448605139742858E-4</v>
      </c>
      <c r="AF135" s="20">
        <v>4.2644253880627101E-3</v>
      </c>
      <c r="AG135" s="19">
        <v>0</v>
      </c>
      <c r="AH135" s="19">
        <v>22</v>
      </c>
      <c r="AI135" s="19">
        <v>31</v>
      </c>
      <c r="AJ135" s="19">
        <v>105</v>
      </c>
      <c r="AK135" s="19">
        <v>811</v>
      </c>
      <c r="AL135" s="20">
        <v>0</v>
      </c>
      <c r="AM135" s="20">
        <v>1</v>
      </c>
      <c r="AN135" s="20">
        <v>1</v>
      </c>
      <c r="AO135" s="20">
        <v>0.99056603773584906</v>
      </c>
      <c r="AP135" s="20">
        <v>0.98303030303030303</v>
      </c>
      <c r="AQ135" s="37">
        <v>8826.9100613690152</v>
      </c>
    </row>
    <row r="136" spans="1:43" s="19" customFormat="1" ht="12.75" x14ac:dyDescent="0.2">
      <c r="A136" s="18" t="s">
        <v>42</v>
      </c>
      <c r="B136" s="19">
        <v>61</v>
      </c>
      <c r="C136" s="19">
        <v>78</v>
      </c>
      <c r="D136" s="19">
        <v>70</v>
      </c>
      <c r="E136" s="19">
        <v>71</v>
      </c>
      <c r="F136" s="19">
        <v>93</v>
      </c>
      <c r="G136" s="20">
        <v>3.1512008141463085E-4</v>
      </c>
      <c r="H136" s="20">
        <v>4.0200383449811368E-4</v>
      </c>
      <c r="I136" s="20">
        <v>3.5960874568469507E-4</v>
      </c>
      <c r="J136" s="20">
        <v>3.6699903339691204E-4</v>
      </c>
      <c r="K136" s="20">
        <v>4.7830894643454113E-4</v>
      </c>
      <c r="L136" s="19">
        <v>55</v>
      </c>
      <c r="M136" s="19">
        <v>73</v>
      </c>
      <c r="N136" s="19">
        <v>65</v>
      </c>
      <c r="O136" s="19">
        <v>66</v>
      </c>
      <c r="P136" s="19">
        <v>93</v>
      </c>
      <c r="Q136" s="20">
        <v>0.90163934426229508</v>
      </c>
      <c r="R136" s="20">
        <v>0.9358974358974359</v>
      </c>
      <c r="S136" s="20">
        <v>0.9285714285714286</v>
      </c>
      <c r="T136" s="20">
        <v>0.92957746478873238</v>
      </c>
      <c r="U136" s="20">
        <v>1</v>
      </c>
      <c r="W136" s="19">
        <v>0</v>
      </c>
      <c r="X136" s="19">
        <v>0</v>
      </c>
      <c r="Y136" s="19">
        <v>41</v>
      </c>
      <c r="Z136" s="19">
        <v>49</v>
      </c>
      <c r="AA136" s="19">
        <v>71</v>
      </c>
      <c r="AB136" s="20">
        <v>0</v>
      </c>
      <c r="AC136" s="20">
        <v>0</v>
      </c>
      <c r="AD136" s="20">
        <v>2.0937168069286706E-4</v>
      </c>
      <c r="AE136" s="20">
        <v>2.5169638224975473E-4</v>
      </c>
      <c r="AF136" s="20">
        <v>3.6699903339691204E-4</v>
      </c>
      <c r="AG136" s="19">
        <v>0</v>
      </c>
      <c r="AH136" s="19">
        <v>0</v>
      </c>
      <c r="AI136" s="19">
        <v>41</v>
      </c>
      <c r="AJ136" s="19">
        <v>41</v>
      </c>
      <c r="AK136" s="19">
        <v>66</v>
      </c>
      <c r="AL136" s="20">
        <v>0</v>
      </c>
      <c r="AM136" s="20">
        <v>0</v>
      </c>
      <c r="AN136" s="20">
        <v>1</v>
      </c>
      <c r="AO136" s="20">
        <v>0.83673469387755106</v>
      </c>
      <c r="AP136" s="20">
        <v>0.92957746478873238</v>
      </c>
      <c r="AQ136" s="37">
        <v>1041.4647479399241</v>
      </c>
    </row>
    <row r="137" spans="1:43" s="19" customFormat="1" ht="12.75" x14ac:dyDescent="0.2">
      <c r="A137" s="18" t="s">
        <v>43</v>
      </c>
      <c r="B137" s="19">
        <v>52111</v>
      </c>
      <c r="C137" s="19">
        <v>51481</v>
      </c>
      <c r="D137" s="19">
        <v>51200</v>
      </c>
      <c r="E137" s="19">
        <v>50228</v>
      </c>
      <c r="F137" s="19">
        <v>49666</v>
      </c>
      <c r="G137" s="20">
        <v>0.26920036987865292</v>
      </c>
      <c r="H137" s="20">
        <v>0.26532768466406909</v>
      </c>
      <c r="I137" s="20">
        <v>0.26302811112937696</v>
      </c>
      <c r="J137" s="20">
        <v>0.25962855562619858</v>
      </c>
      <c r="K137" s="20">
        <v>0.25543754982384859</v>
      </c>
      <c r="L137" s="19">
        <v>34207</v>
      </c>
      <c r="M137" s="19">
        <v>34070</v>
      </c>
      <c r="N137" s="19">
        <v>33966</v>
      </c>
      <c r="O137" s="19">
        <v>33504</v>
      </c>
      <c r="P137" s="19">
        <v>33192</v>
      </c>
      <c r="Q137" s="20">
        <v>0.65642570666461975</v>
      </c>
      <c r="R137" s="20">
        <v>0.66179755638002369</v>
      </c>
      <c r="S137" s="20">
        <v>0.66339843750000005</v>
      </c>
      <c r="T137" s="20">
        <v>0.66703830532770569</v>
      </c>
      <c r="U137" s="20">
        <v>0.66830427254057101</v>
      </c>
      <c r="W137" s="19">
        <v>0</v>
      </c>
      <c r="X137" s="19">
        <v>58390</v>
      </c>
      <c r="Y137" s="19">
        <v>58297</v>
      </c>
      <c r="Z137" s="19">
        <v>52399</v>
      </c>
      <c r="AA137" s="19">
        <v>50228</v>
      </c>
      <c r="AB137" s="20">
        <v>0</v>
      </c>
      <c r="AC137" s="20">
        <v>0.28783397416937789</v>
      </c>
      <c r="AD137" s="20">
        <v>0.29770099681346518</v>
      </c>
      <c r="AE137" s="20">
        <v>0.26915589252050814</v>
      </c>
      <c r="AF137" s="20">
        <v>0.25962855562619858</v>
      </c>
      <c r="AG137" s="19">
        <v>0</v>
      </c>
      <c r="AH137" s="19">
        <v>34382</v>
      </c>
      <c r="AI137" s="19">
        <v>35988</v>
      </c>
      <c r="AJ137" s="19">
        <v>33839</v>
      </c>
      <c r="AK137" s="19">
        <v>33504</v>
      </c>
      <c r="AL137" s="20">
        <v>0</v>
      </c>
      <c r="AM137" s="20">
        <v>0.58883370440143856</v>
      </c>
      <c r="AN137" s="20">
        <v>0.61732164605382778</v>
      </c>
      <c r="AO137" s="20">
        <v>0.6457947670757076</v>
      </c>
      <c r="AP137" s="20">
        <v>0.66703830532770569</v>
      </c>
      <c r="AQ137" s="37">
        <v>780660.26289439143</v>
      </c>
    </row>
    <row r="138" spans="1:43" s="19" customFormat="1" ht="12.75" x14ac:dyDescent="0.2">
      <c r="A138" s="18" t="s">
        <v>44</v>
      </c>
      <c r="B138" s="19">
        <v>1</v>
      </c>
      <c r="C138" s="19">
        <v>0</v>
      </c>
      <c r="D138" s="19">
        <v>0</v>
      </c>
      <c r="E138" s="19">
        <v>0</v>
      </c>
      <c r="F138" s="19">
        <v>0</v>
      </c>
      <c r="G138" s="20">
        <v>5.1659029740103422E-6</v>
      </c>
      <c r="H138" s="20">
        <v>0</v>
      </c>
      <c r="I138" s="20">
        <v>0</v>
      </c>
      <c r="J138" s="20">
        <v>0</v>
      </c>
      <c r="K138" s="20">
        <v>0</v>
      </c>
      <c r="L138" s="19">
        <v>1</v>
      </c>
      <c r="M138" s="19">
        <v>0</v>
      </c>
      <c r="N138" s="19">
        <v>0</v>
      </c>
      <c r="O138" s="19">
        <v>0</v>
      </c>
      <c r="P138" s="19">
        <v>0</v>
      </c>
      <c r="Q138" s="20">
        <v>1</v>
      </c>
      <c r="R138" s="20">
        <v>0</v>
      </c>
      <c r="S138" s="20">
        <v>0</v>
      </c>
      <c r="T138" s="20">
        <v>0</v>
      </c>
      <c r="U138" s="20">
        <v>0</v>
      </c>
      <c r="W138" s="19">
        <v>0</v>
      </c>
      <c r="X138" s="19">
        <v>0</v>
      </c>
      <c r="Y138" s="19">
        <v>1</v>
      </c>
      <c r="Z138" s="19">
        <v>0</v>
      </c>
      <c r="AA138" s="19">
        <v>0</v>
      </c>
      <c r="AB138" s="20">
        <v>0</v>
      </c>
      <c r="AC138" s="20">
        <v>0</v>
      </c>
      <c r="AD138" s="20">
        <v>5.1066263583626111E-6</v>
      </c>
      <c r="AE138" s="20">
        <v>0</v>
      </c>
      <c r="AF138" s="20">
        <v>0</v>
      </c>
      <c r="AG138" s="19">
        <v>0</v>
      </c>
      <c r="AH138" s="19">
        <v>0</v>
      </c>
      <c r="AI138" s="19">
        <v>1</v>
      </c>
      <c r="AJ138" s="19">
        <v>0</v>
      </c>
      <c r="AK138" s="19">
        <v>0</v>
      </c>
      <c r="AL138" s="20">
        <v>0</v>
      </c>
      <c r="AM138" s="20">
        <v>0</v>
      </c>
      <c r="AN138" s="20">
        <v>1</v>
      </c>
      <c r="AO138" s="20">
        <v>0</v>
      </c>
      <c r="AP138" s="20">
        <v>0</v>
      </c>
      <c r="AQ138" s="37">
        <v>6.0000102725293321</v>
      </c>
    </row>
    <row r="139" spans="1:43" s="19" customFormat="1" ht="12.75" x14ac:dyDescent="0.2">
      <c r="A139" s="18" t="s">
        <v>46</v>
      </c>
      <c r="B139" s="19">
        <v>0</v>
      </c>
      <c r="C139" s="19">
        <v>0</v>
      </c>
      <c r="D139" s="19">
        <v>0</v>
      </c>
      <c r="E139" s="19">
        <v>4</v>
      </c>
      <c r="F139" s="19">
        <v>16</v>
      </c>
      <c r="G139" s="20">
        <v>0</v>
      </c>
      <c r="H139" s="20">
        <v>0</v>
      </c>
      <c r="I139" s="20">
        <v>0</v>
      </c>
      <c r="J139" s="20">
        <v>2.0676001881516173E-5</v>
      </c>
      <c r="K139" s="20">
        <v>8.2289711214544707E-5</v>
      </c>
      <c r="L139" s="19">
        <v>0</v>
      </c>
      <c r="M139" s="19">
        <v>0</v>
      </c>
      <c r="N139" s="19">
        <v>0</v>
      </c>
      <c r="O139" s="19">
        <v>4</v>
      </c>
      <c r="P139" s="19">
        <v>16</v>
      </c>
      <c r="Q139" s="20">
        <v>0</v>
      </c>
      <c r="R139" s="20">
        <v>0</v>
      </c>
      <c r="S139" s="20">
        <v>0</v>
      </c>
      <c r="T139" s="20">
        <v>1</v>
      </c>
      <c r="U139" s="20">
        <v>1</v>
      </c>
      <c r="W139" s="19">
        <v>0</v>
      </c>
      <c r="X139" s="19">
        <v>0</v>
      </c>
      <c r="Y139" s="19">
        <v>0</v>
      </c>
      <c r="Z139" s="19">
        <v>0</v>
      </c>
      <c r="AA139" s="19">
        <v>4</v>
      </c>
      <c r="AB139" s="20">
        <v>0</v>
      </c>
      <c r="AC139" s="20">
        <v>0</v>
      </c>
      <c r="AD139" s="20">
        <v>0</v>
      </c>
      <c r="AE139" s="20">
        <v>0</v>
      </c>
      <c r="AF139" s="20">
        <v>2.0676001881516173E-5</v>
      </c>
      <c r="AG139" s="19">
        <v>0</v>
      </c>
      <c r="AH139" s="19">
        <v>0</v>
      </c>
      <c r="AI139" s="19">
        <v>0</v>
      </c>
      <c r="AJ139" s="19">
        <v>0</v>
      </c>
      <c r="AK139" s="19">
        <v>4</v>
      </c>
      <c r="AL139" s="20">
        <v>0</v>
      </c>
      <c r="AM139" s="20">
        <v>0</v>
      </c>
      <c r="AN139" s="20">
        <v>0</v>
      </c>
      <c r="AO139" s="20">
        <v>0</v>
      </c>
      <c r="AP139" s="20">
        <v>1</v>
      </c>
      <c r="AQ139" s="37">
        <v>51.000123641714978</v>
      </c>
    </row>
    <row r="140" spans="1:43" s="19" customFormat="1" ht="12.75" x14ac:dyDescent="0.2">
      <c r="A140" s="18" t="s">
        <v>126</v>
      </c>
      <c r="B140" s="19">
        <v>6557</v>
      </c>
      <c r="C140" s="19">
        <v>6206</v>
      </c>
      <c r="D140" s="19">
        <v>5858</v>
      </c>
      <c r="E140" s="19">
        <v>5616</v>
      </c>
      <c r="F140" s="19">
        <v>5374</v>
      </c>
      <c r="G140" s="20">
        <v>3.3872825800585815E-2</v>
      </c>
      <c r="H140" s="20">
        <v>3.1985074319170428E-2</v>
      </c>
      <c r="I140" s="20">
        <v>3.0094114746013482E-2</v>
      </c>
      <c r="J140" s="20">
        <v>2.9029106641648705E-2</v>
      </c>
      <c r="K140" s="20">
        <v>2.7639056754185203E-2</v>
      </c>
      <c r="L140" s="19">
        <v>5363</v>
      </c>
      <c r="M140" s="19">
        <v>5068</v>
      </c>
      <c r="N140" s="19">
        <v>4761</v>
      </c>
      <c r="O140" s="19">
        <v>4556</v>
      </c>
      <c r="P140" s="19">
        <v>4370</v>
      </c>
      <c r="Q140" s="20">
        <v>0.8179045295104469</v>
      </c>
      <c r="R140" s="20">
        <v>0.81662906864324847</v>
      </c>
      <c r="S140" s="20">
        <v>0.81273472174803685</v>
      </c>
      <c r="T140" s="20">
        <v>0.81125356125356129</v>
      </c>
      <c r="U140" s="20">
        <v>0.81317454410122814</v>
      </c>
      <c r="W140" s="19">
        <v>0</v>
      </c>
      <c r="X140" s="19">
        <v>11766</v>
      </c>
      <c r="Y140" s="19">
        <v>9127</v>
      </c>
      <c r="Z140" s="19">
        <v>7276</v>
      </c>
      <c r="AA140" s="19">
        <v>5616</v>
      </c>
      <c r="AB140" s="20">
        <v>0</v>
      </c>
      <c r="AC140" s="20">
        <v>5.8000591540964215E-2</v>
      </c>
      <c r="AD140" s="20">
        <v>4.6608178772775552E-2</v>
      </c>
      <c r="AE140" s="20">
        <v>3.7374344433657454E-2</v>
      </c>
      <c r="AF140" s="20">
        <v>2.9029106641648705E-2</v>
      </c>
      <c r="AG140" s="19">
        <v>0</v>
      </c>
      <c r="AH140" s="19">
        <v>10739</v>
      </c>
      <c r="AI140" s="19">
        <v>7765</v>
      </c>
      <c r="AJ140" s="19">
        <v>6006</v>
      </c>
      <c r="AK140" s="19">
        <v>4556</v>
      </c>
      <c r="AL140" s="20">
        <v>0</v>
      </c>
      <c r="AM140" s="20">
        <v>0.91271460139384664</v>
      </c>
      <c r="AN140" s="20">
        <v>0.85077243343924625</v>
      </c>
      <c r="AO140" s="20">
        <v>0.82545354590434306</v>
      </c>
      <c r="AP140" s="20">
        <v>0.81125356125356129</v>
      </c>
      <c r="AQ140" s="37">
        <v>116587.79552296689</v>
      </c>
    </row>
    <row r="141" spans="1:43" s="19" customFormat="1" ht="12.75" x14ac:dyDescent="0.2">
      <c r="A141" s="18" t="s">
        <v>47</v>
      </c>
      <c r="B141" s="19">
        <v>0</v>
      </c>
      <c r="C141" s="19">
        <v>2</v>
      </c>
      <c r="D141" s="19">
        <v>2</v>
      </c>
      <c r="E141" s="19">
        <v>2</v>
      </c>
      <c r="F141" s="19">
        <v>3</v>
      </c>
      <c r="G141" s="20">
        <v>0</v>
      </c>
      <c r="H141" s="20">
        <v>1.0307790628156761E-5</v>
      </c>
      <c r="I141" s="20">
        <v>1.0274535590991288E-5</v>
      </c>
      <c r="J141" s="20">
        <v>1.0338000940758086E-5</v>
      </c>
      <c r="K141" s="20">
        <v>1.5429320852727133E-5</v>
      </c>
      <c r="L141" s="19">
        <v>0</v>
      </c>
      <c r="M141" s="19">
        <v>2</v>
      </c>
      <c r="N141" s="19">
        <v>2</v>
      </c>
      <c r="O141" s="19">
        <v>2</v>
      </c>
      <c r="P141" s="19">
        <v>3</v>
      </c>
      <c r="Q141" s="20">
        <v>0</v>
      </c>
      <c r="R141" s="20">
        <v>1</v>
      </c>
      <c r="S141" s="20">
        <v>1</v>
      </c>
      <c r="T141" s="20">
        <v>1</v>
      </c>
      <c r="U141" s="20">
        <v>1</v>
      </c>
      <c r="W141" s="19">
        <v>0</v>
      </c>
      <c r="X141" s="19">
        <v>0</v>
      </c>
      <c r="Y141" s="19">
        <v>0</v>
      </c>
      <c r="Z141" s="19">
        <v>0</v>
      </c>
      <c r="AA141" s="19">
        <v>2</v>
      </c>
      <c r="AB141" s="20">
        <v>0</v>
      </c>
      <c r="AC141" s="20">
        <v>0</v>
      </c>
      <c r="AD141" s="20">
        <v>0</v>
      </c>
      <c r="AE141" s="20">
        <v>0</v>
      </c>
      <c r="AF141" s="20">
        <v>1.0338000940758086E-5</v>
      </c>
      <c r="AG141" s="19">
        <v>0</v>
      </c>
      <c r="AH141" s="19">
        <v>0</v>
      </c>
      <c r="AI141" s="19">
        <v>0</v>
      </c>
      <c r="AJ141" s="19">
        <v>0</v>
      </c>
      <c r="AK141" s="19">
        <v>2</v>
      </c>
      <c r="AL141" s="20">
        <v>0</v>
      </c>
      <c r="AM141" s="20">
        <v>0</v>
      </c>
      <c r="AN141" s="20">
        <v>0</v>
      </c>
      <c r="AO141" s="20">
        <v>0</v>
      </c>
      <c r="AP141" s="20">
        <v>1</v>
      </c>
      <c r="AQ141" s="37">
        <v>27.00005668764895</v>
      </c>
    </row>
    <row r="142" spans="1:43" s="19" customFormat="1" ht="12.75" x14ac:dyDescent="0.2">
      <c r="A142" s="18" t="s">
        <v>48</v>
      </c>
      <c r="B142" s="19">
        <v>221</v>
      </c>
      <c r="C142" s="19">
        <v>339</v>
      </c>
      <c r="D142" s="19">
        <v>597</v>
      </c>
      <c r="E142" s="19">
        <v>554</v>
      </c>
      <c r="F142" s="19">
        <v>101</v>
      </c>
      <c r="G142" s="20">
        <v>1.1416645572562855E-3</v>
      </c>
      <c r="H142" s="20">
        <v>1.747170511472571E-3</v>
      </c>
      <c r="I142" s="20">
        <v>3.0669488739108993E-3</v>
      </c>
      <c r="J142" s="20">
        <v>2.8636262605899899E-3</v>
      </c>
      <c r="K142" s="20">
        <v>5.1945380204181351E-4</v>
      </c>
      <c r="L142" s="19">
        <v>221</v>
      </c>
      <c r="M142" s="19">
        <v>339</v>
      </c>
      <c r="N142" s="19">
        <v>595</v>
      </c>
      <c r="O142" s="19">
        <v>553</v>
      </c>
      <c r="P142" s="19">
        <v>77</v>
      </c>
      <c r="Q142" s="20">
        <v>1</v>
      </c>
      <c r="R142" s="20">
        <v>1</v>
      </c>
      <c r="S142" s="20">
        <v>0.99664991624790622</v>
      </c>
      <c r="T142" s="20">
        <v>0.99819494584837543</v>
      </c>
      <c r="U142" s="20">
        <v>0.76237623762376239</v>
      </c>
      <c r="W142" s="19">
        <v>0</v>
      </c>
      <c r="X142" s="19">
        <v>0</v>
      </c>
      <c r="Y142" s="19">
        <v>98</v>
      </c>
      <c r="Z142" s="19">
        <v>157</v>
      </c>
      <c r="AA142" s="19">
        <v>554</v>
      </c>
      <c r="AB142" s="20">
        <v>0</v>
      </c>
      <c r="AC142" s="20">
        <v>0</v>
      </c>
      <c r="AD142" s="20">
        <v>5.0044938311953591E-4</v>
      </c>
      <c r="AE142" s="20">
        <v>8.0645575537166309E-4</v>
      </c>
      <c r="AF142" s="20">
        <v>2.8636262605899899E-3</v>
      </c>
      <c r="AG142" s="19">
        <v>0</v>
      </c>
      <c r="AH142" s="19">
        <v>0</v>
      </c>
      <c r="AI142" s="19">
        <v>98</v>
      </c>
      <c r="AJ142" s="19">
        <v>157</v>
      </c>
      <c r="AK142" s="19">
        <v>553</v>
      </c>
      <c r="AL142" s="20">
        <v>0</v>
      </c>
      <c r="AM142" s="20">
        <v>0</v>
      </c>
      <c r="AN142" s="20">
        <v>1</v>
      </c>
      <c r="AO142" s="20">
        <v>1</v>
      </c>
      <c r="AP142" s="20">
        <v>0.99819494584837543</v>
      </c>
      <c r="AQ142" s="37">
        <v>5221.7689254409734</v>
      </c>
    </row>
    <row r="143" spans="1:43" s="19" customFormat="1" ht="12.75" x14ac:dyDescent="0.2">
      <c r="A143" s="18" t="s">
        <v>49</v>
      </c>
      <c r="B143" s="19">
        <v>3423</v>
      </c>
      <c r="C143" s="19">
        <v>3427</v>
      </c>
      <c r="D143" s="19">
        <v>3421</v>
      </c>
      <c r="E143" s="19">
        <v>4118</v>
      </c>
      <c r="F143" s="19">
        <v>4101</v>
      </c>
      <c r="G143" s="20">
        <v>1.7682885880037399E-2</v>
      </c>
      <c r="H143" s="20">
        <v>1.7662399241346608E-2</v>
      </c>
      <c r="I143" s="20">
        <v>1.7574593128390596E-2</v>
      </c>
      <c r="J143" s="20">
        <v>2.12859439370209E-2</v>
      </c>
      <c r="K143" s="20">
        <v>2.109188160567799E-2</v>
      </c>
      <c r="L143" s="19">
        <v>2312</v>
      </c>
      <c r="M143" s="19">
        <v>2406</v>
      </c>
      <c r="N143" s="19">
        <v>2478</v>
      </c>
      <c r="O143" s="19">
        <v>2518</v>
      </c>
      <c r="P143" s="19">
        <v>2562</v>
      </c>
      <c r="Q143" s="20">
        <v>0.67543090855974297</v>
      </c>
      <c r="R143" s="20">
        <v>0.7020717829004961</v>
      </c>
      <c r="S143" s="20">
        <v>0.72434960537854431</v>
      </c>
      <c r="T143" s="20">
        <v>0.61146187469645463</v>
      </c>
      <c r="U143" s="20">
        <v>0.62472567666422829</v>
      </c>
      <c r="W143" s="19">
        <v>0</v>
      </c>
      <c r="X143" s="19">
        <v>7410</v>
      </c>
      <c r="Y143" s="19">
        <v>5097</v>
      </c>
      <c r="Z143" s="19">
        <v>3330</v>
      </c>
      <c r="AA143" s="19">
        <v>4118</v>
      </c>
      <c r="AB143" s="20">
        <v>0</v>
      </c>
      <c r="AC143" s="20">
        <v>3.65276545400769E-2</v>
      </c>
      <c r="AD143" s="20">
        <v>2.6028474548574231E-2</v>
      </c>
      <c r="AE143" s="20">
        <v>1.7105080671258842E-2</v>
      </c>
      <c r="AF143" s="20">
        <v>2.12859439370209E-2</v>
      </c>
      <c r="AG143" s="19">
        <v>0</v>
      </c>
      <c r="AH143" s="19">
        <v>4964</v>
      </c>
      <c r="AI143" s="19">
        <v>1529</v>
      </c>
      <c r="AJ143" s="19">
        <v>2135</v>
      </c>
      <c r="AK143" s="19">
        <v>2518</v>
      </c>
      <c r="AL143" s="20">
        <v>0</v>
      </c>
      <c r="AM143" s="20">
        <v>0.66990553306342782</v>
      </c>
      <c r="AN143" s="20">
        <v>0.29998038061604865</v>
      </c>
      <c r="AO143" s="20">
        <v>0.64114114114114118</v>
      </c>
      <c r="AP143" s="20">
        <v>0.61146187469645463</v>
      </c>
      <c r="AQ143" s="37">
        <v>61872.756773635199</v>
      </c>
    </row>
    <row r="144" spans="1:43" s="19" customFormat="1" ht="12.75" x14ac:dyDescent="0.2">
      <c r="A144" s="18" t="s">
        <v>52</v>
      </c>
      <c r="B144" s="19">
        <v>1030</v>
      </c>
      <c r="C144" s="19">
        <v>1017</v>
      </c>
      <c r="D144" s="19">
        <v>1578</v>
      </c>
      <c r="E144" s="19">
        <v>1852</v>
      </c>
      <c r="F144" s="19">
        <v>1803</v>
      </c>
      <c r="G144" s="20">
        <v>5.3208800632306525E-3</v>
      </c>
      <c r="H144" s="20">
        <v>5.2415115344177131E-3</v>
      </c>
      <c r="I144" s="20">
        <v>8.1066085812921251E-3</v>
      </c>
      <c r="J144" s="20">
        <v>9.5729888711419877E-3</v>
      </c>
      <c r="K144" s="20">
        <v>9.2730218324890059E-3</v>
      </c>
      <c r="L144" s="19">
        <v>1005</v>
      </c>
      <c r="M144" s="19">
        <v>992</v>
      </c>
      <c r="N144" s="19">
        <v>1555</v>
      </c>
      <c r="O144" s="19">
        <v>1820</v>
      </c>
      <c r="P144" s="19">
        <v>1778</v>
      </c>
      <c r="Q144" s="20">
        <v>0.97572815533980584</v>
      </c>
      <c r="R144" s="20">
        <v>0.9754178957718781</v>
      </c>
      <c r="S144" s="20">
        <v>0.98542458808618505</v>
      </c>
      <c r="T144" s="20">
        <v>0.98272138228941686</v>
      </c>
      <c r="U144" s="20">
        <v>0.98613422074320578</v>
      </c>
      <c r="W144" s="19">
        <v>0</v>
      </c>
      <c r="X144" s="19">
        <v>166</v>
      </c>
      <c r="Y144" s="19">
        <v>202</v>
      </c>
      <c r="Z144" s="19">
        <v>1052</v>
      </c>
      <c r="AA144" s="19">
        <v>1852</v>
      </c>
      <c r="AB144" s="20">
        <v>0</v>
      </c>
      <c r="AC144" s="20">
        <v>8.1829833382628418E-4</v>
      </c>
      <c r="AD144" s="20">
        <v>1.0315385243892475E-3</v>
      </c>
      <c r="AE144" s="20">
        <v>5.4037672270763667E-3</v>
      </c>
      <c r="AF144" s="20">
        <v>9.5729888711419877E-3</v>
      </c>
      <c r="AG144" s="19">
        <v>0</v>
      </c>
      <c r="AH144" s="19">
        <v>166</v>
      </c>
      <c r="AI144" s="19">
        <v>202</v>
      </c>
      <c r="AJ144" s="19">
        <v>1024</v>
      </c>
      <c r="AK144" s="19">
        <v>1820</v>
      </c>
      <c r="AL144" s="20">
        <v>0</v>
      </c>
      <c r="AM144" s="20">
        <v>1</v>
      </c>
      <c r="AN144" s="20">
        <v>1</v>
      </c>
      <c r="AO144" s="20">
        <v>0.97338403041825095</v>
      </c>
      <c r="AP144" s="20">
        <v>0.98272138228941686</v>
      </c>
      <c r="AQ144" s="37">
        <v>20922.915873258775</v>
      </c>
    </row>
    <row r="145" spans="1:55" s="19" customFormat="1" ht="12.75" x14ac:dyDescent="0.2">
      <c r="A145" s="18" t="s">
        <v>53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W145" s="19">
        <v>0</v>
      </c>
      <c r="X145" s="19">
        <v>2</v>
      </c>
      <c r="Y145" s="19">
        <v>0</v>
      </c>
      <c r="Z145" s="19">
        <v>0</v>
      </c>
      <c r="AA145" s="19">
        <v>0</v>
      </c>
      <c r="AB145" s="20">
        <v>0</v>
      </c>
      <c r="AC145" s="20">
        <v>9.859016070196194E-6</v>
      </c>
      <c r="AD145" s="20">
        <v>0</v>
      </c>
      <c r="AE145" s="20">
        <v>0</v>
      </c>
      <c r="AF145" s="20">
        <v>0</v>
      </c>
      <c r="AG145" s="19">
        <v>0</v>
      </c>
      <c r="AH145" s="19">
        <v>1</v>
      </c>
      <c r="AI145" s="19">
        <v>0</v>
      </c>
      <c r="AJ145" s="19">
        <v>0</v>
      </c>
      <c r="AK145" s="19">
        <v>0</v>
      </c>
      <c r="AL145" s="20">
        <v>0</v>
      </c>
      <c r="AM145" s="20">
        <v>0.5</v>
      </c>
      <c r="AN145" s="20">
        <v>0</v>
      </c>
      <c r="AO145" s="20">
        <v>0</v>
      </c>
      <c r="AP145" s="20">
        <v>0</v>
      </c>
      <c r="AQ145" s="37">
        <v>3.5000098590160702</v>
      </c>
    </row>
    <row r="146" spans="1:55" s="19" customFormat="1" ht="12.75" x14ac:dyDescent="0.2">
      <c r="A146" s="18" t="s">
        <v>54</v>
      </c>
      <c r="B146" s="19">
        <v>11</v>
      </c>
      <c r="C146" s="19">
        <v>55</v>
      </c>
      <c r="D146" s="19">
        <v>135</v>
      </c>
      <c r="E146" s="19">
        <v>129</v>
      </c>
      <c r="F146" s="19">
        <v>141</v>
      </c>
      <c r="G146" s="20">
        <v>5.6824932714113765E-5</v>
      </c>
      <c r="H146" s="20">
        <v>2.8346424227431095E-4</v>
      </c>
      <c r="I146" s="20">
        <v>6.9353115239191186E-4</v>
      </c>
      <c r="J146" s="20">
        <v>6.6680106067889655E-4</v>
      </c>
      <c r="K146" s="20">
        <v>7.2517808007817525E-4</v>
      </c>
      <c r="L146" s="19">
        <v>11</v>
      </c>
      <c r="M146" s="19">
        <v>55</v>
      </c>
      <c r="N146" s="19">
        <v>127</v>
      </c>
      <c r="O146" s="19">
        <v>128</v>
      </c>
      <c r="P146" s="19">
        <v>128</v>
      </c>
      <c r="Q146" s="20">
        <v>1</v>
      </c>
      <c r="R146" s="20">
        <v>1</v>
      </c>
      <c r="S146" s="20">
        <v>0.94074074074074077</v>
      </c>
      <c r="T146" s="20">
        <v>0.99224806201550386</v>
      </c>
      <c r="U146" s="20">
        <v>0.90780141843971629</v>
      </c>
      <c r="W146" s="19">
        <v>0</v>
      </c>
      <c r="X146" s="19">
        <v>0</v>
      </c>
      <c r="Y146" s="19">
        <v>1</v>
      </c>
      <c r="Z146" s="19">
        <v>9</v>
      </c>
      <c r="AA146" s="19">
        <v>129</v>
      </c>
      <c r="AB146" s="20">
        <v>0</v>
      </c>
      <c r="AC146" s="20">
        <v>0</v>
      </c>
      <c r="AD146" s="20">
        <v>5.1066263583626111E-6</v>
      </c>
      <c r="AE146" s="20">
        <v>4.622994776015903E-5</v>
      </c>
      <c r="AF146" s="20">
        <v>6.6680106067889655E-4</v>
      </c>
      <c r="AG146" s="19">
        <v>0</v>
      </c>
      <c r="AH146" s="19">
        <v>0</v>
      </c>
      <c r="AI146" s="19">
        <v>0</v>
      </c>
      <c r="AJ146" s="19">
        <v>9</v>
      </c>
      <c r="AK146" s="19">
        <v>128</v>
      </c>
      <c r="AL146" s="20">
        <v>0</v>
      </c>
      <c r="AM146" s="20">
        <v>0</v>
      </c>
      <c r="AN146" s="20">
        <v>0</v>
      </c>
      <c r="AO146" s="20">
        <v>1</v>
      </c>
      <c r="AP146" s="20">
        <v>0.99224806201550386</v>
      </c>
      <c r="AQ146" s="37">
        <v>1202.8361822203142</v>
      </c>
    </row>
    <row r="147" spans="1:55" s="19" customFormat="1" ht="12.75" x14ac:dyDescent="0.2">
      <c r="A147" s="18" t="s">
        <v>55</v>
      </c>
      <c r="B147" s="19">
        <v>83</v>
      </c>
      <c r="C147" s="19">
        <v>82</v>
      </c>
      <c r="D147" s="19">
        <v>77</v>
      </c>
      <c r="E147" s="19">
        <v>95</v>
      </c>
      <c r="F147" s="19">
        <v>109</v>
      </c>
      <c r="G147" s="20">
        <v>4.2876994684285842E-4</v>
      </c>
      <c r="H147" s="20">
        <v>4.226194157544272E-4</v>
      </c>
      <c r="I147" s="20">
        <v>3.9556962025316455E-4</v>
      </c>
      <c r="J147" s="20">
        <v>4.9105504468600902E-4</v>
      </c>
      <c r="K147" s="20">
        <v>5.6059865764908584E-4</v>
      </c>
      <c r="L147" s="19">
        <v>83</v>
      </c>
      <c r="M147" s="19">
        <v>82</v>
      </c>
      <c r="N147" s="19">
        <v>77</v>
      </c>
      <c r="O147" s="19">
        <v>95</v>
      </c>
      <c r="P147" s="19">
        <v>108</v>
      </c>
      <c r="Q147" s="20">
        <v>1</v>
      </c>
      <c r="R147" s="20">
        <v>1</v>
      </c>
      <c r="S147" s="20">
        <v>1</v>
      </c>
      <c r="T147" s="20">
        <v>1</v>
      </c>
      <c r="U147" s="20">
        <v>0.99082568807339455</v>
      </c>
      <c r="W147" s="19">
        <v>0</v>
      </c>
      <c r="X147" s="19">
        <v>59</v>
      </c>
      <c r="Y147" s="19">
        <v>68</v>
      </c>
      <c r="Z147" s="19">
        <v>84</v>
      </c>
      <c r="AA147" s="19">
        <v>95</v>
      </c>
      <c r="AB147" s="20">
        <v>0</v>
      </c>
      <c r="AC147" s="20">
        <v>2.9084097407078773E-4</v>
      </c>
      <c r="AD147" s="20">
        <v>3.4725059236865755E-4</v>
      </c>
      <c r="AE147" s="20">
        <v>4.3147951242815093E-4</v>
      </c>
      <c r="AF147" s="20">
        <v>4.9105504468600902E-4</v>
      </c>
      <c r="AG147" s="19">
        <v>0</v>
      </c>
      <c r="AH147" s="19">
        <v>59</v>
      </c>
      <c r="AI147" s="19">
        <v>68</v>
      </c>
      <c r="AJ147" s="19">
        <v>84</v>
      </c>
      <c r="AK147" s="19">
        <v>95</v>
      </c>
      <c r="AL147" s="20">
        <v>0</v>
      </c>
      <c r="AM147" s="20">
        <v>1</v>
      </c>
      <c r="AN147" s="20">
        <v>1</v>
      </c>
      <c r="AO147" s="20">
        <v>1</v>
      </c>
      <c r="AP147" s="20">
        <v>1</v>
      </c>
      <c r="AQ147" s="37">
        <v>1511.994684926882</v>
      </c>
    </row>
    <row r="148" spans="1:55" s="19" customFormat="1" ht="12.75" x14ac:dyDescent="0.2">
      <c r="A148" s="18" t="s">
        <v>58</v>
      </c>
      <c r="B148" s="19">
        <v>0</v>
      </c>
      <c r="C148" s="19">
        <v>0</v>
      </c>
      <c r="D148" s="19">
        <v>0</v>
      </c>
      <c r="E148" s="19">
        <v>0</v>
      </c>
      <c r="F148" s="19">
        <v>1</v>
      </c>
      <c r="G148" s="20">
        <v>0</v>
      </c>
      <c r="H148" s="20">
        <v>0</v>
      </c>
      <c r="I148" s="20">
        <v>0</v>
      </c>
      <c r="J148" s="20">
        <v>0</v>
      </c>
      <c r="K148" s="20">
        <v>5.1431069509090442E-6</v>
      </c>
      <c r="L148" s="19">
        <v>0</v>
      </c>
      <c r="M148" s="19">
        <v>0</v>
      </c>
      <c r="N148" s="19">
        <v>0</v>
      </c>
      <c r="O148" s="19">
        <v>0</v>
      </c>
      <c r="P148" s="19">
        <v>1</v>
      </c>
      <c r="Q148" s="20">
        <v>0</v>
      </c>
      <c r="R148" s="20">
        <v>0</v>
      </c>
      <c r="S148" s="20">
        <v>0</v>
      </c>
      <c r="T148" s="20">
        <v>0</v>
      </c>
      <c r="U148" s="20">
        <v>1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37">
        <v>3.000005143106951</v>
      </c>
    </row>
    <row r="149" spans="1:55" s="19" customFormat="1" ht="12.75" x14ac:dyDescent="0.2">
      <c r="A149" s="18" t="s">
        <v>59</v>
      </c>
      <c r="B149" s="19">
        <v>0</v>
      </c>
      <c r="C149" s="19">
        <v>0</v>
      </c>
      <c r="D149" s="19">
        <v>1</v>
      </c>
      <c r="E149" s="19">
        <v>2</v>
      </c>
      <c r="F149" s="19">
        <v>4</v>
      </c>
      <c r="G149" s="20">
        <v>0</v>
      </c>
      <c r="H149" s="20">
        <v>0</v>
      </c>
      <c r="I149" s="20">
        <v>5.137267795495644E-6</v>
      </c>
      <c r="J149" s="20">
        <v>1.0338000940758086E-5</v>
      </c>
      <c r="K149" s="20">
        <v>2.0572427803636177E-5</v>
      </c>
      <c r="L149" s="19">
        <v>0</v>
      </c>
      <c r="M149" s="19">
        <v>0</v>
      </c>
      <c r="N149" s="19">
        <v>1</v>
      </c>
      <c r="O149" s="19">
        <v>2</v>
      </c>
      <c r="P149" s="19">
        <v>4</v>
      </c>
      <c r="Q149" s="20">
        <v>0</v>
      </c>
      <c r="R149" s="20">
        <v>0</v>
      </c>
      <c r="S149" s="20">
        <v>1</v>
      </c>
      <c r="T149" s="20">
        <v>1</v>
      </c>
      <c r="U149" s="20">
        <v>1</v>
      </c>
      <c r="W149" s="19">
        <v>0</v>
      </c>
      <c r="X149" s="19">
        <v>0</v>
      </c>
      <c r="Y149" s="19">
        <v>0</v>
      </c>
      <c r="Z149" s="19">
        <v>0</v>
      </c>
      <c r="AA149" s="19">
        <v>2</v>
      </c>
      <c r="AB149" s="20">
        <v>0</v>
      </c>
      <c r="AC149" s="20">
        <v>0</v>
      </c>
      <c r="AD149" s="20">
        <v>0</v>
      </c>
      <c r="AE149" s="20">
        <v>0</v>
      </c>
      <c r="AF149" s="20">
        <v>1.0338000940758086E-5</v>
      </c>
      <c r="AG149" s="19">
        <v>0</v>
      </c>
      <c r="AH149" s="19">
        <v>0</v>
      </c>
      <c r="AI149" s="19">
        <v>0</v>
      </c>
      <c r="AJ149" s="19">
        <v>0</v>
      </c>
      <c r="AK149" s="19">
        <v>2</v>
      </c>
      <c r="AL149" s="20">
        <v>0</v>
      </c>
      <c r="AM149" s="20">
        <v>0</v>
      </c>
      <c r="AN149" s="20">
        <v>0</v>
      </c>
      <c r="AO149" s="20">
        <v>0</v>
      </c>
      <c r="AP149" s="20">
        <v>1</v>
      </c>
      <c r="AQ149" s="37">
        <v>22.00004638569748</v>
      </c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</row>
    <row r="150" spans="1:55" s="21" customFormat="1" ht="12.75" x14ac:dyDescent="0.2">
      <c r="A150" s="29" t="s">
        <v>69</v>
      </c>
      <c r="B150" s="27">
        <v>193577</v>
      </c>
      <c r="C150" s="27">
        <v>194028</v>
      </c>
      <c r="D150" s="27">
        <v>194656</v>
      </c>
      <c r="E150" s="27">
        <v>193461</v>
      </c>
      <c r="F150" s="27">
        <v>194435</v>
      </c>
      <c r="G150" s="22">
        <v>1</v>
      </c>
      <c r="H150" s="22">
        <v>1</v>
      </c>
      <c r="I150" s="22">
        <v>1</v>
      </c>
      <c r="J150" s="22">
        <v>1</v>
      </c>
      <c r="K150" s="22">
        <v>1</v>
      </c>
      <c r="L150" s="27">
        <v>77835</v>
      </c>
      <c r="M150" s="27">
        <v>78956</v>
      </c>
      <c r="N150" s="27">
        <v>80265</v>
      </c>
      <c r="O150" s="27">
        <v>79948</v>
      </c>
      <c r="P150" s="27">
        <v>81407</v>
      </c>
      <c r="Q150" s="22">
        <v>0.40208805798209496</v>
      </c>
      <c r="R150" s="22">
        <v>0.40693095841837262</v>
      </c>
      <c r="S150" s="22">
        <v>0.41234279960545783</v>
      </c>
      <c r="T150" s="22">
        <v>0.41325124960586374</v>
      </c>
      <c r="U150" s="22">
        <v>0.41868490755265253</v>
      </c>
      <c r="W150" s="27">
        <v>0</v>
      </c>
      <c r="X150" s="27">
        <v>202860</v>
      </c>
      <c r="Y150" s="27">
        <v>195824</v>
      </c>
      <c r="Z150" s="27">
        <v>194679</v>
      </c>
      <c r="AA150" s="27">
        <v>193461</v>
      </c>
      <c r="AB150" s="22">
        <v>0</v>
      </c>
      <c r="AC150" s="22">
        <v>1</v>
      </c>
      <c r="AD150" s="22">
        <v>1</v>
      </c>
      <c r="AE150" s="22">
        <v>1</v>
      </c>
      <c r="AF150" s="22">
        <v>1</v>
      </c>
      <c r="AG150" s="27">
        <v>0</v>
      </c>
      <c r="AH150" s="27">
        <v>74300</v>
      </c>
      <c r="AI150" s="27">
        <v>70443</v>
      </c>
      <c r="AJ150" s="27">
        <v>77216</v>
      </c>
      <c r="AK150" s="27">
        <v>79948</v>
      </c>
      <c r="AL150" s="22">
        <v>0</v>
      </c>
      <c r="AM150" s="22">
        <v>0.36626244700778865</v>
      </c>
      <c r="AN150" s="22">
        <v>0.35972608056213745</v>
      </c>
      <c r="AO150" s="22">
        <v>0.3966324051387155</v>
      </c>
      <c r="AP150" s="22">
        <v>0.41325124960586374</v>
      </c>
      <c r="AQ150" s="37">
        <v>2457311.5891701556</v>
      </c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</row>
    <row r="151" spans="1:55" s="19" customFormat="1" ht="12.75" x14ac:dyDescent="0.2">
      <c r="A151" s="18"/>
      <c r="AQ151" s="37">
        <v>1</v>
      </c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</row>
    <row r="152" spans="1:55" s="25" customFormat="1" ht="12.75" x14ac:dyDescent="0.2">
      <c r="A152" s="28" t="s">
        <v>70</v>
      </c>
      <c r="B152" s="25" t="s">
        <v>10</v>
      </c>
      <c r="C152" s="25" t="s">
        <v>11</v>
      </c>
      <c r="D152" s="25" t="s">
        <v>12</v>
      </c>
      <c r="E152" s="25" t="s">
        <v>164</v>
      </c>
      <c r="F152" s="25" t="s">
        <v>195</v>
      </c>
      <c r="G152" s="25" t="s">
        <v>10</v>
      </c>
      <c r="H152" s="25" t="s">
        <v>11</v>
      </c>
      <c r="I152" s="25" t="s">
        <v>12</v>
      </c>
      <c r="J152" s="25" t="s">
        <v>164</v>
      </c>
      <c r="K152" s="25" t="s">
        <v>195</v>
      </c>
      <c r="L152" s="25" t="s">
        <v>10</v>
      </c>
      <c r="M152" s="25" t="s">
        <v>11</v>
      </c>
      <c r="N152" s="25" t="s">
        <v>12</v>
      </c>
      <c r="O152" s="25" t="s">
        <v>164</v>
      </c>
      <c r="P152" s="25" t="s">
        <v>195</v>
      </c>
      <c r="Q152" s="25" t="s">
        <v>10</v>
      </c>
      <c r="R152" s="25" t="s">
        <v>11</v>
      </c>
      <c r="S152" s="25" t="s">
        <v>12</v>
      </c>
      <c r="T152" s="25" t="s">
        <v>164</v>
      </c>
      <c r="U152" s="25" t="s">
        <v>195</v>
      </c>
      <c r="W152" s="25" t="s">
        <v>13</v>
      </c>
      <c r="X152" s="25" t="s">
        <v>14</v>
      </c>
      <c r="Y152" s="25" t="s">
        <v>15</v>
      </c>
      <c r="Z152" s="25" t="s">
        <v>16</v>
      </c>
      <c r="AA152" s="25" t="s">
        <v>165</v>
      </c>
      <c r="AB152" s="25" t="s">
        <v>13</v>
      </c>
      <c r="AC152" s="25" t="s">
        <v>14</v>
      </c>
      <c r="AD152" s="25" t="s">
        <v>15</v>
      </c>
      <c r="AE152" s="25" t="s">
        <v>16</v>
      </c>
      <c r="AF152" s="25" t="s">
        <v>165</v>
      </c>
      <c r="AG152" s="25" t="s">
        <v>13</v>
      </c>
      <c r="AH152" s="25" t="s">
        <v>14</v>
      </c>
      <c r="AI152" s="25" t="s">
        <v>15</v>
      </c>
      <c r="AJ152" s="25" t="s">
        <v>16</v>
      </c>
      <c r="AK152" s="25" t="s">
        <v>165</v>
      </c>
      <c r="AL152" s="25" t="s">
        <v>13</v>
      </c>
      <c r="AM152" s="25" t="s">
        <v>14</v>
      </c>
      <c r="AN152" s="25" t="s">
        <v>15</v>
      </c>
      <c r="AO152" s="25" t="s">
        <v>16</v>
      </c>
      <c r="AP152" s="25" t="s">
        <v>165</v>
      </c>
      <c r="AQ152" s="37">
        <v>1</v>
      </c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</row>
    <row r="153" spans="1:55" s="19" customFormat="1" ht="12.75" x14ac:dyDescent="0.2">
      <c r="A153" s="18" t="s">
        <v>19</v>
      </c>
      <c r="B153" s="19">
        <v>37914</v>
      </c>
      <c r="C153" s="19">
        <v>37854</v>
      </c>
      <c r="D153" s="19">
        <v>38413</v>
      </c>
      <c r="E153" s="19">
        <v>38133</v>
      </c>
      <c r="F153" s="19">
        <v>38016</v>
      </c>
      <c r="G153" s="20">
        <v>0.41712783162619782</v>
      </c>
      <c r="H153" s="20">
        <v>0.41840106993246606</v>
      </c>
      <c r="I153" s="20">
        <v>0.43426110156461972</v>
      </c>
      <c r="J153" s="20">
        <v>0.43378798047937023</v>
      </c>
      <c r="K153" s="20">
        <v>0.43177920381623036</v>
      </c>
      <c r="L153" s="19">
        <v>26176</v>
      </c>
      <c r="M153" s="19">
        <v>26470</v>
      </c>
      <c r="N153" s="19">
        <v>27002</v>
      </c>
      <c r="O153" s="19">
        <v>27085</v>
      </c>
      <c r="P153" s="19">
        <v>27307</v>
      </c>
      <c r="Q153" s="20">
        <v>0.69040459988394787</v>
      </c>
      <c r="R153" s="20">
        <v>0.69926559940825272</v>
      </c>
      <c r="S153" s="20">
        <v>0.70293910915575453</v>
      </c>
      <c r="T153" s="20">
        <v>0.71027718773765502</v>
      </c>
      <c r="U153" s="20">
        <v>0.71830281986531985</v>
      </c>
      <c r="W153" s="19">
        <v>44287</v>
      </c>
      <c r="X153" s="19">
        <v>43118</v>
      </c>
      <c r="Y153" s="19">
        <v>37073</v>
      </c>
      <c r="Z153" s="19">
        <v>38935</v>
      </c>
      <c r="AA153" s="19">
        <v>38133</v>
      </c>
      <c r="AB153" s="20">
        <v>0.48599741017931214</v>
      </c>
      <c r="AC153" s="20">
        <v>0.47076163857105424</v>
      </c>
      <c r="AD153" s="20">
        <v>0.41883296616392701</v>
      </c>
      <c r="AE153" s="20">
        <v>0.42736872146118721</v>
      </c>
      <c r="AF153" s="20">
        <v>0.43378798047937023</v>
      </c>
      <c r="AG153" s="19">
        <v>25683</v>
      </c>
      <c r="AH153" s="19">
        <v>26522</v>
      </c>
      <c r="AI153" s="19">
        <v>22383</v>
      </c>
      <c r="AJ153" s="19">
        <v>26743</v>
      </c>
      <c r="AK153" s="19">
        <v>27085</v>
      </c>
      <c r="AL153" s="20">
        <v>0.57992187323593836</v>
      </c>
      <c r="AM153" s="20">
        <v>0.61510274131453224</v>
      </c>
      <c r="AN153" s="20">
        <v>0.60375475413373614</v>
      </c>
      <c r="AO153" s="20">
        <v>0.68686271991781178</v>
      </c>
      <c r="AP153" s="20">
        <v>0.71027718773765502</v>
      </c>
      <c r="AQ153" s="37">
        <v>654343.08921449678</v>
      </c>
    </row>
    <row r="154" spans="1:55" s="19" customFormat="1" ht="12.75" x14ac:dyDescent="0.2">
      <c r="A154" s="18" t="s">
        <v>20</v>
      </c>
      <c r="B154" s="19">
        <v>7805</v>
      </c>
      <c r="C154" s="19">
        <v>8395</v>
      </c>
      <c r="D154" s="19">
        <v>8453</v>
      </c>
      <c r="E154" s="19">
        <v>8304</v>
      </c>
      <c r="F154" s="19">
        <v>8724</v>
      </c>
      <c r="G154" s="20">
        <v>8.5870199025227467E-2</v>
      </c>
      <c r="H154" s="20">
        <v>9.2790114177710478E-2</v>
      </c>
      <c r="I154" s="20">
        <v>9.5561635163245007E-2</v>
      </c>
      <c r="J154" s="20">
        <v>9.4463467073156865E-2</v>
      </c>
      <c r="K154" s="20">
        <v>9.9085694815151337E-2</v>
      </c>
      <c r="L154" s="19">
        <v>7697</v>
      </c>
      <c r="M154" s="19">
        <v>8277</v>
      </c>
      <c r="N154" s="19">
        <v>8265</v>
      </c>
      <c r="O154" s="19">
        <v>8154</v>
      </c>
      <c r="P154" s="19">
        <v>8521</v>
      </c>
      <c r="Q154" s="20">
        <v>0.98616271620755924</v>
      </c>
      <c r="R154" s="20">
        <v>0.98594401429422274</v>
      </c>
      <c r="S154" s="20">
        <v>0.97775937536969126</v>
      </c>
      <c r="T154" s="20">
        <v>0.98193641618497107</v>
      </c>
      <c r="U154" s="20">
        <v>0.97673085740486021</v>
      </c>
      <c r="W154" s="19">
        <v>837</v>
      </c>
      <c r="X154" s="19">
        <v>4217</v>
      </c>
      <c r="Y154" s="19">
        <v>4230</v>
      </c>
      <c r="Z154" s="19">
        <v>7139</v>
      </c>
      <c r="AA154" s="19">
        <v>8304</v>
      </c>
      <c r="AB154" s="20">
        <v>9.185084388648684E-3</v>
      </c>
      <c r="AC154" s="20">
        <v>4.6041138964101669E-2</v>
      </c>
      <c r="AD154" s="20">
        <v>4.7788510421962381E-2</v>
      </c>
      <c r="AE154" s="20">
        <v>7.8360994028802242E-2</v>
      </c>
      <c r="AF154" s="20">
        <v>9.4463467073156865E-2</v>
      </c>
      <c r="AG154" s="19">
        <v>823</v>
      </c>
      <c r="AH154" s="19">
        <v>4135</v>
      </c>
      <c r="AI154" s="19">
        <v>4213</v>
      </c>
      <c r="AJ154" s="19">
        <v>7058</v>
      </c>
      <c r="AK154" s="19">
        <v>8154</v>
      </c>
      <c r="AL154" s="20">
        <v>0.98327359617682197</v>
      </c>
      <c r="AM154" s="20">
        <v>0.98055489684609909</v>
      </c>
      <c r="AN154" s="20">
        <v>0.99598108747044922</v>
      </c>
      <c r="AO154" s="20">
        <v>0.98865387309146935</v>
      </c>
      <c r="AP154" s="20">
        <v>0.98193641618497107</v>
      </c>
      <c r="AQ154" s="37">
        <v>131715.58254355434</v>
      </c>
    </row>
    <row r="155" spans="1:55" s="19" customFormat="1" ht="12.75" x14ac:dyDescent="0.2">
      <c r="A155" s="18" t="s">
        <v>21</v>
      </c>
      <c r="B155" s="19">
        <v>217</v>
      </c>
      <c r="C155" s="19">
        <v>213</v>
      </c>
      <c r="D155" s="19">
        <v>225</v>
      </c>
      <c r="E155" s="19">
        <v>216</v>
      </c>
      <c r="F155" s="19">
        <v>163</v>
      </c>
      <c r="G155" s="20">
        <v>2.387422573795562E-3</v>
      </c>
      <c r="H155" s="20">
        <v>2.3542935461408378E-3</v>
      </c>
      <c r="I155" s="20">
        <v>2.5436375146965723E-3</v>
      </c>
      <c r="J155" s="20">
        <v>2.457142207105236E-3</v>
      </c>
      <c r="K155" s="20">
        <v>1.8513260264637402E-3</v>
      </c>
      <c r="L155" s="19">
        <v>212</v>
      </c>
      <c r="M155" s="19">
        <v>207</v>
      </c>
      <c r="N155" s="19">
        <v>207</v>
      </c>
      <c r="O155" s="19">
        <v>203</v>
      </c>
      <c r="P155" s="19">
        <v>151</v>
      </c>
      <c r="Q155" s="20">
        <v>0.97695852534562211</v>
      </c>
      <c r="R155" s="20">
        <v>0.971830985915493</v>
      </c>
      <c r="S155" s="20">
        <v>0.92</v>
      </c>
      <c r="T155" s="20">
        <v>0.93981481481481477</v>
      </c>
      <c r="U155" s="20">
        <v>0.92638036809815949</v>
      </c>
      <c r="W155" s="19">
        <v>0</v>
      </c>
      <c r="X155" s="19">
        <v>11</v>
      </c>
      <c r="Y155" s="19">
        <v>92</v>
      </c>
      <c r="Z155" s="19">
        <v>202</v>
      </c>
      <c r="AA155" s="19">
        <v>216</v>
      </c>
      <c r="AB155" s="20">
        <v>0</v>
      </c>
      <c r="AC155" s="20">
        <v>1.200978251375666E-4</v>
      </c>
      <c r="AD155" s="20">
        <v>1.039371857877196E-3</v>
      </c>
      <c r="AE155" s="20">
        <v>2.217246224095539E-3</v>
      </c>
      <c r="AF155" s="20">
        <v>2.457142207105236E-3</v>
      </c>
      <c r="AG155" s="19">
        <v>0</v>
      </c>
      <c r="AH155" s="19">
        <v>11</v>
      </c>
      <c r="AI155" s="19">
        <v>89</v>
      </c>
      <c r="AJ155" s="19">
        <v>196</v>
      </c>
      <c r="AK155" s="19">
        <v>203</v>
      </c>
      <c r="AL155" s="20">
        <v>0</v>
      </c>
      <c r="AM155" s="20">
        <v>1</v>
      </c>
      <c r="AN155" s="20">
        <v>0.96739130434782605</v>
      </c>
      <c r="AO155" s="20">
        <v>0.97029702970297027</v>
      </c>
      <c r="AP155" s="20">
        <v>0.93981481481481477</v>
      </c>
      <c r="AQ155" s="37">
        <v>3042.6299155230222</v>
      </c>
    </row>
    <row r="156" spans="1:55" s="19" customFormat="1" ht="12.75" x14ac:dyDescent="0.2">
      <c r="A156" s="18" t="s">
        <v>24</v>
      </c>
      <c r="B156" s="19">
        <v>122</v>
      </c>
      <c r="C156" s="19">
        <v>126</v>
      </c>
      <c r="D156" s="19">
        <v>133</v>
      </c>
      <c r="E156" s="19">
        <v>68</v>
      </c>
      <c r="F156" s="19">
        <v>158</v>
      </c>
      <c r="G156" s="20">
        <v>1.3422375760509611E-3</v>
      </c>
      <c r="H156" s="20">
        <v>1.392680689266411E-3</v>
      </c>
      <c r="I156" s="20">
        <v>1.503572397576196E-3</v>
      </c>
      <c r="J156" s="20">
        <v>7.7354476890350026E-4</v>
      </c>
      <c r="K156" s="20">
        <v>1.7945368845476745E-3</v>
      </c>
      <c r="L156" s="19">
        <v>122</v>
      </c>
      <c r="M156" s="19">
        <v>126</v>
      </c>
      <c r="N156" s="19">
        <v>133</v>
      </c>
      <c r="O156" s="19">
        <v>68</v>
      </c>
      <c r="P156" s="19">
        <v>158</v>
      </c>
      <c r="Q156" s="20">
        <v>1</v>
      </c>
      <c r="R156" s="20">
        <v>1</v>
      </c>
      <c r="S156" s="20">
        <v>1</v>
      </c>
      <c r="T156" s="20">
        <v>1</v>
      </c>
      <c r="U156" s="20">
        <v>1</v>
      </c>
      <c r="W156" s="19">
        <v>0</v>
      </c>
      <c r="X156" s="19">
        <v>103</v>
      </c>
      <c r="Y156" s="19">
        <v>102</v>
      </c>
      <c r="Z156" s="19">
        <v>87</v>
      </c>
      <c r="AA156" s="19">
        <v>68</v>
      </c>
      <c r="AB156" s="20">
        <v>0</v>
      </c>
      <c r="AC156" s="20">
        <v>1.12455236265176E-3</v>
      </c>
      <c r="AD156" s="20">
        <v>1.1523470598203693E-3</v>
      </c>
      <c r="AE156" s="20">
        <v>9.5495258166491048E-4</v>
      </c>
      <c r="AF156" s="20">
        <v>7.7354476890350026E-4</v>
      </c>
      <c r="AG156" s="19">
        <v>0</v>
      </c>
      <c r="AH156" s="19">
        <v>103</v>
      </c>
      <c r="AI156" s="19">
        <v>102</v>
      </c>
      <c r="AJ156" s="19">
        <v>87</v>
      </c>
      <c r="AK156" s="19">
        <v>68</v>
      </c>
      <c r="AL156" s="20">
        <v>0</v>
      </c>
      <c r="AM156" s="20">
        <v>1</v>
      </c>
      <c r="AN156" s="20">
        <v>1</v>
      </c>
      <c r="AO156" s="20">
        <v>1</v>
      </c>
      <c r="AP156" s="20">
        <v>1</v>
      </c>
      <c r="AQ156" s="37">
        <v>1943.0108119690892</v>
      </c>
    </row>
    <row r="157" spans="1:55" s="19" customFormat="1" ht="12.75" x14ac:dyDescent="0.2">
      <c r="A157" s="18" t="s">
        <v>26</v>
      </c>
      <c r="B157" s="19">
        <v>145</v>
      </c>
      <c r="C157" s="19">
        <v>142</v>
      </c>
      <c r="D157" s="19">
        <v>140</v>
      </c>
      <c r="E157" s="19">
        <v>91</v>
      </c>
      <c r="F157" s="19">
        <v>87</v>
      </c>
      <c r="G157" s="20">
        <v>1.5952823649786011E-3</v>
      </c>
      <c r="H157" s="20">
        <v>1.5695290307605584E-3</v>
      </c>
      <c r="I157" s="20">
        <v>1.5827077869223116E-3</v>
      </c>
      <c r="J157" s="20">
        <v>1.035184911326743E-3</v>
      </c>
      <c r="K157" s="20">
        <v>9.881310693395423E-4</v>
      </c>
      <c r="L157" s="19">
        <v>145</v>
      </c>
      <c r="M157" s="19">
        <v>142</v>
      </c>
      <c r="N157" s="19">
        <v>140</v>
      </c>
      <c r="O157" s="19">
        <v>89</v>
      </c>
      <c r="P157" s="19">
        <v>85</v>
      </c>
      <c r="Q157" s="20">
        <v>1</v>
      </c>
      <c r="R157" s="20">
        <v>1</v>
      </c>
      <c r="S157" s="20">
        <v>1</v>
      </c>
      <c r="T157" s="20">
        <v>0.97802197802197799</v>
      </c>
      <c r="U157" s="20">
        <v>0.97701149425287359</v>
      </c>
      <c r="W157" s="19">
        <v>12</v>
      </c>
      <c r="X157" s="19">
        <v>24</v>
      </c>
      <c r="Y157" s="19">
        <v>31</v>
      </c>
      <c r="Z157" s="19">
        <v>143</v>
      </c>
      <c r="AA157" s="19">
        <v>91</v>
      </c>
      <c r="AB157" s="20">
        <v>1.3168579768671948E-4</v>
      </c>
      <c r="AC157" s="20">
        <v>2.6203161848196348E-4</v>
      </c>
      <c r="AD157" s="20">
        <v>3.5022312602383778E-4</v>
      </c>
      <c r="AE157" s="20">
        <v>1.5696347031963469E-3</v>
      </c>
      <c r="AF157" s="20">
        <v>1.035184911326743E-3</v>
      </c>
      <c r="AG157" s="19">
        <v>12</v>
      </c>
      <c r="AH157" s="19">
        <v>24</v>
      </c>
      <c r="AI157" s="19">
        <v>31</v>
      </c>
      <c r="AJ157" s="19">
        <v>143</v>
      </c>
      <c r="AK157" s="19">
        <v>89</v>
      </c>
      <c r="AL157" s="20">
        <v>1</v>
      </c>
      <c r="AM157" s="20">
        <v>1</v>
      </c>
      <c r="AN157" s="20">
        <v>1</v>
      </c>
      <c r="AO157" s="20">
        <v>1</v>
      </c>
      <c r="AP157" s="20">
        <v>0.97802197802197799</v>
      </c>
      <c r="AQ157" s="37">
        <v>1815.9431750456172</v>
      </c>
    </row>
    <row r="158" spans="1:55" s="19" customFormat="1" ht="12.75" x14ac:dyDescent="0.2">
      <c r="A158" s="18" t="s">
        <v>27</v>
      </c>
      <c r="B158" s="19">
        <v>0</v>
      </c>
      <c r="C158" s="19">
        <v>0</v>
      </c>
      <c r="D158" s="19">
        <v>0</v>
      </c>
      <c r="E158" s="19">
        <v>0</v>
      </c>
      <c r="F158" s="19">
        <v>2</v>
      </c>
      <c r="G158" s="20">
        <v>0</v>
      </c>
      <c r="H158" s="20">
        <v>0</v>
      </c>
      <c r="I158" s="20">
        <v>0</v>
      </c>
      <c r="J158" s="20">
        <v>0</v>
      </c>
      <c r="K158" s="20">
        <v>2.2715656766426259E-5</v>
      </c>
      <c r="L158" s="19">
        <v>0</v>
      </c>
      <c r="M158" s="19">
        <v>0</v>
      </c>
      <c r="N158" s="19">
        <v>0</v>
      </c>
      <c r="O158" s="19">
        <v>0</v>
      </c>
      <c r="P158" s="19">
        <v>2</v>
      </c>
      <c r="Q158" s="20">
        <v>0</v>
      </c>
      <c r="R158" s="20">
        <v>0</v>
      </c>
      <c r="S158" s="20">
        <v>0</v>
      </c>
      <c r="T158" s="20">
        <v>0</v>
      </c>
      <c r="U158" s="20">
        <v>1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37">
        <v>5.0000227156567663</v>
      </c>
    </row>
    <row r="159" spans="1:55" s="19" customFormat="1" ht="12.75" x14ac:dyDescent="0.2">
      <c r="A159" s="18" t="s">
        <v>28</v>
      </c>
      <c r="B159" s="19">
        <v>1003</v>
      </c>
      <c r="C159" s="19">
        <v>849</v>
      </c>
      <c r="D159" s="19">
        <v>801</v>
      </c>
      <c r="E159" s="19">
        <v>690</v>
      </c>
      <c r="F159" s="19">
        <v>663</v>
      </c>
      <c r="G159" s="20">
        <v>1.1034953186714049E-2</v>
      </c>
      <c r="H159" s="20">
        <v>9.384015120533197E-3</v>
      </c>
      <c r="I159" s="20">
        <v>9.0553495523197983E-3</v>
      </c>
      <c r="J159" s="20">
        <v>7.8492042726972817E-3</v>
      </c>
      <c r="K159" s="20">
        <v>7.5302402180703045E-3</v>
      </c>
      <c r="L159" s="19">
        <v>971</v>
      </c>
      <c r="M159" s="19">
        <v>820</v>
      </c>
      <c r="N159" s="19">
        <v>776</v>
      </c>
      <c r="O159" s="19">
        <v>660</v>
      </c>
      <c r="P159" s="19">
        <v>634</v>
      </c>
      <c r="Q159" s="20">
        <v>0.96809571286141571</v>
      </c>
      <c r="R159" s="20">
        <v>0.9658421672555948</v>
      </c>
      <c r="S159" s="20">
        <v>0.96878901373283399</v>
      </c>
      <c r="T159" s="20">
        <v>0.95652173913043481</v>
      </c>
      <c r="U159" s="20">
        <v>0.95625942684766219</v>
      </c>
      <c r="W159" s="19">
        <v>420</v>
      </c>
      <c r="X159" s="19">
        <v>813</v>
      </c>
      <c r="Y159" s="19">
        <v>1246</v>
      </c>
      <c r="Z159" s="19">
        <v>1124</v>
      </c>
      <c r="AA159" s="19">
        <v>690</v>
      </c>
      <c r="AB159" s="20">
        <v>4.6090029190351822E-3</v>
      </c>
      <c r="AC159" s="20">
        <v>8.8763210760765127E-3</v>
      </c>
      <c r="AD159" s="20">
        <v>1.4076710162119414E-2</v>
      </c>
      <c r="AE159" s="20">
        <v>1.2337548296452406E-2</v>
      </c>
      <c r="AF159" s="20">
        <v>7.8492042726972817E-3</v>
      </c>
      <c r="AG159" s="19">
        <v>418</v>
      </c>
      <c r="AH159" s="19">
        <v>802</v>
      </c>
      <c r="AI159" s="19">
        <v>1213</v>
      </c>
      <c r="AJ159" s="19">
        <v>1101</v>
      </c>
      <c r="AK159" s="19">
        <v>660</v>
      </c>
      <c r="AL159" s="20">
        <v>0.99523809523809526</v>
      </c>
      <c r="AM159" s="20">
        <v>0.98646986469864695</v>
      </c>
      <c r="AN159" s="20">
        <v>0.9735152487961477</v>
      </c>
      <c r="AO159" s="20">
        <v>0.97953736654804269</v>
      </c>
      <c r="AP159" s="20">
        <v>0.95652173913043481</v>
      </c>
      <c r="AQ159" s="37">
        <v>16363.799392923314</v>
      </c>
    </row>
    <row r="160" spans="1:55" s="19" customFormat="1" ht="12.75" x14ac:dyDescent="0.2">
      <c r="A160" s="18" t="s">
        <v>29</v>
      </c>
      <c r="B160" s="19">
        <v>0</v>
      </c>
      <c r="C160" s="19">
        <v>2</v>
      </c>
      <c r="D160" s="19">
        <v>22</v>
      </c>
      <c r="E160" s="19">
        <v>238</v>
      </c>
      <c r="F160" s="19">
        <v>210</v>
      </c>
      <c r="G160" s="20">
        <v>0</v>
      </c>
      <c r="H160" s="20">
        <v>2.2106042686768428E-5</v>
      </c>
      <c r="I160" s="20">
        <v>2.4871122365922041E-4</v>
      </c>
      <c r="J160" s="20">
        <v>2.707406691162251E-3</v>
      </c>
      <c r="K160" s="20">
        <v>2.3851439604747572E-3</v>
      </c>
      <c r="L160" s="19">
        <v>0</v>
      </c>
      <c r="M160" s="19">
        <v>2</v>
      </c>
      <c r="N160" s="19">
        <v>22</v>
      </c>
      <c r="O160" s="19">
        <v>238</v>
      </c>
      <c r="P160" s="19">
        <v>208</v>
      </c>
      <c r="Q160" s="20">
        <v>0</v>
      </c>
      <c r="R160" s="20">
        <v>1</v>
      </c>
      <c r="S160" s="20">
        <v>1</v>
      </c>
      <c r="T160" s="20">
        <v>1</v>
      </c>
      <c r="U160" s="20">
        <v>0.99047619047619051</v>
      </c>
      <c r="W160" s="19">
        <v>0</v>
      </c>
      <c r="X160" s="19">
        <v>0</v>
      </c>
      <c r="Y160" s="19">
        <v>0</v>
      </c>
      <c r="Z160" s="19">
        <v>0</v>
      </c>
      <c r="AA160" s="19">
        <v>238</v>
      </c>
      <c r="AB160" s="20">
        <v>0</v>
      </c>
      <c r="AC160" s="20">
        <v>0</v>
      </c>
      <c r="AD160" s="20">
        <v>0</v>
      </c>
      <c r="AE160" s="20">
        <v>0</v>
      </c>
      <c r="AF160" s="20">
        <v>2.707406691162251E-3</v>
      </c>
      <c r="AG160" s="19">
        <v>0</v>
      </c>
      <c r="AH160" s="19">
        <v>0</v>
      </c>
      <c r="AI160" s="19">
        <v>0</v>
      </c>
      <c r="AJ160" s="19">
        <v>0</v>
      </c>
      <c r="AK160" s="19">
        <v>238</v>
      </c>
      <c r="AL160" s="20">
        <v>0</v>
      </c>
      <c r="AM160" s="20">
        <v>0</v>
      </c>
      <c r="AN160" s="20">
        <v>0</v>
      </c>
      <c r="AO160" s="20">
        <v>0</v>
      </c>
      <c r="AP160" s="20">
        <v>1</v>
      </c>
      <c r="AQ160" s="37">
        <v>1422.9985469650853</v>
      </c>
    </row>
    <row r="161" spans="1:43" s="19" customFormat="1" ht="12.75" x14ac:dyDescent="0.2">
      <c r="A161" s="18" t="s">
        <v>30</v>
      </c>
      <c r="B161" s="19">
        <v>3966</v>
      </c>
      <c r="C161" s="19">
        <v>3937</v>
      </c>
      <c r="D161" s="19">
        <v>3473</v>
      </c>
      <c r="E161" s="19">
        <v>3216</v>
      </c>
      <c r="F161" s="19">
        <v>3264</v>
      </c>
      <c r="G161" s="20">
        <v>4.363372316900091E-2</v>
      </c>
      <c r="H161" s="20">
        <v>4.3515745028903652E-2</v>
      </c>
      <c r="I161" s="20">
        <v>3.9262458171294201E-2</v>
      </c>
      <c r="J161" s="20">
        <v>3.6584117305789074E-2</v>
      </c>
      <c r="K161" s="20">
        <v>3.7071951842807656E-2</v>
      </c>
      <c r="L161" s="19">
        <v>3795</v>
      </c>
      <c r="M161" s="19">
        <v>3788</v>
      </c>
      <c r="N161" s="19">
        <v>3324</v>
      </c>
      <c r="O161" s="19">
        <v>3094</v>
      </c>
      <c r="P161" s="19">
        <v>3145</v>
      </c>
      <c r="Q161" s="20">
        <v>0.9568835098335855</v>
      </c>
      <c r="R161" s="20">
        <v>0.96215392430784863</v>
      </c>
      <c r="S161" s="20">
        <v>0.95709761013532968</v>
      </c>
      <c r="T161" s="20">
        <v>0.96206467661691542</v>
      </c>
      <c r="U161" s="20">
        <v>0.96354166666666663</v>
      </c>
      <c r="W161" s="19">
        <v>4065</v>
      </c>
      <c r="X161" s="19">
        <v>3640</v>
      </c>
      <c r="Y161" s="19">
        <v>3664</v>
      </c>
      <c r="Z161" s="19">
        <v>4033</v>
      </c>
      <c r="AA161" s="19">
        <v>3216</v>
      </c>
      <c r="AB161" s="20">
        <v>4.4608563966376226E-2</v>
      </c>
      <c r="AC161" s="20">
        <v>3.9741462136431129E-2</v>
      </c>
      <c r="AD161" s="20">
        <v>4.1394113991978759E-2</v>
      </c>
      <c r="AE161" s="20">
        <v>4.4268089216719354E-2</v>
      </c>
      <c r="AF161" s="20">
        <v>3.6584117305789074E-2</v>
      </c>
      <c r="AG161" s="19">
        <v>3848</v>
      </c>
      <c r="AH161" s="19">
        <v>3408</v>
      </c>
      <c r="AI161" s="19">
        <v>3458</v>
      </c>
      <c r="AJ161" s="19">
        <v>3851</v>
      </c>
      <c r="AK161" s="19">
        <v>3094</v>
      </c>
      <c r="AL161" s="20">
        <v>0.94661746617466169</v>
      </c>
      <c r="AM161" s="20">
        <v>0.93626373626373627</v>
      </c>
      <c r="AN161" s="20">
        <v>0.94377729257641918</v>
      </c>
      <c r="AO161" s="20">
        <v>0.9548723034961567</v>
      </c>
      <c r="AP161" s="20">
        <v>0.96206467661691542</v>
      </c>
      <c r="AQ161" s="37">
        <v>71288.952001204831</v>
      </c>
    </row>
    <row r="162" spans="1:43" s="19" customFormat="1" ht="12.75" x14ac:dyDescent="0.2">
      <c r="A162" s="18" t="s">
        <v>79</v>
      </c>
      <c r="B162" s="19">
        <v>0</v>
      </c>
      <c r="C162" s="19">
        <v>27</v>
      </c>
      <c r="D162" s="19">
        <v>26</v>
      </c>
      <c r="E162" s="19">
        <v>26</v>
      </c>
      <c r="F162" s="19">
        <v>24</v>
      </c>
      <c r="G162" s="20">
        <v>0</v>
      </c>
      <c r="H162" s="20">
        <v>2.9843157627137376E-4</v>
      </c>
      <c r="I162" s="20">
        <v>2.9393144614271504E-4</v>
      </c>
      <c r="J162" s="20">
        <v>2.957671175219266E-4</v>
      </c>
      <c r="K162" s="20">
        <v>2.7258788119711514E-4</v>
      </c>
      <c r="L162" s="19">
        <v>0</v>
      </c>
      <c r="M162" s="19">
        <v>27</v>
      </c>
      <c r="N162" s="19">
        <v>26</v>
      </c>
      <c r="O162" s="19">
        <v>26</v>
      </c>
      <c r="P162" s="19">
        <v>24</v>
      </c>
      <c r="Q162" s="20">
        <v>0</v>
      </c>
      <c r="R162" s="20">
        <v>1</v>
      </c>
      <c r="S162" s="20">
        <v>1</v>
      </c>
      <c r="T162" s="20">
        <v>1</v>
      </c>
      <c r="U162" s="20">
        <v>1</v>
      </c>
      <c r="W162" s="19">
        <v>0</v>
      </c>
      <c r="X162" s="19">
        <v>0</v>
      </c>
      <c r="Y162" s="19">
        <v>0</v>
      </c>
      <c r="Z162" s="19">
        <v>0</v>
      </c>
      <c r="AA162" s="19">
        <v>26</v>
      </c>
      <c r="AB162" s="20">
        <v>0</v>
      </c>
      <c r="AC162" s="20">
        <v>0</v>
      </c>
      <c r="AD162" s="20">
        <v>0</v>
      </c>
      <c r="AE162" s="20">
        <v>0</v>
      </c>
      <c r="AF162" s="20">
        <v>2.957671175219266E-4</v>
      </c>
      <c r="AG162" s="19">
        <v>0</v>
      </c>
      <c r="AH162" s="19">
        <v>0</v>
      </c>
      <c r="AI162" s="19">
        <v>0</v>
      </c>
      <c r="AJ162" s="19">
        <v>0</v>
      </c>
      <c r="AK162" s="19">
        <v>26</v>
      </c>
      <c r="AL162" s="20">
        <v>0</v>
      </c>
      <c r="AM162" s="20">
        <v>0</v>
      </c>
      <c r="AN162" s="20">
        <v>0</v>
      </c>
      <c r="AO162" s="20">
        <v>0</v>
      </c>
      <c r="AP162" s="20">
        <v>1</v>
      </c>
      <c r="AQ162" s="37">
        <v>263.00145648513865</v>
      </c>
    </row>
    <row r="163" spans="1:43" s="19" customFormat="1" ht="12.75" x14ac:dyDescent="0.2">
      <c r="A163" s="18" t="s">
        <v>80</v>
      </c>
      <c r="B163" s="19">
        <v>42</v>
      </c>
      <c r="C163" s="19">
        <v>37</v>
      </c>
      <c r="D163" s="19">
        <v>55</v>
      </c>
      <c r="E163" s="19">
        <v>46</v>
      </c>
      <c r="F163" s="19">
        <v>56</v>
      </c>
      <c r="G163" s="20">
        <v>4.6208178847656034E-4</v>
      </c>
      <c r="H163" s="20">
        <v>4.0896178970521594E-4</v>
      </c>
      <c r="I163" s="20">
        <v>6.2177805914805095E-4</v>
      </c>
      <c r="J163" s="20">
        <v>5.2328028484648547E-4</v>
      </c>
      <c r="K163" s="20">
        <v>6.3603838945993523E-4</v>
      </c>
      <c r="L163" s="19">
        <v>27</v>
      </c>
      <c r="M163" s="19">
        <v>25</v>
      </c>
      <c r="N163" s="19">
        <v>29</v>
      </c>
      <c r="O163" s="19">
        <v>30</v>
      </c>
      <c r="P163" s="19">
        <v>34</v>
      </c>
      <c r="Q163" s="20">
        <v>0.6428571428571429</v>
      </c>
      <c r="R163" s="20">
        <v>0.67567567567567566</v>
      </c>
      <c r="S163" s="20">
        <v>0.52727272727272723</v>
      </c>
      <c r="T163" s="20">
        <v>0.65217391304347827</v>
      </c>
      <c r="U163" s="20">
        <v>0.6071428571428571</v>
      </c>
      <c r="W163" s="19">
        <v>592</v>
      </c>
      <c r="X163" s="19">
        <v>700</v>
      </c>
      <c r="Y163" s="19">
        <v>392</v>
      </c>
      <c r="Z163" s="19">
        <v>306</v>
      </c>
      <c r="AA163" s="19">
        <v>46</v>
      </c>
      <c r="AB163" s="20">
        <v>6.4964993525448277E-3</v>
      </c>
      <c r="AC163" s="20">
        <v>7.6425888723906021E-3</v>
      </c>
      <c r="AD163" s="20">
        <v>4.4286279161724002E-3</v>
      </c>
      <c r="AE163" s="20">
        <v>3.3587987355110645E-3</v>
      </c>
      <c r="AF163" s="20">
        <v>5.2328028484648547E-4</v>
      </c>
      <c r="AG163" s="19">
        <v>592</v>
      </c>
      <c r="AH163" s="19">
        <v>698</v>
      </c>
      <c r="AI163" s="19">
        <v>385</v>
      </c>
      <c r="AJ163" s="19">
        <v>297</v>
      </c>
      <c r="AK163" s="19">
        <v>30</v>
      </c>
      <c r="AL163" s="20">
        <v>1</v>
      </c>
      <c r="AM163" s="20">
        <v>0.99714285714285711</v>
      </c>
      <c r="AN163" s="20">
        <v>0.9821428571428571</v>
      </c>
      <c r="AO163" s="20">
        <v>0.97058823529411764</v>
      </c>
      <c r="AP163" s="20">
        <v>0.65217391304347827</v>
      </c>
      <c r="AQ163" s="37">
        <v>4426.7322721140872</v>
      </c>
    </row>
    <row r="164" spans="1:43" s="19" customFormat="1" ht="12.75" x14ac:dyDescent="0.2">
      <c r="A164" s="18" t="s">
        <v>35</v>
      </c>
      <c r="B164" s="19">
        <v>0</v>
      </c>
      <c r="C164" s="19">
        <v>0</v>
      </c>
      <c r="D164" s="19">
        <v>0</v>
      </c>
      <c r="E164" s="19">
        <v>0</v>
      </c>
      <c r="F164" s="19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W164" s="19">
        <v>7</v>
      </c>
      <c r="X164" s="19">
        <v>0</v>
      </c>
      <c r="Y164" s="19">
        <v>0</v>
      </c>
      <c r="Z164" s="19">
        <v>0</v>
      </c>
      <c r="AA164" s="19">
        <v>0</v>
      </c>
      <c r="AB164" s="20">
        <v>7.681671531725304E-5</v>
      </c>
      <c r="AC164" s="20">
        <v>0</v>
      </c>
      <c r="AD164" s="20">
        <v>0</v>
      </c>
      <c r="AE164" s="20">
        <v>0</v>
      </c>
      <c r="AF164" s="20">
        <v>0</v>
      </c>
      <c r="AG164" s="19">
        <v>7</v>
      </c>
      <c r="AH164" s="19">
        <v>0</v>
      </c>
      <c r="AI164" s="19">
        <v>0</v>
      </c>
      <c r="AJ164" s="19">
        <v>0</v>
      </c>
      <c r="AK164" s="19">
        <v>0</v>
      </c>
      <c r="AL164" s="20">
        <v>1</v>
      </c>
      <c r="AM164" s="20">
        <v>0</v>
      </c>
      <c r="AN164" s="20">
        <v>0</v>
      </c>
      <c r="AO164" s="20">
        <v>0</v>
      </c>
      <c r="AP164" s="20">
        <v>0</v>
      </c>
      <c r="AQ164" s="37">
        <v>15.000076816715318</v>
      </c>
    </row>
    <row r="165" spans="1:43" s="19" customFormat="1" ht="12.75" x14ac:dyDescent="0.2">
      <c r="A165" s="18" t="s">
        <v>37</v>
      </c>
      <c r="B165" s="19">
        <v>2820</v>
      </c>
      <c r="C165" s="19">
        <v>2698</v>
      </c>
      <c r="D165" s="19">
        <v>2695</v>
      </c>
      <c r="E165" s="19">
        <v>2866</v>
      </c>
      <c r="F165" s="19">
        <v>2854</v>
      </c>
      <c r="G165" s="20">
        <v>3.1025491511997624E-2</v>
      </c>
      <c r="H165" s="20">
        <v>2.9821051584450611E-2</v>
      </c>
      <c r="I165" s="20">
        <v>3.04671248982545E-2</v>
      </c>
      <c r="J165" s="20">
        <v>3.2602636877609295E-2</v>
      </c>
      <c r="K165" s="20">
        <v>3.2415242205690274E-2</v>
      </c>
      <c r="L165" s="19">
        <v>2702</v>
      </c>
      <c r="M165" s="19">
        <v>2581</v>
      </c>
      <c r="N165" s="19">
        <v>2585</v>
      </c>
      <c r="O165" s="19">
        <v>2799</v>
      </c>
      <c r="P165" s="19">
        <v>2795</v>
      </c>
      <c r="Q165" s="20">
        <v>0.95815602836879432</v>
      </c>
      <c r="R165" s="20">
        <v>0.95663454410674575</v>
      </c>
      <c r="S165" s="20">
        <v>0.95918367346938771</v>
      </c>
      <c r="T165" s="20">
        <v>0.97662247034193994</v>
      </c>
      <c r="U165" s="20">
        <v>0.97932725998598458</v>
      </c>
      <c r="W165" s="19">
        <v>1553</v>
      </c>
      <c r="X165" s="19">
        <v>1639</v>
      </c>
      <c r="Y165" s="19">
        <v>2606</v>
      </c>
      <c r="Z165" s="19">
        <v>2876</v>
      </c>
      <c r="AA165" s="19">
        <v>2866</v>
      </c>
      <c r="AB165" s="20">
        <v>1.7042336983956279E-2</v>
      </c>
      <c r="AC165" s="20">
        <v>1.7894575945497423E-2</v>
      </c>
      <c r="AD165" s="20">
        <v>2.9441337626391006E-2</v>
      </c>
      <c r="AE165" s="20">
        <v>3.156831752722164E-2</v>
      </c>
      <c r="AF165" s="20">
        <v>3.2602636877609295E-2</v>
      </c>
      <c r="AG165" s="19">
        <v>1454</v>
      </c>
      <c r="AH165" s="19">
        <v>1547</v>
      </c>
      <c r="AI165" s="19">
        <v>2488</v>
      </c>
      <c r="AJ165" s="19">
        <v>2758</v>
      </c>
      <c r="AK165" s="19">
        <v>2799</v>
      </c>
      <c r="AL165" s="20">
        <v>0.93625241468126208</v>
      </c>
      <c r="AM165" s="20">
        <v>0.94386821232458817</v>
      </c>
      <c r="AN165" s="20">
        <v>0.95471987720644669</v>
      </c>
      <c r="AO165" s="20">
        <v>0.958970792767733</v>
      </c>
      <c r="AP165" s="20">
        <v>0.97662247034193994</v>
      </c>
      <c r="AQ165" s="37">
        <v>49990.885238495626</v>
      </c>
    </row>
    <row r="166" spans="1:43" s="19" customFormat="1" ht="12.75" x14ac:dyDescent="0.2">
      <c r="A166" s="18" t="s">
        <v>39</v>
      </c>
      <c r="B166" s="19">
        <v>0</v>
      </c>
      <c r="C166" s="19">
        <v>0</v>
      </c>
      <c r="D166" s="19">
        <v>0</v>
      </c>
      <c r="E166" s="19">
        <v>0</v>
      </c>
      <c r="F166" s="19">
        <v>1</v>
      </c>
      <c r="G166" s="20">
        <v>0</v>
      </c>
      <c r="H166" s="20">
        <v>0</v>
      </c>
      <c r="I166" s="20">
        <v>0</v>
      </c>
      <c r="J166" s="20">
        <v>0</v>
      </c>
      <c r="K166" s="20">
        <v>1.135782838321313E-5</v>
      </c>
      <c r="L166" s="19">
        <v>0</v>
      </c>
      <c r="M166" s="19">
        <v>0</v>
      </c>
      <c r="N166" s="19">
        <v>0</v>
      </c>
      <c r="O166" s="19">
        <v>0</v>
      </c>
      <c r="P166" s="19">
        <v>1</v>
      </c>
      <c r="Q166" s="20">
        <v>0</v>
      </c>
      <c r="R166" s="20">
        <v>0</v>
      </c>
      <c r="S166" s="20">
        <v>0</v>
      </c>
      <c r="T166" s="20">
        <v>0</v>
      </c>
      <c r="U166" s="20">
        <v>1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37">
        <v>3.0000113578283831</v>
      </c>
    </row>
    <row r="167" spans="1:43" s="19" customFormat="1" ht="12.75" x14ac:dyDescent="0.2">
      <c r="A167" s="18" t="s">
        <v>40</v>
      </c>
      <c r="B167" s="19">
        <v>3336</v>
      </c>
      <c r="C167" s="19">
        <v>3164</v>
      </c>
      <c r="D167" s="19">
        <v>2945</v>
      </c>
      <c r="E167" s="19">
        <v>2879</v>
      </c>
      <c r="F167" s="19">
        <v>2831</v>
      </c>
      <c r="G167" s="20">
        <v>3.6702496341852506E-2</v>
      </c>
      <c r="H167" s="20">
        <v>3.4971759530467654E-2</v>
      </c>
      <c r="I167" s="20">
        <v>3.3293388803472913E-2</v>
      </c>
      <c r="J167" s="20">
        <v>3.2750520436370258E-2</v>
      </c>
      <c r="K167" s="20">
        <v>3.2154012152876367E-2</v>
      </c>
      <c r="L167" s="19">
        <v>3135</v>
      </c>
      <c r="M167" s="19">
        <v>2925</v>
      </c>
      <c r="N167" s="19">
        <v>2907</v>
      </c>
      <c r="O167" s="19">
        <v>2837</v>
      </c>
      <c r="P167" s="19">
        <v>2787</v>
      </c>
      <c r="Q167" s="20">
        <v>0.93974820143884896</v>
      </c>
      <c r="R167" s="20">
        <v>0.92446270543615672</v>
      </c>
      <c r="S167" s="20">
        <v>0.98709677419354835</v>
      </c>
      <c r="T167" s="20">
        <v>0.98541160125043414</v>
      </c>
      <c r="U167" s="20">
        <v>0.98445778876722001</v>
      </c>
      <c r="W167" s="19">
        <v>8547</v>
      </c>
      <c r="X167" s="19">
        <v>6271</v>
      </c>
      <c r="Y167" s="19">
        <v>4460</v>
      </c>
      <c r="Z167" s="19">
        <v>3544</v>
      </c>
      <c r="AA167" s="19">
        <v>2879</v>
      </c>
      <c r="AB167" s="20">
        <v>9.3793209402365949E-2</v>
      </c>
      <c r="AC167" s="20">
        <v>6.8466678312516377E-2</v>
      </c>
      <c r="AD167" s="20">
        <v>5.0386940066655367E-2</v>
      </c>
      <c r="AE167" s="20">
        <v>3.8900597119775199E-2</v>
      </c>
      <c r="AF167" s="20">
        <v>3.2750520436370258E-2</v>
      </c>
      <c r="AG167" s="19">
        <v>8505</v>
      </c>
      <c r="AH167" s="19">
        <v>6041</v>
      </c>
      <c r="AI167" s="19">
        <v>4217</v>
      </c>
      <c r="AJ167" s="19">
        <v>3357</v>
      </c>
      <c r="AK167" s="19">
        <v>2837</v>
      </c>
      <c r="AL167" s="20">
        <v>0.99508599508599505</v>
      </c>
      <c r="AM167" s="20">
        <v>0.96332323393398178</v>
      </c>
      <c r="AN167" s="20">
        <v>0.94551569506726463</v>
      </c>
      <c r="AO167" s="20">
        <v>0.94723476297968401</v>
      </c>
      <c r="AP167" s="20">
        <v>0.98541160125043414</v>
      </c>
      <c r="AQ167" s="37">
        <v>80414.111918482013</v>
      </c>
    </row>
    <row r="168" spans="1:43" s="19" customFormat="1" ht="12.75" x14ac:dyDescent="0.2">
      <c r="A168" s="18" t="s">
        <v>41</v>
      </c>
      <c r="B168" s="19">
        <v>269</v>
      </c>
      <c r="C168" s="19">
        <v>275</v>
      </c>
      <c r="D168" s="19">
        <v>258</v>
      </c>
      <c r="E168" s="19">
        <v>247</v>
      </c>
      <c r="F168" s="19">
        <v>237</v>
      </c>
      <c r="G168" s="20">
        <v>2.9595238357189224E-3</v>
      </c>
      <c r="H168" s="20">
        <v>3.039580869430659E-3</v>
      </c>
      <c r="I168" s="20">
        <v>2.9167043501854028E-3</v>
      </c>
      <c r="J168" s="20">
        <v>2.8097876164583026E-3</v>
      </c>
      <c r="K168" s="20">
        <v>2.6918053268215119E-3</v>
      </c>
      <c r="L168" s="19">
        <v>266</v>
      </c>
      <c r="M168" s="19">
        <v>266</v>
      </c>
      <c r="N168" s="19">
        <v>240</v>
      </c>
      <c r="O168" s="19">
        <v>233</v>
      </c>
      <c r="P168" s="19">
        <v>224</v>
      </c>
      <c r="Q168" s="20">
        <v>0.98884758364312264</v>
      </c>
      <c r="R168" s="20">
        <v>0.96727272727272728</v>
      </c>
      <c r="S168" s="20">
        <v>0.93023255813953487</v>
      </c>
      <c r="T168" s="20">
        <v>0.94331983805668018</v>
      </c>
      <c r="U168" s="20">
        <v>0.94514767932489452</v>
      </c>
      <c r="W168" s="19">
        <v>0</v>
      </c>
      <c r="X168" s="19">
        <v>24</v>
      </c>
      <c r="Y168" s="19">
        <v>17</v>
      </c>
      <c r="Z168" s="19">
        <v>11</v>
      </c>
      <c r="AA168" s="19">
        <v>247</v>
      </c>
      <c r="AB168" s="20">
        <v>0</v>
      </c>
      <c r="AC168" s="20">
        <v>2.6203161848196348E-4</v>
      </c>
      <c r="AD168" s="20">
        <v>1.920578433033949E-4</v>
      </c>
      <c r="AE168" s="20">
        <v>1.2074113101510362E-4</v>
      </c>
      <c r="AF168" s="20">
        <v>2.8097876164583026E-3</v>
      </c>
      <c r="AG168" s="19">
        <v>0</v>
      </c>
      <c r="AH168" s="19">
        <v>24</v>
      </c>
      <c r="AI168" s="19">
        <v>13</v>
      </c>
      <c r="AJ168" s="19">
        <v>9</v>
      </c>
      <c r="AK168" s="19">
        <v>233</v>
      </c>
      <c r="AL168" s="20">
        <v>0</v>
      </c>
      <c r="AM168" s="20">
        <v>1</v>
      </c>
      <c r="AN168" s="20">
        <v>0.76470588235294112</v>
      </c>
      <c r="AO168" s="20">
        <v>0.81818181818181823</v>
      </c>
      <c r="AP168" s="20">
        <v>0.94331983805668018</v>
      </c>
      <c r="AQ168" s="37">
        <v>3101.3188299452368</v>
      </c>
    </row>
    <row r="169" spans="1:43" s="19" customFormat="1" ht="12.75" x14ac:dyDescent="0.2">
      <c r="A169" s="18" t="s">
        <v>43</v>
      </c>
      <c r="B169" s="19">
        <v>24827</v>
      </c>
      <c r="C169" s="19">
        <v>24642</v>
      </c>
      <c r="D169" s="19">
        <v>22726</v>
      </c>
      <c r="E169" s="19">
        <v>22601</v>
      </c>
      <c r="F169" s="19">
        <v>22651</v>
      </c>
      <c r="G169" s="20">
        <v>0.27314534672637059</v>
      </c>
      <c r="H169" s="20">
        <v>0.27236855194367382</v>
      </c>
      <c r="I169" s="20">
        <v>0.25691869403997469</v>
      </c>
      <c r="J169" s="20">
        <v>0.2571012547351178</v>
      </c>
      <c r="K169" s="20">
        <v>0.2572661707081606</v>
      </c>
      <c r="L169" s="19">
        <v>23870</v>
      </c>
      <c r="M169" s="19">
        <v>23661</v>
      </c>
      <c r="N169" s="19">
        <v>21556</v>
      </c>
      <c r="O169" s="19">
        <v>21449</v>
      </c>
      <c r="P169" s="19">
        <v>21444</v>
      </c>
      <c r="Q169" s="20">
        <v>0.96145325653522373</v>
      </c>
      <c r="R169" s="20">
        <v>0.96018991964937905</v>
      </c>
      <c r="S169" s="20">
        <v>0.94851711695854968</v>
      </c>
      <c r="T169" s="20">
        <v>0.94902880403521972</v>
      </c>
      <c r="U169" s="20">
        <v>0.94671316939649464</v>
      </c>
      <c r="W169" s="19">
        <v>15497</v>
      </c>
      <c r="X169" s="19">
        <v>17567</v>
      </c>
      <c r="Y169" s="19">
        <v>23421</v>
      </c>
      <c r="Z169" s="19">
        <v>23738</v>
      </c>
      <c r="AA169" s="19">
        <v>22601</v>
      </c>
      <c r="AB169" s="20">
        <v>0.17006123389592431</v>
      </c>
      <c r="AC169" s="20">
        <v>0.19179622674469385</v>
      </c>
      <c r="AD169" s="20">
        <v>0.26459922047110657</v>
      </c>
      <c r="AE169" s="20">
        <v>0.2605593607305936</v>
      </c>
      <c r="AF169" s="20">
        <v>0.2571012547351178</v>
      </c>
      <c r="AG169" s="19">
        <v>14830</v>
      </c>
      <c r="AH169" s="19">
        <v>16789</v>
      </c>
      <c r="AI169" s="19">
        <v>22598</v>
      </c>
      <c r="AJ169" s="19">
        <v>22851</v>
      </c>
      <c r="AK169" s="19">
        <v>21449</v>
      </c>
      <c r="AL169" s="20">
        <v>0.95695941149899977</v>
      </c>
      <c r="AM169" s="20">
        <v>0.95571241532418738</v>
      </c>
      <c r="AN169" s="20">
        <v>0.96486059519234879</v>
      </c>
      <c r="AO169" s="20">
        <v>0.96263375179037824</v>
      </c>
      <c r="AP169" s="20">
        <v>0.94902880403521972</v>
      </c>
      <c r="AQ169" s="37">
        <v>430780.01601455914</v>
      </c>
    </row>
    <row r="170" spans="1:43" s="19" customFormat="1" ht="12.75" x14ac:dyDescent="0.2">
      <c r="A170" s="18" t="s">
        <v>44</v>
      </c>
      <c r="B170" s="19">
        <v>13</v>
      </c>
      <c r="C170" s="19">
        <v>11</v>
      </c>
      <c r="D170" s="19">
        <v>12</v>
      </c>
      <c r="E170" s="19">
        <v>12</v>
      </c>
      <c r="F170" s="19">
        <v>7</v>
      </c>
      <c r="G170" s="20">
        <v>1.4302531548084012E-4</v>
      </c>
      <c r="H170" s="20">
        <v>1.2158323477722635E-4</v>
      </c>
      <c r="I170" s="20">
        <v>1.3566066745048386E-4</v>
      </c>
      <c r="J170" s="20">
        <v>1.3650790039473535E-4</v>
      </c>
      <c r="K170" s="20">
        <v>7.9504798682491904E-5</v>
      </c>
      <c r="L170" s="19">
        <v>13</v>
      </c>
      <c r="M170" s="19">
        <v>11</v>
      </c>
      <c r="N170" s="19">
        <v>0</v>
      </c>
      <c r="O170" s="19">
        <v>12</v>
      </c>
      <c r="P170" s="19">
        <v>7</v>
      </c>
      <c r="Q170" s="20">
        <v>1</v>
      </c>
      <c r="R170" s="20">
        <v>1</v>
      </c>
      <c r="S170" s="20">
        <v>0</v>
      </c>
      <c r="T170" s="20">
        <v>1</v>
      </c>
      <c r="U170" s="20">
        <v>1</v>
      </c>
      <c r="W170" s="19">
        <v>0</v>
      </c>
      <c r="X170" s="19">
        <v>0</v>
      </c>
      <c r="Y170" s="19">
        <v>10</v>
      </c>
      <c r="Z170" s="19">
        <v>14</v>
      </c>
      <c r="AA170" s="19">
        <v>12</v>
      </c>
      <c r="AB170" s="20">
        <v>0</v>
      </c>
      <c r="AC170" s="20">
        <v>0</v>
      </c>
      <c r="AD170" s="20">
        <v>1.1297520194317347E-4</v>
      </c>
      <c r="AE170" s="20">
        <v>1.5367053038285914E-4</v>
      </c>
      <c r="AF170" s="20">
        <v>1.3650790039473535E-4</v>
      </c>
      <c r="AG170" s="19">
        <v>0</v>
      </c>
      <c r="AH170" s="19">
        <v>0</v>
      </c>
      <c r="AI170" s="19">
        <v>10</v>
      </c>
      <c r="AJ170" s="19">
        <v>14</v>
      </c>
      <c r="AK170" s="19">
        <v>12</v>
      </c>
      <c r="AL170" s="20">
        <v>0</v>
      </c>
      <c r="AM170" s="20">
        <v>0</v>
      </c>
      <c r="AN170" s="20">
        <v>1</v>
      </c>
      <c r="AO170" s="20">
        <v>1</v>
      </c>
      <c r="AP170" s="20">
        <v>1</v>
      </c>
      <c r="AQ170" s="37">
        <v>177.00101943554952</v>
      </c>
    </row>
    <row r="171" spans="1:43" s="19" customFormat="1" ht="12.75" x14ac:dyDescent="0.2">
      <c r="A171" s="18" t="s">
        <v>46</v>
      </c>
      <c r="B171" s="19">
        <v>0</v>
      </c>
      <c r="C171" s="19">
        <v>0</v>
      </c>
      <c r="D171" s="19">
        <v>0</v>
      </c>
      <c r="E171" s="19">
        <v>5</v>
      </c>
      <c r="F171" s="19">
        <v>16</v>
      </c>
      <c r="G171" s="20">
        <v>0</v>
      </c>
      <c r="H171" s="20">
        <v>0</v>
      </c>
      <c r="I171" s="20">
        <v>0</v>
      </c>
      <c r="J171" s="20">
        <v>5.6878291831139725E-5</v>
      </c>
      <c r="K171" s="20">
        <v>1.8172525413141007E-4</v>
      </c>
      <c r="L171" s="19">
        <v>0</v>
      </c>
      <c r="M171" s="19">
        <v>0</v>
      </c>
      <c r="N171" s="19">
        <v>0</v>
      </c>
      <c r="O171" s="19">
        <v>5</v>
      </c>
      <c r="P171" s="19">
        <v>16</v>
      </c>
      <c r="Q171" s="20">
        <v>0</v>
      </c>
      <c r="R171" s="20">
        <v>0</v>
      </c>
      <c r="S171" s="20">
        <v>0</v>
      </c>
      <c r="T171" s="20">
        <v>1</v>
      </c>
      <c r="U171" s="20">
        <v>1</v>
      </c>
      <c r="W171" s="19">
        <v>0</v>
      </c>
      <c r="X171" s="19">
        <v>0</v>
      </c>
      <c r="Y171" s="19">
        <v>0</v>
      </c>
      <c r="Z171" s="19">
        <v>0</v>
      </c>
      <c r="AA171" s="19">
        <v>5</v>
      </c>
      <c r="AB171" s="20">
        <v>0</v>
      </c>
      <c r="AC171" s="20">
        <v>0</v>
      </c>
      <c r="AD171" s="20">
        <v>0</v>
      </c>
      <c r="AE171" s="20">
        <v>0</v>
      </c>
      <c r="AF171" s="20">
        <v>5.6878291831139725E-5</v>
      </c>
      <c r="AG171" s="19">
        <v>0</v>
      </c>
      <c r="AH171" s="19">
        <v>0</v>
      </c>
      <c r="AI171" s="19">
        <v>0</v>
      </c>
      <c r="AJ171" s="19">
        <v>0</v>
      </c>
      <c r="AK171" s="19">
        <v>5</v>
      </c>
      <c r="AL171" s="20">
        <v>0</v>
      </c>
      <c r="AM171" s="20">
        <v>0</v>
      </c>
      <c r="AN171" s="20">
        <v>0</v>
      </c>
      <c r="AO171" s="20">
        <v>0</v>
      </c>
      <c r="AP171" s="20">
        <v>1</v>
      </c>
      <c r="AQ171" s="37">
        <v>55.000295481837796</v>
      </c>
    </row>
    <row r="172" spans="1:43" s="19" customFormat="1" ht="12.75" x14ac:dyDescent="0.2">
      <c r="A172" s="18" t="s">
        <v>126</v>
      </c>
      <c r="B172" s="19">
        <v>3839</v>
      </c>
      <c r="C172" s="19">
        <v>3703</v>
      </c>
      <c r="D172" s="19">
        <v>3649</v>
      </c>
      <c r="E172" s="19">
        <v>3539</v>
      </c>
      <c r="F172" s="19">
        <v>3448</v>
      </c>
      <c r="G172" s="20">
        <v>4.223647585622655E-2</v>
      </c>
      <c r="H172" s="20">
        <v>4.0929338034551746E-2</v>
      </c>
      <c r="I172" s="20">
        <v>4.1252147960567968E-2</v>
      </c>
      <c r="J172" s="20">
        <v>4.0258454958080697E-2</v>
      </c>
      <c r="K172" s="20">
        <v>3.9161792265318872E-2</v>
      </c>
      <c r="L172" s="19">
        <v>3424</v>
      </c>
      <c r="M172" s="19">
        <v>3320</v>
      </c>
      <c r="N172" s="19">
        <v>3271</v>
      </c>
      <c r="O172" s="19">
        <v>3191</v>
      </c>
      <c r="P172" s="19">
        <v>3123</v>
      </c>
      <c r="Q172" s="20">
        <v>0.8918989320135452</v>
      </c>
      <c r="R172" s="20">
        <v>0.89657034836618954</v>
      </c>
      <c r="S172" s="20">
        <v>0.89640997533570843</v>
      </c>
      <c r="T172" s="20">
        <v>0.90166713760949424</v>
      </c>
      <c r="U172" s="20">
        <v>0.90574245939675169</v>
      </c>
      <c r="W172" s="19">
        <v>9448</v>
      </c>
      <c r="X172" s="19">
        <v>7670</v>
      </c>
      <c r="Y172" s="19">
        <v>5027</v>
      </c>
      <c r="Z172" s="19">
        <v>4304</v>
      </c>
      <c r="AA172" s="19">
        <v>3539</v>
      </c>
      <c r="AB172" s="20">
        <v>0.10368061804534381</v>
      </c>
      <c r="AC172" s="20">
        <v>8.374093807319416E-2</v>
      </c>
      <c r="AD172" s="20">
        <v>5.6792634016833307E-2</v>
      </c>
      <c r="AE172" s="20">
        <v>4.7242711626273269E-2</v>
      </c>
      <c r="AF172" s="20">
        <v>4.0258454958080697E-2</v>
      </c>
      <c r="AG172" s="19">
        <v>8910</v>
      </c>
      <c r="AH172" s="19">
        <v>7121</v>
      </c>
      <c r="AI172" s="19">
        <v>4574</v>
      </c>
      <c r="AJ172" s="19">
        <v>3830</v>
      </c>
      <c r="AK172" s="19">
        <v>3191</v>
      </c>
      <c r="AL172" s="20">
        <v>0.94305673158340386</v>
      </c>
      <c r="AM172" s="20">
        <v>0.92842242503259453</v>
      </c>
      <c r="AN172" s="20">
        <v>0.90988661229361445</v>
      </c>
      <c r="AO172" s="20">
        <v>0.88986988847583648</v>
      </c>
      <c r="AP172" s="20">
        <v>0.90166713760949424</v>
      </c>
      <c r="AQ172" s="37">
        <v>92130.600745213524</v>
      </c>
    </row>
    <row r="173" spans="1:43" s="19" customFormat="1" ht="12.75" x14ac:dyDescent="0.2">
      <c r="A173" s="18" t="s">
        <v>48</v>
      </c>
      <c r="B173" s="19">
        <v>0</v>
      </c>
      <c r="C173" s="19">
        <v>0</v>
      </c>
      <c r="D173" s="19">
        <v>2</v>
      </c>
      <c r="E173" s="19">
        <v>30</v>
      </c>
      <c r="F173" s="19">
        <v>29</v>
      </c>
      <c r="G173" s="20">
        <v>0</v>
      </c>
      <c r="H173" s="20">
        <v>0</v>
      </c>
      <c r="I173" s="20">
        <v>2.2610111241747309E-5</v>
      </c>
      <c r="J173" s="20">
        <v>3.4126975098683836E-4</v>
      </c>
      <c r="K173" s="20">
        <v>3.2937702311318075E-4</v>
      </c>
      <c r="L173" s="19">
        <v>0</v>
      </c>
      <c r="M173" s="19">
        <v>0</v>
      </c>
      <c r="N173" s="19">
        <v>2</v>
      </c>
      <c r="O173" s="19">
        <v>30</v>
      </c>
      <c r="P173" s="19">
        <v>29</v>
      </c>
      <c r="Q173" s="20">
        <v>0</v>
      </c>
      <c r="R173" s="20">
        <v>0</v>
      </c>
      <c r="S173" s="20">
        <v>1</v>
      </c>
      <c r="T173" s="20">
        <v>1</v>
      </c>
      <c r="U173" s="20">
        <v>1</v>
      </c>
      <c r="W173" s="19">
        <v>0</v>
      </c>
      <c r="X173" s="19">
        <v>0</v>
      </c>
      <c r="Y173" s="19">
        <v>0</v>
      </c>
      <c r="Z173" s="19">
        <v>0</v>
      </c>
      <c r="AA173" s="19">
        <v>30</v>
      </c>
      <c r="AB173" s="20">
        <v>0</v>
      </c>
      <c r="AC173" s="20">
        <v>0</v>
      </c>
      <c r="AD173" s="20">
        <v>0</v>
      </c>
      <c r="AE173" s="20">
        <v>0</v>
      </c>
      <c r="AF173" s="20">
        <v>3.4126975098683836E-4</v>
      </c>
      <c r="AG173" s="19">
        <v>0</v>
      </c>
      <c r="AH173" s="19">
        <v>0</v>
      </c>
      <c r="AI173" s="19">
        <v>0</v>
      </c>
      <c r="AJ173" s="19">
        <v>0</v>
      </c>
      <c r="AK173" s="19">
        <v>30</v>
      </c>
      <c r="AL173" s="20">
        <v>0</v>
      </c>
      <c r="AM173" s="20">
        <v>0</v>
      </c>
      <c r="AN173" s="20">
        <v>0</v>
      </c>
      <c r="AO173" s="20">
        <v>0</v>
      </c>
      <c r="AP173" s="20">
        <v>1</v>
      </c>
      <c r="AQ173" s="37">
        <v>186.00103452663632</v>
      </c>
    </row>
    <row r="174" spans="1:43" s="19" customFormat="1" ht="12.75" x14ac:dyDescent="0.2">
      <c r="A174" s="18" t="s">
        <v>49</v>
      </c>
      <c r="B174" s="19">
        <v>161</v>
      </c>
      <c r="C174" s="19">
        <v>161</v>
      </c>
      <c r="D174" s="19">
        <v>155</v>
      </c>
      <c r="E174" s="19">
        <v>156</v>
      </c>
      <c r="F174" s="19">
        <v>160</v>
      </c>
      <c r="G174" s="20">
        <v>1.7713135224934813E-3</v>
      </c>
      <c r="H174" s="20">
        <v>1.7795364362848585E-3</v>
      </c>
      <c r="I174" s="20">
        <v>1.7522836212354165E-3</v>
      </c>
      <c r="J174" s="20">
        <v>1.7746027051315594E-3</v>
      </c>
      <c r="K174" s="20">
        <v>1.8172525413141009E-3</v>
      </c>
      <c r="L174" s="19">
        <v>121</v>
      </c>
      <c r="M174" s="19">
        <v>123</v>
      </c>
      <c r="N174" s="19">
        <v>120</v>
      </c>
      <c r="O174" s="19">
        <v>120</v>
      </c>
      <c r="P174" s="19">
        <v>125</v>
      </c>
      <c r="Q174" s="20">
        <v>0.75155279503105588</v>
      </c>
      <c r="R174" s="20">
        <v>0.7639751552795031</v>
      </c>
      <c r="S174" s="20">
        <v>0.77419354838709675</v>
      </c>
      <c r="T174" s="20">
        <v>0.76923076923076927</v>
      </c>
      <c r="U174" s="20">
        <v>0.78125</v>
      </c>
      <c r="W174" s="19">
        <v>363</v>
      </c>
      <c r="X174" s="19">
        <v>337</v>
      </c>
      <c r="Y174" s="19">
        <v>193</v>
      </c>
      <c r="Z174" s="19">
        <v>160</v>
      </c>
      <c r="AA174" s="19">
        <v>156</v>
      </c>
      <c r="AB174" s="20">
        <v>3.9834953800232647E-3</v>
      </c>
      <c r="AC174" s="20">
        <v>3.679360642850904E-3</v>
      </c>
      <c r="AD174" s="20">
        <v>2.1804213975032479E-3</v>
      </c>
      <c r="AE174" s="20">
        <v>1.7562346329469617E-3</v>
      </c>
      <c r="AF174" s="20">
        <v>1.7746027051315594E-3</v>
      </c>
      <c r="AG174" s="19">
        <v>323</v>
      </c>
      <c r="AH174" s="19">
        <v>290</v>
      </c>
      <c r="AI174" s="19">
        <v>132</v>
      </c>
      <c r="AJ174" s="19">
        <v>119</v>
      </c>
      <c r="AK174" s="19">
        <v>120</v>
      </c>
      <c r="AL174" s="20">
        <v>0.88980716253443526</v>
      </c>
      <c r="AM174" s="20">
        <v>0.86053412462908008</v>
      </c>
      <c r="AN174" s="20">
        <v>0.68393782383419688</v>
      </c>
      <c r="AO174" s="20">
        <v>0.74375000000000002</v>
      </c>
      <c r="AP174" s="20">
        <v>0.76923076923076927</v>
      </c>
      <c r="AQ174" s="37">
        <v>3602.8097312517416</v>
      </c>
    </row>
    <row r="175" spans="1:43" s="19" customFormat="1" ht="12.75" x14ac:dyDescent="0.2">
      <c r="A175" s="18" t="s">
        <v>52</v>
      </c>
      <c r="B175" s="19">
        <v>282</v>
      </c>
      <c r="C175" s="19">
        <v>272</v>
      </c>
      <c r="D175" s="19">
        <v>271</v>
      </c>
      <c r="E175" s="19">
        <v>332</v>
      </c>
      <c r="F175" s="19">
        <v>355</v>
      </c>
      <c r="G175" s="20">
        <v>3.1025491511997624E-3</v>
      </c>
      <c r="H175" s="20">
        <v>3.0064218054005063E-3</v>
      </c>
      <c r="I175" s="20">
        <v>3.0636700732567606E-3</v>
      </c>
      <c r="J175" s="20">
        <v>3.7767185775876779E-3</v>
      </c>
      <c r="K175" s="20">
        <v>4.0320290760406611E-3</v>
      </c>
      <c r="L175" s="19">
        <v>273</v>
      </c>
      <c r="M175" s="19">
        <v>266</v>
      </c>
      <c r="N175" s="19">
        <v>266</v>
      </c>
      <c r="O175" s="19">
        <v>327</v>
      </c>
      <c r="P175" s="19">
        <v>351</v>
      </c>
      <c r="Q175" s="20">
        <v>0.96808510638297873</v>
      </c>
      <c r="R175" s="20">
        <v>0.9779411764705882</v>
      </c>
      <c r="S175" s="20">
        <v>0.98154981549815501</v>
      </c>
      <c r="T175" s="20">
        <v>0.98493975903614461</v>
      </c>
      <c r="U175" s="20">
        <v>0.9887323943661972</v>
      </c>
      <c r="W175" s="19">
        <v>700</v>
      </c>
      <c r="X175" s="19">
        <v>684</v>
      </c>
      <c r="Y175" s="19">
        <v>660</v>
      </c>
      <c r="Z175" s="19">
        <v>285</v>
      </c>
      <c r="AA175" s="19">
        <v>332</v>
      </c>
      <c r="AB175" s="20">
        <v>7.6816715317253037E-3</v>
      </c>
      <c r="AC175" s="20">
        <v>7.4679011267359593E-3</v>
      </c>
      <c r="AD175" s="20">
        <v>7.456363328249449E-3</v>
      </c>
      <c r="AE175" s="20">
        <v>3.1282929399367755E-3</v>
      </c>
      <c r="AF175" s="20">
        <v>3.7767185775876779E-3</v>
      </c>
      <c r="AG175" s="19">
        <v>699</v>
      </c>
      <c r="AH175" s="19">
        <v>683</v>
      </c>
      <c r="AI175" s="19">
        <v>660</v>
      </c>
      <c r="AJ175" s="19">
        <v>284</v>
      </c>
      <c r="AK175" s="19">
        <v>327</v>
      </c>
      <c r="AL175" s="20">
        <v>0.99857142857142855</v>
      </c>
      <c r="AM175" s="20">
        <v>0.99853801169590639</v>
      </c>
      <c r="AN175" s="20">
        <v>1</v>
      </c>
      <c r="AO175" s="20">
        <v>0.99649122807017543</v>
      </c>
      <c r="AP175" s="20">
        <v>0.98493975903614461</v>
      </c>
      <c r="AQ175" s="37">
        <v>8318.9262810153177</v>
      </c>
    </row>
    <row r="176" spans="1:43" s="19" customFormat="1" ht="12.75" x14ac:dyDescent="0.2">
      <c r="A176" s="18" t="s">
        <v>53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W176" s="19">
        <v>9</v>
      </c>
      <c r="X176" s="19">
        <v>2</v>
      </c>
      <c r="Y176" s="19">
        <v>0</v>
      </c>
      <c r="Z176" s="19">
        <v>5</v>
      </c>
      <c r="AA176" s="19">
        <v>0</v>
      </c>
      <c r="AB176" s="20">
        <v>9.8764348265039615E-5</v>
      </c>
      <c r="AC176" s="20">
        <v>2.1835968206830292E-5</v>
      </c>
      <c r="AD176" s="20">
        <v>0</v>
      </c>
      <c r="AE176" s="20">
        <v>5.4882332279592554E-5</v>
      </c>
      <c r="AF176" s="20">
        <v>0</v>
      </c>
      <c r="AG176" s="19">
        <v>9</v>
      </c>
      <c r="AH176" s="19">
        <v>2</v>
      </c>
      <c r="AI176" s="19">
        <v>0</v>
      </c>
      <c r="AJ176" s="19">
        <v>5</v>
      </c>
      <c r="AK176" s="19">
        <v>0</v>
      </c>
      <c r="AL176" s="20">
        <v>1</v>
      </c>
      <c r="AM176" s="20">
        <v>1</v>
      </c>
      <c r="AN176" s="20">
        <v>0</v>
      </c>
      <c r="AO176" s="20">
        <v>1</v>
      </c>
      <c r="AP176" s="20">
        <v>0</v>
      </c>
      <c r="AQ176" s="37">
        <v>35.00017548264875</v>
      </c>
    </row>
    <row r="177" spans="1:55" s="19" customFormat="1" ht="12.75" x14ac:dyDescent="0.2">
      <c r="A177" s="18" t="s">
        <v>54</v>
      </c>
      <c r="B177" s="19">
        <v>27</v>
      </c>
      <c r="C177" s="19">
        <v>34</v>
      </c>
      <c r="D177" s="19">
        <v>38</v>
      </c>
      <c r="E177" s="19">
        <v>37</v>
      </c>
      <c r="F177" s="19">
        <v>41</v>
      </c>
      <c r="G177" s="20">
        <v>2.9705257830636023E-4</v>
      </c>
      <c r="H177" s="20">
        <v>3.7580272567506328E-4</v>
      </c>
      <c r="I177" s="20">
        <v>4.2959211359319888E-4</v>
      </c>
      <c r="J177" s="20">
        <v>4.2089935955043399E-4</v>
      </c>
      <c r="K177" s="20">
        <v>4.6567096371173829E-4</v>
      </c>
      <c r="L177" s="19">
        <v>27</v>
      </c>
      <c r="M177" s="19">
        <v>34</v>
      </c>
      <c r="N177" s="19">
        <v>38</v>
      </c>
      <c r="O177" s="19">
        <v>37</v>
      </c>
      <c r="P177" s="19">
        <v>41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W177" s="19">
        <v>0</v>
      </c>
      <c r="X177" s="19">
        <v>11</v>
      </c>
      <c r="Y177" s="19">
        <v>19</v>
      </c>
      <c r="Z177" s="19">
        <v>27</v>
      </c>
      <c r="AA177" s="19">
        <v>37</v>
      </c>
      <c r="AB177" s="20">
        <v>0</v>
      </c>
      <c r="AC177" s="20">
        <v>1.200978251375666E-4</v>
      </c>
      <c r="AD177" s="20">
        <v>2.1465288369202959E-4</v>
      </c>
      <c r="AE177" s="20">
        <v>2.963645943097998E-4</v>
      </c>
      <c r="AF177" s="20">
        <v>4.2089935955043399E-4</v>
      </c>
      <c r="AG177" s="19">
        <v>0</v>
      </c>
      <c r="AH177" s="19">
        <v>11</v>
      </c>
      <c r="AI177" s="19">
        <v>0</v>
      </c>
      <c r="AJ177" s="19">
        <v>27</v>
      </c>
      <c r="AK177" s="19">
        <v>37</v>
      </c>
      <c r="AL177" s="20">
        <v>0</v>
      </c>
      <c r="AM177" s="20">
        <v>1</v>
      </c>
      <c r="AN177" s="20">
        <v>0</v>
      </c>
      <c r="AO177" s="20">
        <v>1</v>
      </c>
      <c r="AP177" s="20">
        <v>1</v>
      </c>
      <c r="AQ177" s="37">
        <v>531.00304103240342</v>
      </c>
    </row>
    <row r="178" spans="1:55" s="19" customFormat="1" ht="12.75" x14ac:dyDescent="0.2">
      <c r="A178" s="18" t="s">
        <v>55</v>
      </c>
      <c r="B178" s="19">
        <v>3969</v>
      </c>
      <c r="C178" s="19">
        <v>3854</v>
      </c>
      <c r="D178" s="19">
        <v>3844</v>
      </c>
      <c r="E178" s="19">
        <v>3924</v>
      </c>
      <c r="F178" s="19">
        <v>4020</v>
      </c>
      <c r="G178" s="20">
        <v>4.3666729011034952E-2</v>
      </c>
      <c r="H178" s="20">
        <v>4.2598344257402762E-2</v>
      </c>
      <c r="I178" s="20">
        <v>4.3456633806638327E-2</v>
      </c>
      <c r="J178" s="20">
        <v>4.4638083429078455E-2</v>
      </c>
      <c r="K178" s="20">
        <v>4.5658470100516782E-2</v>
      </c>
      <c r="L178" s="19">
        <v>3922</v>
      </c>
      <c r="M178" s="19">
        <v>3807</v>
      </c>
      <c r="N178" s="19">
        <v>3786</v>
      </c>
      <c r="O178" s="19">
        <v>3855</v>
      </c>
      <c r="P178" s="19">
        <v>3954</v>
      </c>
      <c r="Q178" s="20">
        <v>0.98815822625346439</v>
      </c>
      <c r="R178" s="20">
        <v>0.98780487804878048</v>
      </c>
      <c r="S178" s="20">
        <v>0.98491155046826218</v>
      </c>
      <c r="T178" s="20">
        <v>0.98241590214067276</v>
      </c>
      <c r="U178" s="20">
        <v>0.9835820895522388</v>
      </c>
      <c r="W178" s="19">
        <v>4737</v>
      </c>
      <c r="X178" s="19">
        <v>4701</v>
      </c>
      <c r="Y178" s="19">
        <v>5223</v>
      </c>
      <c r="Z178" s="19">
        <v>4074</v>
      </c>
      <c r="AA178" s="19">
        <v>3924</v>
      </c>
      <c r="AB178" s="20">
        <v>5.1982968636832515E-2</v>
      </c>
      <c r="AC178" s="20">
        <v>5.1325443270154598E-2</v>
      </c>
      <c r="AD178" s="20">
        <v>5.9006947974919503E-2</v>
      </c>
      <c r="AE178" s="20">
        <v>4.4718124341412015E-2</v>
      </c>
      <c r="AF178" s="20">
        <v>4.4638083429078455E-2</v>
      </c>
      <c r="AG178" s="19">
        <v>4699</v>
      </c>
      <c r="AH178" s="19">
        <v>4641</v>
      </c>
      <c r="AI178" s="19">
        <v>5167</v>
      </c>
      <c r="AJ178" s="19">
        <v>4025</v>
      </c>
      <c r="AK178" s="19">
        <v>3855</v>
      </c>
      <c r="AL178" s="20">
        <v>0.99197804517627186</v>
      </c>
      <c r="AM178" s="20">
        <v>0.98723675813656664</v>
      </c>
      <c r="AN178" s="20">
        <v>0.98927819260961136</v>
      </c>
      <c r="AO178" s="20">
        <v>0.98797250859106533</v>
      </c>
      <c r="AP178" s="20">
        <v>0.98241590214067276</v>
      </c>
      <c r="AQ178" s="37">
        <v>83991.337443881377</v>
      </c>
    </row>
    <row r="179" spans="1:55" s="19" customFormat="1" ht="12.75" x14ac:dyDescent="0.2">
      <c r="A179" s="18" t="s">
        <v>58</v>
      </c>
      <c r="B179" s="19">
        <v>136</v>
      </c>
      <c r="C179" s="19">
        <v>77</v>
      </c>
      <c r="D179" s="19">
        <v>54</v>
      </c>
      <c r="E179" s="19">
        <v>126</v>
      </c>
      <c r="F179" s="19">
        <v>21</v>
      </c>
      <c r="G179" s="20">
        <v>1.4962648388764811E-3</v>
      </c>
      <c r="H179" s="20">
        <v>8.5108264344058453E-4</v>
      </c>
      <c r="I179" s="20">
        <v>6.1047300352717741E-4</v>
      </c>
      <c r="J179" s="20">
        <v>1.4333329541447212E-3</v>
      </c>
      <c r="K179" s="20">
        <v>2.3851439604747571E-4</v>
      </c>
      <c r="L179" s="19">
        <v>136</v>
      </c>
      <c r="M179" s="19">
        <v>0</v>
      </c>
      <c r="N179" s="19">
        <v>30</v>
      </c>
      <c r="O179" s="19">
        <v>101</v>
      </c>
      <c r="P179" s="19">
        <v>12</v>
      </c>
      <c r="Q179" s="20">
        <v>1</v>
      </c>
      <c r="R179" s="20">
        <v>0</v>
      </c>
      <c r="S179" s="20">
        <v>0.55555555555555558</v>
      </c>
      <c r="T179" s="20">
        <v>0.80158730158730163</v>
      </c>
      <c r="U179" s="20">
        <v>0.5714285714285714</v>
      </c>
      <c r="W179" s="19">
        <v>51</v>
      </c>
      <c r="X179" s="19">
        <v>60</v>
      </c>
      <c r="Y179" s="19">
        <v>49</v>
      </c>
      <c r="Z179" s="19">
        <v>97</v>
      </c>
      <c r="AA179" s="19">
        <v>126</v>
      </c>
      <c r="AB179" s="20">
        <v>5.5966464016855779E-4</v>
      </c>
      <c r="AC179" s="20">
        <v>6.5507904620490875E-4</v>
      </c>
      <c r="AD179" s="20">
        <v>5.5357848952155002E-4</v>
      </c>
      <c r="AE179" s="20">
        <v>1.0647172462240955E-3</v>
      </c>
      <c r="AF179" s="20">
        <v>1.4333329541447212E-3</v>
      </c>
      <c r="AG179" s="19">
        <v>51</v>
      </c>
      <c r="AH179" s="19">
        <v>58</v>
      </c>
      <c r="AI179" s="19">
        <v>49</v>
      </c>
      <c r="AJ179" s="19">
        <v>97</v>
      </c>
      <c r="AK179" s="19">
        <v>101</v>
      </c>
      <c r="AL179" s="20">
        <v>1</v>
      </c>
      <c r="AM179" s="20">
        <v>0.96666666666666667</v>
      </c>
      <c r="AN179" s="20">
        <v>1</v>
      </c>
      <c r="AO179" s="20">
        <v>1</v>
      </c>
      <c r="AP179" s="20">
        <v>0.80158730158730163</v>
      </c>
      <c r="AQ179" s="37">
        <v>1439.7057214370377</v>
      </c>
    </row>
    <row r="180" spans="1:55" s="19" customFormat="1" ht="12.75" x14ac:dyDescent="0.2">
      <c r="A180" s="18" t="s">
        <v>61</v>
      </c>
      <c r="B180" s="19">
        <v>0</v>
      </c>
      <c r="C180" s="19">
        <v>0</v>
      </c>
      <c r="D180" s="19">
        <v>66</v>
      </c>
      <c r="E180" s="19">
        <v>125</v>
      </c>
      <c r="F180" s="19">
        <v>7</v>
      </c>
      <c r="G180" s="20">
        <v>0</v>
      </c>
      <c r="H180" s="20">
        <v>0</v>
      </c>
      <c r="I180" s="20">
        <v>7.4613367097766119E-4</v>
      </c>
      <c r="J180" s="20">
        <v>1.4219572957784932E-3</v>
      </c>
      <c r="K180" s="20">
        <v>7.9504798682491904E-5</v>
      </c>
      <c r="L180" s="19">
        <v>0</v>
      </c>
      <c r="M180" s="19">
        <v>0</v>
      </c>
      <c r="N180" s="19">
        <v>66</v>
      </c>
      <c r="O180" s="19">
        <v>125</v>
      </c>
      <c r="P180" s="19">
        <v>7</v>
      </c>
      <c r="Q180" s="20">
        <v>0</v>
      </c>
      <c r="R180" s="20">
        <v>0</v>
      </c>
      <c r="S180" s="20">
        <v>1</v>
      </c>
      <c r="T180" s="20">
        <v>1</v>
      </c>
      <c r="U180" s="20">
        <v>1</v>
      </c>
      <c r="W180" s="19">
        <v>1</v>
      </c>
      <c r="X180" s="19">
        <v>0</v>
      </c>
      <c r="Y180" s="19">
        <v>0</v>
      </c>
      <c r="Z180" s="19">
        <v>0</v>
      </c>
      <c r="AA180" s="19">
        <v>125</v>
      </c>
      <c r="AB180" s="20">
        <v>1.0973816473893291E-5</v>
      </c>
      <c r="AC180" s="20">
        <v>0</v>
      </c>
      <c r="AD180" s="20">
        <v>0</v>
      </c>
      <c r="AE180" s="20">
        <v>0</v>
      </c>
      <c r="AF180" s="20">
        <v>1.4219572957784932E-3</v>
      </c>
      <c r="AG180" s="19">
        <v>1</v>
      </c>
      <c r="AH180" s="19">
        <v>0</v>
      </c>
      <c r="AI180" s="19">
        <v>0</v>
      </c>
      <c r="AJ180" s="19">
        <v>0</v>
      </c>
      <c r="AK180" s="19">
        <v>125</v>
      </c>
      <c r="AL180" s="20">
        <v>1</v>
      </c>
      <c r="AM180" s="20">
        <v>0</v>
      </c>
      <c r="AN180" s="20">
        <v>0</v>
      </c>
      <c r="AO180" s="20">
        <v>0</v>
      </c>
      <c r="AP180" s="20">
        <v>1</v>
      </c>
      <c r="AQ180" s="37">
        <v>653.0036805268777</v>
      </c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</row>
    <row r="181" spans="1:55" s="21" customFormat="1" ht="12.75" x14ac:dyDescent="0.2">
      <c r="A181" s="29" t="s">
        <v>71</v>
      </c>
      <c r="B181" s="27">
        <v>90893</v>
      </c>
      <c r="C181" s="27">
        <v>90473</v>
      </c>
      <c r="D181" s="27">
        <v>88456</v>
      </c>
      <c r="E181" s="27">
        <v>87907</v>
      </c>
      <c r="F181" s="27">
        <v>88045</v>
      </c>
      <c r="G181" s="22">
        <v>1</v>
      </c>
      <c r="H181" s="22">
        <v>1</v>
      </c>
      <c r="I181" s="22">
        <v>1</v>
      </c>
      <c r="J181" s="22">
        <v>1</v>
      </c>
      <c r="K181" s="22">
        <v>1</v>
      </c>
      <c r="L181" s="27">
        <v>77034</v>
      </c>
      <c r="M181" s="27">
        <v>76878</v>
      </c>
      <c r="N181" s="27">
        <v>74791</v>
      </c>
      <c r="O181" s="27">
        <v>74768</v>
      </c>
      <c r="P181" s="27">
        <v>75185</v>
      </c>
      <c r="Q181" s="22">
        <v>0.84752401175007974</v>
      </c>
      <c r="R181" s="22">
        <v>0.84973417483669156</v>
      </c>
      <c r="S181" s="22">
        <v>0.84551641494076146</v>
      </c>
      <c r="T181" s="22">
        <v>0.85053522472613108</v>
      </c>
      <c r="U181" s="22">
        <v>0.8539383269918791</v>
      </c>
      <c r="W181" s="27">
        <v>91126</v>
      </c>
      <c r="X181" s="27">
        <v>91592</v>
      </c>
      <c r="Y181" s="27">
        <v>88515</v>
      </c>
      <c r="Z181" s="27">
        <v>91104</v>
      </c>
      <c r="AA181" s="27">
        <v>87907</v>
      </c>
      <c r="AB181" s="22">
        <v>1</v>
      </c>
      <c r="AC181" s="22">
        <v>1</v>
      </c>
      <c r="AD181" s="22">
        <v>1</v>
      </c>
      <c r="AE181" s="22">
        <v>1</v>
      </c>
      <c r="AF181" s="22">
        <v>1</v>
      </c>
      <c r="AG181" s="27">
        <v>70864</v>
      </c>
      <c r="AH181" s="27">
        <v>72910</v>
      </c>
      <c r="AI181" s="27">
        <v>71782</v>
      </c>
      <c r="AJ181" s="27">
        <v>76852</v>
      </c>
      <c r="AK181" s="27">
        <v>74768</v>
      </c>
      <c r="AL181" s="22">
        <v>0.77764853060597416</v>
      </c>
      <c r="AM181" s="22">
        <v>0.7960302209799982</v>
      </c>
      <c r="AN181" s="22">
        <v>0.81095859458848785</v>
      </c>
      <c r="AO181" s="22">
        <v>0.84356340007024944</v>
      </c>
      <c r="AP181" s="22">
        <v>0.85053522472613108</v>
      </c>
      <c r="AQ181" s="37">
        <v>1641868.3259841241</v>
      </c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</row>
    <row r="182" spans="1:55" s="19" customFormat="1" ht="12.75" x14ac:dyDescent="0.2">
      <c r="A182" s="18"/>
      <c r="AB182" s="20"/>
      <c r="AC182" s="20"/>
      <c r="AD182" s="20"/>
      <c r="AE182" s="20"/>
      <c r="AF182" s="20"/>
      <c r="AL182" s="20"/>
      <c r="AM182" s="20"/>
      <c r="AN182" s="20"/>
      <c r="AO182" s="20"/>
      <c r="AP182" s="20"/>
      <c r="AQ182" s="37">
        <v>1</v>
      </c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</row>
    <row r="183" spans="1:55" s="25" customFormat="1" ht="12.75" x14ac:dyDescent="0.2">
      <c r="A183" s="28" t="s">
        <v>72</v>
      </c>
      <c r="B183" s="25" t="s">
        <v>10</v>
      </c>
      <c r="C183" s="25" t="s">
        <v>11</v>
      </c>
      <c r="D183" s="25" t="s">
        <v>12</v>
      </c>
      <c r="E183" s="25" t="s">
        <v>164</v>
      </c>
      <c r="F183" s="25" t="s">
        <v>195</v>
      </c>
      <c r="G183" s="25" t="s">
        <v>10</v>
      </c>
      <c r="H183" s="25" t="s">
        <v>11</v>
      </c>
      <c r="I183" s="25" t="s">
        <v>12</v>
      </c>
      <c r="J183" s="25" t="s">
        <v>164</v>
      </c>
      <c r="K183" s="25" t="s">
        <v>195</v>
      </c>
      <c r="L183" s="25" t="s">
        <v>10</v>
      </c>
      <c r="M183" s="25" t="s">
        <v>11</v>
      </c>
      <c r="N183" s="25" t="s">
        <v>12</v>
      </c>
      <c r="O183" s="25" t="s">
        <v>164</v>
      </c>
      <c r="P183" s="25" t="s">
        <v>195</v>
      </c>
      <c r="Q183" s="25" t="s">
        <v>10</v>
      </c>
      <c r="R183" s="25" t="s">
        <v>11</v>
      </c>
      <c r="S183" s="25" t="s">
        <v>12</v>
      </c>
      <c r="T183" s="25" t="s">
        <v>164</v>
      </c>
      <c r="U183" s="25" t="s">
        <v>195</v>
      </c>
      <c r="W183" s="25" t="s">
        <v>13</v>
      </c>
      <c r="X183" s="25" t="s">
        <v>14</v>
      </c>
      <c r="Y183" s="25" t="s">
        <v>15</v>
      </c>
      <c r="Z183" s="25" t="s">
        <v>16</v>
      </c>
      <c r="AA183" s="25" t="s">
        <v>165</v>
      </c>
      <c r="AB183" s="25" t="s">
        <v>13</v>
      </c>
      <c r="AC183" s="25" t="s">
        <v>14</v>
      </c>
      <c r="AD183" s="25" t="s">
        <v>15</v>
      </c>
      <c r="AE183" s="25" t="s">
        <v>16</v>
      </c>
      <c r="AF183" s="25" t="s">
        <v>165</v>
      </c>
      <c r="AG183" s="25" t="s">
        <v>13</v>
      </c>
      <c r="AH183" s="25" t="s">
        <v>14</v>
      </c>
      <c r="AI183" s="25" t="s">
        <v>15</v>
      </c>
      <c r="AJ183" s="25" t="s">
        <v>16</v>
      </c>
      <c r="AK183" s="25" t="s">
        <v>165</v>
      </c>
      <c r="AL183" s="25" t="s">
        <v>13</v>
      </c>
      <c r="AM183" s="25" t="s">
        <v>14</v>
      </c>
      <c r="AN183" s="25" t="s">
        <v>15</v>
      </c>
      <c r="AO183" s="25" t="s">
        <v>16</v>
      </c>
      <c r="AP183" s="25" t="s">
        <v>165</v>
      </c>
      <c r="AQ183" s="37">
        <v>1</v>
      </c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</row>
    <row r="184" spans="1:55" s="19" customFormat="1" ht="12.75" x14ac:dyDescent="0.2">
      <c r="A184" s="18" t="s">
        <v>17</v>
      </c>
      <c r="B184" s="19">
        <v>0</v>
      </c>
      <c r="C184" s="19">
        <v>0</v>
      </c>
      <c r="D184" s="19">
        <v>7</v>
      </c>
      <c r="E184" s="19">
        <v>98</v>
      </c>
      <c r="F184" s="19">
        <v>407</v>
      </c>
      <c r="G184" s="20">
        <v>0</v>
      </c>
      <c r="H184" s="20">
        <v>0</v>
      </c>
      <c r="I184" s="20">
        <v>1.9469321911331147E-4</v>
      </c>
      <c r="J184" s="20">
        <v>2.7269185820023374E-3</v>
      </c>
      <c r="K184" s="20">
        <v>1.13005330964016E-2</v>
      </c>
      <c r="L184" s="19">
        <v>0</v>
      </c>
      <c r="M184" s="19">
        <v>0</v>
      </c>
      <c r="N184" s="19">
        <v>7</v>
      </c>
      <c r="O184" s="19">
        <v>98</v>
      </c>
      <c r="P184" s="19">
        <v>407</v>
      </c>
      <c r="Q184" s="20">
        <v>0</v>
      </c>
      <c r="R184" s="20">
        <v>0</v>
      </c>
      <c r="S184" s="20">
        <v>1</v>
      </c>
      <c r="T184" s="20">
        <v>1</v>
      </c>
      <c r="U184" s="20">
        <v>1</v>
      </c>
      <c r="W184" s="19">
        <v>0</v>
      </c>
      <c r="X184" s="19">
        <v>0</v>
      </c>
      <c r="Y184" s="19">
        <v>0</v>
      </c>
      <c r="Z184" s="19">
        <v>0</v>
      </c>
      <c r="AA184" s="19">
        <v>98</v>
      </c>
      <c r="AB184" s="20">
        <v>0</v>
      </c>
      <c r="AC184" s="20">
        <v>0</v>
      </c>
      <c r="AD184" s="20">
        <v>0</v>
      </c>
      <c r="AE184" s="20">
        <v>0</v>
      </c>
      <c r="AF184" s="20">
        <v>2.7269185820023374E-3</v>
      </c>
      <c r="AG184" s="19">
        <v>0</v>
      </c>
      <c r="AH184" s="19">
        <v>0</v>
      </c>
      <c r="AI184" s="19">
        <v>0</v>
      </c>
      <c r="AJ184" s="19">
        <v>0</v>
      </c>
      <c r="AK184" s="19">
        <v>98</v>
      </c>
      <c r="AL184" s="20">
        <v>0</v>
      </c>
      <c r="AM184" s="20">
        <v>0</v>
      </c>
      <c r="AN184" s="20">
        <v>0</v>
      </c>
      <c r="AO184" s="20">
        <v>0</v>
      </c>
      <c r="AP184" s="20">
        <v>1</v>
      </c>
      <c r="AQ184" s="37">
        <v>1224.0169490634794</v>
      </c>
    </row>
    <row r="185" spans="1:55" s="19" customFormat="1" ht="12.75" x14ac:dyDescent="0.2">
      <c r="A185" s="18" t="s">
        <v>22</v>
      </c>
      <c r="B185" s="19">
        <v>35441</v>
      </c>
      <c r="C185" s="19">
        <v>35552</v>
      </c>
      <c r="D185" s="19">
        <v>35712</v>
      </c>
      <c r="E185" s="19">
        <v>35634</v>
      </c>
      <c r="F185" s="19">
        <v>35471</v>
      </c>
      <c r="G185" s="20">
        <v>0.99497473329590114</v>
      </c>
      <c r="H185" s="20">
        <v>0.99499034451876522</v>
      </c>
      <c r="I185" s="20">
        <v>0.99326917728208264</v>
      </c>
      <c r="J185" s="20">
        <v>0.99154098725582951</v>
      </c>
      <c r="K185" s="20">
        <v>0.98486783651710352</v>
      </c>
      <c r="L185" s="19">
        <v>3899</v>
      </c>
      <c r="M185" s="19">
        <v>3750</v>
      </c>
      <c r="N185" s="19">
        <v>3598</v>
      </c>
      <c r="O185" s="19">
        <v>3550</v>
      </c>
      <c r="P185" s="19">
        <v>3493</v>
      </c>
      <c r="Q185" s="20">
        <v>0.11001382579498321</v>
      </c>
      <c r="R185" s="20">
        <v>0.10547929792979298</v>
      </c>
      <c r="S185" s="20">
        <v>0.10075044802867383</v>
      </c>
      <c r="T185" s="20">
        <v>9.9623954650053317E-2</v>
      </c>
      <c r="U185" s="20">
        <v>9.8474810408502714E-2</v>
      </c>
      <c r="W185" s="19">
        <v>35881</v>
      </c>
      <c r="X185" s="19">
        <v>36058</v>
      </c>
      <c r="Y185" s="19">
        <v>35191</v>
      </c>
      <c r="Z185" s="19">
        <v>35468</v>
      </c>
      <c r="AA185" s="19">
        <v>35634</v>
      </c>
      <c r="AB185" s="20">
        <v>0.99824727353661247</v>
      </c>
      <c r="AC185" s="20">
        <v>0.9967106172429997</v>
      </c>
      <c r="AD185" s="20">
        <v>0.99527688217659371</v>
      </c>
      <c r="AE185" s="20">
        <v>0.9949506283662477</v>
      </c>
      <c r="AF185" s="20">
        <v>0.99154098725582951</v>
      </c>
      <c r="AG185" s="19">
        <v>2996</v>
      </c>
      <c r="AH185" s="19">
        <v>5479</v>
      </c>
      <c r="AI185" s="19">
        <v>4537</v>
      </c>
      <c r="AJ185" s="19">
        <v>4192</v>
      </c>
      <c r="AK185" s="19">
        <v>3550</v>
      </c>
      <c r="AL185" s="20">
        <v>8.349823026114099E-2</v>
      </c>
      <c r="AM185" s="20">
        <v>0.15194963669643352</v>
      </c>
      <c r="AN185" s="20">
        <v>0.12892500923531586</v>
      </c>
      <c r="AO185" s="20">
        <v>0.11819104544941919</v>
      </c>
      <c r="AP185" s="20">
        <v>9.9623954650053317E-2</v>
      </c>
      <c r="AQ185" s="37">
        <v>395097.03289968061</v>
      </c>
    </row>
    <row r="186" spans="1:55" s="19" customFormat="1" ht="12.75" x14ac:dyDescent="0.2">
      <c r="A186" s="18" t="s">
        <v>29</v>
      </c>
      <c r="B186" s="19">
        <v>0</v>
      </c>
      <c r="C186" s="19">
        <v>0</v>
      </c>
      <c r="D186" s="19">
        <v>0</v>
      </c>
      <c r="E186" s="19">
        <v>0</v>
      </c>
      <c r="F186" s="19">
        <v>9</v>
      </c>
      <c r="G186" s="20">
        <v>0</v>
      </c>
      <c r="H186" s="20">
        <v>0</v>
      </c>
      <c r="I186" s="20">
        <v>0</v>
      </c>
      <c r="J186" s="20">
        <v>0</v>
      </c>
      <c r="K186" s="20">
        <v>2.4988893824966679E-4</v>
      </c>
      <c r="L186" s="19">
        <v>0</v>
      </c>
      <c r="M186" s="19">
        <v>0</v>
      </c>
      <c r="N186" s="19">
        <v>0</v>
      </c>
      <c r="O186" s="19">
        <v>0</v>
      </c>
      <c r="P186" s="19">
        <v>9</v>
      </c>
      <c r="Q186" s="20">
        <v>0</v>
      </c>
      <c r="R186" s="20">
        <v>0</v>
      </c>
      <c r="S186" s="20">
        <v>0</v>
      </c>
      <c r="T186" s="20">
        <v>0</v>
      </c>
      <c r="U186" s="20">
        <v>1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37">
        <v>19.000249888938249</v>
      </c>
    </row>
    <row r="187" spans="1:55" s="19" customFormat="1" ht="12.75" x14ac:dyDescent="0.2">
      <c r="A187" s="18" t="s">
        <v>80</v>
      </c>
      <c r="B187" s="19">
        <v>179</v>
      </c>
      <c r="C187" s="19">
        <v>179</v>
      </c>
      <c r="D187" s="19">
        <v>235</v>
      </c>
      <c r="E187" s="19">
        <v>206</v>
      </c>
      <c r="F187" s="19">
        <v>129</v>
      </c>
      <c r="G187" s="20">
        <v>5.0252667040988205E-3</v>
      </c>
      <c r="H187" s="20">
        <v>5.0096554812347821E-3</v>
      </c>
      <c r="I187" s="20">
        <v>6.5361294988040275E-3</v>
      </c>
      <c r="J187" s="20">
        <v>5.7320941621681783E-3</v>
      </c>
      <c r="K187" s="20">
        <v>3.5817414482452242E-3</v>
      </c>
      <c r="L187" s="19">
        <v>162</v>
      </c>
      <c r="M187" s="19">
        <v>161</v>
      </c>
      <c r="N187" s="19">
        <v>156</v>
      </c>
      <c r="O187" s="19">
        <v>166</v>
      </c>
      <c r="P187" s="19">
        <v>74</v>
      </c>
      <c r="Q187" s="20">
        <v>0.9050279329608939</v>
      </c>
      <c r="R187" s="20">
        <v>0.8994413407821229</v>
      </c>
      <c r="S187" s="20">
        <v>0.66382978723404251</v>
      </c>
      <c r="T187" s="20">
        <v>0.80582524271844658</v>
      </c>
      <c r="U187" s="20">
        <v>0.5736434108527132</v>
      </c>
      <c r="W187" s="19">
        <v>63</v>
      </c>
      <c r="X187" s="19">
        <v>119</v>
      </c>
      <c r="Y187" s="19">
        <v>167</v>
      </c>
      <c r="Z187" s="19">
        <v>180</v>
      </c>
      <c r="AA187" s="19">
        <v>206</v>
      </c>
      <c r="AB187" s="20">
        <v>1.7527264633874916E-3</v>
      </c>
      <c r="AC187" s="20">
        <v>3.289382757000304E-3</v>
      </c>
      <c r="AD187" s="20">
        <v>4.7231178234063012E-3</v>
      </c>
      <c r="AE187" s="20">
        <v>5.0493716337522438E-3</v>
      </c>
      <c r="AF187" s="20">
        <v>5.7320941621681783E-3</v>
      </c>
      <c r="AG187" s="19">
        <v>63</v>
      </c>
      <c r="AH187" s="19">
        <v>118</v>
      </c>
      <c r="AI187" s="19">
        <v>161</v>
      </c>
      <c r="AJ187" s="19">
        <v>171</v>
      </c>
      <c r="AK187" s="19">
        <v>166</v>
      </c>
      <c r="AL187" s="20">
        <v>1</v>
      </c>
      <c r="AM187" s="20">
        <v>0.99159663865546221</v>
      </c>
      <c r="AN187" s="20">
        <v>0.9640718562874252</v>
      </c>
      <c r="AO187" s="20">
        <v>0.95</v>
      </c>
      <c r="AP187" s="20">
        <v>0.80582524271844658</v>
      </c>
      <c r="AQ187" s="37">
        <v>3069.6056930323443</v>
      </c>
    </row>
    <row r="188" spans="1:55" s="21" customFormat="1" ht="12.75" x14ac:dyDescent="0.2">
      <c r="A188" s="29" t="s">
        <v>73</v>
      </c>
      <c r="B188" s="27">
        <v>35620</v>
      </c>
      <c r="C188" s="27">
        <v>35731</v>
      </c>
      <c r="D188" s="27">
        <v>35954</v>
      </c>
      <c r="E188" s="27">
        <v>35938</v>
      </c>
      <c r="F188" s="27">
        <v>36016</v>
      </c>
      <c r="G188" s="22">
        <v>1</v>
      </c>
      <c r="H188" s="22">
        <v>1</v>
      </c>
      <c r="I188" s="22">
        <v>1</v>
      </c>
      <c r="J188" s="22">
        <v>1</v>
      </c>
      <c r="K188" s="22">
        <v>1</v>
      </c>
      <c r="L188" s="27">
        <v>4061</v>
      </c>
      <c r="M188" s="27">
        <v>3911</v>
      </c>
      <c r="N188" s="27">
        <v>3761</v>
      </c>
      <c r="O188" s="27">
        <v>3814</v>
      </c>
      <c r="P188" s="27">
        <v>3983</v>
      </c>
      <c r="Q188" s="22">
        <v>0.11400898371701292</v>
      </c>
      <c r="R188" s="22">
        <v>0.10945677422966052</v>
      </c>
      <c r="S188" s="22">
        <v>0.10460588529788062</v>
      </c>
      <c r="T188" s="22">
        <v>0.10612721909956035</v>
      </c>
      <c r="U188" s="22">
        <v>0.11058973789426921</v>
      </c>
      <c r="W188" s="27">
        <v>35944</v>
      </c>
      <c r="X188" s="27">
        <v>36177</v>
      </c>
      <c r="Y188" s="27">
        <v>35358</v>
      </c>
      <c r="Z188" s="27">
        <v>35648</v>
      </c>
      <c r="AA188" s="27">
        <v>35938</v>
      </c>
      <c r="AB188" s="22">
        <v>1</v>
      </c>
      <c r="AC188" s="22">
        <v>1</v>
      </c>
      <c r="AD188" s="22">
        <v>1</v>
      </c>
      <c r="AE188" s="22">
        <v>1</v>
      </c>
      <c r="AF188" s="22">
        <v>1</v>
      </c>
      <c r="AG188" s="27">
        <v>3059</v>
      </c>
      <c r="AH188" s="27">
        <v>5597</v>
      </c>
      <c r="AI188" s="27">
        <v>4698</v>
      </c>
      <c r="AJ188" s="27">
        <v>4363</v>
      </c>
      <c r="AK188" s="27">
        <v>3814</v>
      </c>
      <c r="AL188" s="22">
        <v>8.5104607166703761E-2</v>
      </c>
      <c r="AM188" s="22">
        <v>0.15471155706664455</v>
      </c>
      <c r="AN188" s="22">
        <v>0.13286950619378923</v>
      </c>
      <c r="AO188" s="22">
        <v>0.12239115798922801</v>
      </c>
      <c r="AP188" s="22">
        <v>0.10612721909956035</v>
      </c>
      <c r="AQ188" s="37">
        <v>399396.1459926478</v>
      </c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</row>
    <row r="189" spans="1:55" s="19" customFormat="1" ht="12.75" x14ac:dyDescent="0.2">
      <c r="A189" s="18"/>
      <c r="AB189" s="20"/>
      <c r="AC189" s="20"/>
      <c r="AD189" s="20"/>
      <c r="AE189" s="20"/>
      <c r="AF189" s="20"/>
      <c r="AL189" s="20"/>
      <c r="AM189" s="20"/>
      <c r="AN189" s="20"/>
      <c r="AO189" s="20"/>
      <c r="AP189" s="20"/>
      <c r="AQ189" s="37">
        <v>1</v>
      </c>
    </row>
    <row r="190" spans="1:55" s="19" customFormat="1" ht="12.75" x14ac:dyDescent="0.2">
      <c r="A190" s="2" t="s">
        <v>74</v>
      </c>
      <c r="AB190" s="20"/>
      <c r="AC190" s="20"/>
      <c r="AD190" s="20"/>
      <c r="AE190" s="20"/>
      <c r="AF190" s="20"/>
      <c r="AL190" s="20"/>
      <c r="AM190" s="20"/>
      <c r="AN190" s="20"/>
      <c r="AO190" s="20"/>
      <c r="AP190" s="20"/>
      <c r="AQ190" s="37">
        <v>1</v>
      </c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</row>
    <row r="191" spans="1:55" s="21" customFormat="1" ht="12.75" x14ac:dyDescent="0.2">
      <c r="A191" s="1" t="s">
        <v>75</v>
      </c>
      <c r="AB191" s="22"/>
      <c r="AC191" s="22"/>
      <c r="AD191" s="22"/>
      <c r="AE191" s="22"/>
      <c r="AF191" s="22"/>
      <c r="AL191" s="22"/>
      <c r="AM191" s="22"/>
      <c r="AN191" s="22"/>
      <c r="AO191" s="22"/>
      <c r="AP191" s="22"/>
      <c r="AQ191" s="38">
        <v>1</v>
      </c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</row>
    <row r="192" spans="1:55" s="19" customFormat="1" ht="12.75" x14ac:dyDescent="0.2">
      <c r="A192" s="9" t="s">
        <v>9</v>
      </c>
      <c r="B192" s="9" t="s">
        <v>10</v>
      </c>
      <c r="C192" s="9" t="s">
        <v>11</v>
      </c>
      <c r="D192" s="9" t="s">
        <v>12</v>
      </c>
      <c r="E192" s="9" t="s">
        <v>164</v>
      </c>
      <c r="F192" s="9" t="s">
        <v>195</v>
      </c>
      <c r="G192" s="9" t="s">
        <v>10</v>
      </c>
      <c r="H192" s="9" t="s">
        <v>11</v>
      </c>
      <c r="I192" s="9" t="s">
        <v>12</v>
      </c>
      <c r="J192" s="9" t="s">
        <v>164</v>
      </c>
      <c r="K192" s="9" t="s">
        <v>195</v>
      </c>
      <c r="L192" s="9" t="s">
        <v>10</v>
      </c>
      <c r="M192" s="9" t="s">
        <v>11</v>
      </c>
      <c r="N192" s="9" t="s">
        <v>12</v>
      </c>
      <c r="O192" s="9" t="s">
        <v>164</v>
      </c>
      <c r="P192" s="9" t="s">
        <v>195</v>
      </c>
      <c r="Q192" s="9" t="s">
        <v>10</v>
      </c>
      <c r="R192" s="9" t="s">
        <v>11</v>
      </c>
      <c r="S192" s="9" t="s">
        <v>12</v>
      </c>
      <c r="T192" s="9" t="s">
        <v>164</v>
      </c>
      <c r="U192" s="9" t="s">
        <v>195</v>
      </c>
      <c r="V192" s="9"/>
      <c r="W192" s="9" t="s">
        <v>13</v>
      </c>
      <c r="X192" s="9" t="s">
        <v>14</v>
      </c>
      <c r="Y192" s="9" t="s">
        <v>15</v>
      </c>
      <c r="Z192" s="9" t="s">
        <v>16</v>
      </c>
      <c r="AA192" s="9" t="s">
        <v>165</v>
      </c>
      <c r="AB192" s="9" t="s">
        <v>13</v>
      </c>
      <c r="AC192" s="9" t="s">
        <v>14</v>
      </c>
      <c r="AD192" s="9" t="s">
        <v>15</v>
      </c>
      <c r="AE192" s="9" t="s">
        <v>16</v>
      </c>
      <c r="AF192" s="9" t="s">
        <v>165</v>
      </c>
      <c r="AG192" s="9" t="s">
        <v>13</v>
      </c>
      <c r="AH192" s="9" t="s">
        <v>14</v>
      </c>
      <c r="AI192" s="9" t="s">
        <v>15</v>
      </c>
      <c r="AJ192" s="9" t="s">
        <v>16</v>
      </c>
      <c r="AK192" s="9" t="s">
        <v>165</v>
      </c>
      <c r="AL192" s="9" t="s">
        <v>13</v>
      </c>
      <c r="AM192" s="9" t="s">
        <v>14</v>
      </c>
      <c r="AN192" s="9" t="s">
        <v>15</v>
      </c>
      <c r="AO192" s="9" t="s">
        <v>16</v>
      </c>
      <c r="AP192" s="9" t="s">
        <v>165</v>
      </c>
      <c r="AQ192" s="37">
        <v>1</v>
      </c>
    </row>
    <row r="193" spans="1:55" s="19" customFormat="1" ht="12.75" x14ac:dyDescent="0.2">
      <c r="A193" s="18" t="s">
        <v>19</v>
      </c>
      <c r="B193" s="19">
        <v>114283</v>
      </c>
      <c r="C193" s="19">
        <v>115398</v>
      </c>
      <c r="D193" s="19">
        <v>118721</v>
      </c>
      <c r="E193" s="19">
        <v>119559</v>
      </c>
      <c r="F193" s="19">
        <v>123105</v>
      </c>
      <c r="G193" s="20">
        <v>0.17346277432976187</v>
      </c>
      <c r="H193" s="20">
        <v>0.17468268204627507</v>
      </c>
      <c r="I193" s="20">
        <v>0.17863285029242756</v>
      </c>
      <c r="J193" s="20">
        <v>0.18203701673609587</v>
      </c>
      <c r="K193" s="20">
        <v>0.18689822279306606</v>
      </c>
      <c r="L193" s="19">
        <v>90960</v>
      </c>
      <c r="M193" s="19">
        <v>92534</v>
      </c>
      <c r="N193" s="19">
        <v>94751</v>
      </c>
      <c r="O193" s="19">
        <v>96194</v>
      </c>
      <c r="P193" s="19">
        <v>100389</v>
      </c>
      <c r="Q193" s="20">
        <v>0.79591890307394797</v>
      </c>
      <c r="R193" s="20">
        <v>0.80186831660860669</v>
      </c>
      <c r="S193" s="20">
        <v>0.79809806184247101</v>
      </c>
      <c r="T193" s="20">
        <v>0.80457347418429392</v>
      </c>
      <c r="U193" s="20">
        <v>0.81547459485804796</v>
      </c>
      <c r="W193" s="19">
        <v>91411</v>
      </c>
      <c r="X193" s="19">
        <v>110901</v>
      </c>
      <c r="Y193" s="19">
        <v>105707</v>
      </c>
      <c r="Z193" s="19">
        <v>115706</v>
      </c>
      <c r="AA193" s="19">
        <v>119559</v>
      </c>
      <c r="AB193" s="20">
        <v>0.20249791213002613</v>
      </c>
      <c r="AC193" s="20">
        <v>0.16905099074572308</v>
      </c>
      <c r="AD193" s="20">
        <v>0.16386243287820729</v>
      </c>
      <c r="AE193" s="20">
        <v>0.1763598591023337</v>
      </c>
      <c r="AF193" s="20">
        <v>0.18203701673609587</v>
      </c>
      <c r="AG193" s="19">
        <v>66853</v>
      </c>
      <c r="AH193" s="19">
        <v>79332</v>
      </c>
      <c r="AI193" s="19">
        <v>76873</v>
      </c>
      <c r="AJ193" s="19">
        <v>91557</v>
      </c>
      <c r="AK193" s="19">
        <v>96194</v>
      </c>
      <c r="AL193" s="20">
        <v>0.73134524291387248</v>
      </c>
      <c r="AM193" s="20">
        <v>0.71534070928125082</v>
      </c>
      <c r="AN193" s="20">
        <v>0.72722714673578859</v>
      </c>
      <c r="AO193" s="20">
        <v>0.79128999360448027</v>
      </c>
      <c r="AP193" s="20">
        <v>0.80457347418429392</v>
      </c>
      <c r="AQ193" s="37">
        <v>2019996.5752316755</v>
      </c>
    </row>
    <row r="194" spans="1:55" s="19" customFormat="1" ht="12.75" x14ac:dyDescent="0.2">
      <c r="A194" s="18" t="s">
        <v>43</v>
      </c>
      <c r="B194" s="19">
        <v>206949</v>
      </c>
      <c r="C194" s="19">
        <v>206371</v>
      </c>
      <c r="D194" s="19">
        <v>204506</v>
      </c>
      <c r="E194" s="19">
        <v>203026</v>
      </c>
      <c r="F194" s="19">
        <v>198520</v>
      </c>
      <c r="G194" s="20">
        <v>0.31411450246116995</v>
      </c>
      <c r="H194" s="20">
        <v>0.31239224056371712</v>
      </c>
      <c r="I194" s="20">
        <v>0.30770874303537871</v>
      </c>
      <c r="J194" s="20">
        <v>0.30912141586883968</v>
      </c>
      <c r="K194" s="20">
        <v>0.30139340553900718</v>
      </c>
      <c r="L194" s="19">
        <v>150831</v>
      </c>
      <c r="M194" s="19">
        <v>151162</v>
      </c>
      <c r="N194" s="19">
        <v>148422</v>
      </c>
      <c r="O194" s="19">
        <v>148172</v>
      </c>
      <c r="P194" s="19">
        <v>144416</v>
      </c>
      <c r="Q194" s="20">
        <v>0.7288317411536176</v>
      </c>
      <c r="R194" s="20">
        <v>0.73247694685784337</v>
      </c>
      <c r="S194" s="20">
        <v>0.72575865744770329</v>
      </c>
      <c r="T194" s="20">
        <v>0.7298178558411238</v>
      </c>
      <c r="U194" s="20">
        <v>0.72746322788635909</v>
      </c>
      <c r="W194" s="19">
        <v>131557</v>
      </c>
      <c r="X194" s="19">
        <v>192664</v>
      </c>
      <c r="Y194" s="19">
        <v>204561</v>
      </c>
      <c r="Z194" s="19">
        <v>198443</v>
      </c>
      <c r="AA194" s="19">
        <v>203026</v>
      </c>
      <c r="AB194" s="20">
        <v>0.29143120440745474</v>
      </c>
      <c r="AC194" s="20">
        <v>0.29368572042663266</v>
      </c>
      <c r="AD194" s="20">
        <v>0.31710164068603741</v>
      </c>
      <c r="AE194" s="20">
        <v>0.30246814789072657</v>
      </c>
      <c r="AF194" s="20">
        <v>0.30912141586883968</v>
      </c>
      <c r="AG194" s="19">
        <v>72975</v>
      </c>
      <c r="AH194" s="19">
        <v>117472</v>
      </c>
      <c r="AI194" s="19">
        <v>135615</v>
      </c>
      <c r="AJ194" s="19">
        <v>140366</v>
      </c>
      <c r="AK194" s="19">
        <v>148172</v>
      </c>
      <c r="AL194" s="20">
        <v>0.55470252438106671</v>
      </c>
      <c r="AM194" s="20">
        <v>0.60972470207200102</v>
      </c>
      <c r="AN194" s="20">
        <v>0.66295628198923551</v>
      </c>
      <c r="AO194" s="20">
        <v>0.70733661555207283</v>
      </c>
      <c r="AP194" s="20">
        <v>0.7298178558411238</v>
      </c>
      <c r="AQ194" s="37">
        <v>3307235.9674248463</v>
      </c>
    </row>
    <row r="195" spans="1:55" s="19" customFormat="1" ht="12.75" x14ac:dyDescent="0.2">
      <c r="A195" s="18" t="s">
        <v>30</v>
      </c>
      <c r="B195" s="19">
        <v>98784</v>
      </c>
      <c r="C195" s="19">
        <v>98050</v>
      </c>
      <c r="D195" s="19">
        <v>98291</v>
      </c>
      <c r="E195" s="19">
        <v>91164</v>
      </c>
      <c r="F195" s="19">
        <v>90928</v>
      </c>
      <c r="G195" s="20">
        <v>0.14993784464348325</v>
      </c>
      <c r="H195" s="20">
        <v>0.14842230345965501</v>
      </c>
      <c r="I195" s="20">
        <v>0.1478929716570194</v>
      </c>
      <c r="J195" s="20">
        <v>0.13880362493605203</v>
      </c>
      <c r="K195" s="20">
        <v>0.13804704603491258</v>
      </c>
      <c r="L195" s="19">
        <v>71548</v>
      </c>
      <c r="M195" s="19">
        <v>72449</v>
      </c>
      <c r="N195" s="19">
        <v>73252</v>
      </c>
      <c r="O195" s="19">
        <v>68884</v>
      </c>
      <c r="P195" s="19">
        <v>69598</v>
      </c>
      <c r="Q195" s="20">
        <v>0.72428733398121148</v>
      </c>
      <c r="R195" s="20">
        <v>0.73889852116267207</v>
      </c>
      <c r="S195" s="20">
        <v>0.74525643243023265</v>
      </c>
      <c r="T195" s="20">
        <v>0.75560528278706507</v>
      </c>
      <c r="U195" s="20">
        <v>0.76541879289107861</v>
      </c>
      <c r="W195" s="19">
        <v>95158</v>
      </c>
      <c r="X195" s="19">
        <v>98118</v>
      </c>
      <c r="Y195" s="19">
        <v>95901</v>
      </c>
      <c r="Z195" s="19">
        <v>100607</v>
      </c>
      <c r="AA195" s="19">
        <v>91164</v>
      </c>
      <c r="AB195" s="20">
        <v>0.21079844135245238</v>
      </c>
      <c r="AC195" s="20">
        <v>0.14956533403656286</v>
      </c>
      <c r="AD195" s="20">
        <v>0.1486615945533688</v>
      </c>
      <c r="AE195" s="20">
        <v>0.15334586231231301</v>
      </c>
      <c r="AF195" s="20">
        <v>0.13880362493605203</v>
      </c>
      <c r="AG195" s="19">
        <v>41808</v>
      </c>
      <c r="AH195" s="19">
        <v>55700</v>
      </c>
      <c r="AI195" s="19">
        <v>60262</v>
      </c>
      <c r="AJ195" s="19">
        <v>71412</v>
      </c>
      <c r="AK195" s="19">
        <v>68884</v>
      </c>
      <c r="AL195" s="20">
        <v>0.43935349629038023</v>
      </c>
      <c r="AM195" s="20">
        <v>0.56768380929085382</v>
      </c>
      <c r="AN195" s="20">
        <v>0.62837718063419568</v>
      </c>
      <c r="AO195" s="20">
        <v>0.70981144453169265</v>
      </c>
      <c r="AP195" s="20">
        <v>0.75560528278706507</v>
      </c>
      <c r="AQ195" s="37">
        <v>1611970.3545762249</v>
      </c>
    </row>
    <row r="196" spans="1:55" s="19" customFormat="1" ht="12.75" x14ac:dyDescent="0.2">
      <c r="A196" s="18" t="s">
        <v>76</v>
      </c>
      <c r="B196" s="19">
        <v>238817</v>
      </c>
      <c r="C196" s="19">
        <v>240796</v>
      </c>
      <c r="D196" s="19">
        <v>243091</v>
      </c>
      <c r="E196" s="19">
        <v>243035</v>
      </c>
      <c r="F196" s="19">
        <v>246121</v>
      </c>
      <c r="G196" s="20">
        <v>0.36248487856558492</v>
      </c>
      <c r="H196" s="20">
        <v>0.3645027739303528</v>
      </c>
      <c r="I196" s="20">
        <v>0.36576543501517433</v>
      </c>
      <c r="J196" s="20">
        <v>0.37003794245901239</v>
      </c>
      <c r="K196" s="20">
        <v>0.37366132563301419</v>
      </c>
      <c r="L196" s="19">
        <v>102793</v>
      </c>
      <c r="M196" s="19">
        <v>104090</v>
      </c>
      <c r="N196" s="19">
        <v>104127</v>
      </c>
      <c r="O196" s="19">
        <v>105342</v>
      </c>
      <c r="P196" s="19">
        <v>108656</v>
      </c>
      <c r="Q196" s="20">
        <v>0.43042580720802959</v>
      </c>
      <c r="R196" s="20">
        <v>0.43227462250203491</v>
      </c>
      <c r="S196" s="20">
        <v>0.4283457635206569</v>
      </c>
      <c r="T196" s="20">
        <v>0.43344374267080871</v>
      </c>
      <c r="U196" s="20">
        <v>0.44147390917475549</v>
      </c>
      <c r="W196" s="19">
        <v>133291</v>
      </c>
      <c r="X196" s="19">
        <v>254338</v>
      </c>
      <c r="Y196" s="19">
        <v>238927</v>
      </c>
      <c r="Z196" s="19">
        <v>241323</v>
      </c>
      <c r="AA196" s="19">
        <v>243035</v>
      </c>
      <c r="AB196" s="20">
        <v>0.29527244211006676</v>
      </c>
      <c r="AC196" s="20">
        <v>0.38769795479108138</v>
      </c>
      <c r="AD196" s="20">
        <v>0.3703743318823865</v>
      </c>
      <c r="AE196" s="20">
        <v>0.36782613069462672</v>
      </c>
      <c r="AF196" s="20">
        <v>0.37003794245901239</v>
      </c>
      <c r="AG196" s="19">
        <v>87497</v>
      </c>
      <c r="AH196" s="19">
        <v>115023</v>
      </c>
      <c r="AI196" s="19">
        <v>100228</v>
      </c>
      <c r="AJ196" s="19">
        <v>104772</v>
      </c>
      <c r="AK196" s="19">
        <v>105342</v>
      </c>
      <c r="AL196" s="20">
        <v>0.65643591840409332</v>
      </c>
      <c r="AM196" s="20">
        <v>0.4522446508189889</v>
      </c>
      <c r="AN196" s="20">
        <v>0.41949214613668612</v>
      </c>
      <c r="AO196" s="20">
        <v>0.43415671112989646</v>
      </c>
      <c r="AP196" s="20">
        <v>0.43344374267080871</v>
      </c>
      <c r="AQ196" s="37">
        <v>3360652.1893981718</v>
      </c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</row>
    <row r="197" spans="1:55" s="21" customFormat="1" ht="12.75" x14ac:dyDescent="0.2">
      <c r="A197" s="29" t="s">
        <v>77</v>
      </c>
      <c r="B197" s="21">
        <v>658833</v>
      </c>
      <c r="C197" s="21">
        <v>660615</v>
      </c>
      <c r="D197" s="21">
        <v>664609</v>
      </c>
      <c r="E197" s="21">
        <v>656784</v>
      </c>
      <c r="F197" s="21">
        <v>658674</v>
      </c>
      <c r="G197" s="22">
        <v>1</v>
      </c>
      <c r="H197" s="22">
        <v>1</v>
      </c>
      <c r="I197" s="22">
        <v>1</v>
      </c>
      <c r="J197" s="22">
        <v>1</v>
      </c>
      <c r="K197" s="22">
        <v>1</v>
      </c>
      <c r="L197" s="21">
        <v>416132</v>
      </c>
      <c r="M197" s="21">
        <v>420235</v>
      </c>
      <c r="N197" s="21">
        <v>420552</v>
      </c>
      <c r="O197" s="21">
        <v>418592</v>
      </c>
      <c r="P197" s="21">
        <v>423059</v>
      </c>
      <c r="Q197" s="22">
        <v>0.63161984903609869</v>
      </c>
      <c r="R197" s="22">
        <v>0.63612694231889977</v>
      </c>
      <c r="S197" s="22">
        <v>0.63278107879971535</v>
      </c>
      <c r="T197" s="22">
        <v>0.63733586689078903</v>
      </c>
      <c r="U197" s="22">
        <v>0.64228890164178332</v>
      </c>
      <c r="W197" s="21">
        <v>451417</v>
      </c>
      <c r="X197" s="21">
        <v>656021</v>
      </c>
      <c r="Y197" s="21">
        <v>645096</v>
      </c>
      <c r="Z197" s="21">
        <v>656079</v>
      </c>
      <c r="AA197" s="21">
        <v>656784</v>
      </c>
      <c r="AB197" s="22">
        <v>1</v>
      </c>
      <c r="AC197" s="22">
        <v>1</v>
      </c>
      <c r="AD197" s="22">
        <v>1</v>
      </c>
      <c r="AE197" s="22">
        <v>1</v>
      </c>
      <c r="AF197" s="22">
        <v>1</v>
      </c>
      <c r="AG197" s="21">
        <v>269133</v>
      </c>
      <c r="AH197" s="21">
        <v>367527</v>
      </c>
      <c r="AI197" s="21">
        <v>372978</v>
      </c>
      <c r="AJ197" s="21">
        <v>408107</v>
      </c>
      <c r="AK197" s="21">
        <v>418592</v>
      </c>
      <c r="AL197" s="22">
        <v>0.59619597844121952</v>
      </c>
      <c r="AM197" s="22">
        <v>0.56023663876613705</v>
      </c>
      <c r="AN197" s="22">
        <v>0.57817441125041857</v>
      </c>
      <c r="AO197" s="22">
        <v>0.62203941903337856</v>
      </c>
      <c r="AP197" s="22">
        <v>0.63733586689078903</v>
      </c>
      <c r="AQ197" s="37">
        <v>10299835.174134953</v>
      </c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</row>
    <row r="198" spans="1:55" s="19" customFormat="1" ht="12.75" x14ac:dyDescent="0.2">
      <c r="A198" s="18"/>
      <c r="AB198" s="20"/>
      <c r="AC198" s="20"/>
      <c r="AD198" s="20"/>
      <c r="AE198" s="20"/>
      <c r="AF198" s="20"/>
      <c r="AL198" s="20"/>
      <c r="AM198" s="20"/>
      <c r="AN198" s="20"/>
      <c r="AO198" s="20"/>
      <c r="AP198" s="20"/>
      <c r="AQ198" s="37">
        <v>1</v>
      </c>
    </row>
    <row r="199" spans="1:55" s="19" customFormat="1" ht="12.75" x14ac:dyDescent="0.2">
      <c r="A199" s="9" t="s">
        <v>64</v>
      </c>
      <c r="B199" s="9" t="s">
        <v>10</v>
      </c>
      <c r="C199" s="9" t="s">
        <v>11</v>
      </c>
      <c r="D199" s="9" t="s">
        <v>12</v>
      </c>
      <c r="E199" s="9" t="s">
        <v>164</v>
      </c>
      <c r="F199" s="9" t="s">
        <v>195</v>
      </c>
      <c r="G199" s="9" t="s">
        <v>10</v>
      </c>
      <c r="H199" s="9" t="s">
        <v>11</v>
      </c>
      <c r="I199" s="9" t="s">
        <v>12</v>
      </c>
      <c r="J199" s="9" t="s">
        <v>164</v>
      </c>
      <c r="K199" s="9" t="s">
        <v>195</v>
      </c>
      <c r="L199" s="9" t="s">
        <v>10</v>
      </c>
      <c r="M199" s="9" t="s">
        <v>11</v>
      </c>
      <c r="N199" s="9" t="s">
        <v>12</v>
      </c>
      <c r="O199" s="9" t="s">
        <v>164</v>
      </c>
      <c r="P199" s="9" t="s">
        <v>195</v>
      </c>
      <c r="Q199" s="9" t="s">
        <v>10</v>
      </c>
      <c r="R199" s="9" t="s">
        <v>11</v>
      </c>
      <c r="S199" s="9" t="s">
        <v>12</v>
      </c>
      <c r="T199" s="9" t="s">
        <v>164</v>
      </c>
      <c r="U199" s="9" t="s">
        <v>195</v>
      </c>
      <c r="V199" s="9"/>
      <c r="W199" s="9" t="s">
        <v>13</v>
      </c>
      <c r="X199" s="9" t="s">
        <v>14</v>
      </c>
      <c r="Y199" s="9" t="s">
        <v>15</v>
      </c>
      <c r="Z199" s="9" t="s">
        <v>16</v>
      </c>
      <c r="AA199" s="9" t="s">
        <v>165</v>
      </c>
      <c r="AB199" s="9" t="s">
        <v>13</v>
      </c>
      <c r="AC199" s="9" t="s">
        <v>14</v>
      </c>
      <c r="AD199" s="9" t="s">
        <v>15</v>
      </c>
      <c r="AE199" s="9" t="s">
        <v>16</v>
      </c>
      <c r="AF199" s="9" t="s">
        <v>165</v>
      </c>
      <c r="AG199" s="9" t="s">
        <v>13</v>
      </c>
      <c r="AH199" s="9" t="s">
        <v>14</v>
      </c>
      <c r="AI199" s="9" t="s">
        <v>15</v>
      </c>
      <c r="AJ199" s="9" t="s">
        <v>16</v>
      </c>
      <c r="AK199" s="9" t="s">
        <v>165</v>
      </c>
      <c r="AL199" s="9" t="s">
        <v>13</v>
      </c>
      <c r="AM199" s="9" t="s">
        <v>14</v>
      </c>
      <c r="AN199" s="9" t="s">
        <v>15</v>
      </c>
      <c r="AO199" s="9" t="s">
        <v>16</v>
      </c>
      <c r="AP199" s="9" t="s">
        <v>165</v>
      </c>
      <c r="AQ199" s="37">
        <v>1</v>
      </c>
    </row>
    <row r="200" spans="1:55" s="19" customFormat="1" ht="12.75" x14ac:dyDescent="0.2">
      <c r="A200" s="18" t="s">
        <v>18</v>
      </c>
      <c r="B200" s="19">
        <v>11014</v>
      </c>
      <c r="C200" s="19">
        <v>11219</v>
      </c>
      <c r="D200" s="19">
        <v>10538</v>
      </c>
      <c r="E200" s="19">
        <v>10531</v>
      </c>
      <c r="F200" s="19">
        <v>10583</v>
      </c>
      <c r="G200" s="20">
        <v>0.82607065176629413</v>
      </c>
      <c r="H200" s="20">
        <v>0.82772613250700899</v>
      </c>
      <c r="I200" s="20">
        <v>0.810054577600123</v>
      </c>
      <c r="J200" s="20">
        <v>0.80957872078720783</v>
      </c>
      <c r="K200" s="20">
        <v>0.81070936111536696</v>
      </c>
      <c r="L200" s="19">
        <v>1750</v>
      </c>
      <c r="M200" s="19">
        <v>1863</v>
      </c>
      <c r="N200" s="19">
        <v>1734</v>
      </c>
      <c r="O200" s="19">
        <v>2057</v>
      </c>
      <c r="P200" s="19">
        <v>2201</v>
      </c>
      <c r="Q200" s="20">
        <v>0.15888868712547666</v>
      </c>
      <c r="R200" s="20">
        <v>0.16605758088956235</v>
      </c>
      <c r="S200" s="20">
        <v>0.16454735243879293</v>
      </c>
      <c r="T200" s="20">
        <v>0.19532807900484284</v>
      </c>
      <c r="U200" s="20">
        <v>0.20797505433241992</v>
      </c>
      <c r="W200" s="19">
        <v>11194</v>
      </c>
      <c r="X200" s="19">
        <v>10760</v>
      </c>
      <c r="Y200" s="19">
        <v>10489</v>
      </c>
      <c r="Z200" s="19">
        <v>10879</v>
      </c>
      <c r="AA200" s="19">
        <v>10531</v>
      </c>
      <c r="AB200" s="20">
        <v>0.89230769230769236</v>
      </c>
      <c r="AC200" s="20">
        <v>0.84891518737672589</v>
      </c>
      <c r="AD200" s="20">
        <v>0.83985907598686849</v>
      </c>
      <c r="AE200" s="20">
        <v>0.82573055028462994</v>
      </c>
      <c r="AF200" s="20">
        <v>0.80957872078720783</v>
      </c>
      <c r="AG200" s="19">
        <v>1299</v>
      </c>
      <c r="AH200" s="19">
        <v>1489</v>
      </c>
      <c r="AI200" s="19">
        <v>1667</v>
      </c>
      <c r="AJ200" s="19">
        <v>1678</v>
      </c>
      <c r="AK200" s="19">
        <v>2057</v>
      </c>
      <c r="AL200" s="20">
        <v>0.11604430945149187</v>
      </c>
      <c r="AM200" s="20">
        <v>0.13838289962825279</v>
      </c>
      <c r="AN200" s="20">
        <v>0.15892840118219087</v>
      </c>
      <c r="AO200" s="20">
        <v>0.15424211784171341</v>
      </c>
      <c r="AP200" s="20">
        <v>0.19532807900484284</v>
      </c>
      <c r="AQ200" s="37">
        <v>125542.95625323144</v>
      </c>
    </row>
    <row r="201" spans="1:55" s="19" customFormat="1" ht="12.75" x14ac:dyDescent="0.2">
      <c r="A201" s="18" t="s">
        <v>43</v>
      </c>
      <c r="B201" s="19">
        <v>1729</v>
      </c>
      <c r="C201" s="19">
        <v>1702</v>
      </c>
      <c r="D201" s="19">
        <v>1816</v>
      </c>
      <c r="E201" s="19">
        <v>1872</v>
      </c>
      <c r="F201" s="19">
        <v>1902</v>
      </c>
      <c r="G201" s="20">
        <v>0.12967824195604891</v>
      </c>
      <c r="H201" s="20">
        <v>0.12557178692636861</v>
      </c>
      <c r="I201" s="20">
        <v>0.13959566453993388</v>
      </c>
      <c r="J201" s="20">
        <v>0.14391143911439114</v>
      </c>
      <c r="K201" s="20">
        <v>0.14570246667688064</v>
      </c>
      <c r="L201" s="19">
        <v>1626</v>
      </c>
      <c r="M201" s="19">
        <v>1591</v>
      </c>
      <c r="N201" s="19">
        <v>1674</v>
      </c>
      <c r="O201" s="19">
        <v>1714</v>
      </c>
      <c r="P201" s="19">
        <v>1751</v>
      </c>
      <c r="Q201" s="20">
        <v>0.94042799305957203</v>
      </c>
      <c r="R201" s="20">
        <v>0.93478260869565222</v>
      </c>
      <c r="S201" s="20">
        <v>0.92180616740088106</v>
      </c>
      <c r="T201" s="20">
        <v>0.91559829059829057</v>
      </c>
      <c r="U201" s="20">
        <v>0.92060988433228186</v>
      </c>
      <c r="W201" s="19">
        <v>618</v>
      </c>
      <c r="X201" s="19">
        <v>1237</v>
      </c>
      <c r="Y201" s="19">
        <v>1458</v>
      </c>
      <c r="Z201" s="19">
        <v>1683</v>
      </c>
      <c r="AA201" s="19">
        <v>1872</v>
      </c>
      <c r="AB201" s="20">
        <v>4.9262654444001595E-2</v>
      </c>
      <c r="AC201" s="20">
        <v>9.7593688362919137E-2</v>
      </c>
      <c r="AD201" s="20">
        <v>0.1167427336055729</v>
      </c>
      <c r="AE201" s="20">
        <v>0.12774193548387097</v>
      </c>
      <c r="AF201" s="20">
        <v>0.14391143911439114</v>
      </c>
      <c r="AG201" s="19">
        <v>610</v>
      </c>
      <c r="AH201" s="19">
        <v>1213</v>
      </c>
      <c r="AI201" s="19">
        <v>1403</v>
      </c>
      <c r="AJ201" s="19">
        <v>1590</v>
      </c>
      <c r="AK201" s="19">
        <v>1714</v>
      </c>
      <c r="AL201" s="20">
        <v>0.98705501618122982</v>
      </c>
      <c r="AM201" s="20">
        <v>0.98059822150363785</v>
      </c>
      <c r="AN201" s="20">
        <v>0.9622770919067215</v>
      </c>
      <c r="AO201" s="20">
        <v>0.94474153297682706</v>
      </c>
      <c r="AP201" s="20">
        <v>0.91559829059829057</v>
      </c>
      <c r="AQ201" s="37">
        <v>30785.64320714747</v>
      </c>
    </row>
    <row r="202" spans="1:55" s="19" customFormat="1" ht="12.75" x14ac:dyDescent="0.2">
      <c r="A202" s="18" t="s">
        <v>30</v>
      </c>
      <c r="B202" s="19">
        <v>412</v>
      </c>
      <c r="C202" s="19">
        <v>446</v>
      </c>
      <c r="D202" s="19">
        <v>455</v>
      </c>
      <c r="E202" s="19">
        <v>396</v>
      </c>
      <c r="F202" s="19">
        <v>367</v>
      </c>
      <c r="G202" s="20">
        <v>3.0900772519312981E-2</v>
      </c>
      <c r="H202" s="20">
        <v>3.2905415375534895E-2</v>
      </c>
      <c r="I202" s="20">
        <v>3.4975785994311628E-2</v>
      </c>
      <c r="J202" s="20">
        <v>3.0442804428044281E-2</v>
      </c>
      <c r="K202" s="20">
        <v>2.8113988049639958E-2</v>
      </c>
      <c r="L202" s="19">
        <v>401</v>
      </c>
      <c r="M202" s="19">
        <v>435</v>
      </c>
      <c r="N202" s="19">
        <v>444</v>
      </c>
      <c r="O202" s="19">
        <v>387</v>
      </c>
      <c r="P202" s="19">
        <v>358</v>
      </c>
      <c r="Q202" s="20">
        <v>0.97330097087378642</v>
      </c>
      <c r="R202" s="20">
        <v>0.9753363228699552</v>
      </c>
      <c r="S202" s="20">
        <v>0.9758241758241758</v>
      </c>
      <c r="T202" s="20">
        <v>0.97727272727272729</v>
      </c>
      <c r="U202" s="20">
        <v>0.97547683923705719</v>
      </c>
      <c r="W202" s="19">
        <v>264</v>
      </c>
      <c r="X202" s="19">
        <v>224</v>
      </c>
      <c r="Y202" s="19">
        <v>256</v>
      </c>
      <c r="Z202" s="19">
        <v>396</v>
      </c>
      <c r="AA202" s="19">
        <v>396</v>
      </c>
      <c r="AB202" s="20">
        <v>2.1044240733359903E-2</v>
      </c>
      <c r="AC202" s="20">
        <v>1.7672583826429979E-2</v>
      </c>
      <c r="AD202" s="20">
        <v>2.0498038273680838E-2</v>
      </c>
      <c r="AE202" s="20">
        <v>3.0056925996204933E-2</v>
      </c>
      <c r="AF202" s="20">
        <v>3.0442804428044281E-2</v>
      </c>
      <c r="AG202" s="19">
        <v>248</v>
      </c>
      <c r="AH202" s="19">
        <v>209</v>
      </c>
      <c r="AI202" s="19">
        <v>250</v>
      </c>
      <c r="AJ202" s="19">
        <v>382</v>
      </c>
      <c r="AK202" s="19">
        <v>387</v>
      </c>
      <c r="AL202" s="20">
        <v>0.93939393939393945</v>
      </c>
      <c r="AM202" s="20">
        <v>0.9330357142857143</v>
      </c>
      <c r="AN202" s="20">
        <v>0.9765625</v>
      </c>
      <c r="AO202" s="20">
        <v>0.96464646464646464</v>
      </c>
      <c r="AP202" s="20">
        <v>0.97727272727272729</v>
      </c>
      <c r="AQ202" s="37">
        <v>7122.9451757413017</v>
      </c>
    </row>
    <row r="203" spans="1:55" s="19" customFormat="1" ht="12.75" x14ac:dyDescent="0.2">
      <c r="A203" s="18" t="s">
        <v>76</v>
      </c>
      <c r="B203" s="19">
        <v>178</v>
      </c>
      <c r="C203" s="19">
        <v>187</v>
      </c>
      <c r="D203" s="19">
        <v>200</v>
      </c>
      <c r="E203" s="19">
        <v>209</v>
      </c>
      <c r="F203" s="19">
        <v>202</v>
      </c>
      <c r="G203" s="20">
        <v>1.3350333758343958E-2</v>
      </c>
      <c r="H203" s="20">
        <v>1.3796665191087501E-2</v>
      </c>
      <c r="I203" s="20">
        <v>1.5373971865631485E-2</v>
      </c>
      <c r="J203" s="20">
        <v>1.6067035670356705E-2</v>
      </c>
      <c r="K203" s="20">
        <v>1.5474184158112456E-2</v>
      </c>
      <c r="L203" s="19">
        <v>163</v>
      </c>
      <c r="M203" s="19">
        <v>173</v>
      </c>
      <c r="N203" s="19">
        <v>180</v>
      </c>
      <c r="O203" s="19">
        <v>198</v>
      </c>
      <c r="P203" s="19">
        <v>188</v>
      </c>
      <c r="Q203" s="20">
        <v>0.9157303370786517</v>
      </c>
      <c r="R203" s="20">
        <v>0.92513368983957223</v>
      </c>
      <c r="S203" s="20">
        <v>0.9</v>
      </c>
      <c r="T203" s="20">
        <v>0.94736842105263153</v>
      </c>
      <c r="U203" s="20">
        <v>0.93069306930693074</v>
      </c>
      <c r="W203" s="19">
        <v>469</v>
      </c>
      <c r="X203" s="19">
        <v>454</v>
      </c>
      <c r="Y203" s="19">
        <v>286</v>
      </c>
      <c r="Z203" s="19">
        <v>217</v>
      </c>
      <c r="AA203" s="19">
        <v>209</v>
      </c>
      <c r="AB203" s="20">
        <v>3.7385412514946197E-2</v>
      </c>
      <c r="AC203" s="20">
        <v>3.5818540433925052E-2</v>
      </c>
      <c r="AD203" s="20">
        <v>2.2900152133877812E-2</v>
      </c>
      <c r="AE203" s="20">
        <v>1.6470588235294119E-2</v>
      </c>
      <c r="AF203" s="20">
        <v>1.6067035670356705E-2</v>
      </c>
      <c r="AG203" s="19">
        <v>433</v>
      </c>
      <c r="AH203" s="19">
        <v>449</v>
      </c>
      <c r="AI203" s="19">
        <v>274</v>
      </c>
      <c r="AJ203" s="19">
        <v>206</v>
      </c>
      <c r="AK203" s="19">
        <v>198</v>
      </c>
      <c r="AL203" s="20">
        <v>0.92324093816631125</v>
      </c>
      <c r="AM203" s="20">
        <v>0.98898678414096919</v>
      </c>
      <c r="AN203" s="20">
        <v>0.95804195804195802</v>
      </c>
      <c r="AO203" s="20">
        <v>0.94930875576036866</v>
      </c>
      <c r="AP203" s="20">
        <v>0.94736842105263153</v>
      </c>
      <c r="AQ203" s="37">
        <v>5082.5885762940725</v>
      </c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</row>
    <row r="204" spans="1:55" s="21" customFormat="1" ht="12.75" x14ac:dyDescent="0.2">
      <c r="A204" s="29" t="s">
        <v>77</v>
      </c>
      <c r="B204" s="21">
        <v>13333</v>
      </c>
      <c r="C204" s="21">
        <v>13554</v>
      </c>
      <c r="D204" s="21">
        <v>13009</v>
      </c>
      <c r="E204" s="21">
        <v>13008</v>
      </c>
      <c r="F204" s="21">
        <v>13054</v>
      </c>
      <c r="G204" s="22">
        <v>1</v>
      </c>
      <c r="H204" s="22">
        <v>1</v>
      </c>
      <c r="I204" s="22">
        <v>1</v>
      </c>
      <c r="J204" s="22">
        <v>1</v>
      </c>
      <c r="K204" s="22">
        <v>1</v>
      </c>
      <c r="L204" s="21">
        <v>3940</v>
      </c>
      <c r="M204" s="21">
        <v>4062</v>
      </c>
      <c r="N204" s="21">
        <v>4032</v>
      </c>
      <c r="O204" s="21">
        <v>4356</v>
      </c>
      <c r="P204" s="21">
        <v>4498</v>
      </c>
      <c r="Q204" s="22">
        <v>0.29550738768469209</v>
      </c>
      <c r="R204" s="22">
        <v>0.29969012837538733</v>
      </c>
      <c r="S204" s="22">
        <v>0.30993927281113076</v>
      </c>
      <c r="T204" s="22">
        <v>0.3348708487084871</v>
      </c>
      <c r="U204" s="22">
        <v>0.34456871457024668</v>
      </c>
      <c r="W204" s="21">
        <v>12545</v>
      </c>
      <c r="X204" s="21">
        <v>12675</v>
      </c>
      <c r="Y204" s="21">
        <v>12489</v>
      </c>
      <c r="Z204" s="21">
        <v>13175</v>
      </c>
      <c r="AA204" s="21">
        <v>13008</v>
      </c>
      <c r="AB204" s="22">
        <v>1</v>
      </c>
      <c r="AC204" s="22">
        <v>1</v>
      </c>
      <c r="AD204" s="22">
        <v>1</v>
      </c>
      <c r="AE204" s="22">
        <v>1</v>
      </c>
      <c r="AF204" s="22">
        <v>1</v>
      </c>
      <c r="AG204" s="21">
        <v>2590</v>
      </c>
      <c r="AH204" s="21">
        <v>3360</v>
      </c>
      <c r="AI204" s="21">
        <v>3594</v>
      </c>
      <c r="AJ204" s="21">
        <v>3856</v>
      </c>
      <c r="AK204" s="21">
        <v>4356</v>
      </c>
      <c r="AL204" s="22">
        <v>0.2064567556795536</v>
      </c>
      <c r="AM204" s="22">
        <v>0.26508875739644971</v>
      </c>
      <c r="AN204" s="22">
        <v>0.28777324045159741</v>
      </c>
      <c r="AO204" s="22">
        <v>0.29267552182163187</v>
      </c>
      <c r="AP204" s="22">
        <v>0.3348708487084871</v>
      </c>
      <c r="AQ204" s="37">
        <v>168506.9714414762</v>
      </c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</row>
    <row r="205" spans="1:55" s="19" customFormat="1" ht="12.75" x14ac:dyDescent="0.2">
      <c r="A205" s="18"/>
      <c r="AB205" s="20"/>
      <c r="AC205" s="20"/>
      <c r="AD205" s="20"/>
      <c r="AE205" s="20"/>
      <c r="AF205" s="20"/>
      <c r="AL205" s="20"/>
      <c r="AM205" s="20"/>
      <c r="AN205" s="20"/>
      <c r="AO205" s="20"/>
      <c r="AP205" s="20"/>
      <c r="AQ205" s="37">
        <v>1</v>
      </c>
    </row>
    <row r="206" spans="1:55" s="19" customFormat="1" ht="12.75" x14ac:dyDescent="0.2">
      <c r="A206" s="9" t="s">
        <v>66</v>
      </c>
      <c r="B206" s="9" t="s">
        <v>10</v>
      </c>
      <c r="C206" s="9" t="s">
        <v>11</v>
      </c>
      <c r="D206" s="9" t="s">
        <v>12</v>
      </c>
      <c r="E206" s="9" t="s">
        <v>164</v>
      </c>
      <c r="F206" s="9" t="s">
        <v>195</v>
      </c>
      <c r="G206" s="9" t="s">
        <v>10</v>
      </c>
      <c r="H206" s="9" t="s">
        <v>11</v>
      </c>
      <c r="I206" s="9" t="s">
        <v>12</v>
      </c>
      <c r="J206" s="9" t="s">
        <v>164</v>
      </c>
      <c r="K206" s="9" t="s">
        <v>195</v>
      </c>
      <c r="L206" s="9" t="s">
        <v>10</v>
      </c>
      <c r="M206" s="9" t="s">
        <v>11</v>
      </c>
      <c r="N206" s="9" t="s">
        <v>12</v>
      </c>
      <c r="O206" s="9" t="s">
        <v>164</v>
      </c>
      <c r="P206" s="9" t="s">
        <v>195</v>
      </c>
      <c r="Q206" s="9" t="s">
        <v>10</v>
      </c>
      <c r="R206" s="9" t="s">
        <v>11</v>
      </c>
      <c r="S206" s="9" t="s">
        <v>12</v>
      </c>
      <c r="T206" s="9" t="s">
        <v>164</v>
      </c>
      <c r="U206" s="9" t="s">
        <v>195</v>
      </c>
      <c r="V206" s="9"/>
      <c r="W206" s="9" t="s">
        <v>13</v>
      </c>
      <c r="X206" s="9" t="s">
        <v>14</v>
      </c>
      <c r="Y206" s="9" t="s">
        <v>15</v>
      </c>
      <c r="Z206" s="9" t="s">
        <v>16</v>
      </c>
      <c r="AA206" s="9" t="s">
        <v>165</v>
      </c>
      <c r="AB206" s="9" t="s">
        <v>13</v>
      </c>
      <c r="AC206" s="9" t="s">
        <v>14</v>
      </c>
      <c r="AD206" s="9" t="s">
        <v>15</v>
      </c>
      <c r="AE206" s="9" t="s">
        <v>16</v>
      </c>
      <c r="AF206" s="9" t="s">
        <v>165</v>
      </c>
      <c r="AG206" s="9" t="s">
        <v>13</v>
      </c>
      <c r="AH206" s="9" t="s">
        <v>14</v>
      </c>
      <c r="AI206" s="9" t="s">
        <v>15</v>
      </c>
      <c r="AJ206" s="9" t="s">
        <v>16</v>
      </c>
      <c r="AK206" s="9" t="s">
        <v>165</v>
      </c>
      <c r="AL206" s="9" t="s">
        <v>13</v>
      </c>
      <c r="AM206" s="9" t="s">
        <v>14</v>
      </c>
      <c r="AN206" s="9" t="s">
        <v>15</v>
      </c>
      <c r="AO206" s="9" t="s">
        <v>16</v>
      </c>
      <c r="AP206" s="9" t="s">
        <v>165</v>
      </c>
      <c r="AQ206" s="37">
        <v>1</v>
      </c>
    </row>
    <row r="207" spans="1:55" s="19" customFormat="1" ht="12.75" x14ac:dyDescent="0.2">
      <c r="A207" s="18" t="s">
        <v>43</v>
      </c>
      <c r="B207" s="19">
        <v>128282</v>
      </c>
      <c r="C207" s="19">
        <v>128546</v>
      </c>
      <c r="D207" s="19">
        <v>128764</v>
      </c>
      <c r="E207" s="19">
        <v>128325</v>
      </c>
      <c r="F207" s="19">
        <v>124301</v>
      </c>
      <c r="G207" s="20">
        <v>0.39421652684305952</v>
      </c>
      <c r="H207" s="20">
        <v>0.3933127109283448</v>
      </c>
      <c r="I207" s="20">
        <v>0.38722055489062773</v>
      </c>
      <c r="J207" s="20">
        <v>0.39306827579869513</v>
      </c>
      <c r="K207" s="20">
        <v>0.37998129149802523</v>
      </c>
      <c r="L207" s="19">
        <v>91128</v>
      </c>
      <c r="M207" s="19">
        <v>91840</v>
      </c>
      <c r="N207" s="19">
        <v>91226</v>
      </c>
      <c r="O207" s="19">
        <v>91505</v>
      </c>
      <c r="P207" s="19">
        <v>88029</v>
      </c>
      <c r="Q207" s="20">
        <v>0.71037246067258075</v>
      </c>
      <c r="R207" s="20">
        <v>0.71445241392186454</v>
      </c>
      <c r="S207" s="20">
        <v>0.70847441831567826</v>
      </c>
      <c r="T207" s="20">
        <v>0.71307227742061174</v>
      </c>
      <c r="U207" s="20">
        <v>0.7081922108430343</v>
      </c>
      <c r="W207" s="19">
        <v>115442</v>
      </c>
      <c r="X207" s="19">
        <v>115470</v>
      </c>
      <c r="Y207" s="19">
        <v>121385</v>
      </c>
      <c r="Z207" s="19">
        <v>120623</v>
      </c>
      <c r="AA207" s="19">
        <v>128325</v>
      </c>
      <c r="AB207" s="20">
        <v>0.37024137112654826</v>
      </c>
      <c r="AC207" s="20">
        <v>0.36924759447039973</v>
      </c>
      <c r="AD207" s="20">
        <v>0.3879230449650059</v>
      </c>
      <c r="AE207" s="20">
        <v>0.37521969185592569</v>
      </c>
      <c r="AF207" s="20">
        <v>0.39306827579869513</v>
      </c>
      <c r="AG207" s="19">
        <v>57535</v>
      </c>
      <c r="AH207" s="19">
        <v>65088</v>
      </c>
      <c r="AI207" s="19">
        <v>75626</v>
      </c>
      <c r="AJ207" s="19">
        <v>82086</v>
      </c>
      <c r="AK207" s="19">
        <v>91505</v>
      </c>
      <c r="AL207" s="20">
        <v>0.49838880130281871</v>
      </c>
      <c r="AM207" s="20">
        <v>0.56367887763055335</v>
      </c>
      <c r="AN207" s="20">
        <v>0.6230259092968653</v>
      </c>
      <c r="AO207" s="20">
        <v>0.68051698266499761</v>
      </c>
      <c r="AP207" s="20">
        <v>0.71307227742061174</v>
      </c>
      <c r="AQ207" s="37">
        <v>2065041.4767459675</v>
      </c>
    </row>
    <row r="208" spans="1:55" s="19" customFormat="1" ht="12.75" x14ac:dyDescent="0.2">
      <c r="A208" s="18" t="s">
        <v>19</v>
      </c>
      <c r="B208" s="19">
        <v>56140</v>
      </c>
      <c r="C208" s="19">
        <v>57385</v>
      </c>
      <c r="D208" s="19">
        <v>59867</v>
      </c>
      <c r="E208" s="19">
        <v>60996</v>
      </c>
      <c r="F208" s="19">
        <v>64471</v>
      </c>
      <c r="G208" s="20">
        <v>0.17252081988875573</v>
      </c>
      <c r="H208" s="20">
        <v>0.17558111428300427</v>
      </c>
      <c r="I208" s="20">
        <v>0.18003271845886434</v>
      </c>
      <c r="J208" s="20">
        <v>0.18683493123411032</v>
      </c>
      <c r="K208" s="20">
        <v>0.19708428608111908</v>
      </c>
      <c r="L208" s="19">
        <v>50226</v>
      </c>
      <c r="M208" s="19">
        <v>51503</v>
      </c>
      <c r="N208" s="19">
        <v>52813</v>
      </c>
      <c r="O208" s="19">
        <v>53920</v>
      </c>
      <c r="P208" s="19">
        <v>57538</v>
      </c>
      <c r="Q208" s="20">
        <v>0.89465621660135375</v>
      </c>
      <c r="R208" s="20">
        <v>0.89749934651912522</v>
      </c>
      <c r="S208" s="20">
        <v>0.88217214826198076</v>
      </c>
      <c r="T208" s="20">
        <v>0.88399239294379961</v>
      </c>
      <c r="U208" s="20">
        <v>0.89246327806300507</v>
      </c>
      <c r="W208" s="19">
        <v>47124</v>
      </c>
      <c r="X208" s="19">
        <v>47292</v>
      </c>
      <c r="Y208" s="19">
        <v>50007</v>
      </c>
      <c r="Z208" s="19">
        <v>56579</v>
      </c>
      <c r="AA208" s="19">
        <v>60996</v>
      </c>
      <c r="AB208" s="20">
        <v>0.15113437373717936</v>
      </c>
      <c r="AC208" s="20">
        <v>0.15122938631414345</v>
      </c>
      <c r="AD208" s="20">
        <v>0.1598127257038765</v>
      </c>
      <c r="AE208" s="20">
        <v>0.17599922855107583</v>
      </c>
      <c r="AF208" s="20">
        <v>0.18683493123411032</v>
      </c>
      <c r="AG208" s="19">
        <v>41170</v>
      </c>
      <c r="AH208" s="19">
        <v>40672</v>
      </c>
      <c r="AI208" s="19">
        <v>42963</v>
      </c>
      <c r="AJ208" s="19">
        <v>50513</v>
      </c>
      <c r="AK208" s="19">
        <v>53920</v>
      </c>
      <c r="AL208" s="20">
        <v>0.87365249129955014</v>
      </c>
      <c r="AM208" s="20">
        <v>0.86001860779835915</v>
      </c>
      <c r="AN208" s="20">
        <v>0.85913972043913855</v>
      </c>
      <c r="AO208" s="20">
        <v>0.89278707647713818</v>
      </c>
      <c r="AP208" s="20">
        <v>0.88399239294379961</v>
      </c>
      <c r="AQ208" s="37">
        <v>1056105.5574381868</v>
      </c>
    </row>
    <row r="209" spans="1:55" s="19" customFormat="1" ht="12.75" x14ac:dyDescent="0.2">
      <c r="A209" s="18" t="s">
        <v>30</v>
      </c>
      <c r="B209" s="19">
        <v>85168</v>
      </c>
      <c r="C209" s="19">
        <v>84581</v>
      </c>
      <c r="D209" s="19">
        <v>85269</v>
      </c>
      <c r="E209" s="19">
        <v>79477</v>
      </c>
      <c r="F209" s="19">
        <v>79068</v>
      </c>
      <c r="G209" s="20">
        <v>0.26172520819888756</v>
      </c>
      <c r="H209" s="20">
        <v>0.25879282438216927</v>
      </c>
      <c r="I209" s="20">
        <v>0.25642189971551782</v>
      </c>
      <c r="J209" s="20">
        <v>0.24344350170000306</v>
      </c>
      <c r="K209" s="20">
        <v>0.24170650884679815</v>
      </c>
      <c r="L209" s="19">
        <v>58987</v>
      </c>
      <c r="M209" s="19">
        <v>59981</v>
      </c>
      <c r="N209" s="19">
        <v>61223</v>
      </c>
      <c r="O209" s="19">
        <v>57849</v>
      </c>
      <c r="P209" s="19">
        <v>58377</v>
      </c>
      <c r="Q209" s="20">
        <v>0.69259581063310161</v>
      </c>
      <c r="R209" s="20">
        <v>0.70915453825327202</v>
      </c>
      <c r="S209" s="20">
        <v>0.71799833468200636</v>
      </c>
      <c r="T209" s="20">
        <v>0.72787095637731669</v>
      </c>
      <c r="U209" s="20">
        <v>0.73831385642737901</v>
      </c>
      <c r="W209" s="19">
        <v>90829</v>
      </c>
      <c r="X209" s="19">
        <v>84934</v>
      </c>
      <c r="Y209" s="19">
        <v>82573</v>
      </c>
      <c r="Z209" s="19">
        <v>86079</v>
      </c>
      <c r="AA209" s="19">
        <v>79477</v>
      </c>
      <c r="AB209" s="20">
        <v>0.29130345539797692</v>
      </c>
      <c r="AC209" s="20">
        <v>0.2716002008205502</v>
      </c>
      <c r="AD209" s="20">
        <v>0.26388737975775783</v>
      </c>
      <c r="AE209" s="20">
        <v>0.26776432235366576</v>
      </c>
      <c r="AF209" s="20">
        <v>0.24344350170000306</v>
      </c>
      <c r="AG209" s="19">
        <v>37712</v>
      </c>
      <c r="AH209" s="19">
        <v>43365</v>
      </c>
      <c r="AI209" s="19">
        <v>47654</v>
      </c>
      <c r="AJ209" s="19">
        <v>58007</v>
      </c>
      <c r="AK209" s="19">
        <v>57849</v>
      </c>
      <c r="AL209" s="20">
        <v>0.41519778925233131</v>
      </c>
      <c r="AM209" s="20">
        <v>0.51057291544022421</v>
      </c>
      <c r="AN209" s="20">
        <v>0.57711358434355053</v>
      </c>
      <c r="AO209" s="20">
        <v>0.67388096980680534</v>
      </c>
      <c r="AP209" s="20">
        <v>0.72787095637731669</v>
      </c>
      <c r="AQ209" s="37">
        <v>1378468.0906585145</v>
      </c>
    </row>
    <row r="210" spans="1:55" s="19" customFormat="1" ht="12.75" x14ac:dyDescent="0.2">
      <c r="A210" s="18" t="s">
        <v>76</v>
      </c>
      <c r="B210" s="19">
        <v>55820</v>
      </c>
      <c r="C210" s="19">
        <v>56317</v>
      </c>
      <c r="D210" s="19">
        <v>58634</v>
      </c>
      <c r="E210" s="19">
        <v>57672</v>
      </c>
      <c r="F210" s="19">
        <v>59284</v>
      </c>
      <c r="G210" s="20">
        <v>0.17153744506929719</v>
      </c>
      <c r="H210" s="20">
        <v>0.17231335040648169</v>
      </c>
      <c r="I210" s="20">
        <v>0.1763248269349901</v>
      </c>
      <c r="J210" s="20">
        <v>0.17665329126719148</v>
      </c>
      <c r="K210" s="20">
        <v>0.18122791357405754</v>
      </c>
      <c r="L210" s="19">
        <v>52921</v>
      </c>
      <c r="M210" s="19">
        <v>53104</v>
      </c>
      <c r="N210" s="19">
        <v>52441</v>
      </c>
      <c r="O210" s="19">
        <v>52432</v>
      </c>
      <c r="P210" s="19">
        <v>54042</v>
      </c>
      <c r="Q210" s="20">
        <v>0.94806520960229312</v>
      </c>
      <c r="R210" s="20">
        <v>0.94294795532432485</v>
      </c>
      <c r="S210" s="20">
        <v>0.89437868813316501</v>
      </c>
      <c r="T210" s="20">
        <v>0.90914135108891658</v>
      </c>
      <c r="U210" s="20">
        <v>0.91157816611564668</v>
      </c>
      <c r="W210" s="19">
        <v>58407</v>
      </c>
      <c r="X210" s="19">
        <v>65021</v>
      </c>
      <c r="Y210" s="19">
        <v>58945</v>
      </c>
      <c r="Z210" s="19">
        <v>58192</v>
      </c>
      <c r="AA210" s="19">
        <v>57672</v>
      </c>
      <c r="AB210" s="20">
        <v>0.18732079973829546</v>
      </c>
      <c r="AC210" s="20">
        <v>0.20792281839490659</v>
      </c>
      <c r="AD210" s="20">
        <v>0.18837684957335976</v>
      </c>
      <c r="AE210" s="20">
        <v>0.18101675723933269</v>
      </c>
      <c r="AF210" s="20">
        <v>0.17665329126719148</v>
      </c>
      <c r="AG210" s="19">
        <v>56203</v>
      </c>
      <c r="AH210" s="19">
        <v>62235</v>
      </c>
      <c r="AI210" s="19">
        <v>56218</v>
      </c>
      <c r="AJ210" s="19">
        <v>55214</v>
      </c>
      <c r="AK210" s="19">
        <v>52432</v>
      </c>
      <c r="AL210" s="20">
        <v>0.96226479702775347</v>
      </c>
      <c r="AM210" s="20">
        <v>0.95715230464003942</v>
      </c>
      <c r="AN210" s="20">
        <v>0.95373653405717196</v>
      </c>
      <c r="AO210" s="20">
        <v>0.94882458069837783</v>
      </c>
      <c r="AP210" s="20">
        <v>0.90914135108891658</v>
      </c>
      <c r="AQ210" s="37">
        <v>1133217.156578281</v>
      </c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</row>
    <row r="211" spans="1:55" s="21" customFormat="1" ht="12.75" x14ac:dyDescent="0.2">
      <c r="A211" s="29" t="s">
        <v>77</v>
      </c>
      <c r="B211" s="21">
        <v>325410</v>
      </c>
      <c r="C211" s="21">
        <v>326829</v>
      </c>
      <c r="D211" s="21">
        <v>332534</v>
      </c>
      <c r="E211" s="21">
        <v>326470</v>
      </c>
      <c r="F211" s="21">
        <v>327124</v>
      </c>
      <c r="G211" s="22">
        <v>1</v>
      </c>
      <c r="H211" s="22">
        <v>1</v>
      </c>
      <c r="I211" s="22">
        <v>1</v>
      </c>
      <c r="J211" s="22">
        <v>1</v>
      </c>
      <c r="K211" s="22">
        <v>1</v>
      </c>
      <c r="L211" s="21">
        <v>253262</v>
      </c>
      <c r="M211" s="21">
        <v>256428</v>
      </c>
      <c r="N211" s="21">
        <v>257703</v>
      </c>
      <c r="O211" s="21">
        <v>255706</v>
      </c>
      <c r="P211" s="21">
        <v>257986</v>
      </c>
      <c r="Q211" s="22">
        <v>0.7782858547678313</v>
      </c>
      <c r="R211" s="22">
        <v>0.78459377839787781</v>
      </c>
      <c r="S211" s="22">
        <v>0.77496737175747443</v>
      </c>
      <c r="T211" s="22">
        <v>0.7832450148558826</v>
      </c>
      <c r="U211" s="22">
        <v>0.78864895269072277</v>
      </c>
      <c r="W211" s="21">
        <v>311802</v>
      </c>
      <c r="X211" s="21">
        <v>312717</v>
      </c>
      <c r="Y211" s="21">
        <v>312910</v>
      </c>
      <c r="Z211" s="21">
        <v>321473</v>
      </c>
      <c r="AA211" s="21">
        <v>326470</v>
      </c>
      <c r="AB211" s="22">
        <v>1</v>
      </c>
      <c r="AC211" s="22">
        <v>1</v>
      </c>
      <c r="AD211" s="22">
        <v>1</v>
      </c>
      <c r="AE211" s="22">
        <v>1</v>
      </c>
      <c r="AF211" s="22">
        <v>1</v>
      </c>
      <c r="AG211" s="21">
        <v>192620</v>
      </c>
      <c r="AH211" s="21">
        <v>211360</v>
      </c>
      <c r="AI211" s="21">
        <v>222461</v>
      </c>
      <c r="AJ211" s="21">
        <v>245820</v>
      </c>
      <c r="AK211" s="21">
        <v>255706</v>
      </c>
      <c r="AL211" s="22">
        <v>0.6177638373070089</v>
      </c>
      <c r="AM211" s="22">
        <v>0.67588266707598244</v>
      </c>
      <c r="AN211" s="22">
        <v>0.71094244351410951</v>
      </c>
      <c r="AO211" s="22">
        <v>0.76466763927297166</v>
      </c>
      <c r="AP211" s="22">
        <v>0.7832450148558826</v>
      </c>
      <c r="AQ211" s="37">
        <v>5632808.4622425754</v>
      </c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</row>
    <row r="212" spans="1:55" s="19" customFormat="1" ht="12.75" x14ac:dyDescent="0.2">
      <c r="A212" s="18"/>
      <c r="AB212" s="20"/>
      <c r="AC212" s="20"/>
      <c r="AD212" s="20"/>
      <c r="AE212" s="20"/>
      <c r="AF212" s="20"/>
      <c r="AL212" s="20"/>
      <c r="AM212" s="20"/>
      <c r="AN212" s="20"/>
      <c r="AO212" s="20"/>
      <c r="AP212" s="20"/>
      <c r="AQ212" s="37">
        <v>1</v>
      </c>
    </row>
    <row r="213" spans="1:55" s="19" customFormat="1" ht="12.75" x14ac:dyDescent="0.2">
      <c r="A213" s="9" t="s">
        <v>68</v>
      </c>
      <c r="B213" s="9" t="s">
        <v>10</v>
      </c>
      <c r="C213" s="9" t="s">
        <v>11</v>
      </c>
      <c r="D213" s="9" t="s">
        <v>12</v>
      </c>
      <c r="E213" s="9" t="s">
        <v>164</v>
      </c>
      <c r="F213" s="9" t="s">
        <v>195</v>
      </c>
      <c r="G213" s="9" t="s">
        <v>10</v>
      </c>
      <c r="H213" s="9" t="s">
        <v>11</v>
      </c>
      <c r="I213" s="9" t="s">
        <v>12</v>
      </c>
      <c r="J213" s="9" t="s">
        <v>164</v>
      </c>
      <c r="K213" s="9" t="s">
        <v>195</v>
      </c>
      <c r="L213" s="9" t="s">
        <v>10</v>
      </c>
      <c r="M213" s="9" t="s">
        <v>11</v>
      </c>
      <c r="N213" s="9" t="s">
        <v>12</v>
      </c>
      <c r="O213" s="9" t="s">
        <v>164</v>
      </c>
      <c r="P213" s="9" t="s">
        <v>195</v>
      </c>
      <c r="Q213" s="9" t="s">
        <v>10</v>
      </c>
      <c r="R213" s="9" t="s">
        <v>11</v>
      </c>
      <c r="S213" s="9" t="s">
        <v>12</v>
      </c>
      <c r="T213" s="9" t="s">
        <v>164</v>
      </c>
      <c r="U213" s="9" t="s">
        <v>195</v>
      </c>
      <c r="V213" s="9"/>
      <c r="W213" s="9" t="s">
        <v>13</v>
      </c>
      <c r="X213" s="9" t="s">
        <v>14</v>
      </c>
      <c r="Y213" s="9" t="s">
        <v>15</v>
      </c>
      <c r="Z213" s="9" t="s">
        <v>16</v>
      </c>
      <c r="AA213" s="9" t="s">
        <v>165</v>
      </c>
      <c r="AB213" s="9" t="s">
        <v>13</v>
      </c>
      <c r="AC213" s="9" t="s">
        <v>14</v>
      </c>
      <c r="AD213" s="9" t="s">
        <v>15</v>
      </c>
      <c r="AE213" s="9" t="s">
        <v>16</v>
      </c>
      <c r="AF213" s="9" t="s">
        <v>165</v>
      </c>
      <c r="AG213" s="9" t="s">
        <v>13</v>
      </c>
      <c r="AH213" s="9" t="s">
        <v>14</v>
      </c>
      <c r="AI213" s="9" t="s">
        <v>15</v>
      </c>
      <c r="AJ213" s="9" t="s">
        <v>16</v>
      </c>
      <c r="AK213" s="9" t="s">
        <v>165</v>
      </c>
      <c r="AL213" s="9" t="s">
        <v>13</v>
      </c>
      <c r="AM213" s="9" t="s">
        <v>14</v>
      </c>
      <c r="AN213" s="9" t="s">
        <v>15</v>
      </c>
      <c r="AO213" s="9" t="s">
        <v>16</v>
      </c>
      <c r="AP213" s="9" t="s">
        <v>165</v>
      </c>
      <c r="AQ213" s="37">
        <v>1</v>
      </c>
    </row>
    <row r="214" spans="1:55" s="19" customFormat="1" ht="12.75" x14ac:dyDescent="0.2">
      <c r="A214" s="18" t="s">
        <v>32</v>
      </c>
      <c r="B214" s="19">
        <v>88214</v>
      </c>
      <c r="C214" s="19">
        <v>88544</v>
      </c>
      <c r="D214" s="19">
        <v>88010</v>
      </c>
      <c r="E214" s="19">
        <v>87657</v>
      </c>
      <c r="F214" s="19">
        <v>87565</v>
      </c>
      <c r="G214" s="20">
        <v>0.45570496494934831</v>
      </c>
      <c r="H214" s="20">
        <v>0.45634650668975613</v>
      </c>
      <c r="I214" s="20">
        <v>0.45213093868157161</v>
      </c>
      <c r="J214" s="20">
        <v>0.45309907423201573</v>
      </c>
      <c r="K214" s="20">
        <v>0.45035616015635044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W214" s="19">
        <v>0</v>
      </c>
      <c r="X214" s="19">
        <v>91580</v>
      </c>
      <c r="Y214" s="19">
        <v>89960</v>
      </c>
      <c r="Z214" s="19">
        <v>88873</v>
      </c>
      <c r="AA214" s="19">
        <v>87657</v>
      </c>
      <c r="AB214" s="20">
        <v>0</v>
      </c>
      <c r="AC214" s="20">
        <v>0.45144434585428372</v>
      </c>
      <c r="AD214" s="20">
        <v>0.45939210719830054</v>
      </c>
      <c r="AE214" s="20">
        <v>0.45651046080984597</v>
      </c>
      <c r="AF214" s="20">
        <v>0.45309907423201573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Q214" s="37">
        <v>798064.08808363287</v>
      </c>
    </row>
    <row r="215" spans="1:55" s="19" customFormat="1" ht="12.75" x14ac:dyDescent="0.2">
      <c r="A215" s="18" t="s">
        <v>43</v>
      </c>
      <c r="B215" s="19">
        <v>52111</v>
      </c>
      <c r="C215" s="19">
        <v>51481</v>
      </c>
      <c r="D215" s="19">
        <v>51200</v>
      </c>
      <c r="E215" s="19">
        <v>50228</v>
      </c>
      <c r="F215" s="19">
        <v>49666</v>
      </c>
      <c r="G215" s="20">
        <v>0.26920036987865292</v>
      </c>
      <c r="H215" s="20">
        <v>0.26532768466406909</v>
      </c>
      <c r="I215" s="20">
        <v>0.26302811112937696</v>
      </c>
      <c r="J215" s="20">
        <v>0.25962855562619858</v>
      </c>
      <c r="K215" s="20">
        <v>0.25543754982384859</v>
      </c>
      <c r="L215" s="19">
        <v>34207</v>
      </c>
      <c r="M215" s="19">
        <v>34070</v>
      </c>
      <c r="N215" s="19">
        <v>33966</v>
      </c>
      <c r="O215" s="19">
        <v>33504</v>
      </c>
      <c r="P215" s="19">
        <v>33192</v>
      </c>
      <c r="Q215" s="20">
        <v>0.65642570666461975</v>
      </c>
      <c r="R215" s="20">
        <v>0.66179755638002369</v>
      </c>
      <c r="S215" s="20">
        <v>0.66339843750000005</v>
      </c>
      <c r="T215" s="20">
        <v>0.66703830532770569</v>
      </c>
      <c r="U215" s="20">
        <v>0.66830427254057101</v>
      </c>
      <c r="W215" s="19">
        <v>0</v>
      </c>
      <c r="X215" s="19">
        <v>58390</v>
      </c>
      <c r="Y215" s="19">
        <v>58297</v>
      </c>
      <c r="Z215" s="19">
        <v>52399</v>
      </c>
      <c r="AA215" s="19">
        <v>50228</v>
      </c>
      <c r="AB215" s="20">
        <v>0</v>
      </c>
      <c r="AC215" s="20">
        <v>0.28783397416937789</v>
      </c>
      <c r="AD215" s="20">
        <v>0.29770099681346518</v>
      </c>
      <c r="AE215" s="20">
        <v>0.26915589252050814</v>
      </c>
      <c r="AF215" s="20">
        <v>0.25962855562619858</v>
      </c>
      <c r="AG215" s="19">
        <v>0</v>
      </c>
      <c r="AH215" s="19">
        <v>34382</v>
      </c>
      <c r="AI215" s="19">
        <v>35988</v>
      </c>
      <c r="AJ215" s="19">
        <v>33839</v>
      </c>
      <c r="AK215" s="19">
        <v>33504</v>
      </c>
      <c r="AL215" s="20">
        <v>0</v>
      </c>
      <c r="AM215" s="20">
        <v>0.58883370440143856</v>
      </c>
      <c r="AN215" s="20">
        <v>0.61732164605382778</v>
      </c>
      <c r="AO215" s="20">
        <v>0.6457947670757076</v>
      </c>
      <c r="AP215" s="20">
        <v>0.66703830532770569</v>
      </c>
      <c r="AQ215" s="37">
        <v>780660.26289439143</v>
      </c>
    </row>
    <row r="216" spans="1:55" s="19" customFormat="1" ht="12.75" x14ac:dyDescent="0.2">
      <c r="A216" s="18" t="s">
        <v>19</v>
      </c>
      <c r="B216" s="19">
        <v>20229</v>
      </c>
      <c r="C216" s="19">
        <v>20159</v>
      </c>
      <c r="D216" s="19">
        <v>20441</v>
      </c>
      <c r="E216" s="19">
        <v>20430</v>
      </c>
      <c r="F216" s="19">
        <v>20618</v>
      </c>
      <c r="G216" s="20">
        <v>0.10450105126125521</v>
      </c>
      <c r="H216" s="20">
        <v>0.10389737563650607</v>
      </c>
      <c r="I216" s="20">
        <v>0.10501089100772645</v>
      </c>
      <c r="J216" s="20">
        <v>0.10560267960984385</v>
      </c>
      <c r="K216" s="20">
        <v>0.10604057911384267</v>
      </c>
      <c r="L216" s="19">
        <v>14558</v>
      </c>
      <c r="M216" s="19">
        <v>14561</v>
      </c>
      <c r="N216" s="19">
        <v>14936</v>
      </c>
      <c r="O216" s="19">
        <v>15189</v>
      </c>
      <c r="P216" s="19">
        <v>15544</v>
      </c>
      <c r="Q216" s="20">
        <v>0.71965989421128085</v>
      </c>
      <c r="R216" s="20">
        <v>0.72230765414951137</v>
      </c>
      <c r="S216" s="20">
        <v>0.73068832248911497</v>
      </c>
      <c r="T216" s="20">
        <v>0.74346549192364175</v>
      </c>
      <c r="U216" s="20">
        <v>0.75390435541759626</v>
      </c>
      <c r="W216" s="19">
        <v>0</v>
      </c>
      <c r="X216" s="19">
        <v>20491</v>
      </c>
      <c r="Y216" s="19">
        <v>18627</v>
      </c>
      <c r="Z216" s="19">
        <v>20192</v>
      </c>
      <c r="AA216" s="19">
        <v>20430</v>
      </c>
      <c r="AB216" s="20">
        <v>0</v>
      </c>
      <c r="AC216" s="20">
        <v>0.10101054914719511</v>
      </c>
      <c r="AD216" s="20">
        <v>9.5121129177220362E-2</v>
      </c>
      <c r="AE216" s="20">
        <v>0.1037194561303479</v>
      </c>
      <c r="AF216" s="20">
        <v>0.10560267960984385</v>
      </c>
      <c r="AG216" s="19">
        <v>0</v>
      </c>
      <c r="AH216" s="19">
        <v>12138</v>
      </c>
      <c r="AI216" s="19">
        <v>11527</v>
      </c>
      <c r="AJ216" s="19">
        <v>14301</v>
      </c>
      <c r="AK216" s="19">
        <v>15189</v>
      </c>
      <c r="AL216" s="20">
        <v>0</v>
      </c>
      <c r="AM216" s="20">
        <v>0.59235762041872042</v>
      </c>
      <c r="AN216" s="20">
        <v>0.61883287700649592</v>
      </c>
      <c r="AO216" s="20">
        <v>0.70825079239302691</v>
      </c>
      <c r="AP216" s="20">
        <v>0.74346549192364175</v>
      </c>
      <c r="AQ216" s="37">
        <v>309567.26343889063</v>
      </c>
    </row>
    <row r="217" spans="1:55" s="19" customFormat="1" ht="12.75" x14ac:dyDescent="0.2">
      <c r="A217" s="18" t="s">
        <v>76</v>
      </c>
      <c r="B217" s="19">
        <v>33023</v>
      </c>
      <c r="C217" s="19">
        <v>33844</v>
      </c>
      <c r="D217" s="19">
        <v>35005</v>
      </c>
      <c r="E217" s="19">
        <v>35146</v>
      </c>
      <c r="F217" s="19">
        <v>36586</v>
      </c>
      <c r="G217" s="20">
        <v>0.17059361391074354</v>
      </c>
      <c r="H217" s="20">
        <v>0.1744284330096687</v>
      </c>
      <c r="I217" s="20">
        <v>0.179830059181325</v>
      </c>
      <c r="J217" s="20">
        <v>0.18166969053194185</v>
      </c>
      <c r="K217" s="20">
        <v>0.18816571090595829</v>
      </c>
      <c r="L217" s="19">
        <v>29070</v>
      </c>
      <c r="M217" s="19">
        <v>30325</v>
      </c>
      <c r="N217" s="19">
        <v>31363</v>
      </c>
      <c r="O217" s="19">
        <v>31255</v>
      </c>
      <c r="P217" s="19">
        <v>32671</v>
      </c>
      <c r="Q217" s="20">
        <v>0.88029555158525874</v>
      </c>
      <c r="R217" s="20">
        <v>0.89602292873182843</v>
      </c>
      <c r="S217" s="20">
        <v>0.89595772032566778</v>
      </c>
      <c r="T217" s="20">
        <v>0.88929038866442833</v>
      </c>
      <c r="U217" s="20">
        <v>0.89299185480785004</v>
      </c>
      <c r="W217" s="19">
        <v>0</v>
      </c>
      <c r="X217" s="19">
        <v>32399</v>
      </c>
      <c r="Y217" s="19">
        <v>28940</v>
      </c>
      <c r="Z217" s="19">
        <v>33215</v>
      </c>
      <c r="AA217" s="19">
        <v>35146</v>
      </c>
      <c r="AB217" s="20">
        <v>0</v>
      </c>
      <c r="AC217" s="20">
        <v>0.15971113082914326</v>
      </c>
      <c r="AD217" s="20">
        <v>0.14778576681101396</v>
      </c>
      <c r="AE217" s="20">
        <v>0.17061419053929802</v>
      </c>
      <c r="AF217" s="20">
        <v>0.18166969053194185</v>
      </c>
      <c r="AG217" s="19">
        <v>0</v>
      </c>
      <c r="AH217" s="19">
        <v>27780</v>
      </c>
      <c r="AI217" s="19">
        <v>22928</v>
      </c>
      <c r="AJ217" s="19">
        <v>29076</v>
      </c>
      <c r="AK217" s="19">
        <v>31255</v>
      </c>
      <c r="AL217" s="20">
        <v>0</v>
      </c>
      <c r="AM217" s="20">
        <v>0.85743387141578442</v>
      </c>
      <c r="AN217" s="20">
        <v>0.79225984796129922</v>
      </c>
      <c r="AO217" s="20">
        <v>0.8753876260725576</v>
      </c>
      <c r="AP217" s="20">
        <v>0.88929038866442833</v>
      </c>
      <c r="AQ217" s="37">
        <v>569036.42339846445</v>
      </c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</row>
    <row r="218" spans="1:55" s="21" customFormat="1" ht="12.75" x14ac:dyDescent="0.2">
      <c r="A218" s="29" t="s">
        <v>77</v>
      </c>
      <c r="B218" s="21">
        <v>193577</v>
      </c>
      <c r="C218" s="21">
        <v>194028</v>
      </c>
      <c r="D218" s="21">
        <v>194656</v>
      </c>
      <c r="E218" s="21">
        <v>193461</v>
      </c>
      <c r="F218" s="21">
        <v>194435</v>
      </c>
      <c r="G218" s="22">
        <v>1</v>
      </c>
      <c r="H218" s="22">
        <v>1</v>
      </c>
      <c r="I218" s="22">
        <v>1</v>
      </c>
      <c r="J218" s="22">
        <v>1</v>
      </c>
      <c r="K218" s="22">
        <v>1</v>
      </c>
      <c r="L218" s="21">
        <v>77835</v>
      </c>
      <c r="M218" s="21">
        <v>78956</v>
      </c>
      <c r="N218" s="21">
        <v>80265</v>
      </c>
      <c r="O218" s="21">
        <v>79948</v>
      </c>
      <c r="P218" s="21">
        <v>81407</v>
      </c>
      <c r="Q218" s="22">
        <v>0.40208805798209496</v>
      </c>
      <c r="R218" s="22">
        <v>0.40693095841837262</v>
      </c>
      <c r="S218" s="22">
        <v>0.41234279960545783</v>
      </c>
      <c r="T218" s="22">
        <v>0.41325124960586374</v>
      </c>
      <c r="U218" s="22">
        <v>0.41868490755265253</v>
      </c>
      <c r="W218" s="21">
        <v>0</v>
      </c>
      <c r="X218" s="21">
        <v>202860</v>
      </c>
      <c r="Y218" s="21">
        <v>195824</v>
      </c>
      <c r="Z218" s="21">
        <v>194679</v>
      </c>
      <c r="AA218" s="21">
        <v>193461</v>
      </c>
      <c r="AB218" s="22">
        <v>0</v>
      </c>
      <c r="AC218" s="22">
        <v>1</v>
      </c>
      <c r="AD218" s="22">
        <v>1</v>
      </c>
      <c r="AE218" s="22">
        <v>1</v>
      </c>
      <c r="AF218" s="22">
        <v>1</v>
      </c>
      <c r="AG218" s="21">
        <v>0</v>
      </c>
      <c r="AH218" s="21">
        <v>74300</v>
      </c>
      <c r="AI218" s="21">
        <v>70443</v>
      </c>
      <c r="AJ218" s="21">
        <v>77216</v>
      </c>
      <c r="AK218" s="21">
        <v>79948</v>
      </c>
      <c r="AL218" s="22">
        <v>0</v>
      </c>
      <c r="AM218" s="22">
        <v>0.36626244700778865</v>
      </c>
      <c r="AN218" s="22">
        <v>0.35972608056213745</v>
      </c>
      <c r="AO218" s="22">
        <v>0.3966324051387155</v>
      </c>
      <c r="AP218" s="22">
        <v>0.41325124960586374</v>
      </c>
      <c r="AQ218" s="37">
        <v>2457311.5891701556</v>
      </c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</row>
    <row r="219" spans="1:55" s="19" customFormat="1" ht="12.75" x14ac:dyDescent="0.2">
      <c r="A219" s="18"/>
      <c r="AB219" s="20"/>
      <c r="AC219" s="20"/>
      <c r="AD219" s="20"/>
      <c r="AE219" s="20"/>
      <c r="AF219" s="20"/>
      <c r="AL219" s="20"/>
      <c r="AM219" s="20"/>
      <c r="AN219" s="20"/>
      <c r="AO219" s="20"/>
      <c r="AP219" s="20"/>
      <c r="AQ219" s="37">
        <v>1</v>
      </c>
    </row>
    <row r="220" spans="1:55" s="19" customFormat="1" ht="12.75" x14ac:dyDescent="0.2">
      <c r="A220" s="9" t="s">
        <v>70</v>
      </c>
      <c r="B220" s="9" t="s">
        <v>10</v>
      </c>
      <c r="C220" s="9" t="s">
        <v>11</v>
      </c>
      <c r="D220" s="9" t="s">
        <v>12</v>
      </c>
      <c r="E220" s="9" t="s">
        <v>164</v>
      </c>
      <c r="F220" s="9" t="s">
        <v>195</v>
      </c>
      <c r="G220" s="9" t="s">
        <v>10</v>
      </c>
      <c r="H220" s="9" t="s">
        <v>11</v>
      </c>
      <c r="I220" s="9" t="s">
        <v>12</v>
      </c>
      <c r="J220" s="9" t="s">
        <v>164</v>
      </c>
      <c r="K220" s="9" t="s">
        <v>195</v>
      </c>
      <c r="L220" s="9" t="s">
        <v>10</v>
      </c>
      <c r="M220" s="9" t="s">
        <v>11</v>
      </c>
      <c r="N220" s="9" t="s">
        <v>12</v>
      </c>
      <c r="O220" s="9" t="s">
        <v>164</v>
      </c>
      <c r="P220" s="9" t="s">
        <v>195</v>
      </c>
      <c r="Q220" s="9" t="s">
        <v>10</v>
      </c>
      <c r="R220" s="9" t="s">
        <v>11</v>
      </c>
      <c r="S220" s="9" t="s">
        <v>12</v>
      </c>
      <c r="T220" s="9" t="s">
        <v>164</v>
      </c>
      <c r="U220" s="9" t="s">
        <v>195</v>
      </c>
      <c r="V220" s="9"/>
      <c r="W220" s="9" t="s">
        <v>13</v>
      </c>
      <c r="X220" s="9" t="s">
        <v>14</v>
      </c>
      <c r="Y220" s="9" t="s">
        <v>15</v>
      </c>
      <c r="Z220" s="9" t="s">
        <v>16</v>
      </c>
      <c r="AA220" s="9" t="s">
        <v>165</v>
      </c>
      <c r="AB220" s="9" t="s">
        <v>13</v>
      </c>
      <c r="AC220" s="9" t="s">
        <v>14</v>
      </c>
      <c r="AD220" s="9" t="s">
        <v>15</v>
      </c>
      <c r="AE220" s="9" t="s">
        <v>16</v>
      </c>
      <c r="AF220" s="9" t="s">
        <v>165</v>
      </c>
      <c r="AG220" s="9" t="s">
        <v>13</v>
      </c>
      <c r="AH220" s="9" t="s">
        <v>14</v>
      </c>
      <c r="AI220" s="9" t="s">
        <v>15</v>
      </c>
      <c r="AJ220" s="9" t="s">
        <v>16</v>
      </c>
      <c r="AK220" s="9" t="s">
        <v>165</v>
      </c>
      <c r="AL220" s="9" t="s">
        <v>13</v>
      </c>
      <c r="AM220" s="9" t="s">
        <v>14</v>
      </c>
      <c r="AN220" s="9" t="s">
        <v>15</v>
      </c>
      <c r="AO220" s="9" t="s">
        <v>16</v>
      </c>
      <c r="AP220" s="9" t="s">
        <v>165</v>
      </c>
      <c r="AQ220" s="37">
        <v>1</v>
      </c>
    </row>
    <row r="221" spans="1:55" s="19" customFormat="1" ht="12.75" x14ac:dyDescent="0.2">
      <c r="A221" s="18" t="s">
        <v>19</v>
      </c>
      <c r="B221" s="19">
        <v>37914</v>
      </c>
      <c r="C221" s="19">
        <v>37854</v>
      </c>
      <c r="D221" s="19">
        <v>38413</v>
      </c>
      <c r="E221" s="19">
        <v>38133</v>
      </c>
      <c r="F221" s="19">
        <v>38016</v>
      </c>
      <c r="G221" s="20">
        <v>0.41712783162619782</v>
      </c>
      <c r="H221" s="20">
        <v>0.41840106993246606</v>
      </c>
      <c r="I221" s="20">
        <v>0.43426110156461972</v>
      </c>
      <c r="J221" s="20">
        <v>0.43378798047937023</v>
      </c>
      <c r="K221" s="20">
        <v>0.43177920381623036</v>
      </c>
      <c r="L221" s="19">
        <v>26176</v>
      </c>
      <c r="M221" s="19">
        <v>26470</v>
      </c>
      <c r="N221" s="19">
        <v>27002</v>
      </c>
      <c r="O221" s="19">
        <v>27085</v>
      </c>
      <c r="P221" s="19">
        <v>27307</v>
      </c>
      <c r="Q221" s="20">
        <v>0.69040459988394787</v>
      </c>
      <c r="R221" s="20">
        <v>0.69926559940825272</v>
      </c>
      <c r="S221" s="20">
        <v>0.70293910915575453</v>
      </c>
      <c r="T221" s="20">
        <v>0.71027718773765502</v>
      </c>
      <c r="U221" s="20">
        <v>0.71830281986531985</v>
      </c>
      <c r="W221" s="19">
        <v>44287</v>
      </c>
      <c r="X221" s="19">
        <v>43118</v>
      </c>
      <c r="Y221" s="19">
        <v>37073</v>
      </c>
      <c r="Z221" s="19">
        <v>38935</v>
      </c>
      <c r="AA221" s="19">
        <v>38133</v>
      </c>
      <c r="AB221" s="20">
        <v>0.48599741017931214</v>
      </c>
      <c r="AC221" s="20">
        <v>0.47076163857105424</v>
      </c>
      <c r="AD221" s="20">
        <v>0.41883296616392701</v>
      </c>
      <c r="AE221" s="20">
        <v>0.42736872146118721</v>
      </c>
      <c r="AF221" s="20">
        <v>0.43378798047937023</v>
      </c>
      <c r="AG221" s="19">
        <v>25683</v>
      </c>
      <c r="AH221" s="19">
        <v>26522</v>
      </c>
      <c r="AI221" s="19">
        <v>22383</v>
      </c>
      <c r="AJ221" s="19">
        <v>26743</v>
      </c>
      <c r="AK221" s="19">
        <v>27085</v>
      </c>
      <c r="AL221" s="20">
        <v>0.57992187323593836</v>
      </c>
      <c r="AM221" s="20">
        <v>0.61510274131453224</v>
      </c>
      <c r="AN221" s="20">
        <v>0.60375475413373614</v>
      </c>
      <c r="AO221" s="20">
        <v>0.68686271991781178</v>
      </c>
      <c r="AP221" s="20">
        <v>0.71027718773765502</v>
      </c>
      <c r="AQ221" s="37">
        <v>654343.08921449678</v>
      </c>
    </row>
    <row r="222" spans="1:55" s="19" customFormat="1" ht="12.75" x14ac:dyDescent="0.2">
      <c r="A222" s="18" t="s">
        <v>43</v>
      </c>
      <c r="B222" s="19">
        <v>24827</v>
      </c>
      <c r="C222" s="19">
        <v>24642</v>
      </c>
      <c r="D222" s="19">
        <v>22726</v>
      </c>
      <c r="E222" s="19">
        <v>22601</v>
      </c>
      <c r="F222" s="19">
        <v>22651</v>
      </c>
      <c r="G222" s="20">
        <v>0.27314534672637059</v>
      </c>
      <c r="H222" s="20">
        <v>0.27236855194367382</v>
      </c>
      <c r="I222" s="20">
        <v>0.25691869403997469</v>
      </c>
      <c r="J222" s="20">
        <v>0.2571012547351178</v>
      </c>
      <c r="K222" s="20">
        <v>0.2572661707081606</v>
      </c>
      <c r="L222" s="19">
        <v>23870</v>
      </c>
      <c r="M222" s="19">
        <v>23661</v>
      </c>
      <c r="N222" s="19">
        <v>21556</v>
      </c>
      <c r="O222" s="19">
        <v>21449</v>
      </c>
      <c r="P222" s="19">
        <v>21444</v>
      </c>
      <c r="Q222" s="20">
        <v>0.96145325653522373</v>
      </c>
      <c r="R222" s="20">
        <v>0.96018991964937905</v>
      </c>
      <c r="S222" s="20">
        <v>0.94851711695854968</v>
      </c>
      <c r="T222" s="20">
        <v>0.94902880403521972</v>
      </c>
      <c r="U222" s="20">
        <v>0.94671316939649464</v>
      </c>
      <c r="W222" s="19">
        <v>15497</v>
      </c>
      <c r="X222" s="19">
        <v>17567</v>
      </c>
      <c r="Y222" s="19">
        <v>23421</v>
      </c>
      <c r="Z222" s="19">
        <v>23738</v>
      </c>
      <c r="AA222" s="19">
        <v>22601</v>
      </c>
      <c r="AB222" s="20">
        <v>0.17006123389592431</v>
      </c>
      <c r="AC222" s="20">
        <v>0.19179622674469385</v>
      </c>
      <c r="AD222" s="20">
        <v>0.26459922047110657</v>
      </c>
      <c r="AE222" s="20">
        <v>0.2605593607305936</v>
      </c>
      <c r="AF222" s="20">
        <v>0.2571012547351178</v>
      </c>
      <c r="AG222" s="19">
        <v>14830</v>
      </c>
      <c r="AH222" s="19">
        <v>16789</v>
      </c>
      <c r="AI222" s="19">
        <v>22598</v>
      </c>
      <c r="AJ222" s="19">
        <v>22851</v>
      </c>
      <c r="AK222" s="19">
        <v>21449</v>
      </c>
      <c r="AL222" s="20">
        <v>0.95695941149899977</v>
      </c>
      <c r="AM222" s="20">
        <v>0.95571241532418738</v>
      </c>
      <c r="AN222" s="20">
        <v>0.96486059519234879</v>
      </c>
      <c r="AO222" s="20">
        <v>0.96263375179037824</v>
      </c>
      <c r="AP222" s="20">
        <v>0.94902880403521972</v>
      </c>
      <c r="AQ222" s="37">
        <v>430780.01601455914</v>
      </c>
    </row>
    <row r="223" spans="1:55" s="19" customFormat="1" ht="12.75" x14ac:dyDescent="0.2">
      <c r="A223" s="18" t="s">
        <v>30</v>
      </c>
      <c r="B223" s="19">
        <v>3966</v>
      </c>
      <c r="C223" s="19">
        <v>3937</v>
      </c>
      <c r="D223" s="19">
        <v>3473</v>
      </c>
      <c r="E223" s="19">
        <v>3216</v>
      </c>
      <c r="F223" s="19">
        <v>3264</v>
      </c>
      <c r="G223" s="20">
        <v>4.363372316900091E-2</v>
      </c>
      <c r="H223" s="20">
        <v>4.3515745028903652E-2</v>
      </c>
      <c r="I223" s="20">
        <v>3.9262458171294201E-2</v>
      </c>
      <c r="J223" s="20">
        <v>3.6584117305789074E-2</v>
      </c>
      <c r="K223" s="20">
        <v>3.7071951842807656E-2</v>
      </c>
      <c r="L223" s="19">
        <v>3795</v>
      </c>
      <c r="M223" s="19">
        <v>3788</v>
      </c>
      <c r="N223" s="19">
        <v>3324</v>
      </c>
      <c r="O223" s="19">
        <v>3094</v>
      </c>
      <c r="P223" s="19">
        <v>3145</v>
      </c>
      <c r="Q223" s="20">
        <v>0.9568835098335855</v>
      </c>
      <c r="R223" s="20">
        <v>0.96215392430784863</v>
      </c>
      <c r="S223" s="20">
        <v>0.95709761013532968</v>
      </c>
      <c r="T223" s="20">
        <v>0.96206467661691542</v>
      </c>
      <c r="U223" s="20">
        <v>0.96354166666666663</v>
      </c>
      <c r="W223" s="19">
        <v>4065</v>
      </c>
      <c r="X223" s="19">
        <v>3640</v>
      </c>
      <c r="Y223" s="19">
        <v>3664</v>
      </c>
      <c r="Z223" s="19">
        <v>4033</v>
      </c>
      <c r="AA223" s="19">
        <v>3216</v>
      </c>
      <c r="AB223" s="20">
        <v>4.4608563966376226E-2</v>
      </c>
      <c r="AC223" s="20">
        <v>3.9741462136431129E-2</v>
      </c>
      <c r="AD223" s="20">
        <v>4.1394113991978759E-2</v>
      </c>
      <c r="AE223" s="20">
        <v>4.4268089216719354E-2</v>
      </c>
      <c r="AF223" s="20">
        <v>3.6584117305789074E-2</v>
      </c>
      <c r="AG223" s="19">
        <v>3848</v>
      </c>
      <c r="AH223" s="19">
        <v>3408</v>
      </c>
      <c r="AI223" s="19">
        <v>3458</v>
      </c>
      <c r="AJ223" s="19">
        <v>3851</v>
      </c>
      <c r="AK223" s="19">
        <v>3094</v>
      </c>
      <c r="AL223" s="20">
        <v>0.94661746617466169</v>
      </c>
      <c r="AM223" s="20">
        <v>0.93626373626373627</v>
      </c>
      <c r="AN223" s="20">
        <v>0.94377729257641918</v>
      </c>
      <c r="AO223" s="20">
        <v>0.9548723034961567</v>
      </c>
      <c r="AP223" s="20">
        <v>0.96206467661691542</v>
      </c>
      <c r="AQ223" s="37">
        <v>71288.952001204831</v>
      </c>
    </row>
    <row r="224" spans="1:55" s="19" customFormat="1" ht="12.75" x14ac:dyDescent="0.2">
      <c r="A224" s="18" t="s">
        <v>76</v>
      </c>
      <c r="B224" s="19">
        <v>24186</v>
      </c>
      <c r="C224" s="19">
        <v>24040</v>
      </c>
      <c r="D224" s="19">
        <v>23844</v>
      </c>
      <c r="E224" s="19">
        <v>23957</v>
      </c>
      <c r="F224" s="19">
        <v>24114</v>
      </c>
      <c r="G224" s="20">
        <v>0.26609309847843066</v>
      </c>
      <c r="H224" s="20">
        <v>0.26571463309495652</v>
      </c>
      <c r="I224" s="20">
        <v>0.26955774622411144</v>
      </c>
      <c r="J224" s="20">
        <v>0.27252664747972288</v>
      </c>
      <c r="K224" s="20">
        <v>0.27388267363280139</v>
      </c>
      <c r="L224" s="19">
        <v>23193</v>
      </c>
      <c r="M224" s="19">
        <v>22959</v>
      </c>
      <c r="N224" s="19">
        <v>22909</v>
      </c>
      <c r="O224" s="19">
        <v>23140</v>
      </c>
      <c r="P224" s="19">
        <v>23289</v>
      </c>
      <c r="Q224" s="20">
        <v>0.9589431902753659</v>
      </c>
      <c r="R224" s="20">
        <v>0.9550332778702163</v>
      </c>
      <c r="S224" s="20">
        <v>0.96078678074148638</v>
      </c>
      <c r="T224" s="20">
        <v>0.96589723254163706</v>
      </c>
      <c r="U224" s="20">
        <v>0.96578750933067925</v>
      </c>
      <c r="W224" s="19">
        <v>27277</v>
      </c>
      <c r="X224" s="19">
        <v>27267</v>
      </c>
      <c r="Y224" s="19">
        <v>24357</v>
      </c>
      <c r="Z224" s="19">
        <v>24398</v>
      </c>
      <c r="AA224" s="19">
        <v>23957</v>
      </c>
      <c r="AB224" s="20">
        <v>0.2993327919583873</v>
      </c>
      <c r="AC224" s="20">
        <v>0.29770067254782079</v>
      </c>
      <c r="AD224" s="20">
        <v>0.27517369937298763</v>
      </c>
      <c r="AE224" s="20">
        <v>0.26780382859149982</v>
      </c>
      <c r="AF224" s="20">
        <v>0.27252664747972288</v>
      </c>
      <c r="AG224" s="19">
        <v>26503</v>
      </c>
      <c r="AH224" s="19">
        <v>26191</v>
      </c>
      <c r="AI224" s="19">
        <v>23343</v>
      </c>
      <c r="AJ224" s="19">
        <v>23407</v>
      </c>
      <c r="AK224" s="19">
        <v>23140</v>
      </c>
      <c r="AL224" s="20">
        <v>0.97162444550353777</v>
      </c>
      <c r="AM224" s="20">
        <v>0.96053837972640921</v>
      </c>
      <c r="AN224" s="20">
        <v>0.95836925729769673</v>
      </c>
      <c r="AO224" s="20">
        <v>0.95938191655053695</v>
      </c>
      <c r="AP224" s="20">
        <v>0.96589723254163706</v>
      </c>
      <c r="AQ224" s="37">
        <v>485483.3825716612</v>
      </c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</row>
    <row r="225" spans="1:55" s="21" customFormat="1" ht="12.75" x14ac:dyDescent="0.2">
      <c r="A225" s="29" t="s">
        <v>77</v>
      </c>
      <c r="B225" s="21">
        <v>90893</v>
      </c>
      <c r="C225" s="21">
        <v>90473</v>
      </c>
      <c r="D225" s="21">
        <v>88456</v>
      </c>
      <c r="E225" s="21">
        <v>87907</v>
      </c>
      <c r="F225" s="21">
        <v>88045</v>
      </c>
      <c r="G225" s="22">
        <v>1</v>
      </c>
      <c r="H225" s="22">
        <v>1</v>
      </c>
      <c r="I225" s="22">
        <v>1</v>
      </c>
      <c r="J225" s="22">
        <v>1</v>
      </c>
      <c r="K225" s="22">
        <v>1</v>
      </c>
      <c r="L225" s="21">
        <v>77034</v>
      </c>
      <c r="M225" s="21">
        <v>76878</v>
      </c>
      <c r="N225" s="21">
        <v>74791</v>
      </c>
      <c r="O225" s="21">
        <v>74768</v>
      </c>
      <c r="P225" s="21">
        <v>75185</v>
      </c>
      <c r="Q225" s="22">
        <v>0.84752401175007974</v>
      </c>
      <c r="R225" s="22">
        <v>0.84973417483669156</v>
      </c>
      <c r="S225" s="22">
        <v>0.84551641494076146</v>
      </c>
      <c r="T225" s="22">
        <v>0.85053522472613108</v>
      </c>
      <c r="U225" s="22">
        <v>0.8539383269918791</v>
      </c>
      <c r="W225" s="21">
        <v>91126</v>
      </c>
      <c r="X225" s="21">
        <v>91592</v>
      </c>
      <c r="Y225" s="21">
        <v>88515</v>
      </c>
      <c r="Z225" s="21">
        <v>91104</v>
      </c>
      <c r="AA225" s="21">
        <v>87907</v>
      </c>
      <c r="AB225" s="22">
        <v>1</v>
      </c>
      <c r="AC225" s="22">
        <v>1</v>
      </c>
      <c r="AD225" s="22">
        <v>1</v>
      </c>
      <c r="AE225" s="22">
        <v>1</v>
      </c>
      <c r="AF225" s="22">
        <v>1</v>
      </c>
      <c r="AG225" s="21">
        <v>70864</v>
      </c>
      <c r="AH225" s="21">
        <v>72910</v>
      </c>
      <c r="AI225" s="21">
        <v>71782</v>
      </c>
      <c r="AJ225" s="21">
        <v>76852</v>
      </c>
      <c r="AK225" s="21">
        <v>74768</v>
      </c>
      <c r="AL225" s="22">
        <v>0.77764853060597416</v>
      </c>
      <c r="AM225" s="22">
        <v>0.7960302209799982</v>
      </c>
      <c r="AN225" s="22">
        <v>0.81095859458848785</v>
      </c>
      <c r="AO225" s="22">
        <v>0.84356340007024944</v>
      </c>
      <c r="AP225" s="22">
        <v>0.85053522472613108</v>
      </c>
      <c r="AQ225" s="37">
        <v>1641868.3259841241</v>
      </c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</row>
    <row r="226" spans="1:55" s="19" customFormat="1" ht="12.75" x14ac:dyDescent="0.2">
      <c r="A226" s="18"/>
      <c r="AB226" s="20"/>
      <c r="AC226" s="20"/>
      <c r="AD226" s="20"/>
      <c r="AE226" s="20"/>
      <c r="AF226" s="20"/>
      <c r="AL226" s="20"/>
      <c r="AM226" s="20"/>
      <c r="AN226" s="20"/>
      <c r="AO226" s="20"/>
      <c r="AP226" s="20"/>
      <c r="AQ226" s="37">
        <v>1</v>
      </c>
    </row>
    <row r="227" spans="1:55" s="19" customFormat="1" ht="12.75" x14ac:dyDescent="0.2">
      <c r="A227" s="9" t="s">
        <v>72</v>
      </c>
      <c r="B227" s="9" t="s">
        <v>10</v>
      </c>
      <c r="C227" s="9" t="s">
        <v>11</v>
      </c>
      <c r="D227" s="9" t="s">
        <v>12</v>
      </c>
      <c r="E227" s="9" t="s">
        <v>164</v>
      </c>
      <c r="F227" s="9" t="s">
        <v>195</v>
      </c>
      <c r="G227" s="9" t="s">
        <v>10</v>
      </c>
      <c r="H227" s="9" t="s">
        <v>11</v>
      </c>
      <c r="I227" s="9" t="s">
        <v>12</v>
      </c>
      <c r="J227" s="9" t="s">
        <v>164</v>
      </c>
      <c r="K227" s="9" t="s">
        <v>195</v>
      </c>
      <c r="L227" s="9" t="s">
        <v>10</v>
      </c>
      <c r="M227" s="9" t="s">
        <v>11</v>
      </c>
      <c r="N227" s="9" t="s">
        <v>12</v>
      </c>
      <c r="O227" s="9" t="s">
        <v>164</v>
      </c>
      <c r="P227" s="9" t="s">
        <v>195</v>
      </c>
      <c r="Q227" s="9" t="s">
        <v>10</v>
      </c>
      <c r="R227" s="9" t="s">
        <v>11</v>
      </c>
      <c r="S227" s="9" t="s">
        <v>12</v>
      </c>
      <c r="T227" s="9" t="s">
        <v>164</v>
      </c>
      <c r="U227" s="9" t="s">
        <v>195</v>
      </c>
      <c r="V227" s="9"/>
      <c r="W227" s="9" t="s">
        <v>13</v>
      </c>
      <c r="X227" s="9" t="s">
        <v>14</v>
      </c>
      <c r="Y227" s="9" t="s">
        <v>15</v>
      </c>
      <c r="Z227" s="9" t="s">
        <v>16</v>
      </c>
      <c r="AA227" s="9" t="s">
        <v>165</v>
      </c>
      <c r="AB227" s="9" t="s">
        <v>13</v>
      </c>
      <c r="AC227" s="9" t="s">
        <v>14</v>
      </c>
      <c r="AD227" s="9" t="s">
        <v>15</v>
      </c>
      <c r="AE227" s="9" t="s">
        <v>16</v>
      </c>
      <c r="AF227" s="9" t="s">
        <v>165</v>
      </c>
      <c r="AG227" s="9" t="s">
        <v>13</v>
      </c>
      <c r="AH227" s="9" t="s">
        <v>14</v>
      </c>
      <c r="AI227" s="9" t="s">
        <v>15</v>
      </c>
      <c r="AJ227" s="9" t="s">
        <v>16</v>
      </c>
      <c r="AK227" s="9" t="s">
        <v>165</v>
      </c>
      <c r="AL227" s="9" t="s">
        <v>13</v>
      </c>
      <c r="AM227" s="9" t="s">
        <v>14</v>
      </c>
      <c r="AN227" s="9" t="s">
        <v>15</v>
      </c>
      <c r="AO227" s="9" t="s">
        <v>16</v>
      </c>
      <c r="AP227" s="9" t="s">
        <v>165</v>
      </c>
      <c r="AQ227" s="37">
        <v>1</v>
      </c>
    </row>
    <row r="228" spans="1:55" s="19" customFormat="1" ht="12.75" x14ac:dyDescent="0.2">
      <c r="A228" s="18" t="s">
        <v>22</v>
      </c>
      <c r="B228" s="19">
        <v>35441</v>
      </c>
      <c r="C228" s="19">
        <v>35552</v>
      </c>
      <c r="D228" s="19">
        <v>35712</v>
      </c>
      <c r="E228" s="19">
        <v>35634</v>
      </c>
      <c r="F228" s="19">
        <v>35471</v>
      </c>
      <c r="G228" s="20">
        <v>0.99497473329590114</v>
      </c>
      <c r="H228" s="20">
        <v>0.99499034451876522</v>
      </c>
      <c r="I228" s="20">
        <v>0.99326917728208264</v>
      </c>
      <c r="J228" s="20">
        <v>0.99154098725582951</v>
      </c>
      <c r="K228" s="20">
        <v>0.98486783651710352</v>
      </c>
      <c r="L228" s="19">
        <v>3899</v>
      </c>
      <c r="M228" s="19">
        <v>3750</v>
      </c>
      <c r="N228" s="19">
        <v>3598</v>
      </c>
      <c r="O228" s="19">
        <v>3550</v>
      </c>
      <c r="P228" s="19">
        <v>3493</v>
      </c>
      <c r="Q228" s="20">
        <v>0.11001382579498321</v>
      </c>
      <c r="R228" s="20">
        <v>0.10547929792979298</v>
      </c>
      <c r="S228" s="20">
        <v>0.10075044802867383</v>
      </c>
      <c r="T228" s="20">
        <v>9.9623954650053317E-2</v>
      </c>
      <c r="U228" s="20">
        <v>9.8474810408502714E-2</v>
      </c>
      <c r="W228" s="19">
        <v>35881</v>
      </c>
      <c r="X228" s="19">
        <v>36058</v>
      </c>
      <c r="Y228" s="19">
        <v>35191</v>
      </c>
      <c r="Z228" s="19">
        <v>35468</v>
      </c>
      <c r="AA228" s="19">
        <v>35634</v>
      </c>
      <c r="AB228" s="20">
        <v>0.99824727353661247</v>
      </c>
      <c r="AC228" s="20">
        <v>0.9967106172429997</v>
      </c>
      <c r="AD228" s="20">
        <v>0.99527688217659371</v>
      </c>
      <c r="AE228" s="20">
        <v>0.9949506283662477</v>
      </c>
      <c r="AF228" s="20">
        <v>0.99154098725582951</v>
      </c>
      <c r="AG228" s="19">
        <v>2996</v>
      </c>
      <c r="AH228" s="19">
        <v>5479</v>
      </c>
      <c r="AI228" s="19">
        <v>4537</v>
      </c>
      <c r="AJ228" s="19">
        <v>4192</v>
      </c>
      <c r="AK228" s="19">
        <v>3550</v>
      </c>
      <c r="AL228" s="20">
        <v>8.349823026114099E-2</v>
      </c>
      <c r="AM228" s="20">
        <v>0.15194963669643352</v>
      </c>
      <c r="AN228" s="20">
        <v>0.12892500923531586</v>
      </c>
      <c r="AO228" s="20">
        <v>0.11819104544941919</v>
      </c>
      <c r="AP228" s="20">
        <v>9.9623954650053317E-2</v>
      </c>
      <c r="AQ228" s="37">
        <v>395097.03289968061</v>
      </c>
    </row>
    <row r="229" spans="1:55" s="19" customFormat="1" ht="12.75" x14ac:dyDescent="0.2">
      <c r="A229" s="18" t="s">
        <v>76</v>
      </c>
      <c r="B229" s="19">
        <v>179</v>
      </c>
      <c r="C229" s="19">
        <v>179</v>
      </c>
      <c r="D229" s="19">
        <v>242</v>
      </c>
      <c r="E229" s="19">
        <v>304</v>
      </c>
      <c r="F229" s="19">
        <v>545</v>
      </c>
      <c r="G229" s="20">
        <v>5.0252667040988205E-3</v>
      </c>
      <c r="H229" s="20">
        <v>5.0096554812347821E-3</v>
      </c>
      <c r="I229" s="20">
        <v>6.7308227179173384E-3</v>
      </c>
      <c r="J229" s="20">
        <v>8.4590127441705153E-3</v>
      </c>
      <c r="K229" s="20">
        <v>1.5132163482896491E-2</v>
      </c>
      <c r="L229" s="19">
        <v>162</v>
      </c>
      <c r="M229" s="19">
        <v>161</v>
      </c>
      <c r="N229" s="19">
        <v>163</v>
      </c>
      <c r="O229" s="19">
        <v>264</v>
      </c>
      <c r="P229" s="19">
        <v>490</v>
      </c>
      <c r="Q229" s="20">
        <v>0.9050279329608939</v>
      </c>
      <c r="R229" s="20">
        <v>0.8994413407821229</v>
      </c>
      <c r="S229" s="20">
        <v>0.67355371900826444</v>
      </c>
      <c r="T229" s="20">
        <v>0.86842105263157898</v>
      </c>
      <c r="U229" s="20">
        <v>0.8990825688073395</v>
      </c>
      <c r="W229" s="19">
        <v>63</v>
      </c>
      <c r="X229" s="19">
        <v>119</v>
      </c>
      <c r="Y229" s="19">
        <v>167</v>
      </c>
      <c r="Z229" s="19">
        <v>180</v>
      </c>
      <c r="AA229" s="19">
        <v>304</v>
      </c>
      <c r="AB229" s="20">
        <v>1.7527264633874916E-3</v>
      </c>
      <c r="AC229" s="20">
        <v>3.289382757000304E-3</v>
      </c>
      <c r="AD229" s="20">
        <v>4.7231178234063012E-3</v>
      </c>
      <c r="AE229" s="20">
        <v>5.0493716337522438E-3</v>
      </c>
      <c r="AF229" s="20">
        <v>8.4590127441705153E-3</v>
      </c>
      <c r="AG229" s="19">
        <v>63</v>
      </c>
      <c r="AH229" s="19">
        <v>118</v>
      </c>
      <c r="AI229" s="19">
        <v>161</v>
      </c>
      <c r="AJ229" s="19">
        <v>171</v>
      </c>
      <c r="AK229" s="19">
        <v>264</v>
      </c>
      <c r="AL229" s="20">
        <v>1</v>
      </c>
      <c r="AM229" s="20">
        <v>0.99159663865546221</v>
      </c>
      <c r="AN229" s="20">
        <v>0.9640718562874252</v>
      </c>
      <c r="AO229" s="20">
        <v>0.95</v>
      </c>
      <c r="AP229" s="20">
        <v>0.86842105263157898</v>
      </c>
      <c r="AQ229" s="37">
        <v>4308.0832466943175</v>
      </c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</row>
    <row r="230" spans="1:55" s="21" customFormat="1" ht="12.75" x14ac:dyDescent="0.2">
      <c r="A230" s="29" t="s">
        <v>77</v>
      </c>
      <c r="B230" s="21">
        <v>35620</v>
      </c>
      <c r="C230" s="21">
        <v>35731</v>
      </c>
      <c r="D230" s="21">
        <v>35954</v>
      </c>
      <c r="E230" s="21">
        <v>35938</v>
      </c>
      <c r="F230" s="21">
        <v>36016</v>
      </c>
      <c r="G230" s="22">
        <v>1</v>
      </c>
      <c r="H230" s="22">
        <v>1</v>
      </c>
      <c r="I230" s="22">
        <v>1</v>
      </c>
      <c r="J230" s="22">
        <v>1</v>
      </c>
      <c r="K230" s="22">
        <v>1</v>
      </c>
      <c r="L230" s="21">
        <v>4061</v>
      </c>
      <c r="M230" s="21">
        <v>3911</v>
      </c>
      <c r="N230" s="21">
        <v>3761</v>
      </c>
      <c r="O230" s="21">
        <v>3814</v>
      </c>
      <c r="P230" s="21">
        <v>3983</v>
      </c>
      <c r="Q230" s="22">
        <v>0.11400898371701292</v>
      </c>
      <c r="R230" s="22">
        <v>0.10945677422966052</v>
      </c>
      <c r="S230" s="22">
        <v>0.10460588529788062</v>
      </c>
      <c r="T230" s="22">
        <v>0.10612721909956035</v>
      </c>
      <c r="U230" s="22">
        <v>0.11058973789426921</v>
      </c>
      <c r="W230" s="21">
        <v>35944</v>
      </c>
      <c r="X230" s="21">
        <v>36177</v>
      </c>
      <c r="Y230" s="21">
        <v>35358</v>
      </c>
      <c r="Z230" s="21">
        <v>35648</v>
      </c>
      <c r="AA230" s="21">
        <v>35938</v>
      </c>
      <c r="AB230" s="22">
        <v>1</v>
      </c>
      <c r="AC230" s="22">
        <v>1</v>
      </c>
      <c r="AD230" s="22">
        <v>1</v>
      </c>
      <c r="AE230" s="22">
        <v>1</v>
      </c>
      <c r="AF230" s="22">
        <v>1</v>
      </c>
      <c r="AG230" s="21">
        <v>3059</v>
      </c>
      <c r="AH230" s="21">
        <v>5597</v>
      </c>
      <c r="AI230" s="21">
        <v>4698</v>
      </c>
      <c r="AJ230" s="21">
        <v>4363</v>
      </c>
      <c r="AK230" s="21">
        <v>3814</v>
      </c>
      <c r="AL230" s="22">
        <v>8.5104607166703761E-2</v>
      </c>
      <c r="AM230" s="22">
        <v>0.15471155706664455</v>
      </c>
      <c r="AN230" s="22">
        <v>0.13286950619378923</v>
      </c>
      <c r="AO230" s="22">
        <v>0.12239115798922801</v>
      </c>
      <c r="AP230" s="22">
        <v>0.10612721909956035</v>
      </c>
      <c r="AQ230" s="37">
        <v>399396.1459926478</v>
      </c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20" priority="1"/>
  </conditionalFormatting>
  <dataValidations count="1">
    <dataValidation type="list" allowBlank="1" showInputMessage="1" showErrorMessage="1" sqref="A193:A195 A200:A202 A207:A209 A214:A216 A221:A223 A228">
      <formula1>$A$16:$A$80</formula1>
    </dataValidation>
  </dataValidations>
  <hyperlinks>
    <hyperlink ref="B1" location="Contents!A1" display="Back to Content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222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D1" sqref="D1"/>
    </sheetView>
  </sheetViews>
  <sheetFormatPr defaultRowHeight="15" x14ac:dyDescent="0.25"/>
  <cols>
    <col min="1" max="1" width="25.28515625" customWidth="1"/>
    <col min="2" max="6" width="12.5703125" customWidth="1"/>
    <col min="7" max="11" width="12.5703125" style="48" customWidth="1"/>
    <col min="12" max="16" width="12.5703125" customWidth="1"/>
    <col min="17" max="21" width="12.5703125" style="48" customWidth="1"/>
    <col min="22" max="27" width="12.5703125" customWidth="1"/>
    <col min="28" max="32" width="12.5703125" style="48" customWidth="1"/>
    <col min="33" max="37" width="12.5703125" customWidth="1"/>
    <col min="38" max="42" width="12.5703125" style="48" customWidth="1"/>
  </cols>
  <sheetData>
    <row r="1" spans="1:50" x14ac:dyDescent="0.25">
      <c r="A1" s="21" t="s">
        <v>96</v>
      </c>
      <c r="B1" s="58" t="s">
        <v>153</v>
      </c>
      <c r="W1" s="21" t="s">
        <v>1</v>
      </c>
    </row>
    <row r="2" spans="1:50" x14ac:dyDescent="0.25">
      <c r="A2" s="1" t="s">
        <v>183</v>
      </c>
      <c r="B2" s="2"/>
      <c r="C2" s="2"/>
      <c r="D2" s="3"/>
      <c r="E2" s="3"/>
      <c r="F2" s="3"/>
      <c r="G2" s="8"/>
      <c r="H2" s="105"/>
      <c r="I2" s="105"/>
      <c r="J2" s="105"/>
      <c r="K2" s="105"/>
      <c r="L2" s="4"/>
      <c r="M2" s="4"/>
      <c r="N2" s="4"/>
      <c r="O2" s="3"/>
      <c r="P2" s="3"/>
      <c r="Q2" s="8"/>
      <c r="R2" s="8"/>
      <c r="S2" s="8"/>
      <c r="T2" s="8"/>
      <c r="U2" s="8"/>
      <c r="V2" s="3"/>
      <c r="W2" s="5"/>
      <c r="X2" s="6"/>
      <c r="Y2" s="6"/>
      <c r="Z2" s="6"/>
      <c r="AA2" s="7"/>
      <c r="AB2" s="8"/>
      <c r="AC2" s="8"/>
      <c r="AD2" s="8"/>
      <c r="AE2" s="8"/>
      <c r="AF2" s="8"/>
      <c r="AG2" s="6"/>
      <c r="AH2" s="3"/>
      <c r="AI2" s="8"/>
      <c r="AJ2" s="8"/>
      <c r="AK2" s="8"/>
      <c r="AL2" s="8"/>
      <c r="AM2" s="106"/>
      <c r="AN2" s="106"/>
      <c r="AO2" s="106"/>
      <c r="AP2" s="106"/>
    </row>
    <row r="3" spans="1:50" x14ac:dyDescent="0.25">
      <c r="A3" s="64"/>
      <c r="B3" s="2"/>
      <c r="C3" s="2"/>
      <c r="D3" s="3"/>
      <c r="E3" s="3"/>
      <c r="F3" s="3"/>
      <c r="G3" s="8"/>
      <c r="H3" s="105"/>
      <c r="I3" s="105"/>
      <c r="J3" s="105"/>
      <c r="K3" s="105"/>
      <c r="L3" s="4"/>
      <c r="M3" s="4"/>
      <c r="N3" s="4"/>
      <c r="O3" s="3"/>
      <c r="P3" s="3"/>
      <c r="Q3" s="8"/>
      <c r="R3" s="8"/>
      <c r="S3" s="8"/>
      <c r="T3" s="8"/>
      <c r="U3" s="8"/>
      <c r="V3" s="3"/>
      <c r="W3" s="5"/>
      <c r="X3" s="6"/>
      <c r="Y3" s="6"/>
      <c r="Z3" s="6"/>
      <c r="AA3" s="7"/>
      <c r="AB3" s="8"/>
      <c r="AC3" s="8"/>
      <c r="AD3" s="8"/>
      <c r="AE3" s="8"/>
      <c r="AF3" s="8"/>
      <c r="AG3" s="6"/>
      <c r="AH3" s="3"/>
      <c r="AI3" s="8"/>
      <c r="AJ3" s="8"/>
      <c r="AK3" s="8"/>
      <c r="AL3" s="8"/>
      <c r="AM3" s="106"/>
      <c r="AN3" s="106"/>
      <c r="AO3" s="106"/>
      <c r="AP3" s="106"/>
    </row>
    <row r="4" spans="1:50" s="19" customFormat="1" ht="12.75" x14ac:dyDescent="0.2">
      <c r="A4" s="9" t="s">
        <v>194</v>
      </c>
      <c r="B4" s="10" t="s">
        <v>2</v>
      </c>
      <c r="C4" s="10" t="s">
        <v>81</v>
      </c>
      <c r="D4" s="4"/>
      <c r="E4" s="11"/>
      <c r="F4" s="12"/>
      <c r="G4" s="16"/>
      <c r="H4" s="105"/>
      <c r="I4" s="105"/>
      <c r="J4" s="105"/>
      <c r="K4" s="105"/>
      <c r="L4" s="4"/>
      <c r="M4" s="4"/>
      <c r="N4" s="4"/>
      <c r="O4" s="12"/>
      <c r="P4" s="12"/>
      <c r="Q4" s="16"/>
      <c r="R4" s="16"/>
      <c r="S4" s="16"/>
      <c r="T4" s="16"/>
      <c r="U4" s="16"/>
      <c r="V4" s="12"/>
      <c r="W4" s="13" t="s">
        <v>167</v>
      </c>
      <c r="X4" s="13"/>
      <c r="Y4" s="13" t="s">
        <v>2</v>
      </c>
      <c r="Z4" s="13" t="s">
        <v>81</v>
      </c>
      <c r="AA4" s="14"/>
      <c r="AB4" s="16"/>
      <c r="AC4" s="16"/>
      <c r="AD4" s="16"/>
      <c r="AE4" s="16"/>
      <c r="AF4" s="16"/>
      <c r="AG4" s="15"/>
      <c r="AH4" s="12"/>
      <c r="AI4" s="16"/>
      <c r="AJ4" s="16"/>
      <c r="AK4" s="16"/>
      <c r="AL4" s="16"/>
      <c r="AM4" s="106"/>
      <c r="AN4" s="106"/>
      <c r="AO4" s="106"/>
      <c r="AP4" s="106"/>
      <c r="AQ4" s="37"/>
      <c r="AW4" s="19" t="s">
        <v>168</v>
      </c>
      <c r="AX4" s="19" t="s">
        <v>168</v>
      </c>
    </row>
    <row r="5" spans="1:50" s="19" customFormat="1" ht="12.75" x14ac:dyDescent="0.2">
      <c r="A5" s="1" t="s">
        <v>4</v>
      </c>
      <c r="B5" s="166" t="s">
        <v>5</v>
      </c>
      <c r="C5" s="166"/>
      <c r="D5" s="166"/>
      <c r="E5" s="166"/>
      <c r="F5" s="166"/>
      <c r="G5" s="167" t="s">
        <v>6</v>
      </c>
      <c r="H5" s="167"/>
      <c r="I5" s="167"/>
      <c r="J5" s="167"/>
      <c r="K5" s="167"/>
      <c r="L5" s="166" t="s">
        <v>7</v>
      </c>
      <c r="M5" s="166"/>
      <c r="N5" s="166"/>
      <c r="O5" s="166"/>
      <c r="P5" s="166"/>
      <c r="Q5" s="167" t="s">
        <v>8</v>
      </c>
      <c r="R5" s="167"/>
      <c r="S5" s="167"/>
      <c r="T5" s="167"/>
      <c r="U5" s="167"/>
      <c r="V5" s="63"/>
      <c r="W5" s="168" t="s">
        <v>5</v>
      </c>
      <c r="X5" s="168"/>
      <c r="Y5" s="168"/>
      <c r="Z5" s="168"/>
      <c r="AA5" s="168"/>
      <c r="AB5" s="167" t="s">
        <v>6</v>
      </c>
      <c r="AC5" s="167"/>
      <c r="AD5" s="167"/>
      <c r="AE5" s="167"/>
      <c r="AF5" s="167"/>
      <c r="AG5" s="168" t="s">
        <v>7</v>
      </c>
      <c r="AH5" s="168"/>
      <c r="AI5" s="168"/>
      <c r="AJ5" s="168"/>
      <c r="AK5" s="168"/>
      <c r="AL5" s="167" t="s">
        <v>8</v>
      </c>
      <c r="AM5" s="167"/>
      <c r="AN5" s="167"/>
      <c r="AO5" s="167"/>
      <c r="AP5" s="167"/>
      <c r="AQ5" s="37"/>
      <c r="AW5" s="19" t="s">
        <v>168</v>
      </c>
      <c r="AX5" s="19" t="s">
        <v>168</v>
      </c>
    </row>
    <row r="6" spans="1:50" s="19" customFormat="1" ht="12.75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164</v>
      </c>
      <c r="F6" s="10" t="s">
        <v>195</v>
      </c>
      <c r="G6" s="10" t="s">
        <v>10</v>
      </c>
      <c r="H6" s="10" t="s">
        <v>11</v>
      </c>
      <c r="I6" s="10" t="s">
        <v>12</v>
      </c>
      <c r="J6" s="10" t="s">
        <v>164</v>
      </c>
      <c r="K6" s="10" t="s">
        <v>195</v>
      </c>
      <c r="L6" s="10" t="s">
        <v>10</v>
      </c>
      <c r="M6" s="10" t="s">
        <v>11</v>
      </c>
      <c r="N6" s="10" t="s">
        <v>12</v>
      </c>
      <c r="O6" s="10" t="s">
        <v>164</v>
      </c>
      <c r="P6" s="10" t="s">
        <v>195</v>
      </c>
      <c r="Q6" s="10" t="s">
        <v>10</v>
      </c>
      <c r="R6" s="10" t="s">
        <v>11</v>
      </c>
      <c r="S6" s="10" t="s">
        <v>12</v>
      </c>
      <c r="T6" s="10" t="s">
        <v>164</v>
      </c>
      <c r="U6" s="10" t="s">
        <v>195</v>
      </c>
      <c r="V6" s="10"/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165</v>
      </c>
      <c r="AB6" s="17" t="s">
        <v>13</v>
      </c>
      <c r="AC6" s="17" t="s">
        <v>14</v>
      </c>
      <c r="AD6" s="17" t="s">
        <v>15</v>
      </c>
      <c r="AE6" s="17" t="s">
        <v>16</v>
      </c>
      <c r="AF6" s="17" t="s">
        <v>165</v>
      </c>
      <c r="AG6" s="13" t="s">
        <v>13</v>
      </c>
      <c r="AH6" s="13" t="s">
        <v>14</v>
      </c>
      <c r="AI6" s="13" t="s">
        <v>15</v>
      </c>
      <c r="AJ6" s="13" t="s">
        <v>16</v>
      </c>
      <c r="AK6" s="13" t="s">
        <v>165</v>
      </c>
      <c r="AL6" s="13" t="s">
        <v>13</v>
      </c>
      <c r="AM6" s="13" t="s">
        <v>14</v>
      </c>
      <c r="AN6" s="13" t="s">
        <v>15</v>
      </c>
      <c r="AO6" s="13" t="s">
        <v>16</v>
      </c>
      <c r="AP6" s="13" t="s">
        <v>165</v>
      </c>
      <c r="AQ6" s="37"/>
      <c r="AV6" s="19" t="s">
        <v>168</v>
      </c>
      <c r="AW6" s="19" t="s">
        <v>168</v>
      </c>
      <c r="AX6" s="19" t="s">
        <v>168</v>
      </c>
    </row>
    <row r="7" spans="1:50" s="19" customFormat="1" ht="12.75" x14ac:dyDescent="0.2">
      <c r="A7" s="18" t="s">
        <v>17</v>
      </c>
      <c r="B7" s="19">
        <v>22</v>
      </c>
      <c r="C7" s="19">
        <v>20</v>
      </c>
      <c r="D7" s="19">
        <v>29</v>
      </c>
      <c r="E7" s="19">
        <v>233</v>
      </c>
      <c r="F7" s="19">
        <v>34</v>
      </c>
      <c r="G7" s="20">
        <v>4.2482524234349053E-4</v>
      </c>
      <c r="H7" s="20">
        <v>3.7629350893697084E-4</v>
      </c>
      <c r="I7" s="20">
        <v>4.4466933468267477E-4</v>
      </c>
      <c r="J7" s="20">
        <v>3.5990670229691531E-3</v>
      </c>
      <c r="K7" s="20">
        <v>5.3278174752413186E-4</v>
      </c>
      <c r="L7" s="19">
        <v>22</v>
      </c>
      <c r="M7" s="19">
        <v>20</v>
      </c>
      <c r="N7" s="19">
        <v>29</v>
      </c>
      <c r="O7" s="19">
        <v>233</v>
      </c>
      <c r="P7" s="19">
        <v>34</v>
      </c>
      <c r="Q7" s="20">
        <v>1</v>
      </c>
      <c r="R7" s="20">
        <v>1</v>
      </c>
      <c r="S7" s="20">
        <v>1</v>
      </c>
      <c r="T7" s="20">
        <v>1</v>
      </c>
      <c r="U7" s="20">
        <v>1</v>
      </c>
      <c r="W7" s="19">
        <v>0</v>
      </c>
      <c r="X7" s="19">
        <v>0</v>
      </c>
      <c r="Y7" s="19">
        <v>0</v>
      </c>
      <c r="Z7" s="19">
        <v>44</v>
      </c>
      <c r="AA7" s="19">
        <v>233</v>
      </c>
      <c r="AB7" s="20">
        <v>0</v>
      </c>
      <c r="AC7" s="20">
        <v>0</v>
      </c>
      <c r="AD7" s="20">
        <v>0</v>
      </c>
      <c r="AE7" s="20">
        <v>8.7520388272267974E-4</v>
      </c>
      <c r="AF7" s="20">
        <v>3.5990670229691531E-3</v>
      </c>
      <c r="AG7" s="19">
        <v>0</v>
      </c>
      <c r="AH7" s="19">
        <v>0</v>
      </c>
      <c r="AI7" s="19">
        <v>0</v>
      </c>
      <c r="AJ7" s="19">
        <v>44</v>
      </c>
      <c r="AK7" s="19">
        <v>233</v>
      </c>
      <c r="AL7" s="20">
        <v>0</v>
      </c>
      <c r="AM7" s="20">
        <v>0</v>
      </c>
      <c r="AN7" s="20">
        <v>0</v>
      </c>
      <c r="AO7" s="20">
        <v>1</v>
      </c>
      <c r="AP7" s="20">
        <v>1</v>
      </c>
      <c r="AQ7" s="37"/>
      <c r="AV7" s="19" t="s">
        <v>168</v>
      </c>
      <c r="AW7" s="19" t="s">
        <v>168</v>
      </c>
      <c r="AX7" s="19" t="s">
        <v>168</v>
      </c>
    </row>
    <row r="8" spans="1:50" s="19" customFormat="1" ht="12.75" x14ac:dyDescent="0.2">
      <c r="A8" s="18" t="s">
        <v>18</v>
      </c>
      <c r="B8" s="19">
        <v>1547</v>
      </c>
      <c r="C8" s="19">
        <v>1546</v>
      </c>
      <c r="D8" s="19">
        <v>1544</v>
      </c>
      <c r="E8" s="19">
        <v>1541</v>
      </c>
      <c r="F8" s="19">
        <v>1541</v>
      </c>
      <c r="G8" s="20">
        <v>2.987293863206272E-2</v>
      </c>
      <c r="H8" s="20">
        <v>2.9087488240827845E-2</v>
      </c>
      <c r="I8" s="20">
        <v>2.3674808715518959E-2</v>
      </c>
      <c r="J8" s="20">
        <v>2.3803271598263797E-2</v>
      </c>
      <c r="K8" s="20">
        <v>2.414754920396139E-2</v>
      </c>
      <c r="L8" s="19">
        <v>1547</v>
      </c>
      <c r="M8" s="19">
        <v>1546</v>
      </c>
      <c r="N8" s="19">
        <v>1544</v>
      </c>
      <c r="O8" s="19">
        <v>1541</v>
      </c>
      <c r="P8" s="19">
        <v>1541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W8" s="19">
        <v>1375</v>
      </c>
      <c r="X8" s="19">
        <v>1371</v>
      </c>
      <c r="Y8" s="19">
        <v>1644</v>
      </c>
      <c r="Z8" s="19">
        <v>1540</v>
      </c>
      <c r="AA8" s="19">
        <v>1541</v>
      </c>
      <c r="AB8" s="20">
        <v>3.0124441328542636E-2</v>
      </c>
      <c r="AC8" s="20">
        <v>2.577939904478959E-2</v>
      </c>
      <c r="AD8" s="20">
        <v>3.0959868929022052E-2</v>
      </c>
      <c r="AE8" s="20">
        <v>3.0632135895293788E-2</v>
      </c>
      <c r="AF8" s="20">
        <v>2.3803271598263797E-2</v>
      </c>
      <c r="AG8" s="19">
        <v>1375</v>
      </c>
      <c r="AH8" s="19">
        <v>1371</v>
      </c>
      <c r="AI8" s="19">
        <v>1644</v>
      </c>
      <c r="AJ8" s="19">
        <v>1540</v>
      </c>
      <c r="AK8" s="19">
        <v>1541</v>
      </c>
      <c r="AL8" s="20">
        <v>1</v>
      </c>
      <c r="AM8" s="20">
        <v>1</v>
      </c>
      <c r="AN8" s="20">
        <v>1</v>
      </c>
      <c r="AO8" s="20">
        <v>1</v>
      </c>
      <c r="AP8" s="20">
        <v>1</v>
      </c>
      <c r="AQ8" s="37"/>
      <c r="AV8" s="19" t="s">
        <v>168</v>
      </c>
      <c r="AW8" s="19" t="s">
        <v>168</v>
      </c>
      <c r="AX8" s="19" t="s">
        <v>168</v>
      </c>
    </row>
    <row r="9" spans="1:50" s="19" customFormat="1" ht="12.75" x14ac:dyDescent="0.2">
      <c r="A9" s="18" t="s">
        <v>19</v>
      </c>
      <c r="B9" s="19">
        <v>11161</v>
      </c>
      <c r="C9" s="19">
        <v>11569</v>
      </c>
      <c r="D9" s="19">
        <v>12095</v>
      </c>
      <c r="E9" s="19">
        <v>11968</v>
      </c>
      <c r="F9" s="19">
        <v>11867</v>
      </c>
      <c r="G9" s="20">
        <v>0.21552156953616808</v>
      </c>
      <c r="H9" s="20">
        <v>0.21766698024459077</v>
      </c>
      <c r="I9" s="20">
        <v>0.18545777941334315</v>
      </c>
      <c r="J9" s="20">
        <v>0.1848653825360293</v>
      </c>
      <c r="K9" s="20">
        <v>0.1859564999373198</v>
      </c>
      <c r="L9" s="19">
        <v>11161</v>
      </c>
      <c r="M9" s="19">
        <v>11569</v>
      </c>
      <c r="N9" s="19">
        <v>11984</v>
      </c>
      <c r="O9" s="19">
        <v>11878</v>
      </c>
      <c r="P9" s="19">
        <v>11787</v>
      </c>
      <c r="Q9" s="20">
        <v>1</v>
      </c>
      <c r="R9" s="20">
        <v>1</v>
      </c>
      <c r="S9" s="20">
        <v>0.99082265398925173</v>
      </c>
      <c r="T9" s="20">
        <v>0.99247994652406413</v>
      </c>
      <c r="U9" s="20">
        <v>0.99325861633100199</v>
      </c>
      <c r="W9" s="19">
        <v>8236</v>
      </c>
      <c r="X9" s="19">
        <v>9802</v>
      </c>
      <c r="Y9" s="19">
        <v>7658</v>
      </c>
      <c r="Z9" s="19">
        <v>10712</v>
      </c>
      <c r="AA9" s="19">
        <v>11968</v>
      </c>
      <c r="AB9" s="20">
        <v>0.18043992638681974</v>
      </c>
      <c r="AC9" s="20">
        <v>0.18431048098980859</v>
      </c>
      <c r="AD9" s="20">
        <v>0.14421573981657596</v>
      </c>
      <c r="AE9" s="20">
        <v>0.2130723634483033</v>
      </c>
      <c r="AF9" s="20">
        <v>0.1848653825360293</v>
      </c>
      <c r="AG9" s="19">
        <v>8236</v>
      </c>
      <c r="AH9" s="19">
        <v>9802</v>
      </c>
      <c r="AI9" s="19">
        <v>7658</v>
      </c>
      <c r="AJ9" s="19">
        <v>10712</v>
      </c>
      <c r="AK9" s="19">
        <v>11878</v>
      </c>
      <c r="AL9" s="20">
        <v>1</v>
      </c>
      <c r="AM9" s="20">
        <v>1</v>
      </c>
      <c r="AN9" s="20">
        <v>1</v>
      </c>
      <c r="AO9" s="20">
        <v>1</v>
      </c>
      <c r="AP9" s="20">
        <v>0.99247994652406413</v>
      </c>
      <c r="AQ9" s="37"/>
      <c r="AV9" s="19" t="s">
        <v>168</v>
      </c>
      <c r="AW9" s="19" t="s">
        <v>168</v>
      </c>
      <c r="AX9" s="19" t="s">
        <v>168</v>
      </c>
    </row>
    <row r="10" spans="1:50" s="19" customFormat="1" ht="12.75" x14ac:dyDescent="0.2">
      <c r="A10" s="18" t="s">
        <v>20</v>
      </c>
      <c r="B10" s="19">
        <v>760</v>
      </c>
      <c r="C10" s="19">
        <v>743</v>
      </c>
      <c r="D10" s="19">
        <v>294</v>
      </c>
      <c r="E10" s="19">
        <v>239</v>
      </c>
      <c r="F10" s="19">
        <v>224</v>
      </c>
      <c r="G10" s="20">
        <v>1.4675781099138764E-2</v>
      </c>
      <c r="H10" s="20">
        <v>1.3979303857008466E-2</v>
      </c>
      <c r="I10" s="20">
        <v>4.5080270481622888E-3</v>
      </c>
      <c r="J10" s="20">
        <v>3.6917468604705048E-3</v>
      </c>
      <c r="K10" s="20">
        <v>3.510091513100163E-3</v>
      </c>
      <c r="L10" s="19">
        <v>760</v>
      </c>
      <c r="M10" s="19">
        <v>743</v>
      </c>
      <c r="N10" s="19">
        <v>291</v>
      </c>
      <c r="O10" s="19">
        <v>239</v>
      </c>
      <c r="P10" s="19">
        <v>223</v>
      </c>
      <c r="Q10" s="20">
        <v>1</v>
      </c>
      <c r="R10" s="20">
        <v>1</v>
      </c>
      <c r="S10" s="20">
        <v>0.98979591836734693</v>
      </c>
      <c r="T10" s="20">
        <v>1</v>
      </c>
      <c r="U10" s="20">
        <v>0.9955357142857143</v>
      </c>
      <c r="W10" s="19">
        <v>2474</v>
      </c>
      <c r="X10" s="19">
        <v>178</v>
      </c>
      <c r="Y10" s="19">
        <v>1479</v>
      </c>
      <c r="Z10" s="19">
        <v>807</v>
      </c>
      <c r="AA10" s="19">
        <v>239</v>
      </c>
      <c r="AB10" s="20">
        <v>5.4202085706774164E-2</v>
      </c>
      <c r="AC10" s="20">
        <v>3.346997104283404E-3</v>
      </c>
      <c r="AD10" s="20">
        <v>2.7852582813882979E-2</v>
      </c>
      <c r="AE10" s="20">
        <v>1.6052034849027331E-2</v>
      </c>
      <c r="AF10" s="20">
        <v>3.6917468604705048E-3</v>
      </c>
      <c r="AG10" s="19">
        <v>2474</v>
      </c>
      <c r="AH10" s="19">
        <v>178</v>
      </c>
      <c r="AI10" s="19">
        <v>1479</v>
      </c>
      <c r="AJ10" s="19">
        <v>807</v>
      </c>
      <c r="AK10" s="19">
        <v>239</v>
      </c>
      <c r="AL10" s="20">
        <v>1</v>
      </c>
      <c r="AM10" s="20">
        <v>1</v>
      </c>
      <c r="AN10" s="20">
        <v>1</v>
      </c>
      <c r="AO10" s="20">
        <v>1</v>
      </c>
      <c r="AP10" s="20">
        <v>1</v>
      </c>
      <c r="AQ10" s="37"/>
      <c r="AV10" s="19" t="s">
        <v>168</v>
      </c>
      <c r="AW10" s="19" t="s">
        <v>168</v>
      </c>
      <c r="AX10" s="19" t="s">
        <v>168</v>
      </c>
    </row>
    <row r="11" spans="1:50" s="19" customFormat="1" ht="12.75" x14ac:dyDescent="0.2">
      <c r="A11" s="18" t="s">
        <v>22</v>
      </c>
      <c r="B11" s="19">
        <v>2059</v>
      </c>
      <c r="C11" s="19">
        <v>2061</v>
      </c>
      <c r="D11" s="19">
        <v>2111</v>
      </c>
      <c r="E11" s="19">
        <v>2050</v>
      </c>
      <c r="F11" s="19">
        <v>1903</v>
      </c>
      <c r="G11" s="20">
        <v>3.9759780635693041E-2</v>
      </c>
      <c r="H11" s="20">
        <v>3.8777046095954844E-2</v>
      </c>
      <c r="I11" s="20">
        <v>3.2368860879831943E-2</v>
      </c>
      <c r="J11" s="20">
        <v>3.1665611146295125E-2</v>
      </c>
      <c r="K11" s="20">
        <v>2.9820107809953617E-2</v>
      </c>
      <c r="L11" s="19">
        <v>2059</v>
      </c>
      <c r="M11" s="19">
        <v>2061</v>
      </c>
      <c r="N11" s="19">
        <v>1994</v>
      </c>
      <c r="O11" s="19">
        <v>1913</v>
      </c>
      <c r="P11" s="19">
        <v>1832</v>
      </c>
      <c r="Q11" s="20">
        <v>1</v>
      </c>
      <c r="R11" s="20">
        <v>1</v>
      </c>
      <c r="S11" s="20">
        <v>0.94457603031738513</v>
      </c>
      <c r="T11" s="20">
        <v>0.93317073170731712</v>
      </c>
      <c r="U11" s="20">
        <v>0.96269048870204943</v>
      </c>
      <c r="W11" s="19">
        <v>1761</v>
      </c>
      <c r="X11" s="19">
        <v>1753</v>
      </c>
      <c r="Y11" s="19">
        <v>1829</v>
      </c>
      <c r="Z11" s="19">
        <v>2046</v>
      </c>
      <c r="AA11" s="19">
        <v>2050</v>
      </c>
      <c r="AB11" s="20">
        <v>3.8581193585137147E-2</v>
      </c>
      <c r="AC11" s="20">
        <v>3.2962280470835999E-2</v>
      </c>
      <c r="AD11" s="20">
        <v>3.4443795785390106E-2</v>
      </c>
      <c r="AE11" s="20">
        <v>4.0696980546604609E-2</v>
      </c>
      <c r="AF11" s="20">
        <v>3.1665611146295125E-2</v>
      </c>
      <c r="AG11" s="19">
        <v>1761</v>
      </c>
      <c r="AH11" s="19">
        <v>1753</v>
      </c>
      <c r="AI11" s="19">
        <v>1829</v>
      </c>
      <c r="AJ11" s="19">
        <v>2046</v>
      </c>
      <c r="AK11" s="19">
        <v>1913</v>
      </c>
      <c r="AL11" s="20">
        <v>1</v>
      </c>
      <c r="AM11" s="20">
        <v>1</v>
      </c>
      <c r="AN11" s="20">
        <v>1</v>
      </c>
      <c r="AO11" s="20">
        <v>1</v>
      </c>
      <c r="AP11" s="20">
        <v>0.93317073170731712</v>
      </c>
      <c r="AQ11" s="37"/>
      <c r="AV11" s="19" t="s">
        <v>168</v>
      </c>
      <c r="AW11" s="19" t="s">
        <v>168</v>
      </c>
      <c r="AX11" s="19" t="s">
        <v>168</v>
      </c>
    </row>
    <row r="12" spans="1:50" s="19" customFormat="1" ht="12.75" x14ac:dyDescent="0.2">
      <c r="A12" s="18" t="s">
        <v>24</v>
      </c>
      <c r="B12" s="19">
        <v>292</v>
      </c>
      <c r="C12" s="19">
        <v>332</v>
      </c>
      <c r="D12" s="19">
        <v>338</v>
      </c>
      <c r="E12" s="19">
        <v>330</v>
      </c>
      <c r="F12" s="19">
        <v>368</v>
      </c>
      <c r="G12" s="20">
        <v>5.6385895801954198E-3</v>
      </c>
      <c r="H12" s="20">
        <v>6.2464722483537155E-3</v>
      </c>
      <c r="I12" s="20">
        <v>5.1826977628532441E-3</v>
      </c>
      <c r="J12" s="20">
        <v>5.0973910625743369E-3</v>
      </c>
      <c r="K12" s="20">
        <v>5.7665789143788388E-3</v>
      </c>
      <c r="L12" s="19">
        <v>292</v>
      </c>
      <c r="M12" s="19">
        <v>332</v>
      </c>
      <c r="N12" s="19">
        <v>328</v>
      </c>
      <c r="O12" s="19">
        <v>330</v>
      </c>
      <c r="P12" s="19">
        <v>368</v>
      </c>
      <c r="Q12" s="20">
        <v>1</v>
      </c>
      <c r="R12" s="20">
        <v>1</v>
      </c>
      <c r="S12" s="20">
        <v>0.97041420118343191</v>
      </c>
      <c r="T12" s="20">
        <v>1</v>
      </c>
      <c r="U12" s="20">
        <v>1</v>
      </c>
      <c r="W12" s="19">
        <v>281</v>
      </c>
      <c r="X12" s="19">
        <v>105</v>
      </c>
      <c r="Y12" s="19">
        <v>168</v>
      </c>
      <c r="Z12" s="19">
        <v>129</v>
      </c>
      <c r="AA12" s="19">
        <v>330</v>
      </c>
      <c r="AB12" s="20">
        <v>6.156340373323986E-3</v>
      </c>
      <c r="AC12" s="20">
        <v>1.9743522244368397E-3</v>
      </c>
      <c r="AD12" s="20">
        <v>3.1637822263234213E-3</v>
      </c>
      <c r="AE12" s="20">
        <v>2.56593865616422E-3</v>
      </c>
      <c r="AF12" s="20">
        <v>5.0973910625743369E-3</v>
      </c>
      <c r="AG12" s="19">
        <v>281</v>
      </c>
      <c r="AH12" s="19">
        <v>105</v>
      </c>
      <c r="AI12" s="19">
        <v>168</v>
      </c>
      <c r="AJ12" s="19">
        <v>129</v>
      </c>
      <c r="AK12" s="19">
        <v>330</v>
      </c>
      <c r="AL12" s="20">
        <v>1</v>
      </c>
      <c r="AM12" s="20">
        <v>1</v>
      </c>
      <c r="AN12" s="20">
        <v>1</v>
      </c>
      <c r="AO12" s="20">
        <v>1</v>
      </c>
      <c r="AP12" s="20">
        <v>1</v>
      </c>
      <c r="AQ12" s="37"/>
      <c r="AV12" s="19" t="s">
        <v>168</v>
      </c>
      <c r="AW12" s="19" t="s">
        <v>168</v>
      </c>
      <c r="AX12" s="19" t="s">
        <v>168</v>
      </c>
    </row>
    <row r="13" spans="1:50" s="19" customFormat="1" ht="12.75" x14ac:dyDescent="0.2">
      <c r="A13" s="18" t="s">
        <v>198</v>
      </c>
      <c r="B13" s="19">
        <v>0</v>
      </c>
      <c r="C13" s="19">
        <v>3</v>
      </c>
      <c r="D13" s="19">
        <v>3</v>
      </c>
      <c r="E13" s="19">
        <v>3</v>
      </c>
      <c r="F13" s="19">
        <v>4</v>
      </c>
      <c r="G13" s="20">
        <v>0</v>
      </c>
      <c r="H13" s="20">
        <v>5.6444026340545627E-5</v>
      </c>
      <c r="I13" s="20">
        <v>4.6000276001656012E-5</v>
      </c>
      <c r="J13" s="20">
        <v>4.633991875067579E-5</v>
      </c>
      <c r="K13" s="20">
        <v>6.2680205591074333E-5</v>
      </c>
      <c r="L13" s="19">
        <v>0</v>
      </c>
      <c r="M13" s="19">
        <v>3</v>
      </c>
      <c r="N13" s="19">
        <v>3</v>
      </c>
      <c r="O13" s="19">
        <v>3</v>
      </c>
      <c r="P13" s="19">
        <v>4</v>
      </c>
      <c r="Q13" s="20">
        <v>0</v>
      </c>
      <c r="R13" s="20">
        <v>1</v>
      </c>
      <c r="S13" s="20">
        <v>1</v>
      </c>
      <c r="T13" s="20">
        <v>1</v>
      </c>
      <c r="U13" s="20">
        <v>1</v>
      </c>
      <c r="W13" s="19">
        <v>0</v>
      </c>
      <c r="X13" s="19">
        <v>0</v>
      </c>
      <c r="Y13" s="19">
        <v>0</v>
      </c>
      <c r="Z13" s="19">
        <v>0</v>
      </c>
      <c r="AA13" s="19">
        <v>3</v>
      </c>
      <c r="AB13" s="20">
        <v>0</v>
      </c>
      <c r="AC13" s="20">
        <v>0</v>
      </c>
      <c r="AD13" s="20">
        <v>0</v>
      </c>
      <c r="AE13" s="20">
        <v>0</v>
      </c>
      <c r="AF13" s="20">
        <v>4.633991875067579E-5</v>
      </c>
      <c r="AG13" s="19">
        <v>0</v>
      </c>
      <c r="AH13" s="19">
        <v>0</v>
      </c>
      <c r="AI13" s="19">
        <v>0</v>
      </c>
      <c r="AJ13" s="19">
        <v>0</v>
      </c>
      <c r="AK13" s="19">
        <v>3</v>
      </c>
      <c r="AL13" s="20">
        <v>0</v>
      </c>
      <c r="AM13" s="20">
        <v>0</v>
      </c>
      <c r="AN13" s="20">
        <v>0</v>
      </c>
      <c r="AO13" s="20">
        <v>0</v>
      </c>
      <c r="AP13" s="20">
        <v>1</v>
      </c>
      <c r="AQ13" s="37"/>
      <c r="AV13" s="19" t="s">
        <v>168</v>
      </c>
      <c r="AW13" s="19" t="s">
        <v>168</v>
      </c>
      <c r="AX13" s="19" t="s">
        <v>168</v>
      </c>
    </row>
    <row r="14" spans="1:50" s="19" customFormat="1" ht="12.75" x14ac:dyDescent="0.2">
      <c r="A14" s="18" t="s">
        <v>25</v>
      </c>
      <c r="B14" s="19">
        <v>142</v>
      </c>
      <c r="C14" s="19">
        <v>145</v>
      </c>
      <c r="D14" s="19">
        <v>145</v>
      </c>
      <c r="E14" s="19">
        <v>159</v>
      </c>
      <c r="F14" s="19">
        <v>154</v>
      </c>
      <c r="G14" s="20">
        <v>2.742053836944348E-3</v>
      </c>
      <c r="H14" s="20">
        <v>2.7281279397930384E-3</v>
      </c>
      <c r="I14" s="20">
        <v>2.2233466734133739E-3</v>
      </c>
      <c r="J14" s="20">
        <v>2.4560156937858168E-3</v>
      </c>
      <c r="K14" s="20">
        <v>2.4131879152563623E-3</v>
      </c>
      <c r="L14" s="19">
        <v>142</v>
      </c>
      <c r="M14" s="19">
        <v>145</v>
      </c>
      <c r="N14" s="19">
        <v>145</v>
      </c>
      <c r="O14" s="19">
        <v>157</v>
      </c>
      <c r="P14" s="19">
        <v>153</v>
      </c>
      <c r="Q14" s="20">
        <v>1</v>
      </c>
      <c r="R14" s="20">
        <v>1</v>
      </c>
      <c r="S14" s="20">
        <v>1</v>
      </c>
      <c r="T14" s="20">
        <v>0.98742138364779874</v>
      </c>
      <c r="U14" s="20">
        <v>0.99350649350649356</v>
      </c>
      <c r="W14" s="19">
        <v>26</v>
      </c>
      <c r="X14" s="19">
        <v>96</v>
      </c>
      <c r="Y14" s="19">
        <v>77</v>
      </c>
      <c r="Z14" s="19">
        <v>75</v>
      </c>
      <c r="AA14" s="19">
        <v>159</v>
      </c>
      <c r="AB14" s="20">
        <v>5.6962579966698805E-4</v>
      </c>
      <c r="AC14" s="20">
        <v>1.8051220337708246E-3</v>
      </c>
      <c r="AD14" s="20">
        <v>1.4500668537315682E-3</v>
      </c>
      <c r="AE14" s="20">
        <v>1.4918248000954767E-3</v>
      </c>
      <c r="AF14" s="20">
        <v>2.4560156937858168E-3</v>
      </c>
      <c r="AG14" s="19">
        <v>26</v>
      </c>
      <c r="AH14" s="19">
        <v>96</v>
      </c>
      <c r="AI14" s="19">
        <v>77</v>
      </c>
      <c r="AJ14" s="19">
        <v>75</v>
      </c>
      <c r="AK14" s="19">
        <v>157</v>
      </c>
      <c r="AL14" s="20">
        <v>1</v>
      </c>
      <c r="AM14" s="20">
        <v>1</v>
      </c>
      <c r="AN14" s="20">
        <v>1</v>
      </c>
      <c r="AO14" s="20">
        <v>1</v>
      </c>
      <c r="AP14" s="20">
        <v>0.98742138364779874</v>
      </c>
      <c r="AQ14" s="37"/>
      <c r="AV14" s="19" t="s">
        <v>168</v>
      </c>
      <c r="AW14" s="19" t="s">
        <v>168</v>
      </c>
      <c r="AX14" s="19" t="s">
        <v>168</v>
      </c>
    </row>
    <row r="15" spans="1:50" s="19" customFormat="1" ht="12.75" x14ac:dyDescent="0.2">
      <c r="A15" s="18" t="s">
        <v>82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W15" s="19">
        <v>87</v>
      </c>
      <c r="X15" s="19">
        <v>135</v>
      </c>
      <c r="Y15" s="19">
        <v>40</v>
      </c>
      <c r="Z15" s="19">
        <v>0</v>
      </c>
      <c r="AA15" s="19">
        <v>0</v>
      </c>
      <c r="AB15" s="20">
        <v>1.9060555604241522E-3</v>
      </c>
      <c r="AC15" s="20">
        <v>2.5384528599902223E-3</v>
      </c>
      <c r="AD15" s="20">
        <v>7.5328148245795744E-4</v>
      </c>
      <c r="AE15" s="20">
        <v>0</v>
      </c>
      <c r="AF15" s="20">
        <v>0</v>
      </c>
      <c r="AG15" s="19">
        <v>87</v>
      </c>
      <c r="AH15" s="19">
        <v>135</v>
      </c>
      <c r="AI15" s="19">
        <v>40</v>
      </c>
      <c r="AJ15" s="19">
        <v>0</v>
      </c>
      <c r="AK15" s="19">
        <v>0</v>
      </c>
      <c r="AL15" s="20">
        <v>1</v>
      </c>
      <c r="AM15" s="20">
        <v>1</v>
      </c>
      <c r="AN15" s="20">
        <v>1</v>
      </c>
      <c r="AO15" s="20">
        <v>0</v>
      </c>
      <c r="AP15" s="20">
        <v>0</v>
      </c>
      <c r="AQ15" s="37"/>
      <c r="AV15" s="19" t="s">
        <v>168</v>
      </c>
      <c r="AW15" s="19" t="s">
        <v>168</v>
      </c>
      <c r="AX15" s="19" t="s">
        <v>168</v>
      </c>
    </row>
    <row r="16" spans="1:50" s="19" customFormat="1" ht="12.75" x14ac:dyDescent="0.2">
      <c r="A16" s="18" t="s">
        <v>83</v>
      </c>
      <c r="B16" s="19">
        <v>4</v>
      </c>
      <c r="C16" s="19">
        <v>4</v>
      </c>
      <c r="D16" s="19">
        <v>5</v>
      </c>
      <c r="E16" s="19">
        <v>6</v>
      </c>
      <c r="F16" s="19">
        <v>7</v>
      </c>
      <c r="G16" s="20">
        <v>7.7240953153361915E-5</v>
      </c>
      <c r="H16" s="20">
        <v>7.5258701787394165E-5</v>
      </c>
      <c r="I16" s="20">
        <v>7.6667126669426687E-5</v>
      </c>
      <c r="J16" s="20">
        <v>9.2679837501351579E-5</v>
      </c>
      <c r="K16" s="20">
        <v>1.0969035978438009E-4</v>
      </c>
      <c r="L16" s="19">
        <v>4</v>
      </c>
      <c r="M16" s="19">
        <v>4</v>
      </c>
      <c r="N16" s="19">
        <v>5</v>
      </c>
      <c r="O16" s="19">
        <v>6</v>
      </c>
      <c r="P16" s="19">
        <v>7</v>
      </c>
      <c r="Q16" s="20">
        <v>1</v>
      </c>
      <c r="R16" s="20">
        <v>1</v>
      </c>
      <c r="S16" s="20">
        <v>1</v>
      </c>
      <c r="T16" s="20">
        <v>1</v>
      </c>
      <c r="U16" s="20">
        <v>1</v>
      </c>
      <c r="W16" s="19">
        <v>0</v>
      </c>
      <c r="X16" s="19">
        <v>7</v>
      </c>
      <c r="Y16" s="19">
        <v>7</v>
      </c>
      <c r="Z16" s="19">
        <v>5</v>
      </c>
      <c r="AA16" s="19">
        <v>6</v>
      </c>
      <c r="AB16" s="20">
        <v>0</v>
      </c>
      <c r="AC16" s="20">
        <v>1.3162348162912263E-4</v>
      </c>
      <c r="AD16" s="20">
        <v>1.3182425943014255E-4</v>
      </c>
      <c r="AE16" s="20">
        <v>9.9454986673031784E-5</v>
      </c>
      <c r="AF16" s="20">
        <v>9.2679837501351579E-5</v>
      </c>
      <c r="AG16" s="19">
        <v>0</v>
      </c>
      <c r="AH16" s="19">
        <v>7</v>
      </c>
      <c r="AI16" s="19">
        <v>7</v>
      </c>
      <c r="AJ16" s="19">
        <v>5</v>
      </c>
      <c r="AK16" s="19">
        <v>6</v>
      </c>
      <c r="AL16" s="20">
        <v>0</v>
      </c>
      <c r="AM16" s="20">
        <v>1</v>
      </c>
      <c r="AN16" s="20">
        <v>1</v>
      </c>
      <c r="AO16" s="20">
        <v>1</v>
      </c>
      <c r="AP16" s="20">
        <v>1</v>
      </c>
      <c r="AQ16" s="37"/>
      <c r="AV16" s="19" t="s">
        <v>168</v>
      </c>
      <c r="AW16" s="19" t="s">
        <v>168</v>
      </c>
      <c r="AX16" s="19" t="s">
        <v>168</v>
      </c>
    </row>
    <row r="17" spans="1:50" s="19" customFormat="1" ht="12.75" x14ac:dyDescent="0.2">
      <c r="A17" s="18" t="s">
        <v>84</v>
      </c>
      <c r="B17" s="19">
        <v>2</v>
      </c>
      <c r="C17" s="19">
        <v>2</v>
      </c>
      <c r="D17" s="19">
        <v>4</v>
      </c>
      <c r="E17" s="19">
        <v>4</v>
      </c>
      <c r="F17" s="19">
        <v>4</v>
      </c>
      <c r="G17" s="20">
        <v>3.8620476576680957E-5</v>
      </c>
      <c r="H17" s="20">
        <v>3.7629350893697082E-5</v>
      </c>
      <c r="I17" s="20">
        <v>6.1333701335541349E-5</v>
      </c>
      <c r="J17" s="20">
        <v>6.1786558334234391E-5</v>
      </c>
      <c r="K17" s="20">
        <v>6.2680205591074333E-5</v>
      </c>
      <c r="L17" s="19">
        <v>2</v>
      </c>
      <c r="M17" s="19">
        <v>2</v>
      </c>
      <c r="N17" s="19">
        <v>4</v>
      </c>
      <c r="O17" s="19">
        <v>4</v>
      </c>
      <c r="P17" s="19">
        <v>4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W17" s="19">
        <v>0</v>
      </c>
      <c r="X17" s="19">
        <v>0</v>
      </c>
      <c r="Y17" s="19">
        <v>0</v>
      </c>
      <c r="Z17" s="19">
        <v>2</v>
      </c>
      <c r="AA17" s="19">
        <v>4</v>
      </c>
      <c r="AB17" s="20">
        <v>0</v>
      </c>
      <c r="AC17" s="20">
        <v>0</v>
      </c>
      <c r="AD17" s="20">
        <v>0</v>
      </c>
      <c r="AE17" s="20">
        <v>3.9781994669212715E-5</v>
      </c>
      <c r="AF17" s="20">
        <v>6.1786558334234391E-5</v>
      </c>
      <c r="AG17" s="19">
        <v>0</v>
      </c>
      <c r="AH17" s="19">
        <v>0</v>
      </c>
      <c r="AI17" s="19">
        <v>0</v>
      </c>
      <c r="AJ17" s="19">
        <v>2</v>
      </c>
      <c r="AK17" s="19">
        <v>4</v>
      </c>
      <c r="AL17" s="20">
        <v>0</v>
      </c>
      <c r="AM17" s="20">
        <v>0</v>
      </c>
      <c r="AN17" s="20">
        <v>0</v>
      </c>
      <c r="AO17" s="20">
        <v>1</v>
      </c>
      <c r="AP17" s="20">
        <v>1</v>
      </c>
      <c r="AQ17" s="37"/>
      <c r="AV17" s="19" t="s">
        <v>168</v>
      </c>
      <c r="AW17" s="19" t="s">
        <v>168</v>
      </c>
      <c r="AX17" s="19" t="s">
        <v>168</v>
      </c>
    </row>
    <row r="18" spans="1:50" s="19" customFormat="1" ht="12.75" x14ac:dyDescent="0.2">
      <c r="A18" s="18" t="s">
        <v>26</v>
      </c>
      <c r="B18" s="19">
        <v>43</v>
      </c>
      <c r="C18" s="19">
        <v>43</v>
      </c>
      <c r="D18" s="19">
        <v>43</v>
      </c>
      <c r="E18" s="19">
        <v>47</v>
      </c>
      <c r="F18" s="19">
        <v>50</v>
      </c>
      <c r="G18" s="20">
        <v>8.3034024639864058E-4</v>
      </c>
      <c r="H18" s="20">
        <v>8.0903104421448731E-4</v>
      </c>
      <c r="I18" s="20">
        <v>6.5933728935706952E-4</v>
      </c>
      <c r="J18" s="20">
        <v>7.2599206042725409E-4</v>
      </c>
      <c r="K18" s="20">
        <v>7.8350256988842925E-4</v>
      </c>
      <c r="L18" s="19">
        <v>43</v>
      </c>
      <c r="M18" s="19">
        <v>43</v>
      </c>
      <c r="N18" s="19">
        <v>43</v>
      </c>
      <c r="O18" s="19">
        <v>47</v>
      </c>
      <c r="P18" s="19">
        <v>50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W18" s="19">
        <v>0</v>
      </c>
      <c r="X18" s="19">
        <v>47</v>
      </c>
      <c r="Y18" s="19">
        <v>48</v>
      </c>
      <c r="Z18" s="19">
        <v>39</v>
      </c>
      <c r="AA18" s="19">
        <v>47</v>
      </c>
      <c r="AB18" s="20">
        <v>0</v>
      </c>
      <c r="AC18" s="20">
        <v>8.8375766236696628E-4</v>
      </c>
      <c r="AD18" s="20">
        <v>9.0393777894954902E-4</v>
      </c>
      <c r="AE18" s="20">
        <v>7.7574889604964793E-4</v>
      </c>
      <c r="AF18" s="20">
        <v>7.2599206042725409E-4</v>
      </c>
      <c r="AG18" s="19">
        <v>0</v>
      </c>
      <c r="AH18" s="19">
        <v>47</v>
      </c>
      <c r="AI18" s="19">
        <v>48</v>
      </c>
      <c r="AJ18" s="19">
        <v>39</v>
      </c>
      <c r="AK18" s="19">
        <v>47</v>
      </c>
      <c r="AL18" s="20">
        <v>0</v>
      </c>
      <c r="AM18" s="20">
        <v>1</v>
      </c>
      <c r="AN18" s="20">
        <v>1</v>
      </c>
      <c r="AO18" s="20">
        <v>1</v>
      </c>
      <c r="AP18" s="20">
        <v>1</v>
      </c>
      <c r="AQ18" s="37"/>
      <c r="AV18" s="19" t="s">
        <v>168</v>
      </c>
      <c r="AW18" s="19" t="s">
        <v>168</v>
      </c>
      <c r="AX18" s="19" t="s">
        <v>168</v>
      </c>
    </row>
    <row r="19" spans="1:50" s="19" customFormat="1" ht="12.75" x14ac:dyDescent="0.2">
      <c r="A19" s="18" t="s">
        <v>30</v>
      </c>
      <c r="B19" s="19">
        <v>7497</v>
      </c>
      <c r="C19" s="19">
        <v>7276</v>
      </c>
      <c r="D19" s="19">
        <v>10562</v>
      </c>
      <c r="E19" s="19">
        <v>9567</v>
      </c>
      <c r="F19" s="19">
        <v>9646</v>
      </c>
      <c r="G19" s="20">
        <v>0.14476885644768855</v>
      </c>
      <c r="H19" s="20">
        <v>0.13689557855126999</v>
      </c>
      <c r="I19" s="20">
        <v>0.16195163837649693</v>
      </c>
      <c r="J19" s="20">
        <v>0.14777800089590509</v>
      </c>
      <c r="K19" s="20">
        <v>0.15115331578287577</v>
      </c>
      <c r="L19" s="19">
        <v>7497</v>
      </c>
      <c r="M19" s="19">
        <v>7276</v>
      </c>
      <c r="N19" s="19">
        <v>10218</v>
      </c>
      <c r="O19" s="19">
        <v>9254</v>
      </c>
      <c r="P19" s="19">
        <v>9323</v>
      </c>
      <c r="Q19" s="20">
        <v>1</v>
      </c>
      <c r="R19" s="20">
        <v>1</v>
      </c>
      <c r="S19" s="20">
        <v>0.9674304109070252</v>
      </c>
      <c r="T19" s="20">
        <v>0.96728336991742447</v>
      </c>
      <c r="U19" s="20">
        <v>0.9665146174580137</v>
      </c>
      <c r="W19" s="19">
        <v>15243</v>
      </c>
      <c r="X19" s="19">
        <v>13006</v>
      </c>
      <c r="Y19" s="19">
        <v>10874</v>
      </c>
      <c r="Z19" s="19">
        <v>7549</v>
      </c>
      <c r="AA19" s="19">
        <v>9567</v>
      </c>
      <c r="AB19" s="20">
        <v>0.333954079397073</v>
      </c>
      <c r="AC19" s="20">
        <v>0.24455642886690987</v>
      </c>
      <c r="AD19" s="20">
        <v>0.20477957100619573</v>
      </c>
      <c r="AE19" s="20">
        <v>0.15015713887894339</v>
      </c>
      <c r="AF19" s="20">
        <v>0.14777800089590509</v>
      </c>
      <c r="AG19" s="19">
        <v>15243</v>
      </c>
      <c r="AH19" s="19">
        <v>13006</v>
      </c>
      <c r="AI19" s="19">
        <v>10874</v>
      </c>
      <c r="AJ19" s="19">
        <v>7549</v>
      </c>
      <c r="AK19" s="19">
        <v>9254</v>
      </c>
      <c r="AL19" s="20">
        <v>1</v>
      </c>
      <c r="AM19" s="20">
        <v>1</v>
      </c>
      <c r="AN19" s="20">
        <v>1</v>
      </c>
      <c r="AO19" s="20">
        <v>1</v>
      </c>
      <c r="AP19" s="20">
        <v>0.96728336991742447</v>
      </c>
      <c r="AQ19" s="37"/>
      <c r="AV19" s="19" t="s">
        <v>168</v>
      </c>
      <c r="AW19" s="19" t="s">
        <v>168</v>
      </c>
      <c r="AX19" s="19" t="s">
        <v>168</v>
      </c>
    </row>
    <row r="20" spans="1:50" s="19" customFormat="1" ht="12.75" x14ac:dyDescent="0.2">
      <c r="A20" s="18" t="s">
        <v>79</v>
      </c>
      <c r="B20" s="19">
        <v>0</v>
      </c>
      <c r="C20" s="19">
        <v>9</v>
      </c>
      <c r="D20" s="19">
        <v>15</v>
      </c>
      <c r="E20" s="19">
        <v>13</v>
      </c>
      <c r="F20" s="19">
        <v>15</v>
      </c>
      <c r="G20" s="20">
        <v>0</v>
      </c>
      <c r="H20" s="20">
        <v>1.6933207902163687E-4</v>
      </c>
      <c r="I20" s="20">
        <v>2.3000138000828005E-4</v>
      </c>
      <c r="J20" s="20">
        <v>2.0080631458626176E-4</v>
      </c>
      <c r="K20" s="20">
        <v>2.3505077096652876E-4</v>
      </c>
      <c r="L20" s="19">
        <v>0</v>
      </c>
      <c r="M20" s="19">
        <v>9</v>
      </c>
      <c r="N20" s="19">
        <v>15</v>
      </c>
      <c r="O20" s="19">
        <v>13</v>
      </c>
      <c r="P20" s="19">
        <v>15</v>
      </c>
      <c r="Q20" s="20">
        <v>0</v>
      </c>
      <c r="R20" s="20">
        <v>1</v>
      </c>
      <c r="S20" s="20">
        <v>1</v>
      </c>
      <c r="T20" s="20">
        <v>1</v>
      </c>
      <c r="U20" s="20">
        <v>1</v>
      </c>
      <c r="W20" s="19">
        <v>0</v>
      </c>
      <c r="X20" s="19">
        <v>0</v>
      </c>
      <c r="Y20" s="19">
        <v>0</v>
      </c>
      <c r="Z20" s="19">
        <v>0</v>
      </c>
      <c r="AA20" s="19">
        <v>13</v>
      </c>
      <c r="AB20" s="20">
        <v>0</v>
      </c>
      <c r="AC20" s="20">
        <v>0</v>
      </c>
      <c r="AD20" s="20">
        <v>0</v>
      </c>
      <c r="AE20" s="20">
        <v>0</v>
      </c>
      <c r="AF20" s="20">
        <v>2.0080631458626176E-4</v>
      </c>
      <c r="AG20" s="19">
        <v>0</v>
      </c>
      <c r="AH20" s="19">
        <v>0</v>
      </c>
      <c r="AI20" s="19">
        <v>0</v>
      </c>
      <c r="AJ20" s="19">
        <v>0</v>
      </c>
      <c r="AK20" s="19">
        <v>13</v>
      </c>
      <c r="AL20" s="20">
        <v>0</v>
      </c>
      <c r="AM20" s="20">
        <v>0</v>
      </c>
      <c r="AN20" s="20">
        <v>0</v>
      </c>
      <c r="AO20" s="20">
        <v>0</v>
      </c>
      <c r="AP20" s="20">
        <v>1</v>
      </c>
      <c r="AQ20" s="37"/>
      <c r="AV20" s="19" t="s">
        <v>168</v>
      </c>
      <c r="AW20" s="19" t="s">
        <v>168</v>
      </c>
      <c r="AX20" s="19" t="s">
        <v>168</v>
      </c>
    </row>
    <row r="21" spans="1:50" s="19" customFormat="1" ht="12.75" x14ac:dyDescent="0.2">
      <c r="A21" s="18" t="s">
        <v>32</v>
      </c>
      <c r="B21" s="19">
        <v>0</v>
      </c>
      <c r="C21" s="19">
        <v>0</v>
      </c>
      <c r="D21" s="19">
        <v>5010</v>
      </c>
      <c r="E21" s="19">
        <v>4918</v>
      </c>
      <c r="F21" s="19">
        <v>4905</v>
      </c>
      <c r="G21" s="20">
        <v>0</v>
      </c>
      <c r="H21" s="20">
        <v>0</v>
      </c>
      <c r="I21" s="20">
        <v>7.6820460922765538E-2</v>
      </c>
      <c r="J21" s="20">
        <v>7.5966573471941176E-2</v>
      </c>
      <c r="K21" s="20">
        <v>7.6861602106054902E-2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4918</v>
      </c>
      <c r="AB21" s="20">
        <v>0</v>
      </c>
      <c r="AC21" s="20">
        <v>0</v>
      </c>
      <c r="AD21" s="20">
        <v>0</v>
      </c>
      <c r="AE21" s="20">
        <v>0</v>
      </c>
      <c r="AF21" s="20">
        <v>7.5966573471941176E-2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37"/>
      <c r="AV21" s="19" t="s">
        <v>168</v>
      </c>
      <c r="AW21" s="19" t="s">
        <v>168</v>
      </c>
      <c r="AX21" s="19" t="s">
        <v>168</v>
      </c>
    </row>
    <row r="22" spans="1:50" s="19" customFormat="1" ht="12.75" x14ac:dyDescent="0.2">
      <c r="A22" s="18" t="s">
        <v>80</v>
      </c>
      <c r="B22" s="19">
        <v>2759</v>
      </c>
      <c r="C22" s="19">
        <v>2778</v>
      </c>
      <c r="D22" s="19">
        <v>2793</v>
      </c>
      <c r="E22" s="19">
        <v>2879</v>
      </c>
      <c r="F22" s="19">
        <v>2950</v>
      </c>
      <c r="G22" s="20">
        <v>5.3276947437531377E-2</v>
      </c>
      <c r="H22" s="20">
        <v>5.2267168391345251E-2</v>
      </c>
      <c r="I22" s="20">
        <v>4.2826256957541747E-2</v>
      </c>
      <c r="J22" s="20">
        <v>4.4470875361065199E-2</v>
      </c>
      <c r="K22" s="20">
        <v>4.6226651623417325E-2</v>
      </c>
      <c r="L22" s="19">
        <v>2759</v>
      </c>
      <c r="M22" s="19">
        <v>2778</v>
      </c>
      <c r="N22" s="19">
        <v>2788</v>
      </c>
      <c r="O22" s="19">
        <v>2874</v>
      </c>
      <c r="P22" s="19">
        <v>2950</v>
      </c>
      <c r="Q22" s="20">
        <v>1</v>
      </c>
      <c r="R22" s="20">
        <v>1</v>
      </c>
      <c r="S22" s="20">
        <v>0.99820981023988542</v>
      </c>
      <c r="T22" s="20">
        <v>0.99826328586314694</v>
      </c>
      <c r="U22" s="20">
        <v>1</v>
      </c>
      <c r="W22" s="19">
        <v>1856</v>
      </c>
      <c r="X22" s="19">
        <v>2860</v>
      </c>
      <c r="Y22" s="19">
        <v>3051</v>
      </c>
      <c r="Z22" s="19">
        <v>3055</v>
      </c>
      <c r="AA22" s="19">
        <v>2879</v>
      </c>
      <c r="AB22" s="20">
        <v>4.0662518622381912E-2</v>
      </c>
      <c r="AC22" s="20">
        <v>5.3777593922755822E-2</v>
      </c>
      <c r="AD22" s="20">
        <v>5.7456545074480704E-2</v>
      </c>
      <c r="AE22" s="20">
        <v>6.0766996857222422E-2</v>
      </c>
      <c r="AF22" s="20">
        <v>4.4470875361065199E-2</v>
      </c>
      <c r="AG22" s="19">
        <v>1856</v>
      </c>
      <c r="AH22" s="19">
        <v>2860</v>
      </c>
      <c r="AI22" s="19">
        <v>3051</v>
      </c>
      <c r="AJ22" s="19">
        <v>3055</v>
      </c>
      <c r="AK22" s="19">
        <v>2874</v>
      </c>
      <c r="AL22" s="20">
        <v>1</v>
      </c>
      <c r="AM22" s="20">
        <v>1</v>
      </c>
      <c r="AN22" s="20">
        <v>1</v>
      </c>
      <c r="AO22" s="20">
        <v>1</v>
      </c>
      <c r="AP22" s="20">
        <v>0.99826328586314694</v>
      </c>
      <c r="AQ22" s="37"/>
      <c r="AV22" s="19" t="s">
        <v>168</v>
      </c>
      <c r="AW22" s="19" t="s">
        <v>168</v>
      </c>
      <c r="AX22" s="19" t="s">
        <v>168</v>
      </c>
    </row>
    <row r="23" spans="1:50" s="19" customFormat="1" ht="12.75" x14ac:dyDescent="0.2">
      <c r="A23" s="18" t="s">
        <v>33</v>
      </c>
      <c r="B23" s="19">
        <v>0</v>
      </c>
      <c r="C23" s="19">
        <v>0</v>
      </c>
      <c r="D23" s="19">
        <v>0</v>
      </c>
      <c r="E23" s="19">
        <v>2</v>
      </c>
      <c r="F23" s="19">
        <v>2</v>
      </c>
      <c r="G23" s="20">
        <v>0</v>
      </c>
      <c r="H23" s="20">
        <v>0</v>
      </c>
      <c r="I23" s="20">
        <v>0</v>
      </c>
      <c r="J23" s="20">
        <v>3.0893279167117195E-5</v>
      </c>
      <c r="K23" s="20">
        <v>3.1340102795537166E-5</v>
      </c>
      <c r="L23" s="19">
        <v>0</v>
      </c>
      <c r="M23" s="19">
        <v>0</v>
      </c>
      <c r="N23" s="19">
        <v>0</v>
      </c>
      <c r="O23" s="19">
        <v>2</v>
      </c>
      <c r="P23" s="19">
        <v>2</v>
      </c>
      <c r="Q23" s="20">
        <v>0</v>
      </c>
      <c r="R23" s="20">
        <v>0</v>
      </c>
      <c r="S23" s="20">
        <v>0</v>
      </c>
      <c r="T23" s="20">
        <v>1</v>
      </c>
      <c r="U23" s="20">
        <v>1</v>
      </c>
      <c r="W23" s="19">
        <v>0</v>
      </c>
      <c r="X23" s="19">
        <v>0</v>
      </c>
      <c r="Y23" s="19">
        <v>0</v>
      </c>
      <c r="Z23" s="19">
        <v>0</v>
      </c>
      <c r="AA23" s="19">
        <v>2</v>
      </c>
      <c r="AB23" s="20">
        <v>0</v>
      </c>
      <c r="AC23" s="20">
        <v>0</v>
      </c>
      <c r="AD23" s="20">
        <v>0</v>
      </c>
      <c r="AE23" s="20">
        <v>0</v>
      </c>
      <c r="AF23" s="20">
        <v>3.0893279167117195E-5</v>
      </c>
      <c r="AG23" s="19">
        <v>0</v>
      </c>
      <c r="AH23" s="19">
        <v>0</v>
      </c>
      <c r="AI23" s="19">
        <v>0</v>
      </c>
      <c r="AJ23" s="19">
        <v>0</v>
      </c>
      <c r="AK23" s="19">
        <v>2</v>
      </c>
      <c r="AL23" s="20">
        <v>0</v>
      </c>
      <c r="AM23" s="20">
        <v>0</v>
      </c>
      <c r="AN23" s="20">
        <v>0</v>
      </c>
      <c r="AO23" s="20">
        <v>0</v>
      </c>
      <c r="AP23" s="20">
        <v>1</v>
      </c>
      <c r="AQ23" s="37"/>
      <c r="AV23" s="19" t="s">
        <v>168</v>
      </c>
      <c r="AW23" s="19" t="s">
        <v>168</v>
      </c>
      <c r="AX23" s="19" t="s">
        <v>168</v>
      </c>
    </row>
    <row r="24" spans="1:50" s="19" customFormat="1" ht="12.75" x14ac:dyDescent="0.2">
      <c r="A24" s="18" t="s">
        <v>34</v>
      </c>
      <c r="B24" s="19">
        <v>3</v>
      </c>
      <c r="C24" s="19">
        <v>9</v>
      </c>
      <c r="D24" s="19">
        <v>14</v>
      </c>
      <c r="E24" s="19">
        <v>16</v>
      </c>
      <c r="F24" s="19">
        <v>20</v>
      </c>
      <c r="G24" s="20">
        <v>5.7930714865021436E-5</v>
      </c>
      <c r="H24" s="20">
        <v>1.6933207902163687E-4</v>
      </c>
      <c r="I24" s="20">
        <v>2.1466795467439472E-4</v>
      </c>
      <c r="J24" s="20">
        <v>2.4714623333693756E-4</v>
      </c>
      <c r="K24" s="20">
        <v>3.1340102795537168E-4</v>
      </c>
      <c r="L24" s="19">
        <v>3</v>
      </c>
      <c r="M24" s="19">
        <v>9</v>
      </c>
      <c r="N24" s="19">
        <v>14</v>
      </c>
      <c r="O24" s="19">
        <v>16</v>
      </c>
      <c r="P24" s="19">
        <v>20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W24" s="19">
        <v>0</v>
      </c>
      <c r="X24" s="19">
        <v>0</v>
      </c>
      <c r="Y24" s="19">
        <v>0</v>
      </c>
      <c r="Z24" s="19">
        <v>0</v>
      </c>
      <c r="AA24" s="19">
        <v>16</v>
      </c>
      <c r="AB24" s="20">
        <v>0</v>
      </c>
      <c r="AC24" s="20">
        <v>0</v>
      </c>
      <c r="AD24" s="20">
        <v>0</v>
      </c>
      <c r="AE24" s="20">
        <v>0</v>
      </c>
      <c r="AF24" s="20">
        <v>2.4714623333693756E-4</v>
      </c>
      <c r="AG24" s="19">
        <v>0</v>
      </c>
      <c r="AH24" s="19">
        <v>0</v>
      </c>
      <c r="AI24" s="19">
        <v>0</v>
      </c>
      <c r="AJ24" s="19">
        <v>0</v>
      </c>
      <c r="AK24" s="19">
        <v>16</v>
      </c>
      <c r="AL24" s="20">
        <v>0</v>
      </c>
      <c r="AM24" s="20">
        <v>0</v>
      </c>
      <c r="AN24" s="20">
        <v>0</v>
      </c>
      <c r="AO24" s="20">
        <v>0</v>
      </c>
      <c r="AP24" s="20">
        <v>1</v>
      </c>
      <c r="AQ24" s="37"/>
      <c r="AV24" s="19" t="s">
        <v>168</v>
      </c>
      <c r="AW24" s="19" t="s">
        <v>168</v>
      </c>
      <c r="AX24" s="19" t="s">
        <v>168</v>
      </c>
    </row>
    <row r="25" spans="1:50" s="19" customFormat="1" ht="12.75" x14ac:dyDescent="0.2">
      <c r="A25" s="18" t="s">
        <v>35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W25" s="19">
        <v>94</v>
      </c>
      <c r="X25" s="19">
        <v>0</v>
      </c>
      <c r="Y25" s="19">
        <v>0</v>
      </c>
      <c r="Z25" s="19">
        <v>0</v>
      </c>
      <c r="AA25" s="19">
        <v>0</v>
      </c>
      <c r="AB25" s="20">
        <v>2.0594163526421873E-3</v>
      </c>
      <c r="AC25" s="20">
        <v>0</v>
      </c>
      <c r="AD25" s="20">
        <v>0</v>
      </c>
      <c r="AE25" s="20">
        <v>0</v>
      </c>
      <c r="AF25" s="20">
        <v>0</v>
      </c>
      <c r="AG25" s="19">
        <v>94</v>
      </c>
      <c r="AH25" s="19">
        <v>0</v>
      </c>
      <c r="AI25" s="19">
        <v>0</v>
      </c>
      <c r="AJ25" s="19">
        <v>0</v>
      </c>
      <c r="AK25" s="19">
        <v>0</v>
      </c>
      <c r="AL25" s="20">
        <v>1</v>
      </c>
      <c r="AM25" s="20">
        <v>0</v>
      </c>
      <c r="AN25" s="20">
        <v>0</v>
      </c>
      <c r="AO25" s="20">
        <v>0</v>
      </c>
      <c r="AP25" s="20">
        <v>0</v>
      </c>
      <c r="AQ25" s="37"/>
      <c r="AV25" s="19" t="s">
        <v>168</v>
      </c>
      <c r="AW25" s="19" t="s">
        <v>168</v>
      </c>
      <c r="AX25" s="19" t="s">
        <v>168</v>
      </c>
    </row>
    <row r="26" spans="1:50" s="19" customFormat="1" ht="12.75" x14ac:dyDescent="0.2">
      <c r="A26" s="18" t="s">
        <v>85</v>
      </c>
      <c r="B26" s="19">
        <v>6</v>
      </c>
      <c r="C26" s="19">
        <v>7</v>
      </c>
      <c r="D26" s="19">
        <v>12</v>
      </c>
      <c r="E26" s="19">
        <v>14</v>
      </c>
      <c r="F26" s="19">
        <v>78</v>
      </c>
      <c r="G26" s="20">
        <v>1.1586142973004287E-4</v>
      </c>
      <c r="H26" s="20">
        <v>1.3170272812793979E-4</v>
      </c>
      <c r="I26" s="20">
        <v>1.8400110400662405E-4</v>
      </c>
      <c r="J26" s="20">
        <v>2.1625295416982036E-4</v>
      </c>
      <c r="K26" s="20">
        <v>1.2222640090259495E-3</v>
      </c>
      <c r="L26" s="19">
        <v>6</v>
      </c>
      <c r="M26" s="19">
        <v>7</v>
      </c>
      <c r="N26" s="19">
        <v>12</v>
      </c>
      <c r="O26" s="19">
        <v>14</v>
      </c>
      <c r="P26" s="19">
        <v>78</v>
      </c>
      <c r="Q26" s="20">
        <v>1</v>
      </c>
      <c r="R26" s="20">
        <v>1</v>
      </c>
      <c r="S26" s="20">
        <v>1</v>
      </c>
      <c r="T26" s="20">
        <v>1</v>
      </c>
      <c r="U26" s="20">
        <v>1</v>
      </c>
      <c r="W26" s="19">
        <v>1</v>
      </c>
      <c r="X26" s="19">
        <v>1</v>
      </c>
      <c r="Y26" s="19">
        <v>1</v>
      </c>
      <c r="Z26" s="19">
        <v>4</v>
      </c>
      <c r="AA26" s="19">
        <v>14</v>
      </c>
      <c r="AB26" s="20">
        <v>2.1908684602576462E-5</v>
      </c>
      <c r="AC26" s="20">
        <v>1.880335451844609E-5</v>
      </c>
      <c r="AD26" s="20">
        <v>1.8832037061448937E-5</v>
      </c>
      <c r="AE26" s="20">
        <v>7.956398933842543E-5</v>
      </c>
      <c r="AF26" s="20">
        <v>2.1625295416982036E-4</v>
      </c>
      <c r="AG26" s="19">
        <v>1</v>
      </c>
      <c r="AH26" s="19">
        <v>1</v>
      </c>
      <c r="AI26" s="19">
        <v>1</v>
      </c>
      <c r="AJ26" s="19">
        <v>4</v>
      </c>
      <c r="AK26" s="19">
        <v>14</v>
      </c>
      <c r="AL26" s="20">
        <v>1</v>
      </c>
      <c r="AM26" s="20">
        <v>1</v>
      </c>
      <c r="AN26" s="20">
        <v>1</v>
      </c>
      <c r="AO26" s="20">
        <v>1</v>
      </c>
      <c r="AP26" s="20">
        <v>1</v>
      </c>
      <c r="AQ26" s="37"/>
      <c r="AV26" s="19" t="s">
        <v>168</v>
      </c>
      <c r="AW26" s="19" t="s">
        <v>168</v>
      </c>
      <c r="AX26" s="19" t="s">
        <v>168</v>
      </c>
    </row>
    <row r="27" spans="1:50" s="19" customFormat="1" ht="12.75" x14ac:dyDescent="0.2">
      <c r="A27" s="18" t="s">
        <v>36</v>
      </c>
      <c r="B27" s="19">
        <v>22</v>
      </c>
      <c r="C27" s="19">
        <v>23</v>
      </c>
      <c r="D27" s="19">
        <v>33</v>
      </c>
      <c r="E27" s="19">
        <v>33</v>
      </c>
      <c r="F27" s="19">
        <v>46</v>
      </c>
      <c r="G27" s="20">
        <v>4.2482524234349053E-4</v>
      </c>
      <c r="H27" s="20">
        <v>4.3273753527751647E-4</v>
      </c>
      <c r="I27" s="20">
        <v>5.0600303601821607E-4</v>
      </c>
      <c r="J27" s="20">
        <v>5.0973910625743367E-4</v>
      </c>
      <c r="K27" s="20">
        <v>7.2082236429735485E-4</v>
      </c>
      <c r="L27" s="19">
        <v>22</v>
      </c>
      <c r="M27" s="19">
        <v>23</v>
      </c>
      <c r="N27" s="19">
        <v>33</v>
      </c>
      <c r="O27" s="19">
        <v>33</v>
      </c>
      <c r="P27" s="19">
        <v>46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W27" s="19">
        <v>0</v>
      </c>
      <c r="X27" s="19">
        <v>21</v>
      </c>
      <c r="Y27" s="19">
        <v>20</v>
      </c>
      <c r="Z27" s="19">
        <v>20</v>
      </c>
      <c r="AA27" s="19">
        <v>33</v>
      </c>
      <c r="AB27" s="20">
        <v>0</v>
      </c>
      <c r="AC27" s="20">
        <v>3.948704448873679E-4</v>
      </c>
      <c r="AD27" s="20">
        <v>3.7664074122897872E-4</v>
      </c>
      <c r="AE27" s="20">
        <v>3.9781994669212714E-4</v>
      </c>
      <c r="AF27" s="20">
        <v>5.0973910625743367E-4</v>
      </c>
      <c r="AG27" s="19">
        <v>0</v>
      </c>
      <c r="AH27" s="19">
        <v>21</v>
      </c>
      <c r="AI27" s="19">
        <v>20</v>
      </c>
      <c r="AJ27" s="19">
        <v>20</v>
      </c>
      <c r="AK27" s="19">
        <v>33</v>
      </c>
      <c r="AL27" s="20">
        <v>0</v>
      </c>
      <c r="AM27" s="20">
        <v>1</v>
      </c>
      <c r="AN27" s="20">
        <v>1</v>
      </c>
      <c r="AO27" s="20">
        <v>1</v>
      </c>
      <c r="AP27" s="20">
        <v>1</v>
      </c>
      <c r="AQ27" s="37"/>
      <c r="AV27" s="19" t="s">
        <v>168</v>
      </c>
      <c r="AW27" s="19" t="s">
        <v>168</v>
      </c>
      <c r="AX27" s="19" t="s">
        <v>168</v>
      </c>
    </row>
    <row r="28" spans="1:50" s="19" customFormat="1" ht="12.75" x14ac:dyDescent="0.2">
      <c r="A28" s="18" t="s">
        <v>37</v>
      </c>
      <c r="B28" s="19">
        <v>31</v>
      </c>
      <c r="C28" s="19">
        <v>32</v>
      </c>
      <c r="D28" s="19">
        <v>33</v>
      </c>
      <c r="E28" s="19">
        <v>16</v>
      </c>
      <c r="F28" s="19">
        <v>17</v>
      </c>
      <c r="G28" s="20">
        <v>5.9861738693855484E-4</v>
      </c>
      <c r="H28" s="20">
        <v>6.0206961429915332E-4</v>
      </c>
      <c r="I28" s="20">
        <v>5.0600303601821607E-4</v>
      </c>
      <c r="J28" s="20">
        <v>2.4714623333693756E-4</v>
      </c>
      <c r="K28" s="20">
        <v>2.6639087376206593E-4</v>
      </c>
      <c r="L28" s="19">
        <v>31</v>
      </c>
      <c r="M28" s="19">
        <v>32</v>
      </c>
      <c r="N28" s="19">
        <v>33</v>
      </c>
      <c r="O28" s="19">
        <v>16</v>
      </c>
      <c r="P28" s="19">
        <v>17</v>
      </c>
      <c r="Q28" s="20">
        <v>1</v>
      </c>
      <c r="R28" s="20">
        <v>1</v>
      </c>
      <c r="S28" s="20">
        <v>1</v>
      </c>
      <c r="T28" s="20">
        <v>1</v>
      </c>
      <c r="U28" s="20">
        <v>1</v>
      </c>
      <c r="W28" s="19">
        <v>10</v>
      </c>
      <c r="X28" s="19">
        <v>40</v>
      </c>
      <c r="Y28" s="19">
        <v>104</v>
      </c>
      <c r="Z28" s="19">
        <v>32</v>
      </c>
      <c r="AA28" s="19">
        <v>16</v>
      </c>
      <c r="AB28" s="20">
        <v>2.1908684602576462E-4</v>
      </c>
      <c r="AC28" s="20">
        <v>7.5213418073784364E-4</v>
      </c>
      <c r="AD28" s="20">
        <v>1.9585318543906896E-3</v>
      </c>
      <c r="AE28" s="20">
        <v>6.3651191470740344E-4</v>
      </c>
      <c r="AF28" s="20">
        <v>2.4714623333693756E-4</v>
      </c>
      <c r="AG28" s="19">
        <v>10</v>
      </c>
      <c r="AH28" s="19">
        <v>40</v>
      </c>
      <c r="AI28" s="19">
        <v>104</v>
      </c>
      <c r="AJ28" s="19">
        <v>32</v>
      </c>
      <c r="AK28" s="19">
        <v>16</v>
      </c>
      <c r="AL28" s="20">
        <v>1</v>
      </c>
      <c r="AM28" s="20">
        <v>1</v>
      </c>
      <c r="AN28" s="20">
        <v>1</v>
      </c>
      <c r="AO28" s="20">
        <v>1</v>
      </c>
      <c r="AP28" s="20">
        <v>1</v>
      </c>
      <c r="AQ28" s="37"/>
      <c r="AV28" s="19" t="s">
        <v>168</v>
      </c>
      <c r="AW28" s="19" t="s">
        <v>168</v>
      </c>
      <c r="AX28" s="19" t="s">
        <v>168</v>
      </c>
    </row>
    <row r="29" spans="1:50" s="19" customFormat="1" ht="12.75" x14ac:dyDescent="0.2">
      <c r="A29" s="18" t="s">
        <v>86</v>
      </c>
      <c r="B29" s="19">
        <v>4</v>
      </c>
      <c r="C29" s="19">
        <v>4</v>
      </c>
      <c r="D29" s="19">
        <v>6</v>
      </c>
      <c r="E29" s="19">
        <v>6</v>
      </c>
      <c r="F29" s="19">
        <v>5</v>
      </c>
      <c r="G29" s="20">
        <v>7.7240953153361915E-5</v>
      </c>
      <c r="H29" s="20">
        <v>7.5258701787394165E-5</v>
      </c>
      <c r="I29" s="20">
        <v>9.2000552003312024E-5</v>
      </c>
      <c r="J29" s="20">
        <v>9.2679837501351579E-5</v>
      </c>
      <c r="K29" s="20">
        <v>7.8350256988842919E-5</v>
      </c>
      <c r="L29" s="19">
        <v>4</v>
      </c>
      <c r="M29" s="19">
        <v>4</v>
      </c>
      <c r="N29" s="19">
        <v>6</v>
      </c>
      <c r="O29" s="19">
        <v>6</v>
      </c>
      <c r="P29" s="19">
        <v>5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W29" s="19">
        <v>6</v>
      </c>
      <c r="X29" s="19">
        <v>6</v>
      </c>
      <c r="Y29" s="19">
        <v>8</v>
      </c>
      <c r="Z29" s="19">
        <v>8</v>
      </c>
      <c r="AA29" s="19">
        <v>6</v>
      </c>
      <c r="AB29" s="20">
        <v>1.3145210761545875E-4</v>
      </c>
      <c r="AC29" s="20">
        <v>1.1282012711067654E-4</v>
      </c>
      <c r="AD29" s="20">
        <v>1.5065629649159149E-4</v>
      </c>
      <c r="AE29" s="20">
        <v>1.5912797867685086E-4</v>
      </c>
      <c r="AF29" s="20">
        <v>9.2679837501351579E-5</v>
      </c>
      <c r="AG29" s="19">
        <v>6</v>
      </c>
      <c r="AH29" s="19">
        <v>6</v>
      </c>
      <c r="AI29" s="19">
        <v>8</v>
      </c>
      <c r="AJ29" s="19">
        <v>8</v>
      </c>
      <c r="AK29" s="19">
        <v>6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37"/>
      <c r="AV29" s="19" t="s">
        <v>168</v>
      </c>
      <c r="AW29" s="19" t="s">
        <v>168</v>
      </c>
      <c r="AX29" s="19" t="s">
        <v>168</v>
      </c>
    </row>
    <row r="30" spans="1:50" s="19" customFormat="1" ht="12.75" x14ac:dyDescent="0.2">
      <c r="A30" s="18" t="s">
        <v>40</v>
      </c>
      <c r="B30" s="19">
        <v>2785</v>
      </c>
      <c r="C30" s="19">
        <v>2682</v>
      </c>
      <c r="D30" s="19">
        <v>2820</v>
      </c>
      <c r="E30" s="19">
        <v>2814</v>
      </c>
      <c r="F30" s="19">
        <v>2882</v>
      </c>
      <c r="G30" s="20">
        <v>5.3779013633028235E-2</v>
      </c>
      <c r="H30" s="20">
        <v>5.0460959548447787E-2</v>
      </c>
      <c r="I30" s="20">
        <v>4.3240259441556649E-2</v>
      </c>
      <c r="J30" s="20">
        <v>4.346684378813389E-2</v>
      </c>
      <c r="K30" s="20">
        <v>4.516108812836906E-2</v>
      </c>
      <c r="L30" s="19">
        <v>2785</v>
      </c>
      <c r="M30" s="19">
        <v>2682</v>
      </c>
      <c r="N30" s="19">
        <v>2820</v>
      </c>
      <c r="O30" s="19">
        <v>2814</v>
      </c>
      <c r="P30" s="19">
        <v>2881</v>
      </c>
      <c r="Q30" s="20">
        <v>1</v>
      </c>
      <c r="R30" s="20">
        <v>1</v>
      </c>
      <c r="S30" s="20">
        <v>1</v>
      </c>
      <c r="T30" s="20">
        <v>1</v>
      </c>
      <c r="U30" s="20">
        <v>0.9996530187369882</v>
      </c>
      <c r="W30" s="19">
        <v>2667</v>
      </c>
      <c r="X30" s="19">
        <v>2254</v>
      </c>
      <c r="Y30" s="19">
        <v>2300</v>
      </c>
      <c r="Z30" s="19">
        <v>2755</v>
      </c>
      <c r="AA30" s="19">
        <v>2814</v>
      </c>
      <c r="AB30" s="20">
        <v>5.8430461835071425E-2</v>
      </c>
      <c r="AC30" s="20">
        <v>4.2382761084577489E-2</v>
      </c>
      <c r="AD30" s="20">
        <v>4.3313685241332556E-2</v>
      </c>
      <c r="AE30" s="20">
        <v>5.4799697656840514E-2</v>
      </c>
      <c r="AF30" s="20">
        <v>4.346684378813389E-2</v>
      </c>
      <c r="AG30" s="19">
        <v>2667</v>
      </c>
      <c r="AH30" s="19">
        <v>2254</v>
      </c>
      <c r="AI30" s="19">
        <v>2300</v>
      </c>
      <c r="AJ30" s="19">
        <v>2755</v>
      </c>
      <c r="AK30" s="19">
        <v>2814</v>
      </c>
      <c r="AL30" s="20">
        <v>1</v>
      </c>
      <c r="AM30" s="20">
        <v>1</v>
      </c>
      <c r="AN30" s="20">
        <v>1</v>
      </c>
      <c r="AO30" s="20">
        <v>1</v>
      </c>
      <c r="AP30" s="20">
        <v>1</v>
      </c>
      <c r="AQ30" s="37"/>
      <c r="AV30" s="19" t="s">
        <v>168</v>
      </c>
      <c r="AW30" s="19" t="s">
        <v>168</v>
      </c>
      <c r="AX30" s="19" t="s">
        <v>168</v>
      </c>
    </row>
    <row r="31" spans="1:50" s="19" customFormat="1" ht="12.75" x14ac:dyDescent="0.2">
      <c r="A31" s="18" t="s">
        <v>41</v>
      </c>
      <c r="B31" s="19">
        <v>540</v>
      </c>
      <c r="C31" s="19">
        <v>567</v>
      </c>
      <c r="D31" s="19">
        <v>631</v>
      </c>
      <c r="E31" s="19">
        <v>599</v>
      </c>
      <c r="F31" s="19">
        <v>431</v>
      </c>
      <c r="G31" s="20">
        <v>1.0427528675703858E-2</v>
      </c>
      <c r="H31" s="20">
        <v>1.0667920978363124E-2</v>
      </c>
      <c r="I31" s="20">
        <v>9.6753913856816483E-3</v>
      </c>
      <c r="J31" s="20">
        <v>9.252537110551599E-3</v>
      </c>
      <c r="K31" s="20">
        <v>6.7537921524382597E-3</v>
      </c>
      <c r="L31" s="19">
        <v>540</v>
      </c>
      <c r="M31" s="19">
        <v>567</v>
      </c>
      <c r="N31" s="19">
        <v>612</v>
      </c>
      <c r="O31" s="19">
        <v>596</v>
      </c>
      <c r="P31" s="19">
        <v>430</v>
      </c>
      <c r="Q31" s="20">
        <v>1</v>
      </c>
      <c r="R31" s="20">
        <v>1</v>
      </c>
      <c r="S31" s="20">
        <v>0.96988906497622818</v>
      </c>
      <c r="T31" s="20">
        <v>0.994991652754591</v>
      </c>
      <c r="U31" s="20">
        <v>0.99767981438515085</v>
      </c>
      <c r="W31" s="19">
        <v>5</v>
      </c>
      <c r="X31" s="19">
        <v>39</v>
      </c>
      <c r="Y31" s="19">
        <v>350</v>
      </c>
      <c r="Z31" s="19">
        <v>299</v>
      </c>
      <c r="AA31" s="19">
        <v>599</v>
      </c>
      <c r="AB31" s="20">
        <v>1.0954342301288231E-4</v>
      </c>
      <c r="AC31" s="20">
        <v>7.3333082621939751E-4</v>
      </c>
      <c r="AD31" s="20">
        <v>6.5912129715071282E-3</v>
      </c>
      <c r="AE31" s="20">
        <v>5.9474082030473007E-3</v>
      </c>
      <c r="AF31" s="20">
        <v>9.252537110551599E-3</v>
      </c>
      <c r="AG31" s="19">
        <v>5</v>
      </c>
      <c r="AH31" s="19">
        <v>39</v>
      </c>
      <c r="AI31" s="19">
        <v>350</v>
      </c>
      <c r="AJ31" s="19">
        <v>299</v>
      </c>
      <c r="AK31" s="19">
        <v>596</v>
      </c>
      <c r="AL31" s="20">
        <v>1</v>
      </c>
      <c r="AM31" s="20">
        <v>1</v>
      </c>
      <c r="AN31" s="20">
        <v>1</v>
      </c>
      <c r="AO31" s="20">
        <v>1</v>
      </c>
      <c r="AP31" s="20">
        <v>0.994991652754591</v>
      </c>
      <c r="AQ31" s="37"/>
      <c r="AV31" s="19" t="s">
        <v>168</v>
      </c>
      <c r="AW31" s="19" t="s">
        <v>168</v>
      </c>
      <c r="AX31" s="19" t="s">
        <v>168</v>
      </c>
    </row>
    <row r="32" spans="1:50" s="19" customFormat="1" ht="12.75" x14ac:dyDescent="0.2">
      <c r="A32" s="18" t="s">
        <v>42</v>
      </c>
      <c r="B32" s="19">
        <v>49</v>
      </c>
      <c r="C32" s="19">
        <v>50</v>
      </c>
      <c r="D32" s="19">
        <v>56</v>
      </c>
      <c r="E32" s="19">
        <v>57</v>
      </c>
      <c r="F32" s="19">
        <v>0</v>
      </c>
      <c r="G32" s="20">
        <v>9.4620167612868345E-4</v>
      </c>
      <c r="H32" s="20">
        <v>9.4073377234242712E-4</v>
      </c>
      <c r="I32" s="20">
        <v>8.5867181869757889E-4</v>
      </c>
      <c r="J32" s="20">
        <v>8.8045845626283999E-4</v>
      </c>
      <c r="K32" s="20">
        <v>0</v>
      </c>
      <c r="L32" s="19">
        <v>49</v>
      </c>
      <c r="M32" s="19">
        <v>50</v>
      </c>
      <c r="N32" s="19">
        <v>56</v>
      </c>
      <c r="O32" s="19">
        <v>57</v>
      </c>
      <c r="P32" s="19">
        <v>0</v>
      </c>
      <c r="Q32" s="20">
        <v>1</v>
      </c>
      <c r="R32" s="20">
        <v>1</v>
      </c>
      <c r="S32" s="20">
        <v>1</v>
      </c>
      <c r="T32" s="20">
        <v>1</v>
      </c>
      <c r="U32" s="20">
        <v>0</v>
      </c>
      <c r="W32" s="19">
        <v>0</v>
      </c>
      <c r="X32" s="19">
        <v>0</v>
      </c>
      <c r="Y32" s="19">
        <v>10</v>
      </c>
      <c r="Z32" s="19">
        <v>50</v>
      </c>
      <c r="AA32" s="19">
        <v>57</v>
      </c>
      <c r="AB32" s="20">
        <v>0</v>
      </c>
      <c r="AC32" s="20">
        <v>0</v>
      </c>
      <c r="AD32" s="20">
        <v>1.8832037061448936E-4</v>
      </c>
      <c r="AE32" s="20">
        <v>9.945498667303179E-4</v>
      </c>
      <c r="AF32" s="20">
        <v>8.8045845626283999E-4</v>
      </c>
      <c r="AG32" s="19">
        <v>0</v>
      </c>
      <c r="AH32" s="19">
        <v>0</v>
      </c>
      <c r="AI32" s="19">
        <v>10</v>
      </c>
      <c r="AJ32" s="19">
        <v>50</v>
      </c>
      <c r="AK32" s="19">
        <v>57</v>
      </c>
      <c r="AL32" s="20">
        <v>0</v>
      </c>
      <c r="AM32" s="20">
        <v>0</v>
      </c>
      <c r="AN32" s="20">
        <v>1</v>
      </c>
      <c r="AO32" s="20">
        <v>1</v>
      </c>
      <c r="AP32" s="20">
        <v>1</v>
      </c>
      <c r="AQ32" s="37"/>
      <c r="AV32" s="19" t="s">
        <v>168</v>
      </c>
      <c r="AW32" s="19" t="s">
        <v>168</v>
      </c>
      <c r="AX32" s="19" t="s">
        <v>168</v>
      </c>
    </row>
    <row r="33" spans="1:55" s="19" customFormat="1" ht="12.75" x14ac:dyDescent="0.2">
      <c r="A33" s="18" t="s">
        <v>43</v>
      </c>
      <c r="B33" s="19">
        <v>18228</v>
      </c>
      <c r="C33" s="19">
        <v>18241</v>
      </c>
      <c r="D33" s="19">
        <v>17353</v>
      </c>
      <c r="E33" s="19">
        <v>17911</v>
      </c>
      <c r="F33" s="19">
        <v>17926</v>
      </c>
      <c r="G33" s="20">
        <v>0.35198702351987021</v>
      </c>
      <c r="H33" s="20">
        <v>0.34319849482596426</v>
      </c>
      <c r="I33" s="20">
        <v>0.26608092981891224</v>
      </c>
      <c r="J33" s="20">
        <v>0.27666476158111802</v>
      </c>
      <c r="K33" s="20">
        <v>0.28090134135639966</v>
      </c>
      <c r="L33" s="19">
        <v>18228</v>
      </c>
      <c r="M33" s="19">
        <v>18241</v>
      </c>
      <c r="N33" s="19">
        <v>16720</v>
      </c>
      <c r="O33" s="19">
        <v>17313</v>
      </c>
      <c r="P33" s="19">
        <v>17318</v>
      </c>
      <c r="Q33" s="20">
        <v>1</v>
      </c>
      <c r="R33" s="20">
        <v>1</v>
      </c>
      <c r="S33" s="20">
        <v>0.96352215755200832</v>
      </c>
      <c r="T33" s="20">
        <v>0.96661269610853662</v>
      </c>
      <c r="U33" s="20">
        <v>0.96608278478188103</v>
      </c>
      <c r="W33" s="19">
        <v>9658</v>
      </c>
      <c r="X33" s="19">
        <v>18890</v>
      </c>
      <c r="Y33" s="19">
        <v>20732</v>
      </c>
      <c r="Z33" s="19">
        <v>17641</v>
      </c>
      <c r="AA33" s="19">
        <v>17911</v>
      </c>
      <c r="AB33" s="20">
        <v>0.21159407589168347</v>
      </c>
      <c r="AC33" s="20">
        <v>0.35519536685344666</v>
      </c>
      <c r="AD33" s="20">
        <v>0.39042579235795938</v>
      </c>
      <c r="AE33" s="20">
        <v>0.35089708397979075</v>
      </c>
      <c r="AF33" s="20">
        <v>0.27666476158111802</v>
      </c>
      <c r="AG33" s="19">
        <v>9658</v>
      </c>
      <c r="AH33" s="19">
        <v>18890</v>
      </c>
      <c r="AI33" s="19">
        <v>20732</v>
      </c>
      <c r="AJ33" s="19">
        <v>17641</v>
      </c>
      <c r="AK33" s="19">
        <v>17313</v>
      </c>
      <c r="AL33" s="20">
        <v>1</v>
      </c>
      <c r="AM33" s="20">
        <v>1</v>
      </c>
      <c r="AN33" s="20">
        <v>1</v>
      </c>
      <c r="AO33" s="20">
        <v>1</v>
      </c>
      <c r="AP33" s="20">
        <v>0.96661269610853662</v>
      </c>
      <c r="AQ33" s="37"/>
      <c r="AV33" s="19" t="s">
        <v>168</v>
      </c>
      <c r="AW33" s="19" t="s">
        <v>168</v>
      </c>
      <c r="AX33" s="19" t="s">
        <v>168</v>
      </c>
    </row>
    <row r="34" spans="1:55" s="19" customFormat="1" ht="12.75" x14ac:dyDescent="0.2">
      <c r="A34" s="18" t="s">
        <v>87</v>
      </c>
      <c r="B34" s="19">
        <v>11</v>
      </c>
      <c r="C34" s="19">
        <v>11</v>
      </c>
      <c r="D34" s="19">
        <v>12</v>
      </c>
      <c r="E34" s="19">
        <v>12</v>
      </c>
      <c r="F34" s="19">
        <v>18</v>
      </c>
      <c r="G34" s="20">
        <v>2.1241262117174526E-4</v>
      </c>
      <c r="H34" s="20">
        <v>2.0696142991533396E-4</v>
      </c>
      <c r="I34" s="20">
        <v>1.8400110400662405E-4</v>
      </c>
      <c r="J34" s="20">
        <v>1.8535967500270316E-4</v>
      </c>
      <c r="K34" s="20">
        <v>2.8206092515983453E-4</v>
      </c>
      <c r="L34" s="19">
        <v>11</v>
      </c>
      <c r="M34" s="19">
        <v>11</v>
      </c>
      <c r="N34" s="19">
        <v>12</v>
      </c>
      <c r="O34" s="19">
        <v>12</v>
      </c>
      <c r="P34" s="19">
        <v>18</v>
      </c>
      <c r="Q34" s="20">
        <v>1</v>
      </c>
      <c r="R34" s="20">
        <v>1</v>
      </c>
      <c r="S34" s="20">
        <v>1</v>
      </c>
      <c r="T34" s="20">
        <v>1</v>
      </c>
      <c r="U34" s="20">
        <v>1</v>
      </c>
      <c r="W34" s="19">
        <v>0</v>
      </c>
      <c r="X34" s="19">
        <v>2</v>
      </c>
      <c r="Y34" s="19">
        <v>2</v>
      </c>
      <c r="Z34" s="19">
        <v>8</v>
      </c>
      <c r="AA34" s="19">
        <v>12</v>
      </c>
      <c r="AB34" s="20">
        <v>0</v>
      </c>
      <c r="AC34" s="20">
        <v>3.7606709036892179E-5</v>
      </c>
      <c r="AD34" s="20">
        <v>3.7664074122897873E-5</v>
      </c>
      <c r="AE34" s="20">
        <v>1.5912797867685086E-4</v>
      </c>
      <c r="AF34" s="20">
        <v>1.8535967500270316E-4</v>
      </c>
      <c r="AG34" s="19">
        <v>0</v>
      </c>
      <c r="AH34" s="19">
        <v>2</v>
      </c>
      <c r="AI34" s="19">
        <v>2</v>
      </c>
      <c r="AJ34" s="19">
        <v>8</v>
      </c>
      <c r="AK34" s="19">
        <v>12</v>
      </c>
      <c r="AL34" s="20">
        <v>0</v>
      </c>
      <c r="AM34" s="20">
        <v>1</v>
      </c>
      <c r="AN34" s="20">
        <v>1</v>
      </c>
      <c r="AO34" s="20">
        <v>1</v>
      </c>
      <c r="AP34" s="20">
        <v>1</v>
      </c>
      <c r="AQ34" s="37"/>
      <c r="AV34" s="19" t="s">
        <v>168</v>
      </c>
      <c r="AW34" s="19" t="s">
        <v>168</v>
      </c>
      <c r="AX34" s="19" t="s">
        <v>168</v>
      </c>
    </row>
    <row r="35" spans="1:55" s="19" customFormat="1" ht="12.75" x14ac:dyDescent="0.2">
      <c r="A35" s="18" t="s">
        <v>44</v>
      </c>
      <c r="B35" s="19">
        <v>1</v>
      </c>
      <c r="C35" s="19">
        <v>1</v>
      </c>
      <c r="D35" s="19">
        <v>1</v>
      </c>
      <c r="E35" s="19">
        <v>1</v>
      </c>
      <c r="F35" s="19">
        <v>3</v>
      </c>
      <c r="G35" s="20">
        <v>1.9310238288340479E-5</v>
      </c>
      <c r="H35" s="20">
        <v>1.8814675446848541E-5</v>
      </c>
      <c r="I35" s="20">
        <v>1.5333425333885337E-5</v>
      </c>
      <c r="J35" s="20">
        <v>1.5446639583558598E-5</v>
      </c>
      <c r="K35" s="20">
        <v>4.7010154193305753E-5</v>
      </c>
      <c r="L35" s="19">
        <v>1</v>
      </c>
      <c r="M35" s="19">
        <v>1</v>
      </c>
      <c r="N35" s="19">
        <v>1</v>
      </c>
      <c r="O35" s="19">
        <v>1</v>
      </c>
      <c r="P35" s="19">
        <v>3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W35" s="19">
        <v>0</v>
      </c>
      <c r="X35" s="19">
        <v>0</v>
      </c>
      <c r="Y35" s="19">
        <v>1</v>
      </c>
      <c r="Z35" s="19">
        <v>1</v>
      </c>
      <c r="AA35" s="19">
        <v>1</v>
      </c>
      <c r="AB35" s="20">
        <v>0</v>
      </c>
      <c r="AC35" s="20">
        <v>0</v>
      </c>
      <c r="AD35" s="20">
        <v>1.8832037061448937E-5</v>
      </c>
      <c r="AE35" s="20">
        <v>1.9890997334606358E-5</v>
      </c>
      <c r="AF35" s="20">
        <v>1.5446639583558598E-5</v>
      </c>
      <c r="AG35" s="19">
        <v>0</v>
      </c>
      <c r="AH35" s="19">
        <v>0</v>
      </c>
      <c r="AI35" s="19">
        <v>1</v>
      </c>
      <c r="AJ35" s="19">
        <v>1</v>
      </c>
      <c r="AK35" s="19">
        <v>1</v>
      </c>
      <c r="AL35" s="20">
        <v>0</v>
      </c>
      <c r="AM35" s="20">
        <v>0</v>
      </c>
      <c r="AN35" s="20">
        <v>1</v>
      </c>
      <c r="AO35" s="20">
        <v>1</v>
      </c>
      <c r="AP35" s="20">
        <v>1</v>
      </c>
      <c r="AQ35" s="37"/>
      <c r="AV35" s="19" t="s">
        <v>168</v>
      </c>
      <c r="AW35" s="19" t="s">
        <v>168</v>
      </c>
      <c r="AX35" s="19" t="s">
        <v>168</v>
      </c>
    </row>
    <row r="36" spans="1:55" s="19" customFormat="1" ht="12.75" x14ac:dyDescent="0.2">
      <c r="A36" s="18" t="s">
        <v>126</v>
      </c>
      <c r="B36" s="19">
        <v>201</v>
      </c>
      <c r="C36" s="19">
        <v>190</v>
      </c>
      <c r="D36" s="19">
        <v>216</v>
      </c>
      <c r="E36" s="19">
        <v>168</v>
      </c>
      <c r="F36" s="19">
        <v>154</v>
      </c>
      <c r="G36" s="20">
        <v>3.881357895956436E-3</v>
      </c>
      <c r="H36" s="20">
        <v>3.5747883349012228E-3</v>
      </c>
      <c r="I36" s="20">
        <v>3.3120198721192325E-3</v>
      </c>
      <c r="J36" s="20">
        <v>2.5950354500378441E-3</v>
      </c>
      <c r="K36" s="20">
        <v>2.4131879152563623E-3</v>
      </c>
      <c r="L36" s="19">
        <v>201</v>
      </c>
      <c r="M36" s="19">
        <v>190</v>
      </c>
      <c r="N36" s="19">
        <v>195</v>
      </c>
      <c r="O36" s="19">
        <v>152</v>
      </c>
      <c r="P36" s="19">
        <v>144</v>
      </c>
      <c r="Q36" s="20">
        <v>1</v>
      </c>
      <c r="R36" s="20">
        <v>1</v>
      </c>
      <c r="S36" s="20">
        <v>0.90277777777777779</v>
      </c>
      <c r="T36" s="20">
        <v>0.90476190476190477</v>
      </c>
      <c r="U36" s="20">
        <v>0.93506493506493504</v>
      </c>
      <c r="W36" s="19">
        <v>236</v>
      </c>
      <c r="X36" s="19">
        <v>321</v>
      </c>
      <c r="Y36" s="19">
        <v>86</v>
      </c>
      <c r="Z36" s="19">
        <v>233</v>
      </c>
      <c r="AA36" s="19">
        <v>168</v>
      </c>
      <c r="AB36" s="20">
        <v>5.1704495662080446E-3</v>
      </c>
      <c r="AC36" s="20">
        <v>6.0358768004211954E-3</v>
      </c>
      <c r="AD36" s="20">
        <v>1.6195551872846086E-3</v>
      </c>
      <c r="AE36" s="20">
        <v>4.6346023789632816E-3</v>
      </c>
      <c r="AF36" s="20">
        <v>2.5950354500378441E-3</v>
      </c>
      <c r="AG36" s="19">
        <v>236</v>
      </c>
      <c r="AH36" s="19">
        <v>321</v>
      </c>
      <c r="AI36" s="19">
        <v>86</v>
      </c>
      <c r="AJ36" s="19">
        <v>233</v>
      </c>
      <c r="AK36" s="19">
        <v>152</v>
      </c>
      <c r="AL36" s="20">
        <v>1</v>
      </c>
      <c r="AM36" s="20">
        <v>1</v>
      </c>
      <c r="AN36" s="20">
        <v>1</v>
      </c>
      <c r="AO36" s="20">
        <v>1</v>
      </c>
      <c r="AP36" s="20">
        <v>0.90476190476190477</v>
      </c>
      <c r="AQ36" s="37"/>
      <c r="AV36" s="19" t="s">
        <v>168</v>
      </c>
    </row>
    <row r="37" spans="1:55" s="19" customFormat="1" ht="12.75" x14ac:dyDescent="0.2">
      <c r="A37" s="18" t="s">
        <v>48</v>
      </c>
      <c r="B37" s="19">
        <v>53</v>
      </c>
      <c r="C37" s="19">
        <v>58</v>
      </c>
      <c r="D37" s="19">
        <v>70</v>
      </c>
      <c r="E37" s="19">
        <v>35</v>
      </c>
      <c r="F37" s="19">
        <v>53</v>
      </c>
      <c r="G37" s="20">
        <v>1.0234426292820454E-3</v>
      </c>
      <c r="H37" s="20">
        <v>1.0912511759172154E-3</v>
      </c>
      <c r="I37" s="20">
        <v>1.0733397733719736E-3</v>
      </c>
      <c r="J37" s="20">
        <v>5.4063238542455087E-4</v>
      </c>
      <c r="K37" s="20">
        <v>8.3051272408173494E-4</v>
      </c>
      <c r="L37" s="19">
        <v>53</v>
      </c>
      <c r="M37" s="19">
        <v>58</v>
      </c>
      <c r="N37" s="19">
        <v>70</v>
      </c>
      <c r="O37" s="19">
        <v>35</v>
      </c>
      <c r="P37" s="19">
        <v>53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W37" s="19">
        <v>1</v>
      </c>
      <c r="X37" s="19">
        <v>17</v>
      </c>
      <c r="Y37" s="19">
        <v>44</v>
      </c>
      <c r="Z37" s="19">
        <v>46</v>
      </c>
      <c r="AA37" s="19">
        <v>35</v>
      </c>
      <c r="AB37" s="20">
        <v>2.1908684602576462E-5</v>
      </c>
      <c r="AC37" s="20">
        <v>3.1965702681358352E-4</v>
      </c>
      <c r="AD37" s="20">
        <v>8.2860963070375323E-4</v>
      </c>
      <c r="AE37" s="20">
        <v>9.1498587739189243E-4</v>
      </c>
      <c r="AF37" s="20">
        <v>5.4063238542455087E-4</v>
      </c>
      <c r="AG37" s="19">
        <v>1</v>
      </c>
      <c r="AH37" s="19">
        <v>17</v>
      </c>
      <c r="AI37" s="19">
        <v>44</v>
      </c>
      <c r="AJ37" s="19">
        <v>46</v>
      </c>
      <c r="AK37" s="19">
        <v>35</v>
      </c>
      <c r="AL37" s="20">
        <v>1</v>
      </c>
      <c r="AM37" s="20">
        <v>1</v>
      </c>
      <c r="AN37" s="20">
        <v>1</v>
      </c>
      <c r="AO37" s="20">
        <v>1</v>
      </c>
      <c r="AP37" s="20">
        <v>1</v>
      </c>
      <c r="AQ37" s="37"/>
      <c r="AV37" s="19" t="s">
        <v>168</v>
      </c>
    </row>
    <row r="38" spans="1:55" s="19" customFormat="1" ht="12.75" x14ac:dyDescent="0.2">
      <c r="A38" s="18" t="s">
        <v>88</v>
      </c>
      <c r="B38" s="19">
        <v>230</v>
      </c>
      <c r="C38" s="19">
        <v>231</v>
      </c>
      <c r="D38" s="19">
        <v>302</v>
      </c>
      <c r="E38" s="19">
        <v>308</v>
      </c>
      <c r="F38" s="19">
        <v>165</v>
      </c>
      <c r="G38" s="20">
        <v>4.4413548063183097E-3</v>
      </c>
      <c r="H38" s="20">
        <v>4.346190028222013E-3</v>
      </c>
      <c r="I38" s="20">
        <v>4.6306944508333718E-3</v>
      </c>
      <c r="J38" s="20">
        <v>4.757564991736048E-3</v>
      </c>
      <c r="K38" s="20">
        <v>2.5855584806318164E-3</v>
      </c>
      <c r="L38" s="19">
        <v>230</v>
      </c>
      <c r="M38" s="19">
        <v>231</v>
      </c>
      <c r="N38" s="19">
        <v>302</v>
      </c>
      <c r="O38" s="19">
        <v>308</v>
      </c>
      <c r="P38" s="19">
        <v>165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W38" s="19">
        <v>26</v>
      </c>
      <c r="X38" s="19">
        <v>66</v>
      </c>
      <c r="Y38" s="19">
        <v>143</v>
      </c>
      <c r="Z38" s="19">
        <v>228</v>
      </c>
      <c r="AA38" s="19">
        <v>308</v>
      </c>
      <c r="AB38" s="20">
        <v>5.6962579966698805E-4</v>
      </c>
      <c r="AC38" s="20">
        <v>1.241021398217442E-3</v>
      </c>
      <c r="AD38" s="20">
        <v>2.6929812997871978E-3</v>
      </c>
      <c r="AE38" s="20">
        <v>4.5351473922902496E-3</v>
      </c>
      <c r="AF38" s="20">
        <v>4.757564991736048E-3</v>
      </c>
      <c r="AG38" s="19">
        <v>26</v>
      </c>
      <c r="AH38" s="19">
        <v>66</v>
      </c>
      <c r="AI38" s="19">
        <v>143</v>
      </c>
      <c r="AJ38" s="19">
        <v>228</v>
      </c>
      <c r="AK38" s="19">
        <v>308</v>
      </c>
      <c r="AL38" s="20">
        <v>1</v>
      </c>
      <c r="AM38" s="20">
        <v>1</v>
      </c>
      <c r="AN38" s="20">
        <v>1</v>
      </c>
      <c r="AO38" s="20">
        <v>1</v>
      </c>
      <c r="AP38" s="20">
        <v>1</v>
      </c>
      <c r="AQ38" s="37"/>
    </row>
    <row r="39" spans="1:55" s="19" customFormat="1" ht="12.75" x14ac:dyDescent="0.2">
      <c r="A39" s="18" t="s">
        <v>49</v>
      </c>
      <c r="B39" s="19">
        <v>35</v>
      </c>
      <c r="C39" s="19">
        <v>37</v>
      </c>
      <c r="D39" s="19">
        <v>45</v>
      </c>
      <c r="E39" s="19">
        <v>51</v>
      </c>
      <c r="F39" s="19">
        <v>55</v>
      </c>
      <c r="G39" s="20">
        <v>6.7585834009191675E-4</v>
      </c>
      <c r="H39" s="20">
        <v>6.9614299153339604E-4</v>
      </c>
      <c r="I39" s="20">
        <v>6.9000414002484017E-4</v>
      </c>
      <c r="J39" s="20">
        <v>7.8777861876148849E-4</v>
      </c>
      <c r="K39" s="20">
        <v>8.6185282687727214E-4</v>
      </c>
      <c r="L39" s="19">
        <v>35</v>
      </c>
      <c r="M39" s="19">
        <v>37</v>
      </c>
      <c r="N39" s="19">
        <v>45</v>
      </c>
      <c r="O39" s="19">
        <v>51</v>
      </c>
      <c r="P39" s="19">
        <v>55</v>
      </c>
      <c r="Q39" s="20">
        <v>1</v>
      </c>
      <c r="R39" s="20">
        <v>1</v>
      </c>
      <c r="S39" s="20">
        <v>1</v>
      </c>
      <c r="T39" s="20">
        <v>1</v>
      </c>
      <c r="U39" s="20">
        <v>1</v>
      </c>
      <c r="W39" s="19">
        <v>45</v>
      </c>
      <c r="X39" s="19">
        <v>250</v>
      </c>
      <c r="Y39" s="19">
        <v>45</v>
      </c>
      <c r="Z39" s="19">
        <v>35</v>
      </c>
      <c r="AA39" s="19">
        <v>51</v>
      </c>
      <c r="AB39" s="20">
        <v>9.8589080711594082E-4</v>
      </c>
      <c r="AC39" s="20">
        <v>4.7008386296115224E-3</v>
      </c>
      <c r="AD39" s="20">
        <v>8.4744166776520218E-4</v>
      </c>
      <c r="AE39" s="20">
        <v>6.9618490671122246E-4</v>
      </c>
      <c r="AF39" s="20">
        <v>7.8777861876148849E-4</v>
      </c>
      <c r="AG39" s="19">
        <v>45</v>
      </c>
      <c r="AH39" s="19">
        <v>250</v>
      </c>
      <c r="AI39" s="19">
        <v>45</v>
      </c>
      <c r="AJ39" s="19">
        <v>35</v>
      </c>
      <c r="AK39" s="19">
        <v>51</v>
      </c>
      <c r="AL39" s="20">
        <v>1</v>
      </c>
      <c r="AM39" s="20">
        <v>1</v>
      </c>
      <c r="AN39" s="20">
        <v>1</v>
      </c>
      <c r="AO39" s="20">
        <v>1</v>
      </c>
      <c r="AP39" s="20">
        <v>1</v>
      </c>
      <c r="AQ39" s="37"/>
    </row>
    <row r="40" spans="1:55" s="19" customFormat="1" ht="12.75" x14ac:dyDescent="0.2">
      <c r="A40" s="18" t="s">
        <v>50</v>
      </c>
      <c r="B40" s="19">
        <v>0</v>
      </c>
      <c r="C40" s="19">
        <v>0</v>
      </c>
      <c r="D40" s="19">
        <v>0</v>
      </c>
      <c r="E40" s="19">
        <v>1</v>
      </c>
      <c r="F40" s="19">
        <v>1</v>
      </c>
      <c r="G40" s="20">
        <v>0</v>
      </c>
      <c r="H40" s="20">
        <v>0</v>
      </c>
      <c r="I40" s="20">
        <v>0</v>
      </c>
      <c r="J40" s="20">
        <v>1.5446639583558598E-5</v>
      </c>
      <c r="K40" s="20">
        <v>1.5670051397768583E-5</v>
      </c>
      <c r="L40" s="19">
        <v>0</v>
      </c>
      <c r="M40" s="19">
        <v>0</v>
      </c>
      <c r="N40" s="19">
        <v>0</v>
      </c>
      <c r="O40" s="19">
        <v>1</v>
      </c>
      <c r="P40" s="19">
        <v>1</v>
      </c>
      <c r="Q40" s="20">
        <v>0</v>
      </c>
      <c r="R40" s="20">
        <v>0</v>
      </c>
      <c r="S40" s="20">
        <v>0</v>
      </c>
      <c r="T40" s="20">
        <v>1</v>
      </c>
      <c r="U40" s="20">
        <v>1</v>
      </c>
      <c r="W40" s="19">
        <v>0</v>
      </c>
      <c r="X40" s="19">
        <v>0</v>
      </c>
      <c r="Y40" s="19">
        <v>0</v>
      </c>
      <c r="Z40" s="19">
        <v>0</v>
      </c>
      <c r="AA40" s="19">
        <v>1</v>
      </c>
      <c r="AB40" s="20">
        <v>0</v>
      </c>
      <c r="AC40" s="20">
        <v>0</v>
      </c>
      <c r="AD40" s="20">
        <v>0</v>
      </c>
      <c r="AE40" s="20">
        <v>0</v>
      </c>
      <c r="AF40" s="20">
        <v>1.5446639583558598E-5</v>
      </c>
      <c r="AG40" s="19">
        <v>0</v>
      </c>
      <c r="AH40" s="19">
        <v>0</v>
      </c>
      <c r="AI40" s="19">
        <v>0</v>
      </c>
      <c r="AJ40" s="19">
        <v>0</v>
      </c>
      <c r="AK40" s="19">
        <v>1</v>
      </c>
      <c r="AL40" s="20">
        <v>0</v>
      </c>
      <c r="AM40" s="20">
        <v>0</v>
      </c>
      <c r="AN40" s="20">
        <v>0</v>
      </c>
      <c r="AO40" s="20">
        <v>0</v>
      </c>
      <c r="AP40" s="20">
        <v>1</v>
      </c>
      <c r="AQ40" s="37"/>
    </row>
    <row r="41" spans="1:55" s="19" customFormat="1" ht="12.75" x14ac:dyDescent="0.2">
      <c r="A41" s="18" t="s">
        <v>52</v>
      </c>
      <c r="B41" s="19">
        <v>514</v>
      </c>
      <c r="C41" s="19">
        <v>527</v>
      </c>
      <c r="D41" s="19">
        <v>531</v>
      </c>
      <c r="E41" s="19">
        <v>574</v>
      </c>
      <c r="F41" s="19">
        <v>598</v>
      </c>
      <c r="G41" s="20">
        <v>9.9254624802070056E-3</v>
      </c>
      <c r="H41" s="20">
        <v>9.9153339604891814E-3</v>
      </c>
      <c r="I41" s="20">
        <v>8.1420488522931135E-3</v>
      </c>
      <c r="J41" s="20">
        <v>8.8663711209626354E-3</v>
      </c>
      <c r="K41" s="20">
        <v>9.3706907358656142E-3</v>
      </c>
      <c r="L41" s="19">
        <v>514</v>
      </c>
      <c r="M41" s="19">
        <v>527</v>
      </c>
      <c r="N41" s="19">
        <v>531</v>
      </c>
      <c r="O41" s="19">
        <v>573</v>
      </c>
      <c r="P41" s="19">
        <v>598</v>
      </c>
      <c r="Q41" s="20">
        <v>1</v>
      </c>
      <c r="R41" s="20">
        <v>1</v>
      </c>
      <c r="S41" s="20">
        <v>1</v>
      </c>
      <c r="T41" s="20">
        <v>0.99825783972125437</v>
      </c>
      <c r="U41" s="20">
        <v>1</v>
      </c>
      <c r="W41" s="19">
        <v>1010</v>
      </c>
      <c r="X41" s="19">
        <v>1071</v>
      </c>
      <c r="Y41" s="19">
        <v>851</v>
      </c>
      <c r="Z41" s="19">
        <v>485</v>
      </c>
      <c r="AA41" s="19">
        <v>574</v>
      </c>
      <c r="AB41" s="20">
        <v>2.2127771448602226E-2</v>
      </c>
      <c r="AC41" s="20">
        <v>2.0138392689255762E-2</v>
      </c>
      <c r="AD41" s="20">
        <v>1.6026063539293044E-2</v>
      </c>
      <c r="AE41" s="20">
        <v>9.6471337072840824E-3</v>
      </c>
      <c r="AF41" s="20">
        <v>8.8663711209626354E-3</v>
      </c>
      <c r="AG41" s="19">
        <v>1010</v>
      </c>
      <c r="AH41" s="19">
        <v>1071</v>
      </c>
      <c r="AI41" s="19">
        <v>851</v>
      </c>
      <c r="AJ41" s="19">
        <v>485</v>
      </c>
      <c r="AK41" s="19">
        <v>573</v>
      </c>
      <c r="AL41" s="20">
        <v>1</v>
      </c>
      <c r="AM41" s="20">
        <v>1</v>
      </c>
      <c r="AN41" s="20">
        <v>1</v>
      </c>
      <c r="AO41" s="20">
        <v>1</v>
      </c>
      <c r="AP41" s="20">
        <v>0.99825783972125437</v>
      </c>
      <c r="AQ41" s="37"/>
    </row>
    <row r="42" spans="1:55" s="19" customFormat="1" ht="12.75" x14ac:dyDescent="0.2">
      <c r="A42" s="18" t="s">
        <v>53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W42" s="19">
        <v>2</v>
      </c>
      <c r="X42" s="19">
        <v>19</v>
      </c>
      <c r="Y42" s="19">
        <v>0</v>
      </c>
      <c r="Z42" s="19">
        <v>0</v>
      </c>
      <c r="AA42" s="19">
        <v>0</v>
      </c>
      <c r="AB42" s="20">
        <v>4.3817369205152925E-5</v>
      </c>
      <c r="AC42" s="20">
        <v>3.5726373585047574E-4</v>
      </c>
      <c r="AD42" s="20">
        <v>0</v>
      </c>
      <c r="AE42" s="20">
        <v>0</v>
      </c>
      <c r="AF42" s="20">
        <v>0</v>
      </c>
      <c r="AG42" s="19">
        <v>2</v>
      </c>
      <c r="AH42" s="19">
        <v>19</v>
      </c>
      <c r="AI42" s="19">
        <v>0</v>
      </c>
      <c r="AJ42" s="19">
        <v>0</v>
      </c>
      <c r="AK42" s="19">
        <v>0</v>
      </c>
      <c r="AL42" s="20">
        <v>1</v>
      </c>
      <c r="AM42" s="20">
        <v>1</v>
      </c>
      <c r="AN42" s="20">
        <v>0</v>
      </c>
      <c r="AO42" s="20">
        <v>0</v>
      </c>
      <c r="AP42" s="20">
        <v>0</v>
      </c>
      <c r="AQ42" s="37"/>
    </row>
    <row r="43" spans="1:55" s="19" customFormat="1" ht="12.75" x14ac:dyDescent="0.2">
      <c r="A43" s="18" t="s">
        <v>90</v>
      </c>
      <c r="B43" s="19">
        <v>93</v>
      </c>
      <c r="C43" s="19">
        <v>1119</v>
      </c>
      <c r="D43" s="19">
        <v>5307</v>
      </c>
      <c r="E43" s="19">
        <v>5525</v>
      </c>
      <c r="F43" s="19">
        <v>5525</v>
      </c>
      <c r="G43" s="20">
        <v>1.7958521608156645E-3</v>
      </c>
      <c r="H43" s="20">
        <v>2.105362182502352E-2</v>
      </c>
      <c r="I43" s="20">
        <v>8.1374488246929486E-2</v>
      </c>
      <c r="J43" s="20">
        <v>8.5342683699161245E-2</v>
      </c>
      <c r="K43" s="20">
        <v>8.6577033972671427E-2</v>
      </c>
      <c r="L43" s="19">
        <v>93</v>
      </c>
      <c r="M43" s="19">
        <v>1119</v>
      </c>
      <c r="N43" s="19">
        <v>5307</v>
      </c>
      <c r="O43" s="19">
        <v>5525</v>
      </c>
      <c r="P43" s="19">
        <v>0</v>
      </c>
      <c r="Q43" s="20">
        <v>1</v>
      </c>
      <c r="R43" s="20">
        <v>1</v>
      </c>
      <c r="S43" s="20">
        <v>1</v>
      </c>
      <c r="T43" s="20">
        <v>1</v>
      </c>
      <c r="U43" s="20">
        <v>0</v>
      </c>
      <c r="W43" s="19">
        <v>0</v>
      </c>
      <c r="X43" s="19">
        <v>0</v>
      </c>
      <c r="Y43" s="19">
        <v>0</v>
      </c>
      <c r="Z43" s="19">
        <v>26</v>
      </c>
      <c r="AA43" s="19">
        <v>5525</v>
      </c>
      <c r="AB43" s="20">
        <v>0</v>
      </c>
      <c r="AC43" s="20">
        <v>0</v>
      </c>
      <c r="AD43" s="20">
        <v>0</v>
      </c>
      <c r="AE43" s="20">
        <v>5.1716593069976529E-4</v>
      </c>
      <c r="AF43" s="20">
        <v>8.5342683699161245E-2</v>
      </c>
      <c r="AG43" s="19">
        <v>0</v>
      </c>
      <c r="AH43" s="19">
        <v>0</v>
      </c>
      <c r="AI43" s="19">
        <v>0</v>
      </c>
      <c r="AJ43" s="19">
        <v>26</v>
      </c>
      <c r="AK43" s="19">
        <v>5525</v>
      </c>
      <c r="AL43" s="20">
        <v>0</v>
      </c>
      <c r="AM43" s="20">
        <v>0</v>
      </c>
      <c r="AN43" s="20">
        <v>0</v>
      </c>
      <c r="AO43" s="20">
        <v>1</v>
      </c>
      <c r="AP43" s="20">
        <v>1</v>
      </c>
      <c r="AQ43" s="37"/>
    </row>
    <row r="44" spans="1:55" s="19" customFormat="1" ht="12.75" x14ac:dyDescent="0.2">
      <c r="A44" s="18" t="s">
        <v>55</v>
      </c>
      <c r="B44" s="19">
        <v>453</v>
      </c>
      <c r="C44" s="19">
        <v>501</v>
      </c>
      <c r="D44" s="19">
        <v>378</v>
      </c>
      <c r="E44" s="19">
        <v>332</v>
      </c>
      <c r="F44" s="19">
        <v>309</v>
      </c>
      <c r="G44" s="20">
        <v>8.7475379446182357E-3</v>
      </c>
      <c r="H44" s="20">
        <v>9.4261523988711203E-3</v>
      </c>
      <c r="I44" s="20">
        <v>5.7960347762086575E-3</v>
      </c>
      <c r="J44" s="20">
        <v>5.128284341741454E-3</v>
      </c>
      <c r="K44" s="20">
        <v>4.8420458819104922E-3</v>
      </c>
      <c r="L44" s="19">
        <v>453</v>
      </c>
      <c r="M44" s="19">
        <v>501</v>
      </c>
      <c r="N44" s="19">
        <v>377</v>
      </c>
      <c r="O44" s="19">
        <v>331</v>
      </c>
      <c r="P44" s="19">
        <v>309</v>
      </c>
      <c r="Q44" s="20">
        <v>1</v>
      </c>
      <c r="R44" s="20">
        <v>1</v>
      </c>
      <c r="S44" s="20">
        <v>0.99735449735449733</v>
      </c>
      <c r="T44" s="20">
        <v>0.99698795180722888</v>
      </c>
      <c r="U44" s="20">
        <v>1</v>
      </c>
      <c r="W44" s="19">
        <v>374</v>
      </c>
      <c r="X44" s="19">
        <v>377</v>
      </c>
      <c r="Y44" s="19">
        <v>263</v>
      </c>
      <c r="Z44" s="19">
        <v>461</v>
      </c>
      <c r="AA44" s="19">
        <v>332</v>
      </c>
      <c r="AB44" s="20">
        <v>8.1938480413635967E-3</v>
      </c>
      <c r="AC44" s="20">
        <v>7.0888646534541765E-3</v>
      </c>
      <c r="AD44" s="20">
        <v>4.9528257471610701E-3</v>
      </c>
      <c r="AE44" s="20">
        <v>9.1697497712535311E-3</v>
      </c>
      <c r="AF44" s="20">
        <v>5.128284341741454E-3</v>
      </c>
      <c r="AG44" s="19">
        <v>374</v>
      </c>
      <c r="AH44" s="19">
        <v>377</v>
      </c>
      <c r="AI44" s="19">
        <v>263</v>
      </c>
      <c r="AJ44" s="19">
        <v>461</v>
      </c>
      <c r="AK44" s="19">
        <v>331</v>
      </c>
      <c r="AL44" s="20">
        <v>1</v>
      </c>
      <c r="AM44" s="20">
        <v>1</v>
      </c>
      <c r="AN44" s="20">
        <v>1</v>
      </c>
      <c r="AO44" s="20">
        <v>1</v>
      </c>
      <c r="AP44" s="20">
        <v>0.99698795180722888</v>
      </c>
      <c r="AQ44" s="37"/>
    </row>
    <row r="45" spans="1:55" s="19" customFormat="1" ht="12.75" x14ac:dyDescent="0.2">
      <c r="A45" s="18" t="s">
        <v>91</v>
      </c>
      <c r="B45" s="19">
        <v>1773</v>
      </c>
      <c r="C45" s="19">
        <v>1776</v>
      </c>
      <c r="D45" s="19">
        <v>1808</v>
      </c>
      <c r="E45" s="19">
        <v>1808</v>
      </c>
      <c r="F45" s="19">
        <v>1675</v>
      </c>
      <c r="G45" s="20">
        <v>3.4237052485227668E-2</v>
      </c>
      <c r="H45" s="20">
        <v>3.341486359360301E-2</v>
      </c>
      <c r="I45" s="20">
        <v>2.7722833003664689E-2</v>
      </c>
      <c r="J45" s="20">
        <v>2.7927524367073943E-2</v>
      </c>
      <c r="K45" s="20">
        <v>2.6247336091262379E-2</v>
      </c>
      <c r="L45" s="19">
        <v>1773</v>
      </c>
      <c r="M45" s="19">
        <v>1776</v>
      </c>
      <c r="N45" s="19">
        <v>1808</v>
      </c>
      <c r="O45" s="19">
        <v>1808</v>
      </c>
      <c r="P45" s="19">
        <v>1675</v>
      </c>
      <c r="Q45" s="20">
        <v>1</v>
      </c>
      <c r="R45" s="20">
        <v>1</v>
      </c>
      <c r="S45" s="20">
        <v>1</v>
      </c>
      <c r="T45" s="20">
        <v>1</v>
      </c>
      <c r="U45" s="20">
        <v>1</v>
      </c>
      <c r="W45" s="19">
        <v>93</v>
      </c>
      <c r="X45" s="19">
        <v>326</v>
      </c>
      <c r="Y45" s="19">
        <v>1106</v>
      </c>
      <c r="Z45" s="19">
        <v>1773</v>
      </c>
      <c r="AA45" s="19">
        <v>1808</v>
      </c>
      <c r="AB45" s="20">
        <v>2.0375076680396111E-3</v>
      </c>
      <c r="AC45" s="20">
        <v>6.1298935730134257E-3</v>
      </c>
      <c r="AD45" s="20">
        <v>2.0828232989962524E-2</v>
      </c>
      <c r="AE45" s="20">
        <v>3.5266738274257074E-2</v>
      </c>
      <c r="AF45" s="20">
        <v>2.7927524367073943E-2</v>
      </c>
      <c r="AG45" s="19">
        <v>93</v>
      </c>
      <c r="AH45" s="19">
        <v>326</v>
      </c>
      <c r="AI45" s="19">
        <v>1106</v>
      </c>
      <c r="AJ45" s="19">
        <v>1773</v>
      </c>
      <c r="AK45" s="19">
        <v>1808</v>
      </c>
      <c r="AL45" s="20">
        <v>1</v>
      </c>
      <c r="AM45" s="20">
        <v>1</v>
      </c>
      <c r="AN45" s="20">
        <v>1</v>
      </c>
      <c r="AO45" s="20">
        <v>1</v>
      </c>
      <c r="AP45" s="20">
        <v>1</v>
      </c>
      <c r="AQ45" s="37"/>
    </row>
    <row r="46" spans="1:55" s="19" customFormat="1" ht="12.75" x14ac:dyDescent="0.2">
      <c r="A46" s="18" t="s">
        <v>58</v>
      </c>
      <c r="B46" s="19">
        <v>433</v>
      </c>
      <c r="C46" s="19">
        <v>449</v>
      </c>
      <c r="D46" s="19">
        <v>514</v>
      </c>
      <c r="E46" s="19">
        <v>434</v>
      </c>
      <c r="F46" s="19">
        <v>129</v>
      </c>
      <c r="G46" s="20">
        <v>8.361333178851427E-3</v>
      </c>
      <c r="H46" s="20">
        <v>8.4477892756349947E-3</v>
      </c>
      <c r="I46" s="20">
        <v>7.8813806216170637E-3</v>
      </c>
      <c r="J46" s="20">
        <v>6.703841579264431E-3</v>
      </c>
      <c r="K46" s="20">
        <v>2.0214366303121472E-3</v>
      </c>
      <c r="L46" s="19">
        <v>433</v>
      </c>
      <c r="M46" s="19">
        <v>449</v>
      </c>
      <c r="N46" s="19">
        <v>514</v>
      </c>
      <c r="O46" s="19">
        <v>434</v>
      </c>
      <c r="P46" s="19">
        <v>124</v>
      </c>
      <c r="Q46" s="20">
        <v>1</v>
      </c>
      <c r="R46" s="20">
        <v>1</v>
      </c>
      <c r="S46" s="20">
        <v>1</v>
      </c>
      <c r="T46" s="20">
        <v>1</v>
      </c>
      <c r="U46" s="20">
        <v>0.96124031007751942</v>
      </c>
      <c r="W46" s="19">
        <v>55</v>
      </c>
      <c r="X46" s="19">
        <v>89</v>
      </c>
      <c r="Y46" s="19">
        <v>136</v>
      </c>
      <c r="Z46" s="19">
        <v>127</v>
      </c>
      <c r="AA46" s="19">
        <v>434</v>
      </c>
      <c r="AB46" s="20">
        <v>1.2049776531417053E-3</v>
      </c>
      <c r="AC46" s="20">
        <v>1.673498552141702E-3</v>
      </c>
      <c r="AD46" s="20">
        <v>2.5611570403570555E-3</v>
      </c>
      <c r="AE46" s="20">
        <v>2.5261566614950075E-3</v>
      </c>
      <c r="AF46" s="20">
        <v>6.703841579264431E-3</v>
      </c>
      <c r="AG46" s="19">
        <v>55</v>
      </c>
      <c r="AH46" s="19">
        <v>89</v>
      </c>
      <c r="AI46" s="19">
        <v>136</v>
      </c>
      <c r="AJ46" s="19">
        <v>127</v>
      </c>
      <c r="AK46" s="19">
        <v>434</v>
      </c>
      <c r="AL46" s="20">
        <v>1</v>
      </c>
      <c r="AM46" s="20">
        <v>1</v>
      </c>
      <c r="AN46" s="20">
        <v>1</v>
      </c>
      <c r="AO46" s="20">
        <v>1</v>
      </c>
      <c r="AP46" s="20">
        <v>1</v>
      </c>
      <c r="AQ46" s="37"/>
    </row>
    <row r="47" spans="1:55" s="19" customFormat="1" ht="12.75" x14ac:dyDescent="0.2">
      <c r="A47" s="18" t="s">
        <v>61</v>
      </c>
      <c r="B47" s="19">
        <v>33</v>
      </c>
      <c r="C47" s="19">
        <v>104</v>
      </c>
      <c r="D47" s="19">
        <v>84</v>
      </c>
      <c r="E47" s="19">
        <v>65</v>
      </c>
      <c r="F47" s="19">
        <v>52</v>
      </c>
      <c r="G47" s="20">
        <v>6.3723786351523579E-4</v>
      </c>
      <c r="H47" s="20">
        <v>1.9567262464722482E-3</v>
      </c>
      <c r="I47" s="20">
        <v>1.2880077280463683E-3</v>
      </c>
      <c r="J47" s="20">
        <v>1.0040315729313088E-3</v>
      </c>
      <c r="K47" s="20">
        <v>8.1484267268396645E-4</v>
      </c>
      <c r="L47" s="19">
        <v>33</v>
      </c>
      <c r="M47" s="19">
        <v>104</v>
      </c>
      <c r="N47" s="19">
        <v>84</v>
      </c>
      <c r="O47" s="19">
        <v>65</v>
      </c>
      <c r="P47" s="19">
        <v>52</v>
      </c>
      <c r="Q47" s="20">
        <v>1</v>
      </c>
      <c r="R47" s="20">
        <v>1</v>
      </c>
      <c r="S47" s="20">
        <v>1</v>
      </c>
      <c r="T47" s="20">
        <v>1</v>
      </c>
      <c r="U47" s="20">
        <v>1</v>
      </c>
      <c r="W47" s="19">
        <v>22</v>
      </c>
      <c r="X47" s="19">
        <v>33</v>
      </c>
      <c r="Y47" s="19">
        <v>24</v>
      </c>
      <c r="Z47" s="19">
        <v>39</v>
      </c>
      <c r="AA47" s="19">
        <v>65</v>
      </c>
      <c r="AB47" s="20">
        <v>4.8199106125668215E-4</v>
      </c>
      <c r="AC47" s="20">
        <v>6.2051069910872101E-4</v>
      </c>
      <c r="AD47" s="20">
        <v>4.5196888947477451E-4</v>
      </c>
      <c r="AE47" s="20">
        <v>7.7574889604964793E-4</v>
      </c>
      <c r="AF47" s="20">
        <v>1.0040315729313088E-3</v>
      </c>
      <c r="AG47" s="19">
        <v>22</v>
      </c>
      <c r="AH47" s="19">
        <v>33</v>
      </c>
      <c r="AI47" s="19">
        <v>24</v>
      </c>
      <c r="AJ47" s="19">
        <v>39</v>
      </c>
      <c r="AK47" s="19">
        <v>65</v>
      </c>
      <c r="AL47" s="20">
        <v>1</v>
      </c>
      <c r="AM47" s="20">
        <v>1</v>
      </c>
      <c r="AN47" s="20">
        <v>1</v>
      </c>
      <c r="AO47" s="20">
        <v>1</v>
      </c>
      <c r="AP47" s="20">
        <v>1</v>
      </c>
      <c r="AQ47" s="37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</row>
    <row r="48" spans="1:55" s="21" customFormat="1" ht="12.75" x14ac:dyDescent="0.2">
      <c r="A48" s="1" t="s">
        <v>62</v>
      </c>
      <c r="B48" s="21">
        <v>51786</v>
      </c>
      <c r="C48" s="21">
        <v>53150</v>
      </c>
      <c r="D48" s="21">
        <v>65217</v>
      </c>
      <c r="E48" s="21">
        <v>64739</v>
      </c>
      <c r="F48" s="21">
        <v>63816</v>
      </c>
      <c r="G48" s="22">
        <v>1</v>
      </c>
      <c r="H48" s="22">
        <v>1</v>
      </c>
      <c r="I48" s="22">
        <v>1</v>
      </c>
      <c r="J48" s="22">
        <v>1</v>
      </c>
      <c r="K48" s="22">
        <v>1</v>
      </c>
      <c r="L48" s="21">
        <v>51786</v>
      </c>
      <c r="M48" s="21">
        <v>53150</v>
      </c>
      <c r="N48" s="21">
        <v>58943</v>
      </c>
      <c r="O48" s="21">
        <v>58655</v>
      </c>
      <c r="P48" s="21">
        <v>52285</v>
      </c>
      <c r="Q48" s="22">
        <v>1</v>
      </c>
      <c r="R48" s="22">
        <v>1</v>
      </c>
      <c r="S48" s="22">
        <v>0.90379808945520335</v>
      </c>
      <c r="T48" s="22">
        <v>0.90602264477362948</v>
      </c>
      <c r="U48" s="22">
        <v>0.8193086373323305</v>
      </c>
      <c r="W48" s="21">
        <v>45644</v>
      </c>
      <c r="X48" s="21">
        <v>53182</v>
      </c>
      <c r="Y48" s="21">
        <v>53101</v>
      </c>
      <c r="Z48" s="21">
        <v>50274</v>
      </c>
      <c r="AA48" s="21">
        <v>64739</v>
      </c>
      <c r="AB48" s="22">
        <v>1</v>
      </c>
      <c r="AC48" s="22">
        <v>1</v>
      </c>
      <c r="AD48" s="22">
        <v>1</v>
      </c>
      <c r="AE48" s="22">
        <v>1</v>
      </c>
      <c r="AF48" s="22">
        <v>1</v>
      </c>
      <c r="AG48" s="21">
        <v>45644</v>
      </c>
      <c r="AH48" s="21">
        <v>53182</v>
      </c>
      <c r="AI48" s="21">
        <v>53101</v>
      </c>
      <c r="AJ48" s="21">
        <v>50274</v>
      </c>
      <c r="AK48" s="21">
        <v>58655</v>
      </c>
      <c r="AL48" s="22">
        <v>1</v>
      </c>
      <c r="AM48" s="22">
        <v>1</v>
      </c>
      <c r="AN48" s="22">
        <v>1</v>
      </c>
      <c r="AO48" s="22">
        <v>1</v>
      </c>
      <c r="AP48" s="22">
        <v>0.90602264477362948</v>
      </c>
      <c r="AQ48" s="37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</row>
    <row r="49" spans="1:55" s="19" customFormat="1" ht="12.75" x14ac:dyDescent="0.2">
      <c r="A49" s="23"/>
      <c r="AQ49" s="37"/>
    </row>
    <row r="50" spans="1:55" s="19" customFormat="1" ht="12.75" x14ac:dyDescent="0.2">
      <c r="A50" s="1" t="s">
        <v>63</v>
      </c>
      <c r="AQ50" s="37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</row>
    <row r="51" spans="1:55" s="25" customFormat="1" ht="12.75" x14ac:dyDescent="0.2">
      <c r="A51" s="24" t="s">
        <v>64</v>
      </c>
      <c r="B51" s="25" t="s">
        <v>10</v>
      </c>
      <c r="C51" s="25" t="s">
        <v>11</v>
      </c>
      <c r="D51" s="25" t="s">
        <v>12</v>
      </c>
      <c r="E51" s="25" t="s">
        <v>164</v>
      </c>
      <c r="F51" s="25" t="s">
        <v>195</v>
      </c>
      <c r="G51" s="25" t="s">
        <v>10</v>
      </c>
      <c r="H51" s="25" t="s">
        <v>11</v>
      </c>
      <c r="I51" s="25" t="s">
        <v>12</v>
      </c>
      <c r="J51" s="25" t="s">
        <v>164</v>
      </c>
      <c r="K51" s="25" t="s">
        <v>195</v>
      </c>
      <c r="L51" s="25" t="s">
        <v>10</v>
      </c>
      <c r="M51" s="25" t="s">
        <v>11</v>
      </c>
      <c r="N51" s="25" t="s">
        <v>12</v>
      </c>
      <c r="O51" s="25" t="s">
        <v>164</v>
      </c>
      <c r="P51" s="25" t="s">
        <v>195</v>
      </c>
      <c r="Q51" s="25" t="s">
        <v>10</v>
      </c>
      <c r="R51" s="25" t="s">
        <v>11</v>
      </c>
      <c r="S51" s="25" t="s">
        <v>12</v>
      </c>
      <c r="T51" s="25" t="s">
        <v>164</v>
      </c>
      <c r="U51" s="25" t="s">
        <v>195</v>
      </c>
      <c r="W51" s="25" t="s">
        <v>13</v>
      </c>
      <c r="X51" s="25" t="s">
        <v>14</v>
      </c>
      <c r="Y51" s="25" t="s">
        <v>15</v>
      </c>
      <c r="Z51" s="25" t="s">
        <v>16</v>
      </c>
      <c r="AA51" s="25" t="s">
        <v>165</v>
      </c>
      <c r="AB51" s="25" t="s">
        <v>13</v>
      </c>
      <c r="AC51" s="25" t="s">
        <v>14</v>
      </c>
      <c r="AD51" s="25" t="s">
        <v>15</v>
      </c>
      <c r="AE51" s="25" t="s">
        <v>16</v>
      </c>
      <c r="AF51" s="25" t="s">
        <v>165</v>
      </c>
      <c r="AG51" s="25" t="s">
        <v>13</v>
      </c>
      <c r="AH51" s="25" t="s">
        <v>14</v>
      </c>
      <c r="AI51" s="25" t="s">
        <v>15</v>
      </c>
      <c r="AJ51" s="25" t="s">
        <v>16</v>
      </c>
      <c r="AK51" s="25" t="s">
        <v>165</v>
      </c>
      <c r="AL51" s="25" t="s">
        <v>13</v>
      </c>
      <c r="AM51" s="25" t="s">
        <v>14</v>
      </c>
      <c r="AN51" s="25" t="s">
        <v>15</v>
      </c>
      <c r="AO51" s="25" t="s">
        <v>16</v>
      </c>
      <c r="AP51" s="25" t="s">
        <v>165</v>
      </c>
      <c r="AQ51" s="37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</row>
    <row r="52" spans="1:55" s="19" customFormat="1" ht="12.75" x14ac:dyDescent="0.2">
      <c r="A52" s="18" t="s">
        <v>18</v>
      </c>
      <c r="B52" s="19">
        <v>1358</v>
      </c>
      <c r="C52" s="19">
        <v>1355</v>
      </c>
      <c r="D52" s="19">
        <v>1353</v>
      </c>
      <c r="E52" s="19">
        <v>1348</v>
      </c>
      <c r="F52" s="19">
        <v>1345</v>
      </c>
      <c r="G52" s="20">
        <v>0.71737982039091386</v>
      </c>
      <c r="H52" s="20">
        <v>0.71579503433703118</v>
      </c>
      <c r="I52" s="20">
        <v>0.7043206663196252</v>
      </c>
      <c r="J52" s="20">
        <v>0.69917012448132776</v>
      </c>
      <c r="K52" s="20">
        <v>0.69689119170984459</v>
      </c>
      <c r="L52" s="19">
        <v>1358</v>
      </c>
      <c r="M52" s="19">
        <v>1355</v>
      </c>
      <c r="N52" s="19">
        <v>1353</v>
      </c>
      <c r="O52" s="19">
        <v>1348</v>
      </c>
      <c r="P52" s="19">
        <v>1345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W52" s="19">
        <v>1221</v>
      </c>
      <c r="X52" s="19">
        <v>1153</v>
      </c>
      <c r="Y52" s="19">
        <v>1436</v>
      </c>
      <c r="Z52" s="19">
        <v>1352</v>
      </c>
      <c r="AA52" s="19">
        <v>1348</v>
      </c>
      <c r="AB52" s="20">
        <v>0.65645161290322585</v>
      </c>
      <c r="AC52" s="20">
        <v>0.65104460756634674</v>
      </c>
      <c r="AD52" s="20">
        <v>0.73340143003064351</v>
      </c>
      <c r="AE52" s="20">
        <v>0.72299465240641714</v>
      </c>
      <c r="AF52" s="20">
        <v>0.69917012448132776</v>
      </c>
      <c r="AG52" s="19">
        <v>1221</v>
      </c>
      <c r="AH52" s="19">
        <v>1153</v>
      </c>
      <c r="AI52" s="19">
        <v>1436</v>
      </c>
      <c r="AJ52" s="19">
        <v>1352</v>
      </c>
      <c r="AK52" s="19">
        <v>1348</v>
      </c>
      <c r="AL52" s="20">
        <v>1</v>
      </c>
      <c r="AM52" s="20">
        <v>1</v>
      </c>
      <c r="AN52" s="20">
        <v>1</v>
      </c>
      <c r="AO52" s="20">
        <v>1</v>
      </c>
      <c r="AP52" s="20">
        <v>1</v>
      </c>
      <c r="AQ52" s="37"/>
    </row>
    <row r="53" spans="1:55" s="19" customFormat="1" ht="12.75" x14ac:dyDescent="0.2">
      <c r="A53" s="18" t="s">
        <v>19</v>
      </c>
      <c r="B53" s="19">
        <v>11</v>
      </c>
      <c r="C53" s="19">
        <v>9</v>
      </c>
      <c r="D53" s="19">
        <v>5</v>
      </c>
      <c r="E53" s="19">
        <v>5</v>
      </c>
      <c r="F53" s="19">
        <v>6</v>
      </c>
      <c r="G53" s="20">
        <v>5.8108821975699949E-3</v>
      </c>
      <c r="H53" s="20">
        <v>4.7543581616481777E-3</v>
      </c>
      <c r="I53" s="20">
        <v>2.6028110359187923E-3</v>
      </c>
      <c r="J53" s="20">
        <v>2.5933609958506223E-3</v>
      </c>
      <c r="K53" s="20">
        <v>3.1088082901554403E-3</v>
      </c>
      <c r="L53" s="19">
        <v>11</v>
      </c>
      <c r="M53" s="19">
        <v>9</v>
      </c>
      <c r="N53" s="19">
        <v>5</v>
      </c>
      <c r="O53" s="19">
        <v>5</v>
      </c>
      <c r="P53" s="19">
        <v>6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W53" s="19">
        <v>71</v>
      </c>
      <c r="X53" s="19">
        <v>54</v>
      </c>
      <c r="Y53" s="19">
        <v>13</v>
      </c>
      <c r="Z53" s="19">
        <v>12</v>
      </c>
      <c r="AA53" s="19">
        <v>5</v>
      </c>
      <c r="AB53" s="20">
        <v>3.8172043010752686E-2</v>
      </c>
      <c r="AC53" s="20">
        <v>3.0491247882552232E-2</v>
      </c>
      <c r="AD53" s="20">
        <v>6.6394279877425941E-3</v>
      </c>
      <c r="AE53" s="20">
        <v>6.4171122994652408E-3</v>
      </c>
      <c r="AF53" s="20">
        <v>2.5933609958506223E-3</v>
      </c>
      <c r="AG53" s="19">
        <v>71</v>
      </c>
      <c r="AH53" s="19">
        <v>54</v>
      </c>
      <c r="AI53" s="19">
        <v>13</v>
      </c>
      <c r="AJ53" s="19">
        <v>12</v>
      </c>
      <c r="AK53" s="19">
        <v>5</v>
      </c>
      <c r="AL53" s="20">
        <v>1</v>
      </c>
      <c r="AM53" s="20">
        <v>1</v>
      </c>
      <c r="AN53" s="20">
        <v>1</v>
      </c>
      <c r="AO53" s="20">
        <v>1</v>
      </c>
      <c r="AP53" s="20">
        <v>1</v>
      </c>
      <c r="AQ53" s="37"/>
    </row>
    <row r="54" spans="1:55" s="19" customFormat="1" ht="12.75" x14ac:dyDescent="0.2">
      <c r="A54" s="18" t="s">
        <v>20</v>
      </c>
      <c r="B54" s="19">
        <v>5</v>
      </c>
      <c r="C54" s="19">
        <v>4</v>
      </c>
      <c r="D54" s="19">
        <v>0</v>
      </c>
      <c r="E54" s="19">
        <v>0</v>
      </c>
      <c r="F54" s="19">
        <v>0</v>
      </c>
      <c r="G54" s="20">
        <v>2.6413100898045432E-3</v>
      </c>
      <c r="H54" s="20">
        <v>2.1130480718436345E-3</v>
      </c>
      <c r="I54" s="20">
        <v>0</v>
      </c>
      <c r="J54" s="20">
        <v>0</v>
      </c>
      <c r="K54" s="20">
        <v>0</v>
      </c>
      <c r="L54" s="19">
        <v>5</v>
      </c>
      <c r="M54" s="19">
        <v>4</v>
      </c>
      <c r="N54" s="19">
        <v>0</v>
      </c>
      <c r="O54" s="19">
        <v>0</v>
      </c>
      <c r="P54" s="19">
        <v>0</v>
      </c>
      <c r="Q54" s="20">
        <v>1</v>
      </c>
      <c r="R54" s="20">
        <v>1</v>
      </c>
      <c r="S54" s="20">
        <v>0</v>
      </c>
      <c r="T54" s="20">
        <v>0</v>
      </c>
      <c r="U54" s="20">
        <v>0</v>
      </c>
      <c r="W54" s="19">
        <v>2</v>
      </c>
      <c r="X54" s="19">
        <v>2</v>
      </c>
      <c r="Y54" s="19">
        <v>6</v>
      </c>
      <c r="Z54" s="19">
        <v>5</v>
      </c>
      <c r="AA54" s="19">
        <v>0</v>
      </c>
      <c r="AB54" s="20">
        <v>1.0752688172043011E-3</v>
      </c>
      <c r="AC54" s="20">
        <v>1.129305477131564E-3</v>
      </c>
      <c r="AD54" s="20">
        <v>3.0643513789581204E-3</v>
      </c>
      <c r="AE54" s="20">
        <v>2.6737967914438501E-3</v>
      </c>
      <c r="AF54" s="20">
        <v>0</v>
      </c>
      <c r="AG54" s="19">
        <v>2</v>
      </c>
      <c r="AH54" s="19">
        <v>2</v>
      </c>
      <c r="AI54" s="19">
        <v>6</v>
      </c>
      <c r="AJ54" s="19">
        <v>5</v>
      </c>
      <c r="AK54" s="19">
        <v>0</v>
      </c>
      <c r="AL54" s="20">
        <v>1</v>
      </c>
      <c r="AM54" s="20">
        <v>1</v>
      </c>
      <c r="AN54" s="20">
        <v>1</v>
      </c>
      <c r="AO54" s="20">
        <v>1</v>
      </c>
      <c r="AP54" s="20">
        <v>0</v>
      </c>
      <c r="AQ54" s="37"/>
    </row>
    <row r="55" spans="1:55" s="19" customFormat="1" ht="12.75" x14ac:dyDescent="0.2">
      <c r="A55" s="18" t="s">
        <v>30</v>
      </c>
      <c r="B55" s="19">
        <v>124</v>
      </c>
      <c r="C55" s="19">
        <v>129</v>
      </c>
      <c r="D55" s="19">
        <v>165</v>
      </c>
      <c r="E55" s="19">
        <v>166</v>
      </c>
      <c r="F55" s="19">
        <v>165</v>
      </c>
      <c r="G55" s="20">
        <v>6.550449022715267E-2</v>
      </c>
      <c r="H55" s="20">
        <v>6.8145800316957217E-2</v>
      </c>
      <c r="I55" s="20">
        <v>8.5892764185320145E-2</v>
      </c>
      <c r="J55" s="20">
        <v>8.6099585062240663E-2</v>
      </c>
      <c r="K55" s="20">
        <v>8.549222797927461E-2</v>
      </c>
      <c r="L55" s="19">
        <v>124</v>
      </c>
      <c r="M55" s="19">
        <v>129</v>
      </c>
      <c r="N55" s="19">
        <v>165</v>
      </c>
      <c r="O55" s="19">
        <v>163</v>
      </c>
      <c r="P55" s="19">
        <v>164</v>
      </c>
      <c r="Q55" s="20">
        <v>1</v>
      </c>
      <c r="R55" s="20">
        <v>1</v>
      </c>
      <c r="S55" s="20">
        <v>1</v>
      </c>
      <c r="T55" s="20">
        <v>0.98192771084337349</v>
      </c>
      <c r="U55" s="20">
        <v>0.9939393939393939</v>
      </c>
      <c r="W55" s="19">
        <v>152</v>
      </c>
      <c r="X55" s="19">
        <v>140</v>
      </c>
      <c r="Y55" s="19">
        <v>110</v>
      </c>
      <c r="Z55" s="19">
        <v>108</v>
      </c>
      <c r="AA55" s="19">
        <v>166</v>
      </c>
      <c r="AB55" s="20">
        <v>8.1720430107526887E-2</v>
      </c>
      <c r="AC55" s="20">
        <v>7.9051383399209488E-2</v>
      </c>
      <c r="AD55" s="20">
        <v>5.6179775280898875E-2</v>
      </c>
      <c r="AE55" s="20">
        <v>5.7754010695187166E-2</v>
      </c>
      <c r="AF55" s="20">
        <v>8.6099585062240663E-2</v>
      </c>
      <c r="AG55" s="19">
        <v>152</v>
      </c>
      <c r="AH55" s="19">
        <v>140</v>
      </c>
      <c r="AI55" s="19">
        <v>110</v>
      </c>
      <c r="AJ55" s="19">
        <v>108</v>
      </c>
      <c r="AK55" s="19">
        <v>163</v>
      </c>
      <c r="AL55" s="20">
        <v>1</v>
      </c>
      <c r="AM55" s="20">
        <v>1</v>
      </c>
      <c r="AN55" s="20">
        <v>1</v>
      </c>
      <c r="AO55" s="20">
        <v>1</v>
      </c>
      <c r="AP55" s="20">
        <v>0.98192771084337349</v>
      </c>
      <c r="AQ55" s="37"/>
    </row>
    <row r="56" spans="1:55" s="19" customFormat="1" ht="12.75" x14ac:dyDescent="0.2">
      <c r="A56" s="18" t="s">
        <v>80</v>
      </c>
      <c r="B56" s="19">
        <v>50</v>
      </c>
      <c r="C56" s="19">
        <v>50</v>
      </c>
      <c r="D56" s="19">
        <v>59</v>
      </c>
      <c r="E56" s="19">
        <v>62</v>
      </c>
      <c r="F56" s="19">
        <v>64</v>
      </c>
      <c r="G56" s="20">
        <v>2.6413100898045432E-2</v>
      </c>
      <c r="H56" s="20">
        <v>2.6413100898045432E-2</v>
      </c>
      <c r="I56" s="20">
        <v>3.0713170223841749E-2</v>
      </c>
      <c r="J56" s="20">
        <v>3.2157676348547715E-2</v>
      </c>
      <c r="K56" s="20">
        <v>3.316062176165803E-2</v>
      </c>
      <c r="L56" s="19">
        <v>50</v>
      </c>
      <c r="M56" s="19">
        <v>50</v>
      </c>
      <c r="N56" s="19">
        <v>58</v>
      </c>
      <c r="O56" s="19">
        <v>61</v>
      </c>
      <c r="P56" s="19">
        <v>64</v>
      </c>
      <c r="Q56" s="20">
        <v>1</v>
      </c>
      <c r="R56" s="20">
        <v>1</v>
      </c>
      <c r="S56" s="20">
        <v>0.98305084745762716</v>
      </c>
      <c r="T56" s="20">
        <v>0.9838709677419355</v>
      </c>
      <c r="U56" s="20">
        <v>1</v>
      </c>
      <c r="W56" s="19">
        <v>117</v>
      </c>
      <c r="X56" s="19">
        <v>118</v>
      </c>
      <c r="Y56" s="19">
        <v>46</v>
      </c>
      <c r="Z56" s="19">
        <v>49</v>
      </c>
      <c r="AA56" s="19">
        <v>62</v>
      </c>
      <c r="AB56" s="20">
        <v>6.2903225806451607E-2</v>
      </c>
      <c r="AC56" s="20">
        <v>6.6629023150762287E-2</v>
      </c>
      <c r="AD56" s="20">
        <v>2.3493360572012258E-2</v>
      </c>
      <c r="AE56" s="20">
        <v>2.6203208556149733E-2</v>
      </c>
      <c r="AF56" s="20">
        <v>3.2157676348547715E-2</v>
      </c>
      <c r="AG56" s="19">
        <v>117</v>
      </c>
      <c r="AH56" s="19">
        <v>118</v>
      </c>
      <c r="AI56" s="19">
        <v>46</v>
      </c>
      <c r="AJ56" s="19">
        <v>49</v>
      </c>
      <c r="AK56" s="19">
        <v>61</v>
      </c>
      <c r="AL56" s="20">
        <v>1</v>
      </c>
      <c r="AM56" s="20">
        <v>1</v>
      </c>
      <c r="AN56" s="20">
        <v>1</v>
      </c>
      <c r="AO56" s="20">
        <v>1</v>
      </c>
      <c r="AP56" s="20">
        <v>0.9838709677419355</v>
      </c>
      <c r="AQ56" s="37"/>
    </row>
    <row r="57" spans="1:55" s="19" customFormat="1" ht="12.75" x14ac:dyDescent="0.2">
      <c r="A57" s="18" t="s">
        <v>35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W57" s="19">
        <v>3</v>
      </c>
      <c r="X57" s="19">
        <v>0</v>
      </c>
      <c r="Y57" s="19">
        <v>0</v>
      </c>
      <c r="Z57" s="19">
        <v>0</v>
      </c>
      <c r="AA57" s="19">
        <v>0</v>
      </c>
      <c r="AB57" s="20">
        <v>1.6129032258064516E-3</v>
      </c>
      <c r="AC57" s="20">
        <v>0</v>
      </c>
      <c r="AD57" s="20">
        <v>0</v>
      </c>
      <c r="AE57" s="20">
        <v>0</v>
      </c>
      <c r="AF57" s="20">
        <v>0</v>
      </c>
      <c r="AG57" s="19">
        <v>3</v>
      </c>
      <c r="AH57" s="19">
        <v>0</v>
      </c>
      <c r="AI57" s="19">
        <v>0</v>
      </c>
      <c r="AJ57" s="19">
        <v>0</v>
      </c>
      <c r="AK57" s="19">
        <v>0</v>
      </c>
      <c r="AL57" s="20">
        <v>1</v>
      </c>
      <c r="AM57" s="20">
        <v>0</v>
      </c>
      <c r="AN57" s="20">
        <v>0</v>
      </c>
      <c r="AO57" s="20">
        <v>0</v>
      </c>
      <c r="AP57" s="20">
        <v>0</v>
      </c>
      <c r="AQ57" s="37"/>
    </row>
    <row r="58" spans="1:55" s="19" customFormat="1" ht="12.75" x14ac:dyDescent="0.2">
      <c r="A58" s="18" t="s">
        <v>86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W58" s="19">
        <v>1</v>
      </c>
      <c r="X58" s="19">
        <v>1</v>
      </c>
      <c r="Y58" s="19">
        <v>1</v>
      </c>
      <c r="Z58" s="19">
        <v>1</v>
      </c>
      <c r="AA58" s="19">
        <v>0</v>
      </c>
      <c r="AB58" s="20">
        <v>5.3763440860215054E-4</v>
      </c>
      <c r="AC58" s="20">
        <v>5.6465273856578201E-4</v>
      </c>
      <c r="AD58" s="20">
        <v>5.1072522982635344E-4</v>
      </c>
      <c r="AE58" s="20">
        <v>5.3475935828877007E-4</v>
      </c>
      <c r="AF58" s="20">
        <v>0</v>
      </c>
      <c r="AG58" s="19">
        <v>1</v>
      </c>
      <c r="AH58" s="19">
        <v>1</v>
      </c>
      <c r="AI58" s="19">
        <v>1</v>
      </c>
      <c r="AJ58" s="19">
        <v>1</v>
      </c>
      <c r="AK58" s="19">
        <v>0</v>
      </c>
      <c r="AL58" s="20">
        <v>1</v>
      </c>
      <c r="AM58" s="20">
        <v>1</v>
      </c>
      <c r="AN58" s="20">
        <v>1</v>
      </c>
      <c r="AO58" s="20">
        <v>1</v>
      </c>
      <c r="AP58" s="20">
        <v>0</v>
      </c>
      <c r="AQ58" s="37"/>
    </row>
    <row r="59" spans="1:55" s="19" customFormat="1" ht="12.75" x14ac:dyDescent="0.2">
      <c r="A59" s="18" t="s">
        <v>40</v>
      </c>
      <c r="B59" s="19">
        <v>56</v>
      </c>
      <c r="C59" s="19">
        <v>57</v>
      </c>
      <c r="D59" s="19">
        <v>62</v>
      </c>
      <c r="E59" s="19">
        <v>54</v>
      </c>
      <c r="F59" s="19">
        <v>53</v>
      </c>
      <c r="G59" s="20">
        <v>2.9582673005810883E-2</v>
      </c>
      <c r="H59" s="20">
        <v>3.0110935023771792E-2</v>
      </c>
      <c r="I59" s="20">
        <v>3.2274856845393024E-2</v>
      </c>
      <c r="J59" s="20">
        <v>2.8008298755186723E-2</v>
      </c>
      <c r="K59" s="20">
        <v>2.7461139896373058E-2</v>
      </c>
      <c r="L59" s="19">
        <v>56</v>
      </c>
      <c r="M59" s="19">
        <v>57</v>
      </c>
      <c r="N59" s="19">
        <v>62</v>
      </c>
      <c r="O59" s="19">
        <v>54</v>
      </c>
      <c r="P59" s="19">
        <v>53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W59" s="19">
        <v>81</v>
      </c>
      <c r="X59" s="19">
        <v>46</v>
      </c>
      <c r="Y59" s="19">
        <v>45</v>
      </c>
      <c r="Z59" s="19">
        <v>58</v>
      </c>
      <c r="AA59" s="19">
        <v>54</v>
      </c>
      <c r="AB59" s="20">
        <v>4.3548387096774194E-2</v>
      </c>
      <c r="AC59" s="20">
        <v>2.5974025974025976E-2</v>
      </c>
      <c r="AD59" s="20">
        <v>2.2982635342185902E-2</v>
      </c>
      <c r="AE59" s="20">
        <v>3.1016042780748664E-2</v>
      </c>
      <c r="AF59" s="20">
        <v>2.8008298755186723E-2</v>
      </c>
      <c r="AG59" s="19">
        <v>81</v>
      </c>
      <c r="AH59" s="19">
        <v>46</v>
      </c>
      <c r="AI59" s="19">
        <v>45</v>
      </c>
      <c r="AJ59" s="19">
        <v>58</v>
      </c>
      <c r="AK59" s="19">
        <v>54</v>
      </c>
      <c r="AL59" s="20">
        <v>1</v>
      </c>
      <c r="AM59" s="20">
        <v>1</v>
      </c>
      <c r="AN59" s="20">
        <v>1</v>
      </c>
      <c r="AO59" s="20">
        <v>1</v>
      </c>
      <c r="AP59" s="20">
        <v>1</v>
      </c>
      <c r="AQ59" s="37"/>
    </row>
    <row r="60" spans="1:55" s="19" customFormat="1" ht="12.75" x14ac:dyDescent="0.2">
      <c r="A60" s="18" t="s">
        <v>41</v>
      </c>
      <c r="B60" s="19">
        <v>0</v>
      </c>
      <c r="C60" s="19">
        <v>1</v>
      </c>
      <c r="D60" s="19">
        <v>3</v>
      </c>
      <c r="E60" s="19">
        <v>3</v>
      </c>
      <c r="F60" s="19">
        <v>4</v>
      </c>
      <c r="G60" s="20">
        <v>0</v>
      </c>
      <c r="H60" s="20">
        <v>5.2826201796090863E-4</v>
      </c>
      <c r="I60" s="20">
        <v>1.5616866215512754E-3</v>
      </c>
      <c r="J60" s="20">
        <v>1.5560165975103733E-3</v>
      </c>
      <c r="K60" s="20">
        <v>2.0725388601036268E-3</v>
      </c>
      <c r="L60" s="19">
        <v>0</v>
      </c>
      <c r="M60" s="19">
        <v>1</v>
      </c>
      <c r="N60" s="19">
        <v>3</v>
      </c>
      <c r="O60" s="19">
        <v>3</v>
      </c>
      <c r="P60" s="19">
        <v>4</v>
      </c>
      <c r="Q60" s="20">
        <v>0</v>
      </c>
      <c r="R60" s="20">
        <v>1</v>
      </c>
      <c r="S60" s="20">
        <v>1</v>
      </c>
      <c r="T60" s="20">
        <v>1</v>
      </c>
      <c r="U60" s="20">
        <v>1</v>
      </c>
      <c r="W60" s="19">
        <v>0</v>
      </c>
      <c r="X60" s="19">
        <v>2</v>
      </c>
      <c r="Y60" s="19">
        <v>8</v>
      </c>
      <c r="Z60" s="19">
        <v>2</v>
      </c>
      <c r="AA60" s="19">
        <v>3</v>
      </c>
      <c r="AB60" s="20">
        <v>0</v>
      </c>
      <c r="AC60" s="20">
        <v>1.129305477131564E-3</v>
      </c>
      <c r="AD60" s="20">
        <v>4.0858018386108275E-3</v>
      </c>
      <c r="AE60" s="20">
        <v>1.0695187165775401E-3</v>
      </c>
      <c r="AF60" s="20">
        <v>1.5560165975103733E-3</v>
      </c>
      <c r="AG60" s="19">
        <v>0</v>
      </c>
      <c r="AH60" s="19">
        <v>2</v>
      </c>
      <c r="AI60" s="19">
        <v>8</v>
      </c>
      <c r="AJ60" s="19">
        <v>2</v>
      </c>
      <c r="AK60" s="19">
        <v>3</v>
      </c>
      <c r="AL60" s="20">
        <v>0</v>
      </c>
      <c r="AM60" s="20">
        <v>1</v>
      </c>
      <c r="AN60" s="20">
        <v>1</v>
      </c>
      <c r="AO60" s="20">
        <v>1</v>
      </c>
      <c r="AP60" s="20">
        <v>1</v>
      </c>
      <c r="AQ60" s="37"/>
    </row>
    <row r="61" spans="1:55" s="19" customFormat="1" ht="12.75" x14ac:dyDescent="0.2">
      <c r="A61" s="18" t="s">
        <v>43</v>
      </c>
      <c r="B61" s="19">
        <v>251</v>
      </c>
      <c r="C61" s="19">
        <v>254</v>
      </c>
      <c r="D61" s="19">
        <v>239</v>
      </c>
      <c r="E61" s="19">
        <v>254</v>
      </c>
      <c r="F61" s="19">
        <v>257</v>
      </c>
      <c r="G61" s="20">
        <v>0.13259376650818805</v>
      </c>
      <c r="H61" s="20">
        <v>0.13417855256207079</v>
      </c>
      <c r="I61" s="20">
        <v>0.12441436751691827</v>
      </c>
      <c r="J61" s="20">
        <v>0.13174273858921162</v>
      </c>
      <c r="K61" s="20">
        <v>0.13316062176165802</v>
      </c>
      <c r="L61" s="19">
        <v>251</v>
      </c>
      <c r="M61" s="19">
        <v>254</v>
      </c>
      <c r="N61" s="19">
        <v>234</v>
      </c>
      <c r="O61" s="19">
        <v>253</v>
      </c>
      <c r="P61" s="19">
        <v>256</v>
      </c>
      <c r="Q61" s="20">
        <v>1</v>
      </c>
      <c r="R61" s="20">
        <v>1</v>
      </c>
      <c r="S61" s="20">
        <v>0.97907949790794979</v>
      </c>
      <c r="T61" s="20">
        <v>0.99606299212598426</v>
      </c>
      <c r="U61" s="20">
        <v>0.99610894941634243</v>
      </c>
      <c r="W61" s="19">
        <v>167</v>
      </c>
      <c r="X61" s="19">
        <v>209</v>
      </c>
      <c r="Y61" s="19">
        <v>263</v>
      </c>
      <c r="Z61" s="19">
        <v>250</v>
      </c>
      <c r="AA61" s="19">
        <v>254</v>
      </c>
      <c r="AB61" s="20">
        <v>8.9784946236559138E-2</v>
      </c>
      <c r="AC61" s="20">
        <v>0.11801242236024845</v>
      </c>
      <c r="AD61" s="20">
        <v>0.13432073544433096</v>
      </c>
      <c r="AE61" s="20">
        <v>0.13368983957219252</v>
      </c>
      <c r="AF61" s="20">
        <v>0.13174273858921162</v>
      </c>
      <c r="AG61" s="19">
        <v>167</v>
      </c>
      <c r="AH61" s="19">
        <v>209</v>
      </c>
      <c r="AI61" s="19">
        <v>263</v>
      </c>
      <c r="AJ61" s="19">
        <v>250</v>
      </c>
      <c r="AK61" s="19">
        <v>253</v>
      </c>
      <c r="AL61" s="20">
        <v>1</v>
      </c>
      <c r="AM61" s="20">
        <v>1</v>
      </c>
      <c r="AN61" s="20">
        <v>1</v>
      </c>
      <c r="AO61" s="20">
        <v>1</v>
      </c>
      <c r="AP61" s="20">
        <v>0.99606299212598426</v>
      </c>
      <c r="AQ61" s="37"/>
    </row>
    <row r="62" spans="1:55" s="19" customFormat="1" ht="12.75" x14ac:dyDescent="0.2">
      <c r="A62" s="18" t="s">
        <v>126</v>
      </c>
      <c r="B62" s="19">
        <v>2</v>
      </c>
      <c r="C62" s="19">
        <v>2</v>
      </c>
      <c r="D62" s="19">
        <v>2</v>
      </c>
      <c r="E62" s="19">
        <v>2</v>
      </c>
      <c r="F62" s="19">
        <v>3</v>
      </c>
      <c r="G62" s="20">
        <v>1.0565240359218173E-3</v>
      </c>
      <c r="H62" s="20">
        <v>1.0565240359218173E-3</v>
      </c>
      <c r="I62" s="20">
        <v>1.0411244143675169E-3</v>
      </c>
      <c r="J62" s="20">
        <v>1.037344398340249E-3</v>
      </c>
      <c r="K62" s="20">
        <v>1.5544041450777201E-3</v>
      </c>
      <c r="L62" s="19">
        <v>2</v>
      </c>
      <c r="M62" s="19">
        <v>2</v>
      </c>
      <c r="N62" s="19">
        <v>2</v>
      </c>
      <c r="O62" s="19">
        <v>2</v>
      </c>
      <c r="P62" s="19">
        <v>3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W62" s="19">
        <v>5</v>
      </c>
      <c r="X62" s="19">
        <v>5</v>
      </c>
      <c r="Y62" s="19">
        <v>0</v>
      </c>
      <c r="Z62" s="19">
        <v>4</v>
      </c>
      <c r="AA62" s="19">
        <v>2</v>
      </c>
      <c r="AB62" s="20">
        <v>2.6881720430107529E-3</v>
      </c>
      <c r="AC62" s="20">
        <v>2.82326369282891E-3</v>
      </c>
      <c r="AD62" s="20">
        <v>0</v>
      </c>
      <c r="AE62" s="20">
        <v>2.1390374331550803E-3</v>
      </c>
      <c r="AF62" s="20">
        <v>1.037344398340249E-3</v>
      </c>
      <c r="AG62" s="19">
        <v>5</v>
      </c>
      <c r="AH62" s="19">
        <v>5</v>
      </c>
      <c r="AI62" s="19">
        <v>0</v>
      </c>
      <c r="AJ62" s="19">
        <v>4</v>
      </c>
      <c r="AK62" s="19">
        <v>2</v>
      </c>
      <c r="AL62" s="20">
        <v>1</v>
      </c>
      <c r="AM62" s="20">
        <v>1</v>
      </c>
      <c r="AN62" s="20">
        <v>0</v>
      </c>
      <c r="AO62" s="20">
        <v>1</v>
      </c>
      <c r="AP62" s="20">
        <v>1</v>
      </c>
      <c r="AQ62" s="37"/>
    </row>
    <row r="63" spans="1:55" s="19" customFormat="1" ht="12.75" x14ac:dyDescent="0.2">
      <c r="A63" s="18" t="s">
        <v>52</v>
      </c>
      <c r="B63" s="19">
        <v>23</v>
      </c>
      <c r="C63" s="19">
        <v>24</v>
      </c>
      <c r="D63" s="19">
        <v>25</v>
      </c>
      <c r="E63" s="19">
        <v>25</v>
      </c>
      <c r="F63" s="19">
        <v>26</v>
      </c>
      <c r="G63" s="20">
        <v>1.2150026413100899E-2</v>
      </c>
      <c r="H63" s="20">
        <v>1.2678288431061807E-2</v>
      </c>
      <c r="I63" s="20">
        <v>1.3014055179593961E-2</v>
      </c>
      <c r="J63" s="20">
        <v>1.2966804979253113E-2</v>
      </c>
      <c r="K63" s="20">
        <v>1.3471502590673576E-2</v>
      </c>
      <c r="L63" s="19">
        <v>23</v>
      </c>
      <c r="M63" s="19">
        <v>24</v>
      </c>
      <c r="N63" s="19">
        <v>25</v>
      </c>
      <c r="O63" s="19">
        <v>25</v>
      </c>
      <c r="P63" s="19">
        <v>26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W63" s="19">
        <v>33</v>
      </c>
      <c r="X63" s="19">
        <v>35</v>
      </c>
      <c r="Y63" s="19">
        <v>25</v>
      </c>
      <c r="Z63" s="19">
        <v>16</v>
      </c>
      <c r="AA63" s="19">
        <v>25</v>
      </c>
      <c r="AB63" s="20">
        <v>1.7741935483870968E-2</v>
      </c>
      <c r="AC63" s="20">
        <v>1.9762845849802372E-2</v>
      </c>
      <c r="AD63" s="20">
        <v>1.2768130745658836E-2</v>
      </c>
      <c r="AE63" s="20">
        <v>8.5561497326203211E-3</v>
      </c>
      <c r="AF63" s="20">
        <v>1.2966804979253113E-2</v>
      </c>
      <c r="AG63" s="19">
        <v>33</v>
      </c>
      <c r="AH63" s="19">
        <v>35</v>
      </c>
      <c r="AI63" s="19">
        <v>25</v>
      </c>
      <c r="AJ63" s="19">
        <v>16</v>
      </c>
      <c r="AK63" s="19">
        <v>25</v>
      </c>
      <c r="AL63" s="20">
        <v>1</v>
      </c>
      <c r="AM63" s="20">
        <v>1</v>
      </c>
      <c r="AN63" s="20">
        <v>1</v>
      </c>
      <c r="AO63" s="20">
        <v>1</v>
      </c>
      <c r="AP63" s="20">
        <v>1</v>
      </c>
      <c r="AQ63" s="37"/>
    </row>
    <row r="64" spans="1:55" s="19" customFormat="1" ht="12.75" x14ac:dyDescent="0.2">
      <c r="A64" s="18" t="s">
        <v>55</v>
      </c>
      <c r="B64" s="19">
        <v>3</v>
      </c>
      <c r="C64" s="19">
        <v>2</v>
      </c>
      <c r="D64" s="19">
        <v>2</v>
      </c>
      <c r="E64" s="19">
        <v>3</v>
      </c>
      <c r="F64" s="19">
        <v>3</v>
      </c>
      <c r="G64" s="20">
        <v>1.5847860538827259E-3</v>
      </c>
      <c r="H64" s="20">
        <v>1.0565240359218173E-3</v>
      </c>
      <c r="I64" s="20">
        <v>1.0411244143675169E-3</v>
      </c>
      <c r="J64" s="20">
        <v>1.5560165975103733E-3</v>
      </c>
      <c r="K64" s="20">
        <v>1.5544041450777201E-3</v>
      </c>
      <c r="L64" s="19">
        <v>3</v>
      </c>
      <c r="M64" s="19">
        <v>2</v>
      </c>
      <c r="N64" s="19">
        <v>2</v>
      </c>
      <c r="O64" s="19">
        <v>3</v>
      </c>
      <c r="P64" s="19">
        <v>3</v>
      </c>
      <c r="Q64" s="20">
        <v>1</v>
      </c>
      <c r="R64" s="20">
        <v>1</v>
      </c>
      <c r="S64" s="20">
        <v>1</v>
      </c>
      <c r="T64" s="20">
        <v>1</v>
      </c>
      <c r="U64" s="20">
        <v>1</v>
      </c>
      <c r="W64" s="19">
        <v>7</v>
      </c>
      <c r="X64" s="19">
        <v>5</v>
      </c>
      <c r="Y64" s="19">
        <v>0</v>
      </c>
      <c r="Z64" s="19">
        <v>2</v>
      </c>
      <c r="AA64" s="19">
        <v>3</v>
      </c>
      <c r="AB64" s="20">
        <v>3.763440860215054E-3</v>
      </c>
      <c r="AC64" s="20">
        <v>2.82326369282891E-3</v>
      </c>
      <c r="AD64" s="20">
        <v>0</v>
      </c>
      <c r="AE64" s="20">
        <v>1.0695187165775401E-3</v>
      </c>
      <c r="AF64" s="20">
        <v>1.5560165975103733E-3</v>
      </c>
      <c r="AG64" s="19">
        <v>7</v>
      </c>
      <c r="AH64" s="19">
        <v>5</v>
      </c>
      <c r="AI64" s="19">
        <v>0</v>
      </c>
      <c r="AJ64" s="19">
        <v>2</v>
      </c>
      <c r="AK64" s="19">
        <v>3</v>
      </c>
      <c r="AL64" s="20">
        <v>1</v>
      </c>
      <c r="AM64" s="20">
        <v>1</v>
      </c>
      <c r="AN64" s="20">
        <v>0</v>
      </c>
      <c r="AO64" s="20">
        <v>1</v>
      </c>
      <c r="AP64" s="20">
        <v>1</v>
      </c>
      <c r="AQ64" s="37"/>
    </row>
    <row r="65" spans="1:55" s="19" customFormat="1" ht="12.75" x14ac:dyDescent="0.2">
      <c r="A65" s="18" t="s">
        <v>91</v>
      </c>
      <c r="B65" s="19">
        <v>9</v>
      </c>
      <c r="C65" s="19">
        <v>5</v>
      </c>
      <c r="D65" s="19">
        <v>5</v>
      </c>
      <c r="E65" s="19">
        <v>5</v>
      </c>
      <c r="F65" s="19">
        <v>4</v>
      </c>
      <c r="G65" s="20">
        <v>4.7543581616481777E-3</v>
      </c>
      <c r="H65" s="20">
        <v>2.6413100898045432E-3</v>
      </c>
      <c r="I65" s="20">
        <v>2.6028110359187923E-3</v>
      </c>
      <c r="J65" s="20">
        <v>2.5933609958506223E-3</v>
      </c>
      <c r="K65" s="20">
        <v>2.0725388601036268E-3</v>
      </c>
      <c r="L65" s="19">
        <v>9</v>
      </c>
      <c r="M65" s="19">
        <v>5</v>
      </c>
      <c r="N65" s="19">
        <v>5</v>
      </c>
      <c r="O65" s="19">
        <v>5</v>
      </c>
      <c r="P65" s="19">
        <v>4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W65" s="19">
        <v>0</v>
      </c>
      <c r="X65" s="19">
        <v>1</v>
      </c>
      <c r="Y65" s="19">
        <v>5</v>
      </c>
      <c r="Z65" s="19">
        <v>10</v>
      </c>
      <c r="AA65" s="19">
        <v>5</v>
      </c>
      <c r="AB65" s="20">
        <v>0</v>
      </c>
      <c r="AC65" s="20">
        <v>5.6465273856578201E-4</v>
      </c>
      <c r="AD65" s="20">
        <v>2.5536261491317671E-3</v>
      </c>
      <c r="AE65" s="20">
        <v>5.3475935828877002E-3</v>
      </c>
      <c r="AF65" s="20">
        <v>2.5933609958506223E-3</v>
      </c>
      <c r="AG65" s="19">
        <v>0</v>
      </c>
      <c r="AH65" s="19">
        <v>1</v>
      </c>
      <c r="AI65" s="19">
        <v>5</v>
      </c>
      <c r="AJ65" s="19">
        <v>10</v>
      </c>
      <c r="AK65" s="19">
        <v>5</v>
      </c>
      <c r="AL65" s="20">
        <v>0</v>
      </c>
      <c r="AM65" s="20">
        <v>1</v>
      </c>
      <c r="AN65" s="20">
        <v>1</v>
      </c>
      <c r="AO65" s="20">
        <v>1</v>
      </c>
      <c r="AP65" s="20">
        <v>1</v>
      </c>
      <c r="AQ65" s="37"/>
    </row>
    <row r="66" spans="1:55" s="19" customFormat="1" ht="12.75" x14ac:dyDescent="0.2">
      <c r="A66" s="18" t="s">
        <v>58</v>
      </c>
      <c r="B66" s="19">
        <v>1</v>
      </c>
      <c r="C66" s="19">
        <v>1</v>
      </c>
      <c r="D66" s="19">
        <v>1</v>
      </c>
      <c r="E66" s="19">
        <v>1</v>
      </c>
      <c r="F66" s="19">
        <v>0</v>
      </c>
      <c r="G66" s="20">
        <v>5.2826201796090863E-4</v>
      </c>
      <c r="H66" s="20">
        <v>5.2826201796090863E-4</v>
      </c>
      <c r="I66" s="20">
        <v>5.2056220718375845E-4</v>
      </c>
      <c r="J66" s="20">
        <v>5.1867219917012448E-4</v>
      </c>
      <c r="K66" s="20">
        <v>0</v>
      </c>
      <c r="L66" s="19">
        <v>1</v>
      </c>
      <c r="M66" s="19">
        <v>1</v>
      </c>
      <c r="N66" s="19">
        <v>1</v>
      </c>
      <c r="O66" s="19">
        <v>1</v>
      </c>
      <c r="P66" s="19">
        <v>0</v>
      </c>
      <c r="Q66" s="20">
        <v>1</v>
      </c>
      <c r="R66" s="20">
        <v>1</v>
      </c>
      <c r="S66" s="20">
        <v>1</v>
      </c>
      <c r="T66" s="20">
        <v>1</v>
      </c>
      <c r="U66" s="20">
        <v>0</v>
      </c>
      <c r="W66" s="19">
        <v>0</v>
      </c>
      <c r="X66" s="19">
        <v>0</v>
      </c>
      <c r="Y66" s="19">
        <v>0</v>
      </c>
      <c r="Z66" s="19">
        <v>1</v>
      </c>
      <c r="AA66" s="19">
        <v>1</v>
      </c>
      <c r="AB66" s="20">
        <v>0</v>
      </c>
      <c r="AC66" s="20">
        <v>0</v>
      </c>
      <c r="AD66" s="20">
        <v>0</v>
      </c>
      <c r="AE66" s="20">
        <v>5.3475935828877007E-4</v>
      </c>
      <c r="AF66" s="20">
        <v>5.1867219917012448E-4</v>
      </c>
      <c r="AG66" s="19">
        <v>0</v>
      </c>
      <c r="AH66" s="19">
        <v>0</v>
      </c>
      <c r="AI66" s="19">
        <v>0</v>
      </c>
      <c r="AJ66" s="19">
        <v>1</v>
      </c>
      <c r="AK66" s="19">
        <v>1</v>
      </c>
      <c r="AL66" s="20">
        <v>0</v>
      </c>
      <c r="AM66" s="20">
        <v>0</v>
      </c>
      <c r="AN66" s="20">
        <v>0</v>
      </c>
      <c r="AO66" s="20">
        <v>1</v>
      </c>
      <c r="AP66" s="20">
        <v>1</v>
      </c>
      <c r="AQ66" s="37"/>
    </row>
    <row r="67" spans="1:55" s="27" customFormat="1" ht="12.75" x14ac:dyDescent="0.2">
      <c r="A67" s="26" t="s">
        <v>65</v>
      </c>
      <c r="B67" s="27">
        <v>1893</v>
      </c>
      <c r="C67" s="27">
        <v>1893</v>
      </c>
      <c r="D67" s="27">
        <v>1921</v>
      </c>
      <c r="E67" s="27">
        <v>1928</v>
      </c>
      <c r="F67" s="27">
        <v>1930</v>
      </c>
      <c r="G67" s="22">
        <v>1</v>
      </c>
      <c r="H67" s="22">
        <v>1</v>
      </c>
      <c r="I67" s="22">
        <v>1</v>
      </c>
      <c r="J67" s="22">
        <v>1</v>
      </c>
      <c r="K67" s="22">
        <v>1</v>
      </c>
      <c r="L67" s="27">
        <v>1893</v>
      </c>
      <c r="M67" s="27">
        <v>1893</v>
      </c>
      <c r="N67" s="27">
        <v>1915</v>
      </c>
      <c r="O67" s="27">
        <v>1923</v>
      </c>
      <c r="P67" s="27">
        <v>1928</v>
      </c>
      <c r="Q67" s="22">
        <v>1</v>
      </c>
      <c r="R67" s="22">
        <v>1</v>
      </c>
      <c r="S67" s="22">
        <v>0.99687662675689748</v>
      </c>
      <c r="T67" s="22">
        <v>0.99740663900414939</v>
      </c>
      <c r="U67" s="22">
        <v>0.99896373056994814</v>
      </c>
      <c r="W67" s="27">
        <v>1860</v>
      </c>
      <c r="X67" s="27">
        <v>1771</v>
      </c>
      <c r="Y67" s="27">
        <v>1958</v>
      </c>
      <c r="Z67" s="27">
        <v>1870</v>
      </c>
      <c r="AA67" s="27">
        <v>1928</v>
      </c>
      <c r="AB67" s="22">
        <v>1</v>
      </c>
      <c r="AC67" s="22">
        <v>1</v>
      </c>
      <c r="AD67" s="22">
        <v>1</v>
      </c>
      <c r="AE67" s="22">
        <v>1</v>
      </c>
      <c r="AF67" s="22">
        <v>1</v>
      </c>
      <c r="AG67" s="27">
        <v>1860</v>
      </c>
      <c r="AH67" s="27">
        <v>1771</v>
      </c>
      <c r="AI67" s="27">
        <v>1958</v>
      </c>
      <c r="AJ67" s="27">
        <v>1870</v>
      </c>
      <c r="AK67" s="27">
        <v>1923</v>
      </c>
      <c r="AL67" s="22">
        <v>1</v>
      </c>
      <c r="AM67" s="22">
        <v>1</v>
      </c>
      <c r="AN67" s="22">
        <v>1</v>
      </c>
      <c r="AO67" s="22">
        <v>1</v>
      </c>
      <c r="AP67" s="22">
        <v>0.99740663900414939</v>
      </c>
      <c r="AQ67" s="37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</row>
    <row r="68" spans="1:55" s="19" customFormat="1" ht="12.75" x14ac:dyDescent="0.2">
      <c r="A68" s="18"/>
      <c r="AB68" s="20"/>
      <c r="AC68" s="20"/>
      <c r="AD68" s="20"/>
      <c r="AE68" s="20"/>
      <c r="AF68" s="20"/>
      <c r="AL68" s="20"/>
      <c r="AM68" s="20"/>
      <c r="AN68" s="20"/>
      <c r="AO68" s="20"/>
      <c r="AP68" s="20"/>
      <c r="AQ68" s="37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</row>
    <row r="69" spans="1:55" s="25" customFormat="1" ht="12.75" x14ac:dyDescent="0.2">
      <c r="A69" s="28" t="s">
        <v>66</v>
      </c>
      <c r="B69" s="25" t="s">
        <v>10</v>
      </c>
      <c r="C69" s="25" t="s">
        <v>11</v>
      </c>
      <c r="D69" s="25" t="s">
        <v>12</v>
      </c>
      <c r="E69" s="25" t="s">
        <v>164</v>
      </c>
      <c r="F69" s="25" t="s">
        <v>195</v>
      </c>
      <c r="G69" s="25" t="s">
        <v>10</v>
      </c>
      <c r="H69" s="25" t="s">
        <v>11</v>
      </c>
      <c r="I69" s="25" t="s">
        <v>12</v>
      </c>
      <c r="J69" s="25" t="s">
        <v>164</v>
      </c>
      <c r="K69" s="25" t="s">
        <v>195</v>
      </c>
      <c r="L69" s="25" t="s">
        <v>10</v>
      </c>
      <c r="M69" s="25" t="s">
        <v>11</v>
      </c>
      <c r="N69" s="25" t="s">
        <v>12</v>
      </c>
      <c r="O69" s="25" t="s">
        <v>164</v>
      </c>
      <c r="P69" s="25" t="s">
        <v>195</v>
      </c>
      <c r="Q69" s="25" t="s">
        <v>10</v>
      </c>
      <c r="R69" s="25" t="s">
        <v>11</v>
      </c>
      <c r="S69" s="25" t="s">
        <v>12</v>
      </c>
      <c r="T69" s="25" t="s">
        <v>164</v>
      </c>
      <c r="U69" s="25" t="s">
        <v>195</v>
      </c>
      <c r="W69" s="25" t="s">
        <v>13</v>
      </c>
      <c r="X69" s="25" t="s">
        <v>14</v>
      </c>
      <c r="Y69" s="25" t="s">
        <v>15</v>
      </c>
      <c r="Z69" s="25" t="s">
        <v>16</v>
      </c>
      <c r="AA69" s="25" t="s">
        <v>165</v>
      </c>
      <c r="AB69" s="25" t="s">
        <v>13</v>
      </c>
      <c r="AC69" s="25" t="s">
        <v>14</v>
      </c>
      <c r="AD69" s="25" t="s">
        <v>15</v>
      </c>
      <c r="AE69" s="25" t="s">
        <v>16</v>
      </c>
      <c r="AF69" s="25" t="s">
        <v>165</v>
      </c>
      <c r="AG69" s="25" t="s">
        <v>13</v>
      </c>
      <c r="AH69" s="25" t="s">
        <v>14</v>
      </c>
      <c r="AI69" s="25" t="s">
        <v>15</v>
      </c>
      <c r="AJ69" s="25" t="s">
        <v>16</v>
      </c>
      <c r="AK69" s="25" t="s">
        <v>165</v>
      </c>
      <c r="AL69" s="25" t="s">
        <v>13</v>
      </c>
      <c r="AM69" s="25" t="s">
        <v>14</v>
      </c>
      <c r="AN69" s="25" t="s">
        <v>15</v>
      </c>
      <c r="AO69" s="25" t="s">
        <v>16</v>
      </c>
      <c r="AP69" s="25" t="s">
        <v>165</v>
      </c>
      <c r="AQ69" s="37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</row>
    <row r="70" spans="1:55" s="19" customFormat="1" ht="12.75" x14ac:dyDescent="0.2">
      <c r="A70" s="18" t="s">
        <v>17</v>
      </c>
      <c r="B70" s="19">
        <v>21</v>
      </c>
      <c r="C70" s="19">
        <v>19</v>
      </c>
      <c r="D70" s="19">
        <v>26</v>
      </c>
      <c r="E70" s="19">
        <v>180</v>
      </c>
      <c r="F70" s="19">
        <v>15</v>
      </c>
      <c r="G70" s="20">
        <v>7.1957236842105259E-4</v>
      </c>
      <c r="H70" s="20">
        <v>6.444173110839778E-4</v>
      </c>
      <c r="I70" s="20">
        <v>8.2676163825998476E-4</v>
      </c>
      <c r="J70" s="20">
        <v>5.8158319870759293E-3</v>
      </c>
      <c r="K70" s="20">
        <v>4.9125564943996861E-4</v>
      </c>
      <c r="L70" s="19">
        <v>21</v>
      </c>
      <c r="M70" s="19">
        <v>19</v>
      </c>
      <c r="N70" s="19">
        <v>26</v>
      </c>
      <c r="O70" s="19">
        <v>180</v>
      </c>
      <c r="P70" s="19">
        <v>15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W70" s="19">
        <v>0</v>
      </c>
      <c r="X70" s="19">
        <v>0</v>
      </c>
      <c r="Y70" s="19">
        <v>0</v>
      </c>
      <c r="Z70" s="19">
        <v>43</v>
      </c>
      <c r="AA70" s="19">
        <v>180</v>
      </c>
      <c r="AB70" s="20">
        <v>0</v>
      </c>
      <c r="AC70" s="20">
        <v>0</v>
      </c>
      <c r="AD70" s="20">
        <v>0</v>
      </c>
      <c r="AE70" s="20">
        <v>1.525255391600454E-3</v>
      </c>
      <c r="AF70" s="20">
        <v>5.8158319870759293E-3</v>
      </c>
      <c r="AG70" s="19">
        <v>0</v>
      </c>
      <c r="AH70" s="19">
        <v>0</v>
      </c>
      <c r="AI70" s="19">
        <v>0</v>
      </c>
      <c r="AJ70" s="19">
        <v>43</v>
      </c>
      <c r="AK70" s="19">
        <v>180</v>
      </c>
      <c r="AL70" s="20">
        <v>0</v>
      </c>
      <c r="AM70" s="20">
        <v>0</v>
      </c>
      <c r="AN70" s="20">
        <v>0</v>
      </c>
      <c r="AO70" s="20">
        <v>1</v>
      </c>
      <c r="AP70" s="20">
        <v>1</v>
      </c>
      <c r="AQ70" s="37"/>
    </row>
    <row r="71" spans="1:55" s="19" customFormat="1" ht="12.75" x14ac:dyDescent="0.2">
      <c r="A71" s="18" t="s">
        <v>18</v>
      </c>
      <c r="B71" s="19">
        <v>189</v>
      </c>
      <c r="C71" s="19">
        <v>191</v>
      </c>
      <c r="D71" s="19">
        <v>191</v>
      </c>
      <c r="E71" s="19">
        <v>193</v>
      </c>
      <c r="F71" s="19">
        <v>196</v>
      </c>
      <c r="G71" s="20">
        <v>6.4761513157894739E-3</v>
      </c>
      <c r="H71" s="20">
        <v>6.4780898114231451E-3</v>
      </c>
      <c r="I71" s="20">
        <v>6.073518188756042E-3</v>
      </c>
      <c r="J71" s="20">
        <v>6.2358642972536347E-3</v>
      </c>
      <c r="K71" s="20">
        <v>6.4190738193489229E-3</v>
      </c>
      <c r="L71" s="19">
        <v>189</v>
      </c>
      <c r="M71" s="19">
        <v>191</v>
      </c>
      <c r="N71" s="19">
        <v>191</v>
      </c>
      <c r="O71" s="19">
        <v>193</v>
      </c>
      <c r="P71" s="19">
        <v>196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W71" s="19">
        <v>154</v>
      </c>
      <c r="X71" s="19">
        <v>218</v>
      </c>
      <c r="Y71" s="19">
        <v>208</v>
      </c>
      <c r="Z71" s="19">
        <v>188</v>
      </c>
      <c r="AA71" s="19">
        <v>193</v>
      </c>
      <c r="AB71" s="20">
        <v>4.4913672421838541E-3</v>
      </c>
      <c r="AC71" s="20">
        <v>7.0616436137475296E-3</v>
      </c>
      <c r="AD71" s="20">
        <v>6.8928950159066809E-3</v>
      </c>
      <c r="AE71" s="20">
        <v>6.6685584562996593E-3</v>
      </c>
      <c r="AF71" s="20">
        <v>6.2358642972536347E-3</v>
      </c>
      <c r="AG71" s="19">
        <v>154</v>
      </c>
      <c r="AH71" s="19">
        <v>218</v>
      </c>
      <c r="AI71" s="19">
        <v>208</v>
      </c>
      <c r="AJ71" s="19">
        <v>188</v>
      </c>
      <c r="AK71" s="19">
        <v>193</v>
      </c>
      <c r="AL71" s="20">
        <v>1</v>
      </c>
      <c r="AM71" s="20">
        <v>1</v>
      </c>
      <c r="AN71" s="20">
        <v>1</v>
      </c>
      <c r="AO71" s="20">
        <v>1</v>
      </c>
      <c r="AP71" s="20">
        <v>1</v>
      </c>
      <c r="AQ71" s="37"/>
    </row>
    <row r="72" spans="1:55" s="19" customFormat="1" ht="12.75" x14ac:dyDescent="0.2">
      <c r="A72" s="18" t="s">
        <v>19</v>
      </c>
      <c r="B72" s="19">
        <v>5495</v>
      </c>
      <c r="C72" s="19">
        <v>5826</v>
      </c>
      <c r="D72" s="19">
        <v>6303</v>
      </c>
      <c r="E72" s="19">
        <v>6258</v>
      </c>
      <c r="F72" s="19">
        <v>6330</v>
      </c>
      <c r="G72" s="20">
        <v>0.18828810307017543</v>
      </c>
      <c r="H72" s="20">
        <v>0.19759869759869761</v>
      </c>
      <c r="I72" s="20">
        <v>0.20042610022894938</v>
      </c>
      <c r="J72" s="20">
        <v>0.20219709208400646</v>
      </c>
      <c r="K72" s="20">
        <v>0.20730988406366674</v>
      </c>
      <c r="L72" s="19">
        <v>5495</v>
      </c>
      <c r="M72" s="19">
        <v>5826</v>
      </c>
      <c r="N72" s="19">
        <v>6254</v>
      </c>
      <c r="O72" s="19">
        <v>6216</v>
      </c>
      <c r="P72" s="19">
        <v>6295</v>
      </c>
      <c r="Q72" s="20">
        <v>1</v>
      </c>
      <c r="R72" s="20">
        <v>1</v>
      </c>
      <c r="S72" s="20">
        <v>0.99222592416309696</v>
      </c>
      <c r="T72" s="20">
        <v>0.99328859060402686</v>
      </c>
      <c r="U72" s="20">
        <v>0.99447077409162721</v>
      </c>
      <c r="W72" s="19">
        <v>5639</v>
      </c>
      <c r="X72" s="19">
        <v>5169</v>
      </c>
      <c r="Y72" s="19">
        <v>3968</v>
      </c>
      <c r="Z72" s="19">
        <v>5257</v>
      </c>
      <c r="AA72" s="19">
        <v>6258</v>
      </c>
      <c r="AB72" s="20">
        <v>0.16445986934204387</v>
      </c>
      <c r="AC72" s="20">
        <v>0.1674386965112889</v>
      </c>
      <c r="AD72" s="20">
        <v>0.13149522799575822</v>
      </c>
      <c r="AE72" s="20">
        <v>0.18647133938706015</v>
      </c>
      <c r="AF72" s="20">
        <v>0.20219709208400646</v>
      </c>
      <c r="AG72" s="19">
        <v>5639</v>
      </c>
      <c r="AH72" s="19">
        <v>5169</v>
      </c>
      <c r="AI72" s="19">
        <v>3968</v>
      </c>
      <c r="AJ72" s="19">
        <v>5257</v>
      </c>
      <c r="AK72" s="19">
        <v>6216</v>
      </c>
      <c r="AL72" s="20">
        <v>1</v>
      </c>
      <c r="AM72" s="20">
        <v>1</v>
      </c>
      <c r="AN72" s="20">
        <v>1</v>
      </c>
      <c r="AO72" s="20">
        <v>1</v>
      </c>
      <c r="AP72" s="20">
        <v>0.99328859060402686</v>
      </c>
      <c r="AQ72" s="37"/>
    </row>
    <row r="73" spans="1:55" s="19" customFormat="1" ht="12.75" x14ac:dyDescent="0.2">
      <c r="A73" s="18" t="s">
        <v>20</v>
      </c>
      <c r="B73" s="19">
        <v>268</v>
      </c>
      <c r="C73" s="19">
        <v>267</v>
      </c>
      <c r="D73" s="19">
        <v>80</v>
      </c>
      <c r="E73" s="19">
        <v>66</v>
      </c>
      <c r="F73" s="19">
        <v>58</v>
      </c>
      <c r="G73" s="20">
        <v>9.1831140350877201E-3</v>
      </c>
      <c r="H73" s="20">
        <v>9.0557590557590554E-3</v>
      </c>
      <c r="I73" s="20">
        <v>2.5438819638768763E-3</v>
      </c>
      <c r="J73" s="20">
        <v>2.1324717285945071E-3</v>
      </c>
      <c r="K73" s="20">
        <v>1.8995218445012117E-3</v>
      </c>
      <c r="L73" s="19">
        <v>268</v>
      </c>
      <c r="M73" s="19">
        <v>267</v>
      </c>
      <c r="N73" s="19">
        <v>79</v>
      </c>
      <c r="O73" s="19">
        <v>66</v>
      </c>
      <c r="P73" s="19">
        <v>58</v>
      </c>
      <c r="Q73" s="20">
        <v>1</v>
      </c>
      <c r="R73" s="20">
        <v>1</v>
      </c>
      <c r="S73" s="20">
        <v>0.98750000000000004</v>
      </c>
      <c r="T73" s="20">
        <v>1</v>
      </c>
      <c r="U73" s="20">
        <v>1</v>
      </c>
      <c r="W73" s="19">
        <v>70</v>
      </c>
      <c r="X73" s="19">
        <v>46</v>
      </c>
      <c r="Y73" s="19">
        <v>319</v>
      </c>
      <c r="Z73" s="19">
        <v>288</v>
      </c>
      <c r="AA73" s="19">
        <v>66</v>
      </c>
      <c r="AB73" s="20">
        <v>2.0415305646290247E-3</v>
      </c>
      <c r="AC73" s="20">
        <v>1.4900715882219559E-3</v>
      </c>
      <c r="AD73" s="20">
        <v>1.0571314952279958E-2</v>
      </c>
      <c r="AE73" s="20">
        <v>1.021566401816118E-2</v>
      </c>
      <c r="AF73" s="20">
        <v>2.1324717285945071E-3</v>
      </c>
      <c r="AG73" s="19">
        <v>70</v>
      </c>
      <c r="AH73" s="19">
        <v>46</v>
      </c>
      <c r="AI73" s="19">
        <v>319</v>
      </c>
      <c r="AJ73" s="19">
        <v>288</v>
      </c>
      <c r="AK73" s="19">
        <v>66</v>
      </c>
      <c r="AL73" s="20">
        <v>1</v>
      </c>
      <c r="AM73" s="20">
        <v>1</v>
      </c>
      <c r="AN73" s="20">
        <v>1</v>
      </c>
      <c r="AO73" s="20">
        <v>1</v>
      </c>
      <c r="AP73" s="20">
        <v>1</v>
      </c>
      <c r="AQ73" s="37"/>
    </row>
    <row r="74" spans="1:55" s="19" customFormat="1" ht="12.75" x14ac:dyDescent="0.2">
      <c r="A74" s="18" t="s">
        <v>24</v>
      </c>
      <c r="B74" s="19">
        <v>288</v>
      </c>
      <c r="C74" s="19">
        <v>328</v>
      </c>
      <c r="D74" s="19">
        <v>336</v>
      </c>
      <c r="E74" s="19">
        <v>328</v>
      </c>
      <c r="F74" s="19">
        <v>367</v>
      </c>
      <c r="G74" s="20">
        <v>9.8684210526315784E-3</v>
      </c>
      <c r="H74" s="20">
        <v>1.1124677791344458E-2</v>
      </c>
      <c r="I74" s="20">
        <v>1.0684304248282879E-2</v>
      </c>
      <c r="J74" s="20">
        <v>1.0597738287560582E-2</v>
      </c>
      <c r="K74" s="20">
        <v>1.2019388222964564E-2</v>
      </c>
      <c r="L74" s="19">
        <v>288</v>
      </c>
      <c r="M74" s="19">
        <v>328</v>
      </c>
      <c r="N74" s="19">
        <v>326</v>
      </c>
      <c r="O74" s="19">
        <v>328</v>
      </c>
      <c r="P74" s="19">
        <v>367</v>
      </c>
      <c r="Q74" s="20">
        <v>1</v>
      </c>
      <c r="R74" s="20">
        <v>1</v>
      </c>
      <c r="S74" s="20">
        <v>0.97023809523809523</v>
      </c>
      <c r="T74" s="20">
        <v>1</v>
      </c>
      <c r="U74" s="20">
        <v>1</v>
      </c>
      <c r="W74" s="19">
        <v>281</v>
      </c>
      <c r="X74" s="19">
        <v>104</v>
      </c>
      <c r="Y74" s="19">
        <v>167</v>
      </c>
      <c r="Z74" s="19">
        <v>126</v>
      </c>
      <c r="AA74" s="19">
        <v>328</v>
      </c>
      <c r="AB74" s="20">
        <v>8.195286980867942E-3</v>
      </c>
      <c r="AC74" s="20">
        <v>3.3688575038061611E-3</v>
      </c>
      <c r="AD74" s="20">
        <v>5.5341993637327679E-3</v>
      </c>
      <c r="AE74" s="20">
        <v>4.4693530079455163E-3</v>
      </c>
      <c r="AF74" s="20">
        <v>1.0597738287560582E-2</v>
      </c>
      <c r="AG74" s="19">
        <v>281</v>
      </c>
      <c r="AH74" s="19">
        <v>104</v>
      </c>
      <c r="AI74" s="19">
        <v>167</v>
      </c>
      <c r="AJ74" s="19">
        <v>126</v>
      </c>
      <c r="AK74" s="19">
        <v>328</v>
      </c>
      <c r="AL74" s="20">
        <v>1</v>
      </c>
      <c r="AM74" s="20">
        <v>1</v>
      </c>
      <c r="AN74" s="20">
        <v>1</v>
      </c>
      <c r="AO74" s="20">
        <v>1</v>
      </c>
      <c r="AP74" s="20">
        <v>1</v>
      </c>
      <c r="AQ74" s="37"/>
    </row>
    <row r="75" spans="1:55" s="19" customFormat="1" ht="12.75" x14ac:dyDescent="0.2">
      <c r="A75" s="18" t="s">
        <v>198</v>
      </c>
      <c r="B75" s="19">
        <v>0</v>
      </c>
      <c r="C75" s="19">
        <v>1</v>
      </c>
      <c r="D75" s="19">
        <v>1</v>
      </c>
      <c r="E75" s="19">
        <v>1</v>
      </c>
      <c r="F75" s="19">
        <v>2</v>
      </c>
      <c r="G75" s="20">
        <v>0</v>
      </c>
      <c r="H75" s="20">
        <v>3.3916700583367251E-5</v>
      </c>
      <c r="I75" s="20">
        <v>3.1798524548460951E-5</v>
      </c>
      <c r="J75" s="20">
        <v>3.2310177705977382E-5</v>
      </c>
      <c r="K75" s="20">
        <v>6.5500753258662469E-5</v>
      </c>
      <c r="L75" s="19">
        <v>0</v>
      </c>
      <c r="M75" s="19">
        <v>1</v>
      </c>
      <c r="N75" s="19">
        <v>1</v>
      </c>
      <c r="O75" s="19">
        <v>1</v>
      </c>
      <c r="P75" s="19">
        <v>2</v>
      </c>
      <c r="Q75" s="20">
        <v>0</v>
      </c>
      <c r="R75" s="20">
        <v>1</v>
      </c>
      <c r="S75" s="20">
        <v>1</v>
      </c>
      <c r="T75" s="20">
        <v>1</v>
      </c>
      <c r="U75" s="20">
        <v>1</v>
      </c>
      <c r="W75" s="19">
        <v>0</v>
      </c>
      <c r="X75" s="19">
        <v>0</v>
      </c>
      <c r="Y75" s="19">
        <v>0</v>
      </c>
      <c r="Z75" s="19">
        <v>0</v>
      </c>
      <c r="AA75" s="19">
        <v>1</v>
      </c>
      <c r="AB75" s="20">
        <v>0</v>
      </c>
      <c r="AC75" s="20">
        <v>0</v>
      </c>
      <c r="AD75" s="20">
        <v>0</v>
      </c>
      <c r="AE75" s="20">
        <v>0</v>
      </c>
      <c r="AF75" s="20">
        <v>3.2310177705977382E-5</v>
      </c>
      <c r="AG75" s="19">
        <v>0</v>
      </c>
      <c r="AH75" s="19">
        <v>0</v>
      </c>
      <c r="AI75" s="19">
        <v>0</v>
      </c>
      <c r="AJ75" s="19">
        <v>0</v>
      </c>
      <c r="AK75" s="19">
        <v>1</v>
      </c>
      <c r="AL75" s="20">
        <v>0</v>
      </c>
      <c r="AM75" s="20">
        <v>0</v>
      </c>
      <c r="AN75" s="20">
        <v>0</v>
      </c>
      <c r="AO75" s="20">
        <v>0</v>
      </c>
      <c r="AP75" s="20">
        <v>1</v>
      </c>
      <c r="AQ75" s="37"/>
    </row>
    <row r="76" spans="1:55" s="19" customFormat="1" ht="12.75" x14ac:dyDescent="0.2">
      <c r="A76" s="18" t="s">
        <v>25</v>
      </c>
      <c r="B76" s="19">
        <v>142</v>
      </c>
      <c r="C76" s="19">
        <v>145</v>
      </c>
      <c r="D76" s="19">
        <v>145</v>
      </c>
      <c r="E76" s="19">
        <v>159</v>
      </c>
      <c r="F76" s="19">
        <v>154</v>
      </c>
      <c r="G76" s="20">
        <v>4.8656798245614039E-3</v>
      </c>
      <c r="H76" s="20">
        <v>4.9179215845882515E-3</v>
      </c>
      <c r="I76" s="20">
        <v>4.6107860595268379E-3</v>
      </c>
      <c r="J76" s="20">
        <v>5.1373182552504042E-3</v>
      </c>
      <c r="K76" s="20">
        <v>5.0435580009170105E-3</v>
      </c>
      <c r="L76" s="19">
        <v>142</v>
      </c>
      <c r="M76" s="19">
        <v>145</v>
      </c>
      <c r="N76" s="19">
        <v>145</v>
      </c>
      <c r="O76" s="19">
        <v>157</v>
      </c>
      <c r="P76" s="19">
        <v>153</v>
      </c>
      <c r="Q76" s="20">
        <v>1</v>
      </c>
      <c r="R76" s="20">
        <v>1</v>
      </c>
      <c r="S76" s="20">
        <v>1</v>
      </c>
      <c r="T76" s="20">
        <v>0.98742138364779874</v>
      </c>
      <c r="U76" s="20">
        <v>0.99350649350649356</v>
      </c>
      <c r="W76" s="19">
        <v>26</v>
      </c>
      <c r="X76" s="19">
        <v>96</v>
      </c>
      <c r="Y76" s="19">
        <v>77</v>
      </c>
      <c r="Z76" s="19">
        <v>75</v>
      </c>
      <c r="AA76" s="19">
        <v>159</v>
      </c>
      <c r="AB76" s="20">
        <v>7.5828278114792346E-4</v>
      </c>
      <c r="AC76" s="20">
        <v>3.1097146188979949E-3</v>
      </c>
      <c r="AD76" s="20">
        <v>2.5516967126192999E-3</v>
      </c>
      <c r="AE76" s="20">
        <v>2.6603291713961407E-3</v>
      </c>
      <c r="AF76" s="20">
        <v>5.1373182552504042E-3</v>
      </c>
      <c r="AG76" s="19">
        <v>26</v>
      </c>
      <c r="AH76" s="19">
        <v>96</v>
      </c>
      <c r="AI76" s="19">
        <v>77</v>
      </c>
      <c r="AJ76" s="19">
        <v>75</v>
      </c>
      <c r="AK76" s="19">
        <v>157</v>
      </c>
      <c r="AL76" s="20">
        <v>1</v>
      </c>
      <c r="AM76" s="20">
        <v>1</v>
      </c>
      <c r="AN76" s="20">
        <v>1</v>
      </c>
      <c r="AO76" s="20">
        <v>1</v>
      </c>
      <c r="AP76" s="20">
        <v>0.98742138364779874</v>
      </c>
      <c r="AQ76" s="37"/>
    </row>
    <row r="77" spans="1:55" s="19" customFormat="1" ht="12.75" x14ac:dyDescent="0.2">
      <c r="A77" s="18" t="s">
        <v>82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W77" s="19">
        <v>86</v>
      </c>
      <c r="X77" s="19">
        <v>133</v>
      </c>
      <c r="Y77" s="19">
        <v>39</v>
      </c>
      <c r="Z77" s="19">
        <v>0</v>
      </c>
      <c r="AA77" s="19">
        <v>0</v>
      </c>
      <c r="AB77" s="20">
        <v>2.5081661222585163E-3</v>
      </c>
      <c r="AC77" s="20">
        <v>4.3082504615982635E-3</v>
      </c>
      <c r="AD77" s="20">
        <v>1.2924178154825026E-3</v>
      </c>
      <c r="AE77" s="20">
        <v>0</v>
      </c>
      <c r="AF77" s="20">
        <v>0</v>
      </c>
      <c r="AG77" s="19">
        <v>86</v>
      </c>
      <c r="AH77" s="19">
        <v>133</v>
      </c>
      <c r="AI77" s="19">
        <v>39</v>
      </c>
      <c r="AJ77" s="19">
        <v>0</v>
      </c>
      <c r="AK77" s="19">
        <v>0</v>
      </c>
      <c r="AL77" s="20">
        <v>1</v>
      </c>
      <c r="AM77" s="20">
        <v>1</v>
      </c>
      <c r="AN77" s="20">
        <v>1</v>
      </c>
      <c r="AO77" s="20">
        <v>0</v>
      </c>
      <c r="AP77" s="20">
        <v>0</v>
      </c>
      <c r="AQ77" s="37"/>
    </row>
    <row r="78" spans="1:55" s="19" customFormat="1" ht="12.75" x14ac:dyDescent="0.2">
      <c r="A78" s="18" t="s">
        <v>84</v>
      </c>
      <c r="B78" s="19">
        <v>2</v>
      </c>
      <c r="C78" s="19">
        <v>2</v>
      </c>
      <c r="D78" s="19">
        <v>3</v>
      </c>
      <c r="E78" s="19">
        <v>3</v>
      </c>
      <c r="F78" s="19">
        <v>3</v>
      </c>
      <c r="G78" s="20">
        <v>6.8530701754385961E-5</v>
      </c>
      <c r="H78" s="20">
        <v>6.7833401166734502E-5</v>
      </c>
      <c r="I78" s="20">
        <v>9.5395573645382854E-5</v>
      </c>
      <c r="J78" s="20">
        <v>9.6930533117932147E-5</v>
      </c>
      <c r="K78" s="20">
        <v>9.8251129887993717E-5</v>
      </c>
      <c r="L78" s="19">
        <v>2</v>
      </c>
      <c r="M78" s="19">
        <v>2</v>
      </c>
      <c r="N78" s="19">
        <v>3</v>
      </c>
      <c r="O78" s="19">
        <v>3</v>
      </c>
      <c r="P78" s="19">
        <v>3</v>
      </c>
      <c r="Q78" s="20">
        <v>1</v>
      </c>
      <c r="R78" s="20">
        <v>1</v>
      </c>
      <c r="S78" s="20">
        <v>1</v>
      </c>
      <c r="T78" s="20">
        <v>1</v>
      </c>
      <c r="U78" s="20">
        <v>1</v>
      </c>
      <c r="W78" s="19">
        <v>0</v>
      </c>
      <c r="X78" s="19">
        <v>0</v>
      </c>
      <c r="Y78" s="19">
        <v>0</v>
      </c>
      <c r="Z78" s="19">
        <v>2</v>
      </c>
      <c r="AA78" s="19">
        <v>3</v>
      </c>
      <c r="AB78" s="20">
        <v>0</v>
      </c>
      <c r="AC78" s="20">
        <v>0</v>
      </c>
      <c r="AD78" s="20">
        <v>0</v>
      </c>
      <c r="AE78" s="20">
        <v>7.0942111237230418E-5</v>
      </c>
      <c r="AF78" s="20">
        <v>9.6930533117932147E-5</v>
      </c>
      <c r="AG78" s="19">
        <v>0</v>
      </c>
      <c r="AH78" s="19">
        <v>0</v>
      </c>
      <c r="AI78" s="19">
        <v>0</v>
      </c>
      <c r="AJ78" s="19">
        <v>2</v>
      </c>
      <c r="AK78" s="19">
        <v>3</v>
      </c>
      <c r="AL78" s="20">
        <v>0</v>
      </c>
      <c r="AM78" s="20">
        <v>0</v>
      </c>
      <c r="AN78" s="20">
        <v>0</v>
      </c>
      <c r="AO78" s="20">
        <v>1</v>
      </c>
      <c r="AP78" s="20">
        <v>1</v>
      </c>
      <c r="AQ78" s="37"/>
    </row>
    <row r="79" spans="1:55" s="19" customFormat="1" ht="12.75" x14ac:dyDescent="0.2">
      <c r="A79" s="18" t="s">
        <v>26</v>
      </c>
      <c r="B79" s="19">
        <v>2</v>
      </c>
      <c r="C79" s="19">
        <v>1</v>
      </c>
      <c r="D79" s="19">
        <v>1</v>
      </c>
      <c r="E79" s="19">
        <v>4</v>
      </c>
      <c r="F79" s="19">
        <v>4</v>
      </c>
      <c r="G79" s="20">
        <v>6.8530701754385961E-5</v>
      </c>
      <c r="H79" s="20">
        <v>3.3916700583367251E-5</v>
      </c>
      <c r="I79" s="20">
        <v>3.1798524548460951E-5</v>
      </c>
      <c r="J79" s="20">
        <v>1.2924071082390953E-4</v>
      </c>
      <c r="K79" s="20">
        <v>1.3100150651732494E-4</v>
      </c>
      <c r="L79" s="19">
        <v>2</v>
      </c>
      <c r="M79" s="19">
        <v>1</v>
      </c>
      <c r="N79" s="19">
        <v>1</v>
      </c>
      <c r="O79" s="19">
        <v>4</v>
      </c>
      <c r="P79" s="19">
        <v>4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W79" s="19">
        <v>0</v>
      </c>
      <c r="X79" s="19">
        <v>0</v>
      </c>
      <c r="Y79" s="19">
        <v>1</v>
      </c>
      <c r="Z79" s="19">
        <v>2</v>
      </c>
      <c r="AA79" s="19">
        <v>4</v>
      </c>
      <c r="AB79" s="20">
        <v>0</v>
      </c>
      <c r="AC79" s="20">
        <v>0</v>
      </c>
      <c r="AD79" s="20">
        <v>3.3138918345705199E-5</v>
      </c>
      <c r="AE79" s="20">
        <v>7.0942111237230418E-5</v>
      </c>
      <c r="AF79" s="20">
        <v>1.2924071082390953E-4</v>
      </c>
      <c r="AG79" s="19">
        <v>0</v>
      </c>
      <c r="AH79" s="19">
        <v>0</v>
      </c>
      <c r="AI79" s="19">
        <v>1</v>
      </c>
      <c r="AJ79" s="19">
        <v>2</v>
      </c>
      <c r="AK79" s="19">
        <v>4</v>
      </c>
      <c r="AL79" s="20">
        <v>0</v>
      </c>
      <c r="AM79" s="20">
        <v>0</v>
      </c>
      <c r="AN79" s="20">
        <v>1</v>
      </c>
      <c r="AO79" s="20">
        <v>1</v>
      </c>
      <c r="AP79" s="20">
        <v>1</v>
      </c>
      <c r="AQ79" s="37"/>
    </row>
    <row r="80" spans="1:55" s="19" customFormat="1" ht="12.75" x14ac:dyDescent="0.2">
      <c r="A80" s="18" t="s">
        <v>30</v>
      </c>
      <c r="B80" s="19">
        <v>6044</v>
      </c>
      <c r="C80" s="19">
        <v>5892</v>
      </c>
      <c r="D80" s="19">
        <v>8160</v>
      </c>
      <c r="E80" s="19">
        <v>7370</v>
      </c>
      <c r="F80" s="19">
        <v>7352</v>
      </c>
      <c r="G80" s="20">
        <v>0.20709978070175439</v>
      </c>
      <c r="H80" s="20">
        <v>0.19983719983719983</v>
      </c>
      <c r="I80" s="20">
        <v>0.25947596031544135</v>
      </c>
      <c r="J80" s="20">
        <v>0.23812600969305331</v>
      </c>
      <c r="K80" s="20">
        <v>0.24078076897884326</v>
      </c>
      <c r="L80" s="19">
        <v>6044</v>
      </c>
      <c r="M80" s="19">
        <v>5892</v>
      </c>
      <c r="N80" s="19">
        <v>7848</v>
      </c>
      <c r="O80" s="19">
        <v>7088</v>
      </c>
      <c r="P80" s="19">
        <v>7059</v>
      </c>
      <c r="Q80" s="20">
        <v>1</v>
      </c>
      <c r="R80" s="20">
        <v>1</v>
      </c>
      <c r="S80" s="20">
        <v>0.96176470588235297</v>
      </c>
      <c r="T80" s="20">
        <v>0.96173677069199459</v>
      </c>
      <c r="U80" s="20">
        <v>0.96014689880304682</v>
      </c>
      <c r="W80" s="19">
        <v>14281</v>
      </c>
      <c r="X80" s="19">
        <v>10435</v>
      </c>
      <c r="Y80" s="19">
        <v>9178</v>
      </c>
      <c r="Z80" s="19">
        <v>6080</v>
      </c>
      <c r="AA80" s="19">
        <v>7370</v>
      </c>
      <c r="AB80" s="20">
        <v>0.4165013999066729</v>
      </c>
      <c r="AC80" s="20">
        <v>0.33801950050208934</v>
      </c>
      <c r="AD80" s="20">
        <v>0.30414899257688227</v>
      </c>
      <c r="AE80" s="20">
        <v>0.21566401816118047</v>
      </c>
      <c r="AF80" s="20">
        <v>0.23812600969305331</v>
      </c>
      <c r="AG80" s="19">
        <v>14281</v>
      </c>
      <c r="AH80" s="19">
        <v>10435</v>
      </c>
      <c r="AI80" s="19">
        <v>9178</v>
      </c>
      <c r="AJ80" s="19">
        <v>6080</v>
      </c>
      <c r="AK80" s="19">
        <v>7088</v>
      </c>
      <c r="AL80" s="20">
        <v>1</v>
      </c>
      <c r="AM80" s="20">
        <v>1</v>
      </c>
      <c r="AN80" s="20">
        <v>1</v>
      </c>
      <c r="AO80" s="20">
        <v>1</v>
      </c>
      <c r="AP80" s="20">
        <v>0.96173677069199459</v>
      </c>
      <c r="AQ80" s="37"/>
    </row>
    <row r="81" spans="1:43" s="19" customFormat="1" ht="12.75" x14ac:dyDescent="0.2">
      <c r="A81" s="18" t="s">
        <v>79</v>
      </c>
      <c r="B81" s="19">
        <v>0</v>
      </c>
      <c r="C81" s="19">
        <v>3</v>
      </c>
      <c r="D81" s="19">
        <v>3</v>
      </c>
      <c r="E81" s="19">
        <v>3</v>
      </c>
      <c r="F81" s="19">
        <v>3</v>
      </c>
      <c r="G81" s="20">
        <v>0</v>
      </c>
      <c r="H81" s="20">
        <v>1.0175010175010175E-4</v>
      </c>
      <c r="I81" s="20">
        <v>9.5395573645382854E-5</v>
      </c>
      <c r="J81" s="20">
        <v>9.6930533117932147E-5</v>
      </c>
      <c r="K81" s="20">
        <v>9.8251129887993717E-5</v>
      </c>
      <c r="L81" s="19">
        <v>0</v>
      </c>
      <c r="M81" s="19">
        <v>3</v>
      </c>
      <c r="N81" s="19">
        <v>3</v>
      </c>
      <c r="O81" s="19">
        <v>3</v>
      </c>
      <c r="P81" s="19">
        <v>3</v>
      </c>
      <c r="Q81" s="20">
        <v>0</v>
      </c>
      <c r="R81" s="20">
        <v>1</v>
      </c>
      <c r="S81" s="20">
        <v>1</v>
      </c>
      <c r="T81" s="20">
        <v>1</v>
      </c>
      <c r="U81" s="20">
        <v>1</v>
      </c>
      <c r="W81" s="19">
        <v>0</v>
      </c>
      <c r="X81" s="19">
        <v>0</v>
      </c>
      <c r="Y81" s="19">
        <v>0</v>
      </c>
      <c r="Z81" s="19">
        <v>0</v>
      </c>
      <c r="AA81" s="19">
        <v>3</v>
      </c>
      <c r="AB81" s="20">
        <v>0</v>
      </c>
      <c r="AC81" s="20">
        <v>0</v>
      </c>
      <c r="AD81" s="20">
        <v>0</v>
      </c>
      <c r="AE81" s="20">
        <v>0</v>
      </c>
      <c r="AF81" s="20">
        <v>9.6930533117932147E-5</v>
      </c>
      <c r="AG81" s="19">
        <v>0</v>
      </c>
      <c r="AH81" s="19">
        <v>0</v>
      </c>
      <c r="AI81" s="19">
        <v>0</v>
      </c>
      <c r="AJ81" s="19">
        <v>0</v>
      </c>
      <c r="AK81" s="19">
        <v>3</v>
      </c>
      <c r="AL81" s="20">
        <v>0</v>
      </c>
      <c r="AM81" s="20">
        <v>0</v>
      </c>
      <c r="AN81" s="20">
        <v>0</v>
      </c>
      <c r="AO81" s="20">
        <v>0</v>
      </c>
      <c r="AP81" s="20">
        <v>1</v>
      </c>
      <c r="AQ81" s="37"/>
    </row>
    <row r="82" spans="1:43" s="19" customFormat="1" ht="12.75" x14ac:dyDescent="0.2">
      <c r="A82" s="18" t="s">
        <v>80</v>
      </c>
      <c r="B82" s="19">
        <v>1459</v>
      </c>
      <c r="C82" s="19">
        <v>1469</v>
      </c>
      <c r="D82" s="19">
        <v>1475</v>
      </c>
      <c r="E82" s="19">
        <v>1496</v>
      </c>
      <c r="F82" s="19">
        <v>1548</v>
      </c>
      <c r="G82" s="20">
        <v>4.999314692982456E-2</v>
      </c>
      <c r="H82" s="20">
        <v>4.9823633156966488E-2</v>
      </c>
      <c r="I82" s="20">
        <v>4.6902823708979906E-2</v>
      </c>
      <c r="J82" s="20">
        <v>4.8336025848142165E-2</v>
      </c>
      <c r="K82" s="20">
        <v>5.0697583022204756E-2</v>
      </c>
      <c r="L82" s="19">
        <v>1459</v>
      </c>
      <c r="M82" s="19">
        <v>1469</v>
      </c>
      <c r="N82" s="19">
        <v>1474</v>
      </c>
      <c r="O82" s="19">
        <v>1495</v>
      </c>
      <c r="P82" s="19">
        <v>1548</v>
      </c>
      <c r="Q82" s="20">
        <v>1</v>
      </c>
      <c r="R82" s="20">
        <v>1</v>
      </c>
      <c r="S82" s="20">
        <v>0.9993220338983051</v>
      </c>
      <c r="T82" s="20">
        <v>0.99933155080213909</v>
      </c>
      <c r="U82" s="20">
        <v>1</v>
      </c>
      <c r="W82" s="19">
        <v>1299</v>
      </c>
      <c r="X82" s="19">
        <v>1714</v>
      </c>
      <c r="Y82" s="19">
        <v>1741</v>
      </c>
      <c r="Z82" s="19">
        <v>1745</v>
      </c>
      <c r="AA82" s="19">
        <v>1496</v>
      </c>
      <c r="AB82" s="20">
        <v>3.7884974335044327E-2</v>
      </c>
      <c r="AC82" s="20">
        <v>5.552136309157462E-2</v>
      </c>
      <c r="AD82" s="20">
        <v>5.7694856839872743E-2</v>
      </c>
      <c r="AE82" s="20">
        <v>6.1896992054483541E-2</v>
      </c>
      <c r="AF82" s="20">
        <v>4.8336025848142165E-2</v>
      </c>
      <c r="AG82" s="19">
        <v>1299</v>
      </c>
      <c r="AH82" s="19">
        <v>1714</v>
      </c>
      <c r="AI82" s="19">
        <v>1741</v>
      </c>
      <c r="AJ82" s="19">
        <v>1745</v>
      </c>
      <c r="AK82" s="19">
        <v>1495</v>
      </c>
      <c r="AL82" s="20">
        <v>1</v>
      </c>
      <c r="AM82" s="20">
        <v>1</v>
      </c>
      <c r="AN82" s="20">
        <v>1</v>
      </c>
      <c r="AO82" s="20">
        <v>1</v>
      </c>
      <c r="AP82" s="20">
        <v>0.99933155080213909</v>
      </c>
      <c r="AQ82" s="37"/>
    </row>
    <row r="83" spans="1:43" s="19" customFormat="1" ht="12.75" x14ac:dyDescent="0.2">
      <c r="A83" s="18" t="s">
        <v>33</v>
      </c>
      <c r="B83" s="19">
        <v>0</v>
      </c>
      <c r="C83" s="19">
        <v>0</v>
      </c>
      <c r="D83" s="19">
        <v>0</v>
      </c>
      <c r="E83" s="19">
        <v>2</v>
      </c>
      <c r="F83" s="19">
        <v>2</v>
      </c>
      <c r="G83" s="20">
        <v>0</v>
      </c>
      <c r="H83" s="20">
        <v>0</v>
      </c>
      <c r="I83" s="20">
        <v>0</v>
      </c>
      <c r="J83" s="20">
        <v>6.4620355411954764E-5</v>
      </c>
      <c r="K83" s="20">
        <v>6.5500753258662469E-5</v>
      </c>
      <c r="L83" s="19">
        <v>0</v>
      </c>
      <c r="M83" s="19">
        <v>0</v>
      </c>
      <c r="N83" s="19">
        <v>0</v>
      </c>
      <c r="O83" s="19">
        <v>2</v>
      </c>
      <c r="P83" s="19">
        <v>2</v>
      </c>
      <c r="Q83" s="20">
        <v>0</v>
      </c>
      <c r="R83" s="20">
        <v>0</v>
      </c>
      <c r="S83" s="20">
        <v>0</v>
      </c>
      <c r="T83" s="20">
        <v>1</v>
      </c>
      <c r="U83" s="20">
        <v>1</v>
      </c>
      <c r="W83" s="19">
        <v>0</v>
      </c>
      <c r="X83" s="19">
        <v>0</v>
      </c>
      <c r="Y83" s="19">
        <v>0</v>
      </c>
      <c r="Z83" s="19">
        <v>0</v>
      </c>
      <c r="AA83" s="19">
        <v>2</v>
      </c>
      <c r="AB83" s="20">
        <v>0</v>
      </c>
      <c r="AC83" s="20">
        <v>0</v>
      </c>
      <c r="AD83" s="20">
        <v>0</v>
      </c>
      <c r="AE83" s="20">
        <v>0</v>
      </c>
      <c r="AF83" s="20">
        <v>6.4620355411954764E-5</v>
      </c>
      <c r="AG83" s="19">
        <v>0</v>
      </c>
      <c r="AH83" s="19">
        <v>0</v>
      </c>
      <c r="AI83" s="19">
        <v>0</v>
      </c>
      <c r="AJ83" s="19">
        <v>0</v>
      </c>
      <c r="AK83" s="19">
        <v>2</v>
      </c>
      <c r="AL83" s="20">
        <v>0</v>
      </c>
      <c r="AM83" s="20">
        <v>0</v>
      </c>
      <c r="AN83" s="20">
        <v>0</v>
      </c>
      <c r="AO83" s="20">
        <v>0</v>
      </c>
      <c r="AP83" s="20">
        <v>1</v>
      </c>
      <c r="AQ83" s="37"/>
    </row>
    <row r="84" spans="1:43" s="19" customFormat="1" ht="12.75" x14ac:dyDescent="0.2">
      <c r="A84" s="18" t="s">
        <v>34</v>
      </c>
      <c r="B84" s="19">
        <v>1</v>
      </c>
      <c r="C84" s="19">
        <v>5</v>
      </c>
      <c r="D84" s="19">
        <v>8</v>
      </c>
      <c r="E84" s="19">
        <v>11</v>
      </c>
      <c r="F84" s="19">
        <v>11</v>
      </c>
      <c r="G84" s="20">
        <v>3.4265350877192981E-5</v>
      </c>
      <c r="H84" s="20">
        <v>1.6958350291683625E-4</v>
      </c>
      <c r="I84" s="20">
        <v>2.5438819638768761E-4</v>
      </c>
      <c r="J84" s="20">
        <v>3.5541195476575119E-4</v>
      </c>
      <c r="K84" s="20">
        <v>3.6025414292264362E-4</v>
      </c>
      <c r="L84" s="19">
        <v>1</v>
      </c>
      <c r="M84" s="19">
        <v>5</v>
      </c>
      <c r="N84" s="19">
        <v>8</v>
      </c>
      <c r="O84" s="19">
        <v>11</v>
      </c>
      <c r="P84" s="19">
        <v>11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W84" s="19">
        <v>0</v>
      </c>
      <c r="X84" s="19">
        <v>0</v>
      </c>
      <c r="Y84" s="19">
        <v>0</v>
      </c>
      <c r="Z84" s="19">
        <v>0</v>
      </c>
      <c r="AA84" s="19">
        <v>11</v>
      </c>
      <c r="AB84" s="20">
        <v>0</v>
      </c>
      <c r="AC84" s="20">
        <v>0</v>
      </c>
      <c r="AD84" s="20">
        <v>0</v>
      </c>
      <c r="AE84" s="20">
        <v>0</v>
      </c>
      <c r="AF84" s="20">
        <v>3.5541195476575119E-4</v>
      </c>
      <c r="AG84" s="19">
        <v>0</v>
      </c>
      <c r="AH84" s="19">
        <v>0</v>
      </c>
      <c r="AI84" s="19">
        <v>0</v>
      </c>
      <c r="AJ84" s="19">
        <v>0</v>
      </c>
      <c r="AK84" s="19">
        <v>11</v>
      </c>
      <c r="AL84" s="20">
        <v>0</v>
      </c>
      <c r="AM84" s="20">
        <v>0</v>
      </c>
      <c r="AN84" s="20">
        <v>0</v>
      </c>
      <c r="AO84" s="20">
        <v>0</v>
      </c>
      <c r="AP84" s="20">
        <v>1</v>
      </c>
      <c r="AQ84" s="37"/>
    </row>
    <row r="85" spans="1:43" s="19" customFormat="1" ht="12.75" x14ac:dyDescent="0.2">
      <c r="A85" s="18" t="s">
        <v>35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W85" s="19">
        <v>90</v>
      </c>
      <c r="X85" s="19">
        <v>0</v>
      </c>
      <c r="Y85" s="19">
        <v>0</v>
      </c>
      <c r="Z85" s="19">
        <v>0</v>
      </c>
      <c r="AA85" s="19">
        <v>0</v>
      </c>
      <c r="AB85" s="20">
        <v>2.6248250116658891E-3</v>
      </c>
      <c r="AC85" s="20">
        <v>0</v>
      </c>
      <c r="AD85" s="20">
        <v>0</v>
      </c>
      <c r="AE85" s="20">
        <v>0</v>
      </c>
      <c r="AF85" s="20">
        <v>0</v>
      </c>
      <c r="AG85" s="19">
        <v>90</v>
      </c>
      <c r="AH85" s="19">
        <v>0</v>
      </c>
      <c r="AI85" s="19">
        <v>0</v>
      </c>
      <c r="AJ85" s="19">
        <v>0</v>
      </c>
      <c r="AK85" s="19">
        <v>0</v>
      </c>
      <c r="AL85" s="20">
        <v>1</v>
      </c>
      <c r="AM85" s="20">
        <v>0</v>
      </c>
      <c r="AN85" s="20">
        <v>0</v>
      </c>
      <c r="AO85" s="20">
        <v>0</v>
      </c>
      <c r="AP85" s="20">
        <v>0</v>
      </c>
      <c r="AQ85" s="37"/>
    </row>
    <row r="86" spans="1:43" s="19" customFormat="1" ht="12.75" x14ac:dyDescent="0.2">
      <c r="A86" s="18" t="s">
        <v>85</v>
      </c>
      <c r="B86" s="19">
        <v>2</v>
      </c>
      <c r="C86" s="19">
        <v>2</v>
      </c>
      <c r="D86" s="19">
        <v>6</v>
      </c>
      <c r="E86" s="19">
        <v>6</v>
      </c>
      <c r="F86" s="19">
        <v>6</v>
      </c>
      <c r="G86" s="20">
        <v>6.8530701754385961E-5</v>
      </c>
      <c r="H86" s="20">
        <v>6.7833401166734502E-5</v>
      </c>
      <c r="I86" s="20">
        <v>1.9079114729076571E-4</v>
      </c>
      <c r="J86" s="20">
        <v>1.9386106623586429E-4</v>
      </c>
      <c r="K86" s="20">
        <v>1.9650225977598743E-4</v>
      </c>
      <c r="L86" s="19">
        <v>2</v>
      </c>
      <c r="M86" s="19">
        <v>2</v>
      </c>
      <c r="N86" s="19">
        <v>6</v>
      </c>
      <c r="O86" s="19">
        <v>6</v>
      </c>
      <c r="P86" s="19">
        <v>6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W86" s="19">
        <v>1</v>
      </c>
      <c r="X86" s="19">
        <v>1</v>
      </c>
      <c r="Y86" s="19">
        <v>1</v>
      </c>
      <c r="Z86" s="19">
        <v>2</v>
      </c>
      <c r="AA86" s="19">
        <v>6</v>
      </c>
      <c r="AB86" s="20">
        <v>2.9164722351843211E-5</v>
      </c>
      <c r="AC86" s="20">
        <v>3.239286061352078E-5</v>
      </c>
      <c r="AD86" s="20">
        <v>3.3138918345705199E-5</v>
      </c>
      <c r="AE86" s="20">
        <v>7.0942111237230418E-5</v>
      </c>
      <c r="AF86" s="20">
        <v>1.9386106623586429E-4</v>
      </c>
      <c r="AG86" s="19">
        <v>1</v>
      </c>
      <c r="AH86" s="19">
        <v>1</v>
      </c>
      <c r="AI86" s="19">
        <v>1</v>
      </c>
      <c r="AJ86" s="19">
        <v>2</v>
      </c>
      <c r="AK86" s="19">
        <v>6</v>
      </c>
      <c r="AL86" s="20">
        <v>1</v>
      </c>
      <c r="AM86" s="20">
        <v>1</v>
      </c>
      <c r="AN86" s="20">
        <v>1</v>
      </c>
      <c r="AO86" s="20">
        <v>1</v>
      </c>
      <c r="AP86" s="20">
        <v>1</v>
      </c>
      <c r="AQ86" s="37"/>
    </row>
    <row r="87" spans="1:43" s="19" customFormat="1" ht="12.75" x14ac:dyDescent="0.2">
      <c r="A87" s="18" t="s">
        <v>36</v>
      </c>
      <c r="B87" s="19">
        <v>1</v>
      </c>
      <c r="C87" s="19">
        <v>1</v>
      </c>
      <c r="D87" s="19">
        <v>1</v>
      </c>
      <c r="E87" s="19">
        <v>1</v>
      </c>
      <c r="F87" s="19">
        <v>1</v>
      </c>
      <c r="G87" s="20">
        <v>3.4265350877192981E-5</v>
      </c>
      <c r="H87" s="20">
        <v>3.3916700583367251E-5</v>
      </c>
      <c r="I87" s="20">
        <v>3.1798524548460951E-5</v>
      </c>
      <c r="J87" s="20">
        <v>3.2310177705977382E-5</v>
      </c>
      <c r="K87" s="20">
        <v>3.2750376629331234E-5</v>
      </c>
      <c r="L87" s="19">
        <v>1</v>
      </c>
      <c r="M87" s="19">
        <v>1</v>
      </c>
      <c r="N87" s="19">
        <v>1</v>
      </c>
      <c r="O87" s="19">
        <v>1</v>
      </c>
      <c r="P87" s="19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W87" s="19">
        <v>0</v>
      </c>
      <c r="X87" s="19">
        <v>0</v>
      </c>
      <c r="Y87" s="19">
        <v>1</v>
      </c>
      <c r="Z87" s="19">
        <v>1</v>
      </c>
      <c r="AA87" s="19">
        <v>1</v>
      </c>
      <c r="AB87" s="20">
        <v>0</v>
      </c>
      <c r="AC87" s="20">
        <v>0</v>
      </c>
      <c r="AD87" s="20">
        <v>3.3138918345705199E-5</v>
      </c>
      <c r="AE87" s="20">
        <v>3.5471055618615209E-5</v>
      </c>
      <c r="AF87" s="20">
        <v>3.2310177705977382E-5</v>
      </c>
      <c r="AG87" s="19">
        <v>0</v>
      </c>
      <c r="AH87" s="19">
        <v>0</v>
      </c>
      <c r="AI87" s="19">
        <v>1</v>
      </c>
      <c r="AJ87" s="19">
        <v>1</v>
      </c>
      <c r="AK87" s="19">
        <v>1</v>
      </c>
      <c r="AL87" s="20">
        <v>0</v>
      </c>
      <c r="AM87" s="20">
        <v>0</v>
      </c>
      <c r="AN87" s="20">
        <v>1</v>
      </c>
      <c r="AO87" s="20">
        <v>1</v>
      </c>
      <c r="AP87" s="20">
        <v>1</v>
      </c>
      <c r="AQ87" s="37"/>
    </row>
    <row r="88" spans="1:43" s="19" customFormat="1" ht="12.75" x14ac:dyDescent="0.2">
      <c r="A88" s="18" t="s">
        <v>37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W88" s="19">
        <v>0</v>
      </c>
      <c r="X88" s="19">
        <v>1</v>
      </c>
      <c r="Y88" s="19">
        <v>5</v>
      </c>
      <c r="Z88" s="19">
        <v>0</v>
      </c>
      <c r="AA88" s="19">
        <v>0</v>
      </c>
      <c r="AB88" s="20">
        <v>0</v>
      </c>
      <c r="AC88" s="20">
        <v>3.239286061352078E-5</v>
      </c>
      <c r="AD88" s="20">
        <v>1.6569459172852599E-4</v>
      </c>
      <c r="AE88" s="20">
        <v>0</v>
      </c>
      <c r="AF88" s="20">
        <v>0</v>
      </c>
      <c r="AG88" s="19">
        <v>0</v>
      </c>
      <c r="AH88" s="19">
        <v>1</v>
      </c>
      <c r="AI88" s="19">
        <v>5</v>
      </c>
      <c r="AJ88" s="19">
        <v>0</v>
      </c>
      <c r="AK88" s="19">
        <v>0</v>
      </c>
      <c r="AL88" s="20">
        <v>0</v>
      </c>
      <c r="AM88" s="20">
        <v>1</v>
      </c>
      <c r="AN88" s="20">
        <v>1</v>
      </c>
      <c r="AO88" s="20">
        <v>0</v>
      </c>
      <c r="AP88" s="20">
        <v>0</v>
      </c>
      <c r="AQ88" s="37"/>
    </row>
    <row r="89" spans="1:43" s="19" customFormat="1" ht="12.75" x14ac:dyDescent="0.2">
      <c r="A89" s="18" t="s">
        <v>86</v>
      </c>
      <c r="B89" s="19">
        <v>2</v>
      </c>
      <c r="C89" s="19">
        <v>2</v>
      </c>
      <c r="D89" s="19">
        <v>2</v>
      </c>
      <c r="E89" s="19">
        <v>2</v>
      </c>
      <c r="F89" s="19">
        <v>2</v>
      </c>
      <c r="G89" s="20">
        <v>6.8530701754385961E-5</v>
      </c>
      <c r="H89" s="20">
        <v>6.7833401166734502E-5</v>
      </c>
      <c r="I89" s="20">
        <v>6.3597049096921903E-5</v>
      </c>
      <c r="J89" s="20">
        <v>6.4620355411954764E-5</v>
      </c>
      <c r="K89" s="20">
        <v>6.5500753258662469E-5</v>
      </c>
      <c r="L89" s="19">
        <v>2</v>
      </c>
      <c r="M89" s="19">
        <v>2</v>
      </c>
      <c r="N89" s="19">
        <v>2</v>
      </c>
      <c r="O89" s="19">
        <v>2</v>
      </c>
      <c r="P89" s="19">
        <v>2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W89" s="19">
        <v>1</v>
      </c>
      <c r="X89" s="19">
        <v>1</v>
      </c>
      <c r="Y89" s="19">
        <v>2</v>
      </c>
      <c r="Z89" s="19">
        <v>3</v>
      </c>
      <c r="AA89" s="19">
        <v>2</v>
      </c>
      <c r="AB89" s="20">
        <v>2.9164722351843211E-5</v>
      </c>
      <c r="AC89" s="20">
        <v>3.239286061352078E-5</v>
      </c>
      <c r="AD89" s="20">
        <v>6.6277836691410399E-5</v>
      </c>
      <c r="AE89" s="20">
        <v>1.0641316685584563E-4</v>
      </c>
      <c r="AF89" s="20">
        <v>6.4620355411954764E-5</v>
      </c>
      <c r="AG89" s="19">
        <v>1</v>
      </c>
      <c r="AH89" s="19">
        <v>1</v>
      </c>
      <c r="AI89" s="19">
        <v>2</v>
      </c>
      <c r="AJ89" s="19">
        <v>3</v>
      </c>
      <c r="AK89" s="19">
        <v>2</v>
      </c>
      <c r="AL89" s="20">
        <v>1</v>
      </c>
      <c r="AM89" s="20">
        <v>1</v>
      </c>
      <c r="AN89" s="20">
        <v>1</v>
      </c>
      <c r="AO89" s="20">
        <v>1</v>
      </c>
      <c r="AP89" s="20">
        <v>1</v>
      </c>
      <c r="AQ89" s="37"/>
    </row>
    <row r="90" spans="1:43" s="19" customFormat="1" ht="12.75" x14ac:dyDescent="0.2">
      <c r="A90" s="18" t="s">
        <v>40</v>
      </c>
      <c r="B90" s="19">
        <v>2263</v>
      </c>
      <c r="C90" s="19">
        <v>2156</v>
      </c>
      <c r="D90" s="19">
        <v>2171</v>
      </c>
      <c r="E90" s="19">
        <v>2176</v>
      </c>
      <c r="F90" s="19">
        <v>2152</v>
      </c>
      <c r="G90" s="20">
        <v>7.7542489035087717E-2</v>
      </c>
      <c r="H90" s="20">
        <v>7.3124406457739793E-2</v>
      </c>
      <c r="I90" s="20">
        <v>6.9034596794708719E-2</v>
      </c>
      <c r="J90" s="20">
        <v>7.0306946688206778E-2</v>
      </c>
      <c r="K90" s="20">
        <v>7.0478810506320821E-2</v>
      </c>
      <c r="L90" s="19">
        <v>2263</v>
      </c>
      <c r="M90" s="19">
        <v>2156</v>
      </c>
      <c r="N90" s="19">
        <v>2171</v>
      </c>
      <c r="O90" s="19">
        <v>2176</v>
      </c>
      <c r="P90" s="19">
        <v>2152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W90" s="19">
        <v>2186</v>
      </c>
      <c r="X90" s="19">
        <v>1675</v>
      </c>
      <c r="Y90" s="19">
        <v>1824</v>
      </c>
      <c r="Z90" s="19">
        <v>2228</v>
      </c>
      <c r="AA90" s="19">
        <v>2176</v>
      </c>
      <c r="AB90" s="20">
        <v>6.3754083061129257E-2</v>
      </c>
      <c r="AC90" s="20">
        <v>5.4258041527647308E-2</v>
      </c>
      <c r="AD90" s="20">
        <v>6.0445387062566275E-2</v>
      </c>
      <c r="AE90" s="20">
        <v>7.9029511918274689E-2</v>
      </c>
      <c r="AF90" s="20">
        <v>7.0306946688206778E-2</v>
      </c>
      <c r="AG90" s="19">
        <v>2186</v>
      </c>
      <c r="AH90" s="19">
        <v>1675</v>
      </c>
      <c r="AI90" s="19">
        <v>1824</v>
      </c>
      <c r="AJ90" s="19">
        <v>2228</v>
      </c>
      <c r="AK90" s="19">
        <v>2176</v>
      </c>
      <c r="AL90" s="20">
        <v>1</v>
      </c>
      <c r="AM90" s="20">
        <v>1</v>
      </c>
      <c r="AN90" s="20">
        <v>1</v>
      </c>
      <c r="AO90" s="20">
        <v>1</v>
      </c>
      <c r="AP90" s="20">
        <v>1</v>
      </c>
      <c r="AQ90" s="37"/>
    </row>
    <row r="91" spans="1:43" s="19" customFormat="1" ht="12.75" x14ac:dyDescent="0.2">
      <c r="A91" s="18" t="s">
        <v>41</v>
      </c>
      <c r="B91" s="19">
        <v>501</v>
      </c>
      <c r="C91" s="19">
        <v>520</v>
      </c>
      <c r="D91" s="19">
        <v>549</v>
      </c>
      <c r="E91" s="19">
        <v>519</v>
      </c>
      <c r="F91" s="19">
        <v>385</v>
      </c>
      <c r="G91" s="20">
        <v>1.7166940789473683E-2</v>
      </c>
      <c r="H91" s="20">
        <v>1.7636684303350969E-2</v>
      </c>
      <c r="I91" s="20">
        <v>1.7457389977105064E-2</v>
      </c>
      <c r="J91" s="20">
        <v>1.6768982229402263E-2</v>
      </c>
      <c r="K91" s="20">
        <v>1.2608895002292526E-2</v>
      </c>
      <c r="L91" s="19">
        <v>501</v>
      </c>
      <c r="M91" s="19">
        <v>520</v>
      </c>
      <c r="N91" s="19">
        <v>530</v>
      </c>
      <c r="O91" s="19">
        <v>516</v>
      </c>
      <c r="P91" s="19">
        <v>384</v>
      </c>
      <c r="Q91" s="20">
        <v>1</v>
      </c>
      <c r="R91" s="20">
        <v>1</v>
      </c>
      <c r="S91" s="20">
        <v>0.96539162112932608</v>
      </c>
      <c r="T91" s="20">
        <v>0.9942196531791907</v>
      </c>
      <c r="U91" s="20">
        <v>0.9974025974025974</v>
      </c>
      <c r="W91" s="19">
        <v>5</v>
      </c>
      <c r="X91" s="19">
        <v>37</v>
      </c>
      <c r="Y91" s="19">
        <v>340</v>
      </c>
      <c r="Z91" s="19">
        <v>291</v>
      </c>
      <c r="AA91" s="19">
        <v>519</v>
      </c>
      <c r="AB91" s="20">
        <v>1.4582361175921604E-4</v>
      </c>
      <c r="AC91" s="20">
        <v>1.1985358427002689E-3</v>
      </c>
      <c r="AD91" s="20">
        <v>1.1267232237539766E-2</v>
      </c>
      <c r="AE91" s="20">
        <v>1.0322077185017027E-2</v>
      </c>
      <c r="AF91" s="20">
        <v>1.6768982229402263E-2</v>
      </c>
      <c r="AG91" s="19">
        <v>5</v>
      </c>
      <c r="AH91" s="19">
        <v>37</v>
      </c>
      <c r="AI91" s="19">
        <v>340</v>
      </c>
      <c r="AJ91" s="19">
        <v>291</v>
      </c>
      <c r="AK91" s="19">
        <v>516</v>
      </c>
      <c r="AL91" s="20">
        <v>1</v>
      </c>
      <c r="AM91" s="20">
        <v>1</v>
      </c>
      <c r="AN91" s="20">
        <v>1</v>
      </c>
      <c r="AO91" s="20">
        <v>1</v>
      </c>
      <c r="AP91" s="20">
        <v>0.9942196531791907</v>
      </c>
      <c r="AQ91" s="37"/>
    </row>
    <row r="92" spans="1:43" s="19" customFormat="1" ht="12.75" x14ac:dyDescent="0.2">
      <c r="A92" s="18" t="s">
        <v>42</v>
      </c>
      <c r="B92" s="19">
        <v>41</v>
      </c>
      <c r="C92" s="19">
        <v>42</v>
      </c>
      <c r="D92" s="19">
        <v>48</v>
      </c>
      <c r="E92" s="19">
        <v>48</v>
      </c>
      <c r="F92" s="19">
        <v>0</v>
      </c>
      <c r="G92" s="20">
        <v>1.4048793859649123E-3</v>
      </c>
      <c r="H92" s="20">
        <v>1.4245014245014246E-3</v>
      </c>
      <c r="I92" s="20">
        <v>1.5263291783261257E-3</v>
      </c>
      <c r="J92" s="20">
        <v>1.5508885298869143E-3</v>
      </c>
      <c r="K92" s="20">
        <v>0</v>
      </c>
      <c r="L92" s="19">
        <v>41</v>
      </c>
      <c r="M92" s="19">
        <v>42</v>
      </c>
      <c r="N92" s="19">
        <v>48</v>
      </c>
      <c r="O92" s="19">
        <v>48</v>
      </c>
      <c r="P92" s="19">
        <v>0</v>
      </c>
      <c r="Q92" s="20">
        <v>1</v>
      </c>
      <c r="R92" s="20">
        <v>1</v>
      </c>
      <c r="S92" s="20">
        <v>1</v>
      </c>
      <c r="T92" s="20">
        <v>1</v>
      </c>
      <c r="U92" s="20">
        <v>0</v>
      </c>
      <c r="W92" s="19">
        <v>0</v>
      </c>
      <c r="X92" s="19">
        <v>0</v>
      </c>
      <c r="Y92" s="19">
        <v>10</v>
      </c>
      <c r="Z92" s="19">
        <v>42</v>
      </c>
      <c r="AA92" s="19">
        <v>48</v>
      </c>
      <c r="AB92" s="20">
        <v>0</v>
      </c>
      <c r="AC92" s="20">
        <v>0</v>
      </c>
      <c r="AD92" s="20">
        <v>3.3138918345705198E-4</v>
      </c>
      <c r="AE92" s="20">
        <v>1.4897843359818388E-3</v>
      </c>
      <c r="AF92" s="20">
        <v>1.5508885298869143E-3</v>
      </c>
      <c r="AG92" s="19">
        <v>0</v>
      </c>
      <c r="AH92" s="19">
        <v>0</v>
      </c>
      <c r="AI92" s="19">
        <v>10</v>
      </c>
      <c r="AJ92" s="19">
        <v>42</v>
      </c>
      <c r="AK92" s="19">
        <v>48</v>
      </c>
      <c r="AL92" s="20">
        <v>0</v>
      </c>
      <c r="AM92" s="20">
        <v>0</v>
      </c>
      <c r="AN92" s="20">
        <v>1</v>
      </c>
      <c r="AO92" s="20">
        <v>1</v>
      </c>
      <c r="AP92" s="20">
        <v>1</v>
      </c>
      <c r="AQ92" s="37"/>
    </row>
    <row r="93" spans="1:43" s="19" customFormat="1" ht="12.75" x14ac:dyDescent="0.2">
      <c r="A93" s="18" t="s">
        <v>43</v>
      </c>
      <c r="B93" s="19">
        <v>10985</v>
      </c>
      <c r="C93" s="19">
        <v>11069</v>
      </c>
      <c r="D93" s="19">
        <v>10307</v>
      </c>
      <c r="E93" s="19">
        <v>10578</v>
      </c>
      <c r="F93" s="19">
        <v>10569</v>
      </c>
      <c r="G93" s="20">
        <v>0.3764048793859649</v>
      </c>
      <c r="H93" s="20">
        <v>0.37542395875729206</v>
      </c>
      <c r="I93" s="20">
        <v>0.327747392520987</v>
      </c>
      <c r="J93" s="20">
        <v>0.34177705977382877</v>
      </c>
      <c r="K93" s="20">
        <v>0.34613873059540184</v>
      </c>
      <c r="L93" s="19">
        <v>10985</v>
      </c>
      <c r="M93" s="19">
        <v>11069</v>
      </c>
      <c r="N93" s="19">
        <v>9981</v>
      </c>
      <c r="O93" s="19">
        <v>10264</v>
      </c>
      <c r="P93" s="19">
        <v>10261</v>
      </c>
      <c r="Q93" s="20">
        <v>1</v>
      </c>
      <c r="R93" s="20">
        <v>1</v>
      </c>
      <c r="S93" s="20">
        <v>0.96837100999320846</v>
      </c>
      <c r="T93" s="20">
        <v>0.97031574966912459</v>
      </c>
      <c r="U93" s="20">
        <v>0.97085817012016273</v>
      </c>
      <c r="W93" s="19">
        <v>8672</v>
      </c>
      <c r="X93" s="19">
        <v>9952</v>
      </c>
      <c r="Y93" s="19">
        <v>11218</v>
      </c>
      <c r="Z93" s="19">
        <v>10458</v>
      </c>
      <c r="AA93" s="19">
        <v>10578</v>
      </c>
      <c r="AB93" s="20">
        <v>0.25291647223518432</v>
      </c>
      <c r="AC93" s="20">
        <v>0.32237374882575881</v>
      </c>
      <c r="AD93" s="20">
        <v>0.3717523860021209</v>
      </c>
      <c r="AE93" s="20">
        <v>0.37095629965947785</v>
      </c>
      <c r="AF93" s="20">
        <v>0.34177705977382877</v>
      </c>
      <c r="AG93" s="19">
        <v>8672</v>
      </c>
      <c r="AH93" s="19">
        <v>9952</v>
      </c>
      <c r="AI93" s="19">
        <v>11218</v>
      </c>
      <c r="AJ93" s="19">
        <v>10458</v>
      </c>
      <c r="AK93" s="19">
        <v>10264</v>
      </c>
      <c r="AL93" s="20">
        <v>1</v>
      </c>
      <c r="AM93" s="20">
        <v>1</v>
      </c>
      <c r="AN93" s="20">
        <v>1</v>
      </c>
      <c r="AO93" s="20">
        <v>1</v>
      </c>
      <c r="AP93" s="20">
        <v>0.97031574966912459</v>
      </c>
      <c r="AQ93" s="37"/>
    </row>
    <row r="94" spans="1:43" s="19" customFormat="1" ht="12.75" x14ac:dyDescent="0.2">
      <c r="A94" s="18" t="s">
        <v>44</v>
      </c>
      <c r="B94" s="19">
        <v>0</v>
      </c>
      <c r="C94" s="19">
        <v>0</v>
      </c>
      <c r="D94" s="19">
        <v>0</v>
      </c>
      <c r="E94" s="19">
        <v>0</v>
      </c>
      <c r="F94" s="19">
        <v>2</v>
      </c>
      <c r="G94" s="20">
        <v>0</v>
      </c>
      <c r="H94" s="20">
        <v>0</v>
      </c>
      <c r="I94" s="20">
        <v>0</v>
      </c>
      <c r="J94" s="20">
        <v>0</v>
      </c>
      <c r="K94" s="20">
        <v>6.5500753258662469E-5</v>
      </c>
      <c r="L94" s="19">
        <v>0</v>
      </c>
      <c r="M94" s="19">
        <v>0</v>
      </c>
      <c r="N94" s="19">
        <v>0</v>
      </c>
      <c r="O94" s="19">
        <v>0</v>
      </c>
      <c r="P94" s="19">
        <v>2</v>
      </c>
      <c r="Q94" s="20">
        <v>0</v>
      </c>
      <c r="R94" s="20">
        <v>0</v>
      </c>
      <c r="S94" s="20">
        <v>0</v>
      </c>
      <c r="T94" s="20">
        <v>0</v>
      </c>
      <c r="U94" s="20">
        <v>1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37"/>
    </row>
    <row r="95" spans="1:43" s="19" customFormat="1" ht="12.75" x14ac:dyDescent="0.2">
      <c r="A95" s="18" t="s">
        <v>126</v>
      </c>
      <c r="B95" s="19">
        <v>116</v>
      </c>
      <c r="C95" s="19">
        <v>107</v>
      </c>
      <c r="D95" s="19">
        <v>117</v>
      </c>
      <c r="E95" s="19">
        <v>95</v>
      </c>
      <c r="F95" s="19">
        <v>86</v>
      </c>
      <c r="G95" s="20">
        <v>3.9747807017543862E-3</v>
      </c>
      <c r="H95" s="20">
        <v>3.6290869624202959E-3</v>
      </c>
      <c r="I95" s="20">
        <v>3.7204273721699313E-3</v>
      </c>
      <c r="J95" s="20">
        <v>3.0694668820678513E-3</v>
      </c>
      <c r="K95" s="20">
        <v>2.8165323901224865E-3</v>
      </c>
      <c r="L95" s="19">
        <v>116</v>
      </c>
      <c r="M95" s="19">
        <v>107</v>
      </c>
      <c r="N95" s="19">
        <v>110</v>
      </c>
      <c r="O95" s="19">
        <v>88</v>
      </c>
      <c r="P95" s="19">
        <v>81</v>
      </c>
      <c r="Q95" s="20">
        <v>1</v>
      </c>
      <c r="R95" s="20">
        <v>1</v>
      </c>
      <c r="S95" s="20">
        <v>0.94017094017094016</v>
      </c>
      <c r="T95" s="20">
        <v>0.9263157894736842</v>
      </c>
      <c r="U95" s="20">
        <v>0.94186046511627908</v>
      </c>
      <c r="W95" s="19">
        <v>149</v>
      </c>
      <c r="X95" s="19">
        <v>96</v>
      </c>
      <c r="Y95" s="19">
        <v>30</v>
      </c>
      <c r="Z95" s="19">
        <v>141</v>
      </c>
      <c r="AA95" s="19">
        <v>95</v>
      </c>
      <c r="AB95" s="20">
        <v>4.3455436304246382E-3</v>
      </c>
      <c r="AC95" s="20">
        <v>3.1097146188979949E-3</v>
      </c>
      <c r="AD95" s="20">
        <v>9.9416755037115578E-4</v>
      </c>
      <c r="AE95" s="20">
        <v>5.0014188422247445E-3</v>
      </c>
      <c r="AF95" s="20">
        <v>3.0694668820678513E-3</v>
      </c>
      <c r="AG95" s="19">
        <v>149</v>
      </c>
      <c r="AH95" s="19">
        <v>96</v>
      </c>
      <c r="AI95" s="19">
        <v>30</v>
      </c>
      <c r="AJ95" s="19">
        <v>141</v>
      </c>
      <c r="AK95" s="19">
        <v>88</v>
      </c>
      <c r="AL95" s="20">
        <v>1</v>
      </c>
      <c r="AM95" s="20">
        <v>1</v>
      </c>
      <c r="AN95" s="20">
        <v>1</v>
      </c>
      <c r="AO95" s="20">
        <v>1</v>
      </c>
      <c r="AP95" s="20">
        <v>0.9263157894736842</v>
      </c>
      <c r="AQ95" s="37"/>
    </row>
    <row r="96" spans="1:43" s="19" customFormat="1" ht="12.75" x14ac:dyDescent="0.2">
      <c r="A96" s="18" t="s">
        <v>48</v>
      </c>
      <c r="B96" s="19">
        <v>46</v>
      </c>
      <c r="C96" s="19">
        <v>47</v>
      </c>
      <c r="D96" s="19">
        <v>60</v>
      </c>
      <c r="E96" s="19">
        <v>30</v>
      </c>
      <c r="F96" s="19">
        <v>45</v>
      </c>
      <c r="G96" s="20">
        <v>1.5762061403508771E-3</v>
      </c>
      <c r="H96" s="20">
        <v>1.5940849274182608E-3</v>
      </c>
      <c r="I96" s="20">
        <v>1.907911472907657E-3</v>
      </c>
      <c r="J96" s="20">
        <v>9.6930533117932144E-4</v>
      </c>
      <c r="K96" s="20">
        <v>1.4737669483199057E-3</v>
      </c>
      <c r="L96" s="19">
        <v>46</v>
      </c>
      <c r="M96" s="19">
        <v>47</v>
      </c>
      <c r="N96" s="19">
        <v>60</v>
      </c>
      <c r="O96" s="19">
        <v>30</v>
      </c>
      <c r="P96" s="19">
        <v>45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W96" s="19">
        <v>1</v>
      </c>
      <c r="X96" s="19">
        <v>17</v>
      </c>
      <c r="Y96" s="19">
        <v>44</v>
      </c>
      <c r="Z96" s="19">
        <v>42</v>
      </c>
      <c r="AA96" s="19">
        <v>30</v>
      </c>
      <c r="AB96" s="20">
        <v>2.9164722351843211E-5</v>
      </c>
      <c r="AC96" s="20">
        <v>5.5067863042985326E-4</v>
      </c>
      <c r="AD96" s="20">
        <v>1.4581124072110287E-3</v>
      </c>
      <c r="AE96" s="20">
        <v>1.4897843359818388E-3</v>
      </c>
      <c r="AF96" s="20">
        <v>9.6930533117932144E-4</v>
      </c>
      <c r="AG96" s="19">
        <v>1</v>
      </c>
      <c r="AH96" s="19">
        <v>17</v>
      </c>
      <c r="AI96" s="19">
        <v>44</v>
      </c>
      <c r="AJ96" s="19">
        <v>42</v>
      </c>
      <c r="AK96" s="19">
        <v>30</v>
      </c>
      <c r="AL96" s="20">
        <v>1</v>
      </c>
      <c r="AM96" s="20">
        <v>1</v>
      </c>
      <c r="AN96" s="20">
        <v>1</v>
      </c>
      <c r="AO96" s="20">
        <v>1</v>
      </c>
      <c r="AP96" s="20">
        <v>1</v>
      </c>
      <c r="AQ96" s="37"/>
    </row>
    <row r="97" spans="1:55" s="19" customFormat="1" ht="12.75" x14ac:dyDescent="0.2">
      <c r="A97" s="18" t="s">
        <v>88</v>
      </c>
      <c r="B97" s="19">
        <v>74</v>
      </c>
      <c r="C97" s="19">
        <v>86</v>
      </c>
      <c r="D97" s="19">
        <v>123</v>
      </c>
      <c r="E97" s="19">
        <v>130</v>
      </c>
      <c r="F97" s="19">
        <v>62</v>
      </c>
      <c r="G97" s="20">
        <v>2.5356359649122808E-3</v>
      </c>
      <c r="H97" s="20">
        <v>2.9168362501695833E-3</v>
      </c>
      <c r="I97" s="20">
        <v>3.9112185194606968E-3</v>
      </c>
      <c r="J97" s="20">
        <v>4.2003231017770596E-3</v>
      </c>
      <c r="K97" s="20">
        <v>2.0305233510185365E-3</v>
      </c>
      <c r="L97" s="19">
        <v>74</v>
      </c>
      <c r="M97" s="19">
        <v>86</v>
      </c>
      <c r="N97" s="19">
        <v>123</v>
      </c>
      <c r="O97" s="19">
        <v>130</v>
      </c>
      <c r="P97" s="19">
        <v>62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W97" s="19">
        <v>8</v>
      </c>
      <c r="X97" s="19">
        <v>23</v>
      </c>
      <c r="Y97" s="19">
        <v>35</v>
      </c>
      <c r="Z97" s="19">
        <v>71</v>
      </c>
      <c r="AA97" s="19">
        <v>130</v>
      </c>
      <c r="AB97" s="20">
        <v>2.3331777881474569E-4</v>
      </c>
      <c r="AC97" s="20">
        <v>7.4503579411097794E-4</v>
      </c>
      <c r="AD97" s="20">
        <v>1.1598621420996819E-3</v>
      </c>
      <c r="AE97" s="20">
        <v>2.5184449489216798E-3</v>
      </c>
      <c r="AF97" s="20">
        <v>4.2003231017770596E-3</v>
      </c>
      <c r="AG97" s="19">
        <v>8</v>
      </c>
      <c r="AH97" s="19">
        <v>23</v>
      </c>
      <c r="AI97" s="19">
        <v>35</v>
      </c>
      <c r="AJ97" s="19">
        <v>71</v>
      </c>
      <c r="AK97" s="19">
        <v>130</v>
      </c>
      <c r="AL97" s="20">
        <v>1</v>
      </c>
      <c r="AM97" s="20">
        <v>1</v>
      </c>
      <c r="AN97" s="20">
        <v>1</v>
      </c>
      <c r="AO97" s="20">
        <v>1</v>
      </c>
      <c r="AP97" s="20">
        <v>1</v>
      </c>
      <c r="AQ97" s="37"/>
    </row>
    <row r="98" spans="1:55" s="19" customFormat="1" ht="12.75" x14ac:dyDescent="0.2">
      <c r="A98" s="18" t="s">
        <v>49</v>
      </c>
      <c r="B98" s="19">
        <v>13</v>
      </c>
      <c r="C98" s="19">
        <v>12</v>
      </c>
      <c r="D98" s="19">
        <v>13</v>
      </c>
      <c r="E98" s="19">
        <v>13</v>
      </c>
      <c r="F98" s="19">
        <v>14</v>
      </c>
      <c r="G98" s="20">
        <v>4.4544956140350875E-4</v>
      </c>
      <c r="H98" s="20">
        <v>4.0700040700040698E-4</v>
      </c>
      <c r="I98" s="20">
        <v>4.1338081912999238E-4</v>
      </c>
      <c r="J98" s="20">
        <v>4.2003231017770598E-4</v>
      </c>
      <c r="K98" s="20">
        <v>4.5850527281063731E-4</v>
      </c>
      <c r="L98" s="19">
        <v>13</v>
      </c>
      <c r="M98" s="19">
        <v>12</v>
      </c>
      <c r="N98" s="19">
        <v>13</v>
      </c>
      <c r="O98" s="19">
        <v>13</v>
      </c>
      <c r="P98" s="19">
        <v>14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W98" s="19">
        <v>45</v>
      </c>
      <c r="X98" s="19">
        <v>43</v>
      </c>
      <c r="Y98" s="19">
        <v>14</v>
      </c>
      <c r="Z98" s="19">
        <v>13</v>
      </c>
      <c r="AA98" s="19">
        <v>13</v>
      </c>
      <c r="AB98" s="20">
        <v>1.3124125058329445E-3</v>
      </c>
      <c r="AC98" s="20">
        <v>1.3928930063813935E-3</v>
      </c>
      <c r="AD98" s="20">
        <v>4.6394485683987275E-4</v>
      </c>
      <c r="AE98" s="20">
        <v>4.6112372304199772E-4</v>
      </c>
      <c r="AF98" s="20">
        <v>4.2003231017770598E-4</v>
      </c>
      <c r="AG98" s="19">
        <v>45</v>
      </c>
      <c r="AH98" s="19">
        <v>43</v>
      </c>
      <c r="AI98" s="19">
        <v>14</v>
      </c>
      <c r="AJ98" s="19">
        <v>13</v>
      </c>
      <c r="AK98" s="19">
        <v>13</v>
      </c>
      <c r="AL98" s="20">
        <v>1</v>
      </c>
      <c r="AM98" s="20">
        <v>1</v>
      </c>
      <c r="AN98" s="20">
        <v>1</v>
      </c>
      <c r="AO98" s="20">
        <v>1</v>
      </c>
      <c r="AP98" s="20">
        <v>1</v>
      </c>
      <c r="AQ98" s="37"/>
    </row>
    <row r="99" spans="1:55" s="19" customFormat="1" ht="12.75" x14ac:dyDescent="0.2">
      <c r="A99" s="18" t="s">
        <v>50</v>
      </c>
      <c r="B99" s="19">
        <v>0</v>
      </c>
      <c r="C99" s="19">
        <v>0</v>
      </c>
      <c r="D99" s="19">
        <v>0</v>
      </c>
      <c r="E99" s="19">
        <v>1</v>
      </c>
      <c r="F99" s="19">
        <v>1</v>
      </c>
      <c r="G99" s="20">
        <v>0</v>
      </c>
      <c r="H99" s="20">
        <v>0</v>
      </c>
      <c r="I99" s="20">
        <v>0</v>
      </c>
      <c r="J99" s="20">
        <v>3.2310177705977382E-5</v>
      </c>
      <c r="K99" s="20">
        <v>3.2750376629331234E-5</v>
      </c>
      <c r="L99" s="19">
        <v>0</v>
      </c>
      <c r="M99" s="19">
        <v>0</v>
      </c>
      <c r="N99" s="19">
        <v>0</v>
      </c>
      <c r="O99" s="19">
        <v>1</v>
      </c>
      <c r="P99" s="19">
        <v>1</v>
      </c>
      <c r="Q99" s="20">
        <v>0</v>
      </c>
      <c r="R99" s="20">
        <v>0</v>
      </c>
      <c r="S99" s="20">
        <v>0</v>
      </c>
      <c r="T99" s="20">
        <v>1</v>
      </c>
      <c r="U99" s="20">
        <v>1</v>
      </c>
      <c r="W99" s="19">
        <v>0</v>
      </c>
      <c r="X99" s="19">
        <v>0</v>
      </c>
      <c r="Y99" s="19">
        <v>0</v>
      </c>
      <c r="Z99" s="19">
        <v>0</v>
      </c>
      <c r="AA99" s="19">
        <v>1</v>
      </c>
      <c r="AB99" s="20">
        <v>0</v>
      </c>
      <c r="AC99" s="20">
        <v>0</v>
      </c>
      <c r="AD99" s="20">
        <v>0</v>
      </c>
      <c r="AE99" s="20">
        <v>0</v>
      </c>
      <c r="AF99" s="20">
        <v>3.2310177705977382E-5</v>
      </c>
      <c r="AG99" s="19">
        <v>0</v>
      </c>
      <c r="AH99" s="19">
        <v>0</v>
      </c>
      <c r="AI99" s="19">
        <v>0</v>
      </c>
      <c r="AJ99" s="19">
        <v>0</v>
      </c>
      <c r="AK99" s="19">
        <v>1</v>
      </c>
      <c r="AL99" s="20">
        <v>0</v>
      </c>
      <c r="AM99" s="20">
        <v>0</v>
      </c>
      <c r="AN99" s="20">
        <v>0</v>
      </c>
      <c r="AO99" s="20">
        <v>0</v>
      </c>
      <c r="AP99" s="20">
        <v>1</v>
      </c>
      <c r="AQ99" s="37"/>
    </row>
    <row r="100" spans="1:55" s="19" customFormat="1" ht="12.75" x14ac:dyDescent="0.2">
      <c r="A100" s="18" t="s">
        <v>52</v>
      </c>
      <c r="B100" s="19">
        <v>446</v>
      </c>
      <c r="C100" s="19">
        <v>454</v>
      </c>
      <c r="D100" s="19">
        <v>459</v>
      </c>
      <c r="E100" s="19">
        <v>466</v>
      </c>
      <c r="F100" s="19">
        <v>486</v>
      </c>
      <c r="G100" s="20">
        <v>1.5282346491228071E-2</v>
      </c>
      <c r="H100" s="20">
        <v>1.5398182064848732E-2</v>
      </c>
      <c r="I100" s="20">
        <v>1.4595522767743577E-2</v>
      </c>
      <c r="J100" s="20">
        <v>1.505654281098546E-2</v>
      </c>
      <c r="K100" s="20">
        <v>1.5916683041854982E-2</v>
      </c>
      <c r="L100" s="19">
        <v>446</v>
      </c>
      <c r="M100" s="19">
        <v>454</v>
      </c>
      <c r="N100" s="19">
        <v>459</v>
      </c>
      <c r="O100" s="19">
        <v>465</v>
      </c>
      <c r="P100" s="19">
        <v>486</v>
      </c>
      <c r="Q100" s="20">
        <v>1</v>
      </c>
      <c r="R100" s="20">
        <v>1</v>
      </c>
      <c r="S100" s="20">
        <v>1</v>
      </c>
      <c r="T100" s="20">
        <v>0.99785407725321884</v>
      </c>
      <c r="U100" s="20">
        <v>1</v>
      </c>
      <c r="W100" s="19">
        <v>917</v>
      </c>
      <c r="X100" s="19">
        <v>825</v>
      </c>
      <c r="Y100" s="19">
        <v>618</v>
      </c>
      <c r="Z100" s="19">
        <v>404</v>
      </c>
      <c r="AA100" s="19">
        <v>466</v>
      </c>
      <c r="AB100" s="20">
        <v>2.6744050396640223E-2</v>
      </c>
      <c r="AC100" s="20">
        <v>2.6724110006154645E-2</v>
      </c>
      <c r="AD100" s="20">
        <v>2.047985153764581E-2</v>
      </c>
      <c r="AE100" s="20">
        <v>1.4330306469920544E-2</v>
      </c>
      <c r="AF100" s="20">
        <v>1.505654281098546E-2</v>
      </c>
      <c r="AG100" s="19">
        <v>917</v>
      </c>
      <c r="AH100" s="19">
        <v>825</v>
      </c>
      <c r="AI100" s="19">
        <v>618</v>
      </c>
      <c r="AJ100" s="19">
        <v>404</v>
      </c>
      <c r="AK100" s="19">
        <v>465</v>
      </c>
      <c r="AL100" s="20">
        <v>1</v>
      </c>
      <c r="AM100" s="20">
        <v>1</v>
      </c>
      <c r="AN100" s="20">
        <v>1</v>
      </c>
      <c r="AO100" s="20">
        <v>1</v>
      </c>
      <c r="AP100" s="20">
        <v>0.99785407725321884</v>
      </c>
      <c r="AQ100" s="37"/>
    </row>
    <row r="101" spans="1:55" s="19" customFormat="1" ht="12.75" x14ac:dyDescent="0.2">
      <c r="A101" s="18" t="s">
        <v>53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W101" s="19">
        <v>2</v>
      </c>
      <c r="X101" s="19">
        <v>2</v>
      </c>
      <c r="Y101" s="19">
        <v>0</v>
      </c>
      <c r="Z101" s="19">
        <v>0</v>
      </c>
      <c r="AA101" s="19">
        <v>0</v>
      </c>
      <c r="AB101" s="20">
        <v>5.8329444703686422E-5</v>
      </c>
      <c r="AC101" s="20">
        <v>6.478572122704156E-5</v>
      </c>
      <c r="AD101" s="20">
        <v>0</v>
      </c>
      <c r="AE101" s="20">
        <v>0</v>
      </c>
      <c r="AF101" s="20">
        <v>0</v>
      </c>
      <c r="AG101" s="19">
        <v>2</v>
      </c>
      <c r="AH101" s="19">
        <v>2</v>
      </c>
      <c r="AI101" s="19">
        <v>0</v>
      </c>
      <c r="AJ101" s="19">
        <v>0</v>
      </c>
      <c r="AK101" s="19">
        <v>0</v>
      </c>
      <c r="AL101" s="20">
        <v>1</v>
      </c>
      <c r="AM101" s="20">
        <v>1</v>
      </c>
      <c r="AN101" s="20">
        <v>0</v>
      </c>
      <c r="AO101" s="20">
        <v>0</v>
      </c>
      <c r="AP101" s="20">
        <v>0</v>
      </c>
      <c r="AQ101" s="37"/>
    </row>
    <row r="102" spans="1:55" s="19" customFormat="1" ht="12.75" x14ac:dyDescent="0.2">
      <c r="A102" s="18" t="s">
        <v>55</v>
      </c>
      <c r="B102" s="19">
        <v>104</v>
      </c>
      <c r="C102" s="19">
        <v>107</v>
      </c>
      <c r="D102" s="19">
        <v>106</v>
      </c>
      <c r="E102" s="19">
        <v>87</v>
      </c>
      <c r="F102" s="19">
        <v>84</v>
      </c>
      <c r="G102" s="20">
        <v>3.56359649122807E-3</v>
      </c>
      <c r="H102" s="20">
        <v>3.6290869624202959E-3</v>
      </c>
      <c r="I102" s="20">
        <v>3.3706436021368608E-3</v>
      </c>
      <c r="J102" s="20">
        <v>2.8109854604200322E-3</v>
      </c>
      <c r="K102" s="20">
        <v>2.751031636863824E-3</v>
      </c>
      <c r="L102" s="19">
        <v>104</v>
      </c>
      <c r="M102" s="19">
        <v>107</v>
      </c>
      <c r="N102" s="19">
        <v>105</v>
      </c>
      <c r="O102" s="19">
        <v>86</v>
      </c>
      <c r="P102" s="19">
        <v>84</v>
      </c>
      <c r="Q102" s="20">
        <v>1</v>
      </c>
      <c r="R102" s="20">
        <v>1</v>
      </c>
      <c r="S102" s="20">
        <v>0.99056603773584906</v>
      </c>
      <c r="T102" s="20">
        <v>0.9885057471264368</v>
      </c>
      <c r="U102" s="20">
        <v>1</v>
      </c>
      <c r="W102" s="19">
        <v>260</v>
      </c>
      <c r="X102" s="19">
        <v>141</v>
      </c>
      <c r="Y102" s="19">
        <v>44</v>
      </c>
      <c r="Z102" s="19">
        <v>107</v>
      </c>
      <c r="AA102" s="19">
        <v>87</v>
      </c>
      <c r="AB102" s="20">
        <v>7.5828278114792348E-3</v>
      </c>
      <c r="AC102" s="20">
        <v>4.5673933465064298E-3</v>
      </c>
      <c r="AD102" s="20">
        <v>1.4581124072110287E-3</v>
      </c>
      <c r="AE102" s="20">
        <v>3.7954029511918274E-3</v>
      </c>
      <c r="AF102" s="20">
        <v>2.8109854604200322E-3</v>
      </c>
      <c r="AG102" s="19">
        <v>260</v>
      </c>
      <c r="AH102" s="19">
        <v>141</v>
      </c>
      <c r="AI102" s="19">
        <v>44</v>
      </c>
      <c r="AJ102" s="19">
        <v>107</v>
      </c>
      <c r="AK102" s="19">
        <v>86</v>
      </c>
      <c r="AL102" s="20">
        <v>1</v>
      </c>
      <c r="AM102" s="20">
        <v>1</v>
      </c>
      <c r="AN102" s="20">
        <v>1</v>
      </c>
      <c r="AO102" s="20">
        <v>1</v>
      </c>
      <c r="AP102" s="20">
        <v>0.9885057471264368</v>
      </c>
      <c r="AQ102" s="37"/>
    </row>
    <row r="103" spans="1:55" s="19" customFormat="1" ht="12.75" x14ac:dyDescent="0.2">
      <c r="A103" s="18" t="s">
        <v>91</v>
      </c>
      <c r="B103" s="19">
        <v>500</v>
      </c>
      <c r="C103" s="19">
        <v>491</v>
      </c>
      <c r="D103" s="19">
        <v>515</v>
      </c>
      <c r="E103" s="19">
        <v>512</v>
      </c>
      <c r="F103" s="19">
        <v>480</v>
      </c>
      <c r="G103" s="20">
        <v>1.7132675438596492E-2</v>
      </c>
      <c r="H103" s="20">
        <v>1.6653099986433318E-2</v>
      </c>
      <c r="I103" s="20">
        <v>1.637624014245739E-2</v>
      </c>
      <c r="J103" s="20">
        <v>1.654281098546042E-2</v>
      </c>
      <c r="K103" s="20">
        <v>1.5720180782078996E-2</v>
      </c>
      <c r="L103" s="19">
        <v>500</v>
      </c>
      <c r="M103" s="19">
        <v>491</v>
      </c>
      <c r="N103" s="19">
        <v>515</v>
      </c>
      <c r="O103" s="19">
        <v>512</v>
      </c>
      <c r="P103" s="19">
        <v>480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W103" s="19">
        <v>93</v>
      </c>
      <c r="X103" s="19">
        <v>116</v>
      </c>
      <c r="Y103" s="19">
        <v>246</v>
      </c>
      <c r="Z103" s="19">
        <v>489</v>
      </c>
      <c r="AA103" s="19">
        <v>512</v>
      </c>
      <c r="AB103" s="20">
        <v>2.7123191787214187E-3</v>
      </c>
      <c r="AC103" s="20">
        <v>3.7575718311684105E-3</v>
      </c>
      <c r="AD103" s="20">
        <v>8.152173913043478E-3</v>
      </c>
      <c r="AE103" s="20">
        <v>1.7345346197502838E-2</v>
      </c>
      <c r="AF103" s="20">
        <v>1.654281098546042E-2</v>
      </c>
      <c r="AG103" s="19">
        <v>93</v>
      </c>
      <c r="AH103" s="19">
        <v>116</v>
      </c>
      <c r="AI103" s="19">
        <v>246</v>
      </c>
      <c r="AJ103" s="19">
        <v>489</v>
      </c>
      <c r="AK103" s="19">
        <v>512</v>
      </c>
      <c r="AL103" s="20">
        <v>1</v>
      </c>
      <c r="AM103" s="20">
        <v>1</v>
      </c>
      <c r="AN103" s="20">
        <v>1</v>
      </c>
      <c r="AO103" s="20">
        <v>1</v>
      </c>
      <c r="AP103" s="20">
        <v>1</v>
      </c>
      <c r="AQ103" s="37"/>
    </row>
    <row r="104" spans="1:55" s="19" customFormat="1" ht="12.75" x14ac:dyDescent="0.2">
      <c r="A104" s="18" t="s">
        <v>58</v>
      </c>
      <c r="B104" s="19">
        <v>157</v>
      </c>
      <c r="C104" s="19">
        <v>159</v>
      </c>
      <c r="D104" s="19">
        <v>168</v>
      </c>
      <c r="E104" s="19">
        <v>160</v>
      </c>
      <c r="F104" s="19">
        <v>65</v>
      </c>
      <c r="G104" s="20">
        <v>5.3796600877192985E-3</v>
      </c>
      <c r="H104" s="20">
        <v>5.3927553927553924E-3</v>
      </c>
      <c r="I104" s="20">
        <v>5.3421521241414395E-3</v>
      </c>
      <c r="J104" s="20">
        <v>5.1696284329563816E-3</v>
      </c>
      <c r="K104" s="20">
        <v>2.1287744809065303E-3</v>
      </c>
      <c r="L104" s="19">
        <v>157</v>
      </c>
      <c r="M104" s="19">
        <v>159</v>
      </c>
      <c r="N104" s="19">
        <v>168</v>
      </c>
      <c r="O104" s="19">
        <v>160</v>
      </c>
      <c r="P104" s="19">
        <v>65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W104" s="19">
        <v>0</v>
      </c>
      <c r="X104" s="19">
        <v>0</v>
      </c>
      <c r="Y104" s="19">
        <v>31</v>
      </c>
      <c r="Z104" s="19">
        <v>63</v>
      </c>
      <c r="AA104" s="19">
        <v>160</v>
      </c>
      <c r="AB104" s="20">
        <v>0</v>
      </c>
      <c r="AC104" s="20">
        <v>0</v>
      </c>
      <c r="AD104" s="20">
        <v>1.0273064687168611E-3</v>
      </c>
      <c r="AE104" s="20">
        <v>2.2346765039727582E-3</v>
      </c>
      <c r="AF104" s="20">
        <v>5.1696284329563816E-3</v>
      </c>
      <c r="AG104" s="19">
        <v>0</v>
      </c>
      <c r="AH104" s="19">
        <v>0</v>
      </c>
      <c r="AI104" s="19">
        <v>31</v>
      </c>
      <c r="AJ104" s="19">
        <v>63</v>
      </c>
      <c r="AK104" s="19">
        <v>160</v>
      </c>
      <c r="AL104" s="20">
        <v>0</v>
      </c>
      <c r="AM104" s="20">
        <v>0</v>
      </c>
      <c r="AN104" s="20">
        <v>1</v>
      </c>
      <c r="AO104" s="20">
        <v>1</v>
      </c>
      <c r="AP104" s="20">
        <v>1</v>
      </c>
      <c r="AQ104" s="37"/>
    </row>
    <row r="105" spans="1:55" s="19" customFormat="1" ht="12.75" x14ac:dyDescent="0.2">
      <c r="A105" s="18" t="s">
        <v>61</v>
      </c>
      <c r="B105" s="19">
        <v>22</v>
      </c>
      <c r="C105" s="19">
        <v>80</v>
      </c>
      <c r="D105" s="19">
        <v>71</v>
      </c>
      <c r="E105" s="19">
        <v>52</v>
      </c>
      <c r="F105" s="19">
        <v>49</v>
      </c>
      <c r="G105" s="20">
        <v>7.5383771929824557E-4</v>
      </c>
      <c r="H105" s="20">
        <v>2.71333604666938E-3</v>
      </c>
      <c r="I105" s="20">
        <v>2.2576952429407275E-3</v>
      </c>
      <c r="J105" s="20">
        <v>1.6801292407108239E-3</v>
      </c>
      <c r="K105" s="20">
        <v>1.6047684548372307E-3</v>
      </c>
      <c r="L105" s="19">
        <v>22</v>
      </c>
      <c r="M105" s="19">
        <v>80</v>
      </c>
      <c r="N105" s="19">
        <v>71</v>
      </c>
      <c r="O105" s="19">
        <v>52</v>
      </c>
      <c r="P105" s="19">
        <v>49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W105" s="19">
        <v>22</v>
      </c>
      <c r="X105" s="19">
        <v>26</v>
      </c>
      <c r="Y105" s="19">
        <v>15</v>
      </c>
      <c r="Z105" s="19">
        <v>31</v>
      </c>
      <c r="AA105" s="19">
        <v>52</v>
      </c>
      <c r="AB105" s="20">
        <v>6.4162389174055067E-4</v>
      </c>
      <c r="AC105" s="20">
        <v>8.4221437595154028E-4</v>
      </c>
      <c r="AD105" s="20">
        <v>4.9708377518557789E-4</v>
      </c>
      <c r="AE105" s="20">
        <v>1.0996027241770715E-3</v>
      </c>
      <c r="AF105" s="20">
        <v>1.6801292407108239E-3</v>
      </c>
      <c r="AG105" s="19">
        <v>22</v>
      </c>
      <c r="AH105" s="19">
        <v>26</v>
      </c>
      <c r="AI105" s="19">
        <v>15</v>
      </c>
      <c r="AJ105" s="19">
        <v>31</v>
      </c>
      <c r="AK105" s="19">
        <v>52</v>
      </c>
      <c r="AL105" s="20">
        <v>1</v>
      </c>
      <c r="AM105" s="20">
        <v>1</v>
      </c>
      <c r="AN105" s="20">
        <v>1</v>
      </c>
      <c r="AO105" s="20">
        <v>1</v>
      </c>
      <c r="AP105" s="20">
        <v>1</v>
      </c>
      <c r="AQ105" s="37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</row>
    <row r="106" spans="1:55" s="21" customFormat="1" ht="12.75" x14ac:dyDescent="0.2">
      <c r="A106" s="29" t="s">
        <v>67</v>
      </c>
      <c r="B106" s="27">
        <v>29184</v>
      </c>
      <c r="C106" s="27">
        <v>29484</v>
      </c>
      <c r="D106" s="27">
        <v>31448</v>
      </c>
      <c r="E106" s="27">
        <v>30950</v>
      </c>
      <c r="F106" s="27">
        <v>30534</v>
      </c>
      <c r="G106" s="22">
        <v>1</v>
      </c>
      <c r="H106" s="22">
        <v>1</v>
      </c>
      <c r="I106" s="22">
        <v>1</v>
      </c>
      <c r="J106" s="22">
        <v>1</v>
      </c>
      <c r="K106" s="22">
        <v>1</v>
      </c>
      <c r="L106" s="27">
        <v>29184</v>
      </c>
      <c r="M106" s="27">
        <v>29484</v>
      </c>
      <c r="N106" s="27">
        <v>30722</v>
      </c>
      <c r="O106" s="27">
        <v>30297</v>
      </c>
      <c r="P106" s="27">
        <v>29891</v>
      </c>
      <c r="Q106" s="22">
        <v>1</v>
      </c>
      <c r="R106" s="22">
        <v>1</v>
      </c>
      <c r="S106" s="22">
        <v>0.97691427117781737</v>
      </c>
      <c r="T106" s="22">
        <v>0.97890145395799677</v>
      </c>
      <c r="U106" s="22">
        <v>0.97894150782734002</v>
      </c>
      <c r="W106" s="27">
        <v>34288</v>
      </c>
      <c r="X106" s="27">
        <v>30871</v>
      </c>
      <c r="Y106" s="27">
        <v>30176</v>
      </c>
      <c r="Z106" s="27">
        <v>28192</v>
      </c>
      <c r="AA106" s="27">
        <v>30950</v>
      </c>
      <c r="AB106" s="22">
        <v>1</v>
      </c>
      <c r="AC106" s="22">
        <v>1</v>
      </c>
      <c r="AD106" s="22">
        <v>1</v>
      </c>
      <c r="AE106" s="22">
        <v>1</v>
      </c>
      <c r="AF106" s="22">
        <v>1</v>
      </c>
      <c r="AG106" s="27">
        <v>34288</v>
      </c>
      <c r="AH106" s="27">
        <v>30871</v>
      </c>
      <c r="AI106" s="27">
        <v>30176</v>
      </c>
      <c r="AJ106" s="27">
        <v>28192</v>
      </c>
      <c r="AK106" s="27">
        <v>30297</v>
      </c>
      <c r="AL106" s="22">
        <v>1</v>
      </c>
      <c r="AM106" s="22">
        <v>1</v>
      </c>
      <c r="AN106" s="22">
        <v>1</v>
      </c>
      <c r="AO106" s="22">
        <v>1</v>
      </c>
      <c r="AP106" s="22">
        <v>0.97890145395799677</v>
      </c>
      <c r="AQ106" s="37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</row>
    <row r="107" spans="1:55" s="19" customFormat="1" ht="12.75" x14ac:dyDescent="0.2">
      <c r="A107" s="18"/>
      <c r="AQ107" s="37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</row>
    <row r="108" spans="1:55" s="25" customFormat="1" ht="12.75" x14ac:dyDescent="0.2">
      <c r="A108" s="28" t="s">
        <v>68</v>
      </c>
      <c r="B108" s="25" t="s">
        <v>10</v>
      </c>
      <c r="C108" s="25" t="s">
        <v>11</v>
      </c>
      <c r="D108" s="25" t="s">
        <v>12</v>
      </c>
      <c r="E108" s="25" t="s">
        <v>164</v>
      </c>
      <c r="F108" s="25" t="s">
        <v>195</v>
      </c>
      <c r="G108" s="25" t="s">
        <v>10</v>
      </c>
      <c r="H108" s="25" t="s">
        <v>11</v>
      </c>
      <c r="I108" s="25" t="s">
        <v>12</v>
      </c>
      <c r="J108" s="25" t="s">
        <v>164</v>
      </c>
      <c r="K108" s="25" t="s">
        <v>195</v>
      </c>
      <c r="L108" s="25" t="s">
        <v>10</v>
      </c>
      <c r="M108" s="25" t="s">
        <v>11</v>
      </c>
      <c r="N108" s="25" t="s">
        <v>12</v>
      </c>
      <c r="O108" s="25" t="s">
        <v>164</v>
      </c>
      <c r="P108" s="25" t="s">
        <v>195</v>
      </c>
      <c r="Q108" s="25" t="s">
        <v>10</v>
      </c>
      <c r="R108" s="25" t="s">
        <v>11</v>
      </c>
      <c r="S108" s="25" t="s">
        <v>12</v>
      </c>
      <c r="T108" s="25" t="s">
        <v>164</v>
      </c>
      <c r="U108" s="25" t="s">
        <v>195</v>
      </c>
      <c r="W108" s="25" t="s">
        <v>13</v>
      </c>
      <c r="X108" s="25" t="s">
        <v>14</v>
      </c>
      <c r="Y108" s="25" t="s">
        <v>15</v>
      </c>
      <c r="Z108" s="25" t="s">
        <v>16</v>
      </c>
      <c r="AA108" s="25" t="s">
        <v>165</v>
      </c>
      <c r="AB108" s="25" t="s">
        <v>13</v>
      </c>
      <c r="AC108" s="25" t="s">
        <v>14</v>
      </c>
      <c r="AD108" s="25" t="s">
        <v>15</v>
      </c>
      <c r="AE108" s="25" t="s">
        <v>16</v>
      </c>
      <c r="AF108" s="25" t="s">
        <v>165</v>
      </c>
      <c r="AG108" s="25" t="s">
        <v>13</v>
      </c>
      <c r="AH108" s="25" t="s">
        <v>14</v>
      </c>
      <c r="AI108" s="25" t="s">
        <v>15</v>
      </c>
      <c r="AJ108" s="25" t="s">
        <v>16</v>
      </c>
      <c r="AK108" s="25" t="s">
        <v>165</v>
      </c>
      <c r="AL108" s="25" t="s">
        <v>13</v>
      </c>
      <c r="AM108" s="25" t="s">
        <v>14</v>
      </c>
      <c r="AN108" s="25" t="s">
        <v>15</v>
      </c>
      <c r="AO108" s="25" t="s">
        <v>16</v>
      </c>
      <c r="AP108" s="25" t="s">
        <v>165</v>
      </c>
      <c r="AQ108" s="37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</row>
    <row r="109" spans="1:55" s="19" customFormat="1" ht="12.75" x14ac:dyDescent="0.2">
      <c r="A109" s="18" t="s">
        <v>17</v>
      </c>
      <c r="B109" s="19">
        <v>1</v>
      </c>
      <c r="C109" s="19">
        <v>1</v>
      </c>
      <c r="D109" s="19">
        <v>2</v>
      </c>
      <c r="E109" s="19">
        <v>10</v>
      </c>
      <c r="F109" s="19">
        <v>1</v>
      </c>
      <c r="G109" s="20">
        <v>7.6051410753669475E-5</v>
      </c>
      <c r="H109" s="20">
        <v>7.5889807998785763E-5</v>
      </c>
      <c r="I109" s="20">
        <v>1.0636034886194426E-4</v>
      </c>
      <c r="J109" s="20">
        <v>5.3453068206115036E-4</v>
      </c>
      <c r="K109" s="20">
        <v>5.4159445407279026E-5</v>
      </c>
      <c r="L109" s="19">
        <v>1</v>
      </c>
      <c r="M109" s="19">
        <v>1</v>
      </c>
      <c r="N109" s="19">
        <v>2</v>
      </c>
      <c r="O109" s="19">
        <v>10</v>
      </c>
      <c r="P109" s="19">
        <v>1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W109" s="19">
        <v>0</v>
      </c>
      <c r="X109" s="19">
        <v>0</v>
      </c>
      <c r="Y109" s="19">
        <v>0</v>
      </c>
      <c r="Z109" s="19">
        <v>1</v>
      </c>
      <c r="AA109" s="19">
        <v>10</v>
      </c>
      <c r="AB109" s="20">
        <v>0</v>
      </c>
      <c r="AC109" s="20">
        <v>0</v>
      </c>
      <c r="AD109" s="20">
        <v>0</v>
      </c>
      <c r="AE109" s="20">
        <v>7.7006006468504539E-5</v>
      </c>
      <c r="AF109" s="20">
        <v>5.3453068206115036E-4</v>
      </c>
      <c r="AG109" s="19">
        <v>0</v>
      </c>
      <c r="AH109" s="19">
        <v>0</v>
      </c>
      <c r="AI109" s="19">
        <v>0</v>
      </c>
      <c r="AJ109" s="19">
        <v>1</v>
      </c>
      <c r="AK109" s="19">
        <v>10</v>
      </c>
      <c r="AL109" s="20">
        <v>0</v>
      </c>
      <c r="AM109" s="20">
        <v>0</v>
      </c>
      <c r="AN109" s="20">
        <v>0</v>
      </c>
      <c r="AO109" s="20">
        <v>1</v>
      </c>
      <c r="AP109" s="20">
        <v>1</v>
      </c>
      <c r="AQ109" s="37"/>
    </row>
    <row r="110" spans="1:55" s="19" customFormat="1" ht="12.75" x14ac:dyDescent="0.2">
      <c r="A110" s="18" t="s">
        <v>19</v>
      </c>
      <c r="B110" s="19">
        <v>4173</v>
      </c>
      <c r="C110" s="19">
        <v>4245</v>
      </c>
      <c r="D110" s="19">
        <v>4268</v>
      </c>
      <c r="E110" s="19">
        <v>4179</v>
      </c>
      <c r="F110" s="19">
        <v>4047</v>
      </c>
      <c r="G110" s="20">
        <v>0.31736253707506273</v>
      </c>
      <c r="H110" s="20">
        <v>0.32215223495484557</v>
      </c>
      <c r="I110" s="20">
        <v>0.22697298447138906</v>
      </c>
      <c r="J110" s="20">
        <v>0.2233803720333547</v>
      </c>
      <c r="K110" s="20">
        <v>0.21918327556325823</v>
      </c>
      <c r="L110" s="19">
        <v>4173</v>
      </c>
      <c r="M110" s="19">
        <v>4245</v>
      </c>
      <c r="N110" s="19">
        <v>4218</v>
      </c>
      <c r="O110" s="19">
        <v>4142</v>
      </c>
      <c r="P110" s="19">
        <v>4014</v>
      </c>
      <c r="Q110" s="20">
        <v>1</v>
      </c>
      <c r="R110" s="20">
        <v>1</v>
      </c>
      <c r="S110" s="20">
        <v>0.98828491096532334</v>
      </c>
      <c r="T110" s="20">
        <v>0.99114620722660929</v>
      </c>
      <c r="U110" s="20">
        <v>0.99184581171237951</v>
      </c>
      <c r="W110" s="19">
        <v>0</v>
      </c>
      <c r="X110" s="19">
        <v>2387</v>
      </c>
      <c r="Y110" s="19">
        <v>2259</v>
      </c>
      <c r="Z110" s="19">
        <v>4029</v>
      </c>
      <c r="AA110" s="19">
        <v>4179</v>
      </c>
      <c r="AB110" s="20">
        <v>0</v>
      </c>
      <c r="AC110" s="20">
        <v>0.17682791317875399</v>
      </c>
      <c r="AD110" s="20">
        <v>0.16970926301555106</v>
      </c>
      <c r="AE110" s="20">
        <v>0.31025720006160479</v>
      </c>
      <c r="AF110" s="20">
        <v>0.2233803720333547</v>
      </c>
      <c r="AG110" s="19">
        <v>0</v>
      </c>
      <c r="AH110" s="19">
        <v>2387</v>
      </c>
      <c r="AI110" s="19">
        <v>2259</v>
      </c>
      <c r="AJ110" s="19">
        <v>4029</v>
      </c>
      <c r="AK110" s="19">
        <v>4142</v>
      </c>
      <c r="AL110" s="20">
        <v>0</v>
      </c>
      <c r="AM110" s="20">
        <v>1</v>
      </c>
      <c r="AN110" s="20">
        <v>1</v>
      </c>
      <c r="AO110" s="20">
        <v>1</v>
      </c>
      <c r="AP110" s="20">
        <v>0.99114620722660929</v>
      </c>
      <c r="AQ110" s="37"/>
    </row>
    <row r="111" spans="1:55" s="19" customFormat="1" ht="12.75" x14ac:dyDescent="0.2">
      <c r="A111" s="18" t="s">
        <v>20</v>
      </c>
      <c r="B111" s="19">
        <v>134</v>
      </c>
      <c r="C111" s="19">
        <v>141</v>
      </c>
      <c r="D111" s="19">
        <v>61</v>
      </c>
      <c r="E111" s="19">
        <v>49</v>
      </c>
      <c r="F111" s="19">
        <v>46</v>
      </c>
      <c r="G111" s="20">
        <v>1.019088904099171E-2</v>
      </c>
      <c r="H111" s="20">
        <v>1.0700462927828792E-2</v>
      </c>
      <c r="I111" s="20">
        <v>3.2439906402893003E-3</v>
      </c>
      <c r="J111" s="20">
        <v>2.6192003420996367E-3</v>
      </c>
      <c r="K111" s="20">
        <v>2.4913344887348352E-3</v>
      </c>
      <c r="L111" s="19">
        <v>134</v>
      </c>
      <c r="M111" s="19">
        <v>141</v>
      </c>
      <c r="N111" s="19">
        <v>60</v>
      </c>
      <c r="O111" s="19">
        <v>49</v>
      </c>
      <c r="P111" s="19">
        <v>45</v>
      </c>
      <c r="Q111" s="20">
        <v>1</v>
      </c>
      <c r="R111" s="20">
        <v>1</v>
      </c>
      <c r="S111" s="20">
        <v>0.98360655737704916</v>
      </c>
      <c r="T111" s="20">
        <v>1</v>
      </c>
      <c r="U111" s="20">
        <v>0.97826086956521741</v>
      </c>
      <c r="W111" s="19">
        <v>0</v>
      </c>
      <c r="X111" s="19">
        <v>51</v>
      </c>
      <c r="Y111" s="19">
        <v>111</v>
      </c>
      <c r="Z111" s="19">
        <v>143</v>
      </c>
      <c r="AA111" s="19">
        <v>49</v>
      </c>
      <c r="AB111" s="20">
        <v>0</v>
      </c>
      <c r="AC111" s="20">
        <v>3.7780576338988072E-3</v>
      </c>
      <c r="AD111" s="20">
        <v>8.338967771016453E-3</v>
      </c>
      <c r="AE111" s="20">
        <v>1.101185892499615E-2</v>
      </c>
      <c r="AF111" s="20">
        <v>2.6192003420996367E-3</v>
      </c>
      <c r="AG111" s="19">
        <v>0</v>
      </c>
      <c r="AH111" s="19">
        <v>51</v>
      </c>
      <c r="AI111" s="19">
        <v>111</v>
      </c>
      <c r="AJ111" s="19">
        <v>143</v>
      </c>
      <c r="AK111" s="19">
        <v>49</v>
      </c>
      <c r="AL111" s="20">
        <v>0</v>
      </c>
      <c r="AM111" s="20">
        <v>1</v>
      </c>
      <c r="AN111" s="20">
        <v>1</v>
      </c>
      <c r="AO111" s="20">
        <v>1</v>
      </c>
      <c r="AP111" s="20">
        <v>1</v>
      </c>
      <c r="AQ111" s="37"/>
    </row>
    <row r="112" spans="1:55" s="19" customFormat="1" ht="12.75" x14ac:dyDescent="0.2">
      <c r="A112" s="18" t="s">
        <v>82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W112" s="19">
        <v>0</v>
      </c>
      <c r="X112" s="19">
        <v>1</v>
      </c>
      <c r="Y112" s="19">
        <v>0</v>
      </c>
      <c r="Z112" s="19">
        <v>0</v>
      </c>
      <c r="AA112" s="19">
        <v>0</v>
      </c>
      <c r="AB112" s="20">
        <v>0</v>
      </c>
      <c r="AC112" s="20">
        <v>7.4079561448996215E-5</v>
      </c>
      <c r="AD112" s="20">
        <v>0</v>
      </c>
      <c r="AE112" s="20">
        <v>0</v>
      </c>
      <c r="AF112" s="20">
        <v>0</v>
      </c>
      <c r="AG112" s="19">
        <v>0</v>
      </c>
      <c r="AH112" s="19">
        <v>1</v>
      </c>
      <c r="AI112" s="19">
        <v>0</v>
      </c>
      <c r="AJ112" s="19">
        <v>0</v>
      </c>
      <c r="AK112" s="19">
        <v>0</v>
      </c>
      <c r="AL112" s="20">
        <v>0</v>
      </c>
      <c r="AM112" s="20">
        <v>1</v>
      </c>
      <c r="AN112" s="20">
        <v>0</v>
      </c>
      <c r="AO112" s="20">
        <v>0</v>
      </c>
      <c r="AP112" s="20">
        <v>0</v>
      </c>
      <c r="AQ112" s="37"/>
    </row>
    <row r="113" spans="1:43" s="19" customFormat="1" ht="12.75" x14ac:dyDescent="0.2">
      <c r="A113" s="18" t="s">
        <v>83</v>
      </c>
      <c r="B113" s="19">
        <v>4</v>
      </c>
      <c r="C113" s="19">
        <v>4</v>
      </c>
      <c r="D113" s="19">
        <v>5</v>
      </c>
      <c r="E113" s="19">
        <v>6</v>
      </c>
      <c r="F113" s="19">
        <v>7</v>
      </c>
      <c r="G113" s="20">
        <v>3.042056430146779E-4</v>
      </c>
      <c r="H113" s="20">
        <v>3.0355923199514305E-4</v>
      </c>
      <c r="I113" s="20">
        <v>2.6590087215486066E-4</v>
      </c>
      <c r="J113" s="20">
        <v>3.2071840923669016E-4</v>
      </c>
      <c r="K113" s="20">
        <v>3.7911611785095321E-4</v>
      </c>
      <c r="L113" s="19">
        <v>4</v>
      </c>
      <c r="M113" s="19">
        <v>4</v>
      </c>
      <c r="N113" s="19">
        <v>5</v>
      </c>
      <c r="O113" s="19">
        <v>6</v>
      </c>
      <c r="P113" s="19">
        <v>7</v>
      </c>
      <c r="Q113" s="20">
        <v>1</v>
      </c>
      <c r="R113" s="20">
        <v>1</v>
      </c>
      <c r="S113" s="20">
        <v>1</v>
      </c>
      <c r="T113" s="20">
        <v>1</v>
      </c>
      <c r="U113" s="20">
        <v>1</v>
      </c>
      <c r="W113" s="19">
        <v>0</v>
      </c>
      <c r="X113" s="19">
        <v>7</v>
      </c>
      <c r="Y113" s="19">
        <v>7</v>
      </c>
      <c r="Z113" s="19">
        <v>5</v>
      </c>
      <c r="AA113" s="19">
        <v>6</v>
      </c>
      <c r="AB113" s="20">
        <v>0</v>
      </c>
      <c r="AC113" s="20">
        <v>5.1855693014297359E-4</v>
      </c>
      <c r="AD113" s="20">
        <v>5.2588085042446094E-4</v>
      </c>
      <c r="AE113" s="20">
        <v>3.8503003234252272E-4</v>
      </c>
      <c r="AF113" s="20">
        <v>3.2071840923669016E-4</v>
      </c>
      <c r="AG113" s="19">
        <v>0</v>
      </c>
      <c r="AH113" s="19">
        <v>7</v>
      </c>
      <c r="AI113" s="19">
        <v>7</v>
      </c>
      <c r="AJ113" s="19">
        <v>5</v>
      </c>
      <c r="AK113" s="19">
        <v>6</v>
      </c>
      <c r="AL113" s="20">
        <v>0</v>
      </c>
      <c r="AM113" s="20">
        <v>1</v>
      </c>
      <c r="AN113" s="20">
        <v>1</v>
      </c>
      <c r="AO113" s="20">
        <v>1</v>
      </c>
      <c r="AP113" s="20">
        <v>1</v>
      </c>
      <c r="AQ113" s="37"/>
    </row>
    <row r="114" spans="1:43" s="19" customFormat="1" ht="12.75" x14ac:dyDescent="0.2">
      <c r="A114" s="18" t="s">
        <v>84</v>
      </c>
      <c r="B114" s="19">
        <v>0</v>
      </c>
      <c r="C114" s="19">
        <v>0</v>
      </c>
      <c r="D114" s="19">
        <v>1</v>
      </c>
      <c r="E114" s="19">
        <v>1</v>
      </c>
      <c r="F114" s="19">
        <v>1</v>
      </c>
      <c r="G114" s="20">
        <v>0</v>
      </c>
      <c r="H114" s="20">
        <v>0</v>
      </c>
      <c r="I114" s="20">
        <v>5.3180174430972131E-5</v>
      </c>
      <c r="J114" s="20">
        <v>5.345306820611503E-5</v>
      </c>
      <c r="K114" s="20">
        <v>5.4159445407279026E-5</v>
      </c>
      <c r="L114" s="19">
        <v>0</v>
      </c>
      <c r="M114" s="19">
        <v>0</v>
      </c>
      <c r="N114" s="19">
        <v>1</v>
      </c>
      <c r="O114" s="19">
        <v>1</v>
      </c>
      <c r="P114" s="19">
        <v>1</v>
      </c>
      <c r="Q114" s="20">
        <v>0</v>
      </c>
      <c r="R114" s="20">
        <v>0</v>
      </c>
      <c r="S114" s="20">
        <v>1</v>
      </c>
      <c r="T114" s="20">
        <v>1</v>
      </c>
      <c r="U114" s="20">
        <v>1</v>
      </c>
      <c r="W114" s="19">
        <v>0</v>
      </c>
      <c r="X114" s="19">
        <v>0</v>
      </c>
      <c r="Y114" s="19">
        <v>0</v>
      </c>
      <c r="Z114" s="19">
        <v>0</v>
      </c>
      <c r="AA114" s="19">
        <v>1</v>
      </c>
      <c r="AB114" s="20">
        <v>0</v>
      </c>
      <c r="AC114" s="20">
        <v>0</v>
      </c>
      <c r="AD114" s="20">
        <v>0</v>
      </c>
      <c r="AE114" s="20">
        <v>0</v>
      </c>
      <c r="AF114" s="20">
        <v>5.345306820611503E-5</v>
      </c>
      <c r="AG114" s="19">
        <v>0</v>
      </c>
      <c r="AH114" s="19">
        <v>0</v>
      </c>
      <c r="AI114" s="19">
        <v>0</v>
      </c>
      <c r="AJ114" s="19">
        <v>0</v>
      </c>
      <c r="AK114" s="19">
        <v>1</v>
      </c>
      <c r="AL114" s="20">
        <v>0</v>
      </c>
      <c r="AM114" s="20">
        <v>0</v>
      </c>
      <c r="AN114" s="20">
        <v>0</v>
      </c>
      <c r="AO114" s="20">
        <v>0</v>
      </c>
      <c r="AP114" s="20">
        <v>1</v>
      </c>
      <c r="AQ114" s="37"/>
    </row>
    <row r="115" spans="1:43" s="19" customFormat="1" ht="12.75" x14ac:dyDescent="0.2">
      <c r="A115" s="18" t="s">
        <v>26</v>
      </c>
      <c r="B115" s="19">
        <v>41</v>
      </c>
      <c r="C115" s="19">
        <v>42</v>
      </c>
      <c r="D115" s="19">
        <v>42</v>
      </c>
      <c r="E115" s="19">
        <v>41</v>
      </c>
      <c r="F115" s="19">
        <v>36</v>
      </c>
      <c r="G115" s="20">
        <v>3.1181078409004488E-3</v>
      </c>
      <c r="H115" s="20">
        <v>3.1873719359490019E-3</v>
      </c>
      <c r="I115" s="20">
        <v>2.2335673261008296E-3</v>
      </c>
      <c r="J115" s="20">
        <v>2.1915757964507164E-3</v>
      </c>
      <c r="K115" s="20">
        <v>1.9497400346620451E-3</v>
      </c>
      <c r="L115" s="19">
        <v>41</v>
      </c>
      <c r="M115" s="19">
        <v>42</v>
      </c>
      <c r="N115" s="19">
        <v>42</v>
      </c>
      <c r="O115" s="19">
        <v>41</v>
      </c>
      <c r="P115" s="19">
        <v>36</v>
      </c>
      <c r="Q115" s="20">
        <v>1</v>
      </c>
      <c r="R115" s="20">
        <v>1</v>
      </c>
      <c r="S115" s="20">
        <v>1</v>
      </c>
      <c r="T115" s="20">
        <v>1</v>
      </c>
      <c r="U115" s="20">
        <v>1</v>
      </c>
      <c r="W115" s="19">
        <v>0</v>
      </c>
      <c r="X115" s="19">
        <v>47</v>
      </c>
      <c r="Y115" s="19">
        <v>47</v>
      </c>
      <c r="Z115" s="19">
        <v>37</v>
      </c>
      <c r="AA115" s="19">
        <v>41</v>
      </c>
      <c r="AB115" s="20">
        <v>0</v>
      </c>
      <c r="AC115" s="20">
        <v>3.4817393881028226E-3</v>
      </c>
      <c r="AD115" s="20">
        <v>3.530914281421381E-3</v>
      </c>
      <c r="AE115" s="20">
        <v>2.8492222393346682E-3</v>
      </c>
      <c r="AF115" s="20">
        <v>2.1915757964507164E-3</v>
      </c>
      <c r="AG115" s="19">
        <v>0</v>
      </c>
      <c r="AH115" s="19">
        <v>47</v>
      </c>
      <c r="AI115" s="19">
        <v>47</v>
      </c>
      <c r="AJ115" s="19">
        <v>37</v>
      </c>
      <c r="AK115" s="19">
        <v>41</v>
      </c>
      <c r="AL115" s="20">
        <v>0</v>
      </c>
      <c r="AM115" s="20">
        <v>1</v>
      </c>
      <c r="AN115" s="20">
        <v>1</v>
      </c>
      <c r="AO115" s="20">
        <v>1</v>
      </c>
      <c r="AP115" s="20">
        <v>1</v>
      </c>
      <c r="AQ115" s="37"/>
    </row>
    <row r="116" spans="1:43" s="19" customFormat="1" ht="12.75" x14ac:dyDescent="0.2">
      <c r="A116" s="18" t="s">
        <v>30</v>
      </c>
      <c r="B116" s="19">
        <v>665</v>
      </c>
      <c r="C116" s="19">
        <v>614</v>
      </c>
      <c r="D116" s="19">
        <v>1168</v>
      </c>
      <c r="E116" s="19">
        <v>1031</v>
      </c>
      <c r="F116" s="19">
        <v>1004</v>
      </c>
      <c r="G116" s="20">
        <v>5.0574188151190205E-2</v>
      </c>
      <c r="H116" s="20">
        <v>4.6596342111254456E-2</v>
      </c>
      <c r="I116" s="20">
        <v>6.2114443735375453E-2</v>
      </c>
      <c r="J116" s="20">
        <v>5.5110113320504597E-2</v>
      </c>
      <c r="K116" s="20">
        <v>5.4376083188908145E-2</v>
      </c>
      <c r="L116" s="19">
        <v>665</v>
      </c>
      <c r="M116" s="19">
        <v>614</v>
      </c>
      <c r="N116" s="19">
        <v>1142</v>
      </c>
      <c r="O116" s="19">
        <v>1009</v>
      </c>
      <c r="P116" s="19">
        <v>979</v>
      </c>
      <c r="Q116" s="20">
        <v>1</v>
      </c>
      <c r="R116" s="20">
        <v>1</v>
      </c>
      <c r="S116" s="20">
        <v>0.97773972602739723</v>
      </c>
      <c r="T116" s="20">
        <v>0.97866149369544131</v>
      </c>
      <c r="U116" s="20">
        <v>0.97509960159362552</v>
      </c>
      <c r="W116" s="19">
        <v>0</v>
      </c>
      <c r="X116" s="19">
        <v>1771</v>
      </c>
      <c r="Y116" s="19">
        <v>1066</v>
      </c>
      <c r="Z116" s="19">
        <v>711</v>
      </c>
      <c r="AA116" s="19">
        <v>1031</v>
      </c>
      <c r="AB116" s="20">
        <v>0</v>
      </c>
      <c r="AC116" s="20">
        <v>0.13119490332617231</v>
      </c>
      <c r="AD116" s="20">
        <v>8.0084140936067916E-2</v>
      </c>
      <c r="AE116" s="20">
        <v>5.4751270599106727E-2</v>
      </c>
      <c r="AF116" s="20">
        <v>5.5110113320504597E-2</v>
      </c>
      <c r="AG116" s="19">
        <v>0</v>
      </c>
      <c r="AH116" s="19">
        <v>1771</v>
      </c>
      <c r="AI116" s="19">
        <v>1066</v>
      </c>
      <c r="AJ116" s="19">
        <v>711</v>
      </c>
      <c r="AK116" s="19">
        <v>1009</v>
      </c>
      <c r="AL116" s="20">
        <v>0</v>
      </c>
      <c r="AM116" s="20">
        <v>1</v>
      </c>
      <c r="AN116" s="20">
        <v>1</v>
      </c>
      <c r="AO116" s="20">
        <v>1</v>
      </c>
      <c r="AP116" s="20">
        <v>0.97866149369544131</v>
      </c>
      <c r="AQ116" s="37"/>
    </row>
    <row r="117" spans="1:43" s="19" customFormat="1" ht="12.75" x14ac:dyDescent="0.2">
      <c r="A117" s="18" t="s">
        <v>32</v>
      </c>
      <c r="B117" s="19">
        <v>0</v>
      </c>
      <c r="C117" s="19">
        <v>0</v>
      </c>
      <c r="D117" s="19">
        <v>5010</v>
      </c>
      <c r="E117" s="19">
        <v>4918</v>
      </c>
      <c r="F117" s="19">
        <v>4905</v>
      </c>
      <c r="G117" s="20">
        <v>0</v>
      </c>
      <c r="H117" s="20">
        <v>0</v>
      </c>
      <c r="I117" s="20">
        <v>0.26643267389917041</v>
      </c>
      <c r="J117" s="20">
        <v>0.26288218943767372</v>
      </c>
      <c r="K117" s="20">
        <v>0.26565207972270366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4918</v>
      </c>
      <c r="AB117" s="20">
        <v>0</v>
      </c>
      <c r="AC117" s="20">
        <v>0</v>
      </c>
      <c r="AD117" s="20">
        <v>0</v>
      </c>
      <c r="AE117" s="20">
        <v>0</v>
      </c>
      <c r="AF117" s="20">
        <v>0.26288218943767372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37"/>
    </row>
    <row r="118" spans="1:43" s="19" customFormat="1" ht="12.75" x14ac:dyDescent="0.2">
      <c r="A118" s="18" t="s">
        <v>80</v>
      </c>
      <c r="B118" s="19">
        <v>959</v>
      </c>
      <c r="C118" s="19">
        <v>961</v>
      </c>
      <c r="D118" s="19">
        <v>932</v>
      </c>
      <c r="E118" s="19">
        <v>987</v>
      </c>
      <c r="F118" s="19">
        <v>1010</v>
      </c>
      <c r="G118" s="20">
        <v>7.2933302912769032E-2</v>
      </c>
      <c r="H118" s="20">
        <v>7.2930105486833124E-2</v>
      </c>
      <c r="I118" s="20">
        <v>4.9563922569666026E-2</v>
      </c>
      <c r="J118" s="20">
        <v>5.2758178319435536E-2</v>
      </c>
      <c r="K118" s="20">
        <v>5.4701039861351823E-2</v>
      </c>
      <c r="L118" s="19">
        <v>959</v>
      </c>
      <c r="M118" s="19">
        <v>961</v>
      </c>
      <c r="N118" s="19">
        <v>931</v>
      </c>
      <c r="O118" s="19">
        <v>986</v>
      </c>
      <c r="P118" s="19">
        <v>1010</v>
      </c>
      <c r="Q118" s="20">
        <v>1</v>
      </c>
      <c r="R118" s="20">
        <v>1</v>
      </c>
      <c r="S118" s="20">
        <v>0.99892703862660948</v>
      </c>
      <c r="T118" s="20">
        <v>0.99898682877406286</v>
      </c>
      <c r="U118" s="20">
        <v>1</v>
      </c>
      <c r="W118" s="19">
        <v>0</v>
      </c>
      <c r="X118" s="19">
        <v>612</v>
      </c>
      <c r="Y118" s="19">
        <v>871</v>
      </c>
      <c r="Z118" s="19">
        <v>960</v>
      </c>
      <c r="AA118" s="19">
        <v>987</v>
      </c>
      <c r="AB118" s="20">
        <v>0</v>
      </c>
      <c r="AC118" s="20">
        <v>4.533669160678569E-2</v>
      </c>
      <c r="AD118" s="20">
        <v>6.5434602959957927E-2</v>
      </c>
      <c r="AE118" s="20">
        <v>7.3925766209764363E-2</v>
      </c>
      <c r="AF118" s="20">
        <v>5.2758178319435536E-2</v>
      </c>
      <c r="AG118" s="19">
        <v>0</v>
      </c>
      <c r="AH118" s="19">
        <v>612</v>
      </c>
      <c r="AI118" s="19">
        <v>871</v>
      </c>
      <c r="AJ118" s="19">
        <v>960</v>
      </c>
      <c r="AK118" s="19">
        <v>986</v>
      </c>
      <c r="AL118" s="20">
        <v>0</v>
      </c>
      <c r="AM118" s="20">
        <v>1</v>
      </c>
      <c r="AN118" s="20">
        <v>1</v>
      </c>
      <c r="AO118" s="20">
        <v>1</v>
      </c>
      <c r="AP118" s="20">
        <v>0.99898682877406286</v>
      </c>
      <c r="AQ118" s="37"/>
    </row>
    <row r="119" spans="1:43" s="19" customFormat="1" ht="12.75" x14ac:dyDescent="0.2">
      <c r="A119" s="18" t="s">
        <v>34</v>
      </c>
      <c r="B119" s="19">
        <v>2</v>
      </c>
      <c r="C119" s="19">
        <v>4</v>
      </c>
      <c r="D119" s="19">
        <v>6</v>
      </c>
      <c r="E119" s="19">
        <v>5</v>
      </c>
      <c r="F119" s="19">
        <v>9</v>
      </c>
      <c r="G119" s="20">
        <v>1.5210282150733895E-4</v>
      </c>
      <c r="H119" s="20">
        <v>3.0355923199514305E-4</v>
      </c>
      <c r="I119" s="20">
        <v>3.1908104658583282E-4</v>
      </c>
      <c r="J119" s="20">
        <v>2.6726534103057518E-4</v>
      </c>
      <c r="K119" s="20">
        <v>4.8743500866551127E-4</v>
      </c>
      <c r="L119" s="19">
        <v>2</v>
      </c>
      <c r="M119" s="19">
        <v>4</v>
      </c>
      <c r="N119" s="19">
        <v>6</v>
      </c>
      <c r="O119" s="19">
        <v>5</v>
      </c>
      <c r="P119" s="19">
        <v>9</v>
      </c>
      <c r="Q119" s="20">
        <v>1</v>
      </c>
      <c r="R119" s="20">
        <v>1</v>
      </c>
      <c r="S119" s="20">
        <v>1</v>
      </c>
      <c r="T119" s="20">
        <v>1</v>
      </c>
      <c r="U119" s="20">
        <v>1</v>
      </c>
      <c r="W119" s="19">
        <v>0</v>
      </c>
      <c r="X119" s="19">
        <v>0</v>
      </c>
      <c r="Y119" s="19">
        <v>0</v>
      </c>
      <c r="Z119" s="19">
        <v>0</v>
      </c>
      <c r="AA119" s="19">
        <v>5</v>
      </c>
      <c r="AB119" s="20">
        <v>0</v>
      </c>
      <c r="AC119" s="20">
        <v>0</v>
      </c>
      <c r="AD119" s="20">
        <v>0</v>
      </c>
      <c r="AE119" s="20">
        <v>0</v>
      </c>
      <c r="AF119" s="20">
        <v>2.6726534103057518E-4</v>
      </c>
      <c r="AG119" s="19">
        <v>0</v>
      </c>
      <c r="AH119" s="19">
        <v>0</v>
      </c>
      <c r="AI119" s="19">
        <v>0</v>
      </c>
      <c r="AJ119" s="19">
        <v>0</v>
      </c>
      <c r="AK119" s="19">
        <v>5</v>
      </c>
      <c r="AL119" s="20">
        <v>0</v>
      </c>
      <c r="AM119" s="20">
        <v>0</v>
      </c>
      <c r="AN119" s="20">
        <v>0</v>
      </c>
      <c r="AO119" s="20">
        <v>0</v>
      </c>
      <c r="AP119" s="20">
        <v>1</v>
      </c>
      <c r="AQ119" s="37"/>
    </row>
    <row r="120" spans="1:43" s="19" customFormat="1" ht="12.75" x14ac:dyDescent="0.2">
      <c r="A120" s="18" t="s">
        <v>36</v>
      </c>
      <c r="B120" s="19">
        <v>21</v>
      </c>
      <c r="C120" s="19">
        <v>22</v>
      </c>
      <c r="D120" s="19">
        <v>32</v>
      </c>
      <c r="E120" s="19">
        <v>32</v>
      </c>
      <c r="F120" s="19">
        <v>45</v>
      </c>
      <c r="G120" s="20">
        <v>1.5970796258270592E-3</v>
      </c>
      <c r="H120" s="20">
        <v>1.6695757759732869E-3</v>
      </c>
      <c r="I120" s="20">
        <v>1.7017655817911082E-3</v>
      </c>
      <c r="J120" s="20">
        <v>1.7104981825956809E-3</v>
      </c>
      <c r="K120" s="20">
        <v>2.4371750433275561E-3</v>
      </c>
      <c r="L120" s="19">
        <v>21</v>
      </c>
      <c r="M120" s="19">
        <v>22</v>
      </c>
      <c r="N120" s="19">
        <v>32</v>
      </c>
      <c r="O120" s="19">
        <v>32</v>
      </c>
      <c r="P120" s="19">
        <v>45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W120" s="19">
        <v>0</v>
      </c>
      <c r="X120" s="19">
        <v>21</v>
      </c>
      <c r="Y120" s="19">
        <v>19</v>
      </c>
      <c r="Z120" s="19">
        <v>19</v>
      </c>
      <c r="AA120" s="19">
        <v>32</v>
      </c>
      <c r="AB120" s="20">
        <v>0</v>
      </c>
      <c r="AC120" s="20">
        <v>1.5556707904289208E-3</v>
      </c>
      <c r="AD120" s="20">
        <v>1.427390879723537E-3</v>
      </c>
      <c r="AE120" s="20">
        <v>1.4631141229015864E-3</v>
      </c>
      <c r="AF120" s="20">
        <v>1.7104981825956809E-3</v>
      </c>
      <c r="AG120" s="19">
        <v>0</v>
      </c>
      <c r="AH120" s="19">
        <v>21</v>
      </c>
      <c r="AI120" s="19">
        <v>19</v>
      </c>
      <c r="AJ120" s="19">
        <v>19</v>
      </c>
      <c r="AK120" s="19">
        <v>32</v>
      </c>
      <c r="AL120" s="20">
        <v>0</v>
      </c>
      <c r="AM120" s="20">
        <v>1</v>
      </c>
      <c r="AN120" s="20">
        <v>1</v>
      </c>
      <c r="AO120" s="20">
        <v>1</v>
      </c>
      <c r="AP120" s="20">
        <v>1</v>
      </c>
      <c r="AQ120" s="37"/>
    </row>
    <row r="121" spans="1:43" s="19" customFormat="1" ht="12.75" x14ac:dyDescent="0.2">
      <c r="A121" s="18" t="s">
        <v>37</v>
      </c>
      <c r="B121" s="19">
        <v>20</v>
      </c>
      <c r="C121" s="19">
        <v>21</v>
      </c>
      <c r="D121" s="19">
        <v>22</v>
      </c>
      <c r="E121" s="19">
        <v>0</v>
      </c>
      <c r="F121" s="19">
        <v>0</v>
      </c>
      <c r="G121" s="20">
        <v>1.5210282150733897E-3</v>
      </c>
      <c r="H121" s="20">
        <v>1.593685967974501E-3</v>
      </c>
      <c r="I121" s="20">
        <v>1.169963837481387E-3</v>
      </c>
      <c r="J121" s="20">
        <v>0</v>
      </c>
      <c r="K121" s="20">
        <v>0</v>
      </c>
      <c r="L121" s="19">
        <v>20</v>
      </c>
      <c r="M121" s="19">
        <v>21</v>
      </c>
      <c r="N121" s="19">
        <v>22</v>
      </c>
      <c r="O121" s="19">
        <v>0</v>
      </c>
      <c r="P121" s="19">
        <v>0</v>
      </c>
      <c r="Q121" s="20">
        <v>1</v>
      </c>
      <c r="R121" s="20">
        <v>1</v>
      </c>
      <c r="S121" s="20">
        <v>1</v>
      </c>
      <c r="T121" s="20">
        <v>0</v>
      </c>
      <c r="U121" s="20">
        <v>0</v>
      </c>
      <c r="W121" s="19">
        <v>0</v>
      </c>
      <c r="X121" s="19">
        <v>23</v>
      </c>
      <c r="Y121" s="19">
        <v>54</v>
      </c>
      <c r="Z121" s="19">
        <v>23</v>
      </c>
      <c r="AA121" s="19">
        <v>0</v>
      </c>
      <c r="AB121" s="20">
        <v>0</v>
      </c>
      <c r="AC121" s="20">
        <v>1.703829913326913E-3</v>
      </c>
      <c r="AD121" s="20">
        <v>4.0567951318458417E-3</v>
      </c>
      <c r="AE121" s="20">
        <v>1.7711381487756045E-3</v>
      </c>
      <c r="AF121" s="20">
        <v>0</v>
      </c>
      <c r="AG121" s="19">
        <v>0</v>
      </c>
      <c r="AH121" s="19">
        <v>23</v>
      </c>
      <c r="AI121" s="19">
        <v>54</v>
      </c>
      <c r="AJ121" s="19">
        <v>23</v>
      </c>
      <c r="AK121" s="19">
        <v>0</v>
      </c>
      <c r="AL121" s="20">
        <v>0</v>
      </c>
      <c r="AM121" s="20">
        <v>1</v>
      </c>
      <c r="AN121" s="20">
        <v>1</v>
      </c>
      <c r="AO121" s="20">
        <v>1</v>
      </c>
      <c r="AP121" s="20">
        <v>0</v>
      </c>
      <c r="AQ121" s="37"/>
    </row>
    <row r="122" spans="1:43" s="19" customFormat="1" ht="12.75" x14ac:dyDescent="0.2">
      <c r="A122" s="18" t="s">
        <v>86</v>
      </c>
      <c r="B122" s="19">
        <v>0</v>
      </c>
      <c r="C122" s="19">
        <v>0</v>
      </c>
      <c r="D122" s="19">
        <v>1</v>
      </c>
      <c r="E122" s="19">
        <v>1</v>
      </c>
      <c r="F122" s="19">
        <v>1</v>
      </c>
      <c r="G122" s="20">
        <v>0</v>
      </c>
      <c r="H122" s="20">
        <v>0</v>
      </c>
      <c r="I122" s="20">
        <v>5.3180174430972131E-5</v>
      </c>
      <c r="J122" s="20">
        <v>5.345306820611503E-5</v>
      </c>
      <c r="K122" s="20">
        <v>5.4159445407279026E-5</v>
      </c>
      <c r="L122" s="19">
        <v>0</v>
      </c>
      <c r="M122" s="19">
        <v>0</v>
      </c>
      <c r="N122" s="19">
        <v>1</v>
      </c>
      <c r="O122" s="19">
        <v>1</v>
      </c>
      <c r="P122" s="19">
        <v>1</v>
      </c>
      <c r="Q122" s="20">
        <v>0</v>
      </c>
      <c r="R122" s="20">
        <v>0</v>
      </c>
      <c r="S122" s="20">
        <v>1</v>
      </c>
      <c r="T122" s="20">
        <v>1</v>
      </c>
      <c r="U122" s="20">
        <v>1</v>
      </c>
      <c r="W122" s="19">
        <v>2</v>
      </c>
      <c r="X122" s="19">
        <v>2</v>
      </c>
      <c r="Y122" s="19">
        <v>2</v>
      </c>
      <c r="Z122" s="19">
        <v>1</v>
      </c>
      <c r="AA122" s="19">
        <v>1</v>
      </c>
      <c r="AB122" s="20">
        <v>1</v>
      </c>
      <c r="AC122" s="20">
        <v>1.4815912289799243E-4</v>
      </c>
      <c r="AD122" s="20">
        <v>1.5025167154984599E-4</v>
      </c>
      <c r="AE122" s="20">
        <v>7.7006006468504539E-5</v>
      </c>
      <c r="AF122" s="20">
        <v>5.345306820611503E-5</v>
      </c>
      <c r="AG122" s="19">
        <v>2</v>
      </c>
      <c r="AH122" s="19">
        <v>2</v>
      </c>
      <c r="AI122" s="19">
        <v>2</v>
      </c>
      <c r="AJ122" s="19">
        <v>1</v>
      </c>
      <c r="AK122" s="19">
        <v>1</v>
      </c>
      <c r="AL122" s="20">
        <v>1</v>
      </c>
      <c r="AM122" s="20">
        <v>1</v>
      </c>
      <c r="AN122" s="20">
        <v>1</v>
      </c>
      <c r="AO122" s="20">
        <v>1</v>
      </c>
      <c r="AP122" s="20">
        <v>1</v>
      </c>
      <c r="AQ122" s="37"/>
    </row>
    <row r="123" spans="1:43" s="19" customFormat="1" ht="12.75" x14ac:dyDescent="0.2">
      <c r="A123" s="18" t="s">
        <v>40</v>
      </c>
      <c r="B123" s="19">
        <v>428</v>
      </c>
      <c r="C123" s="19">
        <v>424</v>
      </c>
      <c r="D123" s="19">
        <v>469</v>
      </c>
      <c r="E123" s="19">
        <v>467</v>
      </c>
      <c r="F123" s="19">
        <v>471</v>
      </c>
      <c r="G123" s="20">
        <v>3.2550003802570539E-2</v>
      </c>
      <c r="H123" s="20">
        <v>3.2177278591485163E-2</v>
      </c>
      <c r="I123" s="20">
        <v>2.4941501808125932E-2</v>
      </c>
      <c r="J123" s="20">
        <v>2.4962582852255718E-2</v>
      </c>
      <c r="K123" s="20">
        <v>2.5509098786828423E-2</v>
      </c>
      <c r="L123" s="19">
        <v>428</v>
      </c>
      <c r="M123" s="19">
        <v>424</v>
      </c>
      <c r="N123" s="19">
        <v>469</v>
      </c>
      <c r="O123" s="19">
        <v>467</v>
      </c>
      <c r="P123" s="19">
        <v>470</v>
      </c>
      <c r="Q123" s="20">
        <v>1</v>
      </c>
      <c r="R123" s="20">
        <v>1</v>
      </c>
      <c r="S123" s="20">
        <v>1</v>
      </c>
      <c r="T123" s="20">
        <v>1</v>
      </c>
      <c r="U123" s="20">
        <v>0.99787685774946921</v>
      </c>
      <c r="W123" s="19">
        <v>0</v>
      </c>
      <c r="X123" s="19">
        <v>296</v>
      </c>
      <c r="Y123" s="19">
        <v>354</v>
      </c>
      <c r="Z123" s="19">
        <v>437</v>
      </c>
      <c r="AA123" s="19">
        <v>467</v>
      </c>
      <c r="AB123" s="20">
        <v>0</v>
      </c>
      <c r="AC123" s="20">
        <v>2.192755018890288E-2</v>
      </c>
      <c r="AD123" s="20">
        <v>2.6594545864322739E-2</v>
      </c>
      <c r="AE123" s="20">
        <v>3.3651624826736483E-2</v>
      </c>
      <c r="AF123" s="20">
        <v>2.4962582852255718E-2</v>
      </c>
      <c r="AG123" s="19">
        <v>0</v>
      </c>
      <c r="AH123" s="19">
        <v>296</v>
      </c>
      <c r="AI123" s="19">
        <v>354</v>
      </c>
      <c r="AJ123" s="19">
        <v>437</v>
      </c>
      <c r="AK123" s="19">
        <v>467</v>
      </c>
      <c r="AL123" s="20">
        <v>0</v>
      </c>
      <c r="AM123" s="20">
        <v>1</v>
      </c>
      <c r="AN123" s="20">
        <v>1</v>
      </c>
      <c r="AO123" s="20">
        <v>1</v>
      </c>
      <c r="AP123" s="20">
        <v>1</v>
      </c>
      <c r="AQ123" s="37"/>
    </row>
    <row r="124" spans="1:43" s="19" customFormat="1" ht="12.75" x14ac:dyDescent="0.2">
      <c r="A124" s="18" t="s">
        <v>41</v>
      </c>
      <c r="B124" s="19">
        <v>29</v>
      </c>
      <c r="C124" s="19">
        <v>36</v>
      </c>
      <c r="D124" s="19">
        <v>66</v>
      </c>
      <c r="E124" s="19">
        <v>65</v>
      </c>
      <c r="F124" s="19">
        <v>40</v>
      </c>
      <c r="G124" s="20">
        <v>2.2054909118564151E-3</v>
      </c>
      <c r="H124" s="20">
        <v>2.7320330879562877E-3</v>
      </c>
      <c r="I124" s="20">
        <v>3.5098915124441607E-3</v>
      </c>
      <c r="J124" s="20">
        <v>3.4744494333974769E-3</v>
      </c>
      <c r="K124" s="20">
        <v>2.1663778162911611E-3</v>
      </c>
      <c r="L124" s="19">
        <v>29</v>
      </c>
      <c r="M124" s="19">
        <v>36</v>
      </c>
      <c r="N124" s="19">
        <v>66</v>
      </c>
      <c r="O124" s="19">
        <v>65</v>
      </c>
      <c r="P124" s="19">
        <v>40</v>
      </c>
      <c r="Q124" s="20">
        <v>1</v>
      </c>
      <c r="R124" s="20">
        <v>1</v>
      </c>
      <c r="S124" s="20">
        <v>1</v>
      </c>
      <c r="T124" s="20">
        <v>1</v>
      </c>
      <c r="U124" s="20">
        <v>1</v>
      </c>
      <c r="W124" s="19">
        <v>0</v>
      </c>
      <c r="X124" s="19">
        <v>0</v>
      </c>
      <c r="Y124" s="19">
        <v>1</v>
      </c>
      <c r="Z124" s="19">
        <v>6</v>
      </c>
      <c r="AA124" s="19">
        <v>65</v>
      </c>
      <c r="AB124" s="20">
        <v>0</v>
      </c>
      <c r="AC124" s="20">
        <v>0</v>
      </c>
      <c r="AD124" s="20">
        <v>7.5125835774922993E-5</v>
      </c>
      <c r="AE124" s="20">
        <v>4.6203603881102723E-4</v>
      </c>
      <c r="AF124" s="20">
        <v>3.4744494333974769E-3</v>
      </c>
      <c r="AG124" s="19">
        <v>0</v>
      </c>
      <c r="AH124" s="19">
        <v>0</v>
      </c>
      <c r="AI124" s="19">
        <v>1</v>
      </c>
      <c r="AJ124" s="19">
        <v>6</v>
      </c>
      <c r="AK124" s="19">
        <v>65</v>
      </c>
      <c r="AL124" s="20">
        <v>0</v>
      </c>
      <c r="AM124" s="20">
        <v>0</v>
      </c>
      <c r="AN124" s="20">
        <v>1</v>
      </c>
      <c r="AO124" s="20">
        <v>1</v>
      </c>
      <c r="AP124" s="20">
        <v>1</v>
      </c>
      <c r="AQ124" s="37"/>
    </row>
    <row r="125" spans="1:43" s="19" customFormat="1" ht="12.75" x14ac:dyDescent="0.2">
      <c r="A125" s="18" t="s">
        <v>42</v>
      </c>
      <c r="B125" s="19">
        <v>8</v>
      </c>
      <c r="C125" s="19">
        <v>8</v>
      </c>
      <c r="D125" s="19">
        <v>8</v>
      </c>
      <c r="E125" s="19">
        <v>9</v>
      </c>
      <c r="F125" s="19">
        <v>0</v>
      </c>
      <c r="G125" s="20">
        <v>6.084112860293558E-4</v>
      </c>
      <c r="H125" s="20">
        <v>6.071184639902861E-4</v>
      </c>
      <c r="I125" s="20">
        <v>4.2544139544777704E-4</v>
      </c>
      <c r="J125" s="20">
        <v>4.8107761385503527E-4</v>
      </c>
      <c r="K125" s="20">
        <v>0</v>
      </c>
      <c r="L125" s="19">
        <v>8</v>
      </c>
      <c r="M125" s="19">
        <v>8</v>
      </c>
      <c r="N125" s="19">
        <v>8</v>
      </c>
      <c r="O125" s="19">
        <v>9</v>
      </c>
      <c r="P125" s="19">
        <v>0</v>
      </c>
      <c r="Q125" s="20">
        <v>1</v>
      </c>
      <c r="R125" s="20">
        <v>1</v>
      </c>
      <c r="S125" s="20">
        <v>1</v>
      </c>
      <c r="T125" s="20">
        <v>1</v>
      </c>
      <c r="U125" s="20">
        <v>0</v>
      </c>
      <c r="W125" s="19">
        <v>0</v>
      </c>
      <c r="X125" s="19">
        <v>0</v>
      </c>
      <c r="Y125" s="19">
        <v>0</v>
      </c>
      <c r="Z125" s="19">
        <v>8</v>
      </c>
      <c r="AA125" s="19">
        <v>9</v>
      </c>
      <c r="AB125" s="20">
        <v>0</v>
      </c>
      <c r="AC125" s="20">
        <v>0</v>
      </c>
      <c r="AD125" s="20">
        <v>0</v>
      </c>
      <c r="AE125" s="20">
        <v>6.1604805174803631E-4</v>
      </c>
      <c r="AF125" s="20">
        <v>4.8107761385503527E-4</v>
      </c>
      <c r="AG125" s="19">
        <v>0</v>
      </c>
      <c r="AH125" s="19">
        <v>0</v>
      </c>
      <c r="AI125" s="19">
        <v>0</v>
      </c>
      <c r="AJ125" s="19">
        <v>8</v>
      </c>
      <c r="AK125" s="19">
        <v>9</v>
      </c>
      <c r="AL125" s="20">
        <v>0</v>
      </c>
      <c r="AM125" s="20">
        <v>0</v>
      </c>
      <c r="AN125" s="20">
        <v>0</v>
      </c>
      <c r="AO125" s="20">
        <v>1</v>
      </c>
      <c r="AP125" s="20">
        <v>1</v>
      </c>
      <c r="AQ125" s="37"/>
    </row>
    <row r="126" spans="1:43" s="19" customFormat="1" ht="12.75" x14ac:dyDescent="0.2">
      <c r="A126" s="18" t="s">
        <v>43</v>
      </c>
      <c r="B126" s="19">
        <v>5121</v>
      </c>
      <c r="C126" s="19">
        <v>5054</v>
      </c>
      <c r="D126" s="19">
        <v>5063</v>
      </c>
      <c r="E126" s="19">
        <v>5276</v>
      </c>
      <c r="F126" s="19">
        <v>5349</v>
      </c>
      <c r="G126" s="20">
        <v>0.38945927446954143</v>
      </c>
      <c r="H126" s="20">
        <v>0.38354708962586326</v>
      </c>
      <c r="I126" s="20">
        <v>0.2692512231440119</v>
      </c>
      <c r="J126" s="20">
        <v>0.2820183878554629</v>
      </c>
      <c r="K126" s="20">
        <v>0.28969887348353551</v>
      </c>
      <c r="L126" s="19">
        <v>5121</v>
      </c>
      <c r="M126" s="19">
        <v>5054</v>
      </c>
      <c r="N126" s="19">
        <v>4762</v>
      </c>
      <c r="O126" s="19">
        <v>4994</v>
      </c>
      <c r="P126" s="19">
        <v>5051</v>
      </c>
      <c r="Q126" s="20">
        <v>1</v>
      </c>
      <c r="R126" s="20">
        <v>1</v>
      </c>
      <c r="S126" s="20">
        <v>0.94054908157219042</v>
      </c>
      <c r="T126" s="20">
        <v>0.94655041698256259</v>
      </c>
      <c r="U126" s="20">
        <v>0.94428865208450175</v>
      </c>
      <c r="W126" s="19">
        <v>0</v>
      </c>
      <c r="X126" s="19">
        <v>7360</v>
      </c>
      <c r="Y126" s="19">
        <v>7368</v>
      </c>
      <c r="Z126" s="19">
        <v>5070</v>
      </c>
      <c r="AA126" s="19">
        <v>5276</v>
      </c>
      <c r="AB126" s="20">
        <v>0</v>
      </c>
      <c r="AC126" s="20">
        <v>0.54522557226461221</v>
      </c>
      <c r="AD126" s="20">
        <v>0.55352715798963259</v>
      </c>
      <c r="AE126" s="20">
        <v>0.39042045279531801</v>
      </c>
      <c r="AF126" s="20">
        <v>0.2820183878554629</v>
      </c>
      <c r="AG126" s="19">
        <v>0</v>
      </c>
      <c r="AH126" s="19">
        <v>7360</v>
      </c>
      <c r="AI126" s="19">
        <v>7368</v>
      </c>
      <c r="AJ126" s="19">
        <v>5070</v>
      </c>
      <c r="AK126" s="19">
        <v>4994</v>
      </c>
      <c r="AL126" s="20">
        <v>0</v>
      </c>
      <c r="AM126" s="20">
        <v>1</v>
      </c>
      <c r="AN126" s="20">
        <v>1</v>
      </c>
      <c r="AO126" s="20">
        <v>1</v>
      </c>
      <c r="AP126" s="20">
        <v>0.94655041698256259</v>
      </c>
      <c r="AQ126" s="37"/>
    </row>
    <row r="127" spans="1:43" s="19" customFormat="1" ht="12.75" x14ac:dyDescent="0.2">
      <c r="A127" s="18" t="s">
        <v>87</v>
      </c>
      <c r="B127" s="19">
        <v>11</v>
      </c>
      <c r="C127" s="19">
        <v>11</v>
      </c>
      <c r="D127" s="19">
        <v>12</v>
      </c>
      <c r="E127" s="19">
        <v>12</v>
      </c>
      <c r="F127" s="19">
        <v>18</v>
      </c>
      <c r="G127" s="20">
        <v>8.3656551829036424E-4</v>
      </c>
      <c r="H127" s="20">
        <v>8.3478788798664345E-4</v>
      </c>
      <c r="I127" s="20">
        <v>6.3816209317166565E-4</v>
      </c>
      <c r="J127" s="20">
        <v>6.4143681847338033E-4</v>
      </c>
      <c r="K127" s="20">
        <v>9.7487001733102254E-4</v>
      </c>
      <c r="L127" s="19">
        <v>11</v>
      </c>
      <c r="M127" s="19">
        <v>11</v>
      </c>
      <c r="N127" s="19">
        <v>12</v>
      </c>
      <c r="O127" s="19">
        <v>12</v>
      </c>
      <c r="P127" s="19">
        <v>18</v>
      </c>
      <c r="Q127" s="20">
        <v>1</v>
      </c>
      <c r="R127" s="20">
        <v>1</v>
      </c>
      <c r="S127" s="20">
        <v>1</v>
      </c>
      <c r="T127" s="20">
        <v>1</v>
      </c>
      <c r="U127" s="20">
        <v>1</v>
      </c>
      <c r="W127" s="19">
        <v>0</v>
      </c>
      <c r="X127" s="19">
        <v>2</v>
      </c>
      <c r="Y127" s="19">
        <v>2</v>
      </c>
      <c r="Z127" s="19">
        <v>8</v>
      </c>
      <c r="AA127" s="19">
        <v>12</v>
      </c>
      <c r="AB127" s="20">
        <v>0</v>
      </c>
      <c r="AC127" s="20">
        <v>1.4815912289799243E-4</v>
      </c>
      <c r="AD127" s="20">
        <v>1.5025167154984599E-4</v>
      </c>
      <c r="AE127" s="20">
        <v>6.1604805174803631E-4</v>
      </c>
      <c r="AF127" s="20">
        <v>6.4143681847338033E-4</v>
      </c>
      <c r="AG127" s="19">
        <v>0</v>
      </c>
      <c r="AH127" s="19">
        <v>2</v>
      </c>
      <c r="AI127" s="19">
        <v>2</v>
      </c>
      <c r="AJ127" s="19">
        <v>8</v>
      </c>
      <c r="AK127" s="19">
        <v>12</v>
      </c>
      <c r="AL127" s="20">
        <v>0</v>
      </c>
      <c r="AM127" s="20">
        <v>1</v>
      </c>
      <c r="AN127" s="20">
        <v>1</v>
      </c>
      <c r="AO127" s="20">
        <v>1</v>
      </c>
      <c r="AP127" s="20">
        <v>1</v>
      </c>
      <c r="AQ127" s="37"/>
    </row>
    <row r="128" spans="1:43" s="19" customFormat="1" ht="12.75" x14ac:dyDescent="0.2">
      <c r="A128" s="18" t="s">
        <v>44</v>
      </c>
      <c r="B128" s="19">
        <v>1</v>
      </c>
      <c r="C128" s="19">
        <v>1</v>
      </c>
      <c r="D128" s="19">
        <v>1</v>
      </c>
      <c r="E128" s="19">
        <v>1</v>
      </c>
      <c r="F128" s="19">
        <v>0</v>
      </c>
      <c r="G128" s="20">
        <v>7.6051410753669475E-5</v>
      </c>
      <c r="H128" s="20">
        <v>7.5889807998785763E-5</v>
      </c>
      <c r="I128" s="20">
        <v>5.3180174430972131E-5</v>
      </c>
      <c r="J128" s="20">
        <v>5.345306820611503E-5</v>
      </c>
      <c r="K128" s="20">
        <v>0</v>
      </c>
      <c r="L128" s="19">
        <v>1</v>
      </c>
      <c r="M128" s="19">
        <v>1</v>
      </c>
      <c r="N128" s="19">
        <v>1</v>
      </c>
      <c r="O128" s="19">
        <v>1</v>
      </c>
      <c r="P128" s="19">
        <v>0</v>
      </c>
      <c r="Q128" s="20">
        <v>1</v>
      </c>
      <c r="R128" s="20">
        <v>1</v>
      </c>
      <c r="S128" s="20">
        <v>1</v>
      </c>
      <c r="T128" s="20">
        <v>1</v>
      </c>
      <c r="U128" s="20">
        <v>0</v>
      </c>
      <c r="W128" s="19">
        <v>0</v>
      </c>
      <c r="X128" s="19">
        <v>0</v>
      </c>
      <c r="Y128" s="19">
        <v>1</v>
      </c>
      <c r="Z128" s="19">
        <v>1</v>
      </c>
      <c r="AA128" s="19">
        <v>1</v>
      </c>
      <c r="AB128" s="20">
        <v>0</v>
      </c>
      <c r="AC128" s="20">
        <v>0</v>
      </c>
      <c r="AD128" s="20">
        <v>7.5125835774922993E-5</v>
      </c>
      <c r="AE128" s="20">
        <v>7.7006006468504539E-5</v>
      </c>
      <c r="AF128" s="20">
        <v>5.345306820611503E-5</v>
      </c>
      <c r="AG128" s="19">
        <v>0</v>
      </c>
      <c r="AH128" s="19">
        <v>0</v>
      </c>
      <c r="AI128" s="19">
        <v>1</v>
      </c>
      <c r="AJ128" s="19">
        <v>1</v>
      </c>
      <c r="AK128" s="19">
        <v>1</v>
      </c>
      <c r="AL128" s="20">
        <v>0</v>
      </c>
      <c r="AM128" s="20">
        <v>0</v>
      </c>
      <c r="AN128" s="20">
        <v>1</v>
      </c>
      <c r="AO128" s="20">
        <v>1</v>
      </c>
      <c r="AP128" s="20">
        <v>1</v>
      </c>
      <c r="AQ128" s="37"/>
    </row>
    <row r="129" spans="1:55" s="19" customFormat="1" ht="12.75" x14ac:dyDescent="0.2">
      <c r="A129" s="18" t="s">
        <v>126</v>
      </c>
      <c r="B129" s="19">
        <v>71</v>
      </c>
      <c r="C129" s="19">
        <v>70</v>
      </c>
      <c r="D129" s="19">
        <v>88</v>
      </c>
      <c r="E129" s="19">
        <v>64</v>
      </c>
      <c r="F129" s="19">
        <v>60</v>
      </c>
      <c r="G129" s="20">
        <v>5.399650163510533E-3</v>
      </c>
      <c r="H129" s="20">
        <v>5.3122865599150035E-3</v>
      </c>
      <c r="I129" s="20">
        <v>4.6798553499255479E-3</v>
      </c>
      <c r="J129" s="20">
        <v>3.4209963651913619E-3</v>
      </c>
      <c r="K129" s="20">
        <v>3.2495667244367417E-3</v>
      </c>
      <c r="L129" s="19">
        <v>71</v>
      </c>
      <c r="M129" s="19">
        <v>70</v>
      </c>
      <c r="N129" s="19">
        <v>74</v>
      </c>
      <c r="O129" s="19">
        <v>55</v>
      </c>
      <c r="P129" s="19">
        <v>55</v>
      </c>
      <c r="Q129" s="20">
        <v>1</v>
      </c>
      <c r="R129" s="20">
        <v>1</v>
      </c>
      <c r="S129" s="20">
        <v>0.84090909090909094</v>
      </c>
      <c r="T129" s="20">
        <v>0.859375</v>
      </c>
      <c r="U129" s="20">
        <v>0.91666666666666663</v>
      </c>
      <c r="W129" s="19">
        <v>0</v>
      </c>
      <c r="X129" s="19">
        <v>175</v>
      </c>
      <c r="Y129" s="19">
        <v>33</v>
      </c>
      <c r="Z129" s="19">
        <v>76</v>
      </c>
      <c r="AA129" s="19">
        <v>64</v>
      </c>
      <c r="AB129" s="20">
        <v>0</v>
      </c>
      <c r="AC129" s="20">
        <v>1.2963923253574339E-2</v>
      </c>
      <c r="AD129" s="20">
        <v>2.4791525805724587E-3</v>
      </c>
      <c r="AE129" s="20">
        <v>5.8524564916063457E-3</v>
      </c>
      <c r="AF129" s="20">
        <v>3.4209963651913619E-3</v>
      </c>
      <c r="AG129" s="19">
        <v>0</v>
      </c>
      <c r="AH129" s="19">
        <v>175</v>
      </c>
      <c r="AI129" s="19">
        <v>33</v>
      </c>
      <c r="AJ129" s="19">
        <v>76</v>
      </c>
      <c r="AK129" s="19">
        <v>55</v>
      </c>
      <c r="AL129" s="20">
        <v>0</v>
      </c>
      <c r="AM129" s="20">
        <v>1</v>
      </c>
      <c r="AN129" s="20">
        <v>1</v>
      </c>
      <c r="AO129" s="20">
        <v>1</v>
      </c>
      <c r="AP129" s="20">
        <v>0.859375</v>
      </c>
      <c r="AQ129" s="37"/>
    </row>
    <row r="130" spans="1:55" s="19" customFormat="1" ht="12.75" x14ac:dyDescent="0.2">
      <c r="A130" s="18" t="s">
        <v>48</v>
      </c>
      <c r="B130" s="19">
        <v>7</v>
      </c>
      <c r="C130" s="19">
        <v>11</v>
      </c>
      <c r="D130" s="19">
        <v>10</v>
      </c>
      <c r="E130" s="19">
        <v>5</v>
      </c>
      <c r="F130" s="19">
        <v>8</v>
      </c>
      <c r="G130" s="20">
        <v>5.3235987527568639E-4</v>
      </c>
      <c r="H130" s="20">
        <v>8.3478788798664345E-4</v>
      </c>
      <c r="I130" s="20">
        <v>5.3180174430972132E-4</v>
      </c>
      <c r="J130" s="20">
        <v>2.6726534103057518E-4</v>
      </c>
      <c r="K130" s="20">
        <v>4.3327556325823221E-4</v>
      </c>
      <c r="L130" s="19">
        <v>7</v>
      </c>
      <c r="M130" s="19">
        <v>11</v>
      </c>
      <c r="N130" s="19">
        <v>10</v>
      </c>
      <c r="O130" s="19">
        <v>5</v>
      </c>
      <c r="P130" s="19">
        <v>8</v>
      </c>
      <c r="Q130" s="20">
        <v>1</v>
      </c>
      <c r="R130" s="20">
        <v>1</v>
      </c>
      <c r="S130" s="20">
        <v>1</v>
      </c>
      <c r="T130" s="20">
        <v>1</v>
      </c>
      <c r="U130" s="20">
        <v>1</v>
      </c>
      <c r="W130" s="19">
        <v>0</v>
      </c>
      <c r="X130" s="19">
        <v>0</v>
      </c>
      <c r="Y130" s="19">
        <v>0</v>
      </c>
      <c r="Z130" s="19">
        <v>4</v>
      </c>
      <c r="AA130" s="19">
        <v>5</v>
      </c>
      <c r="AB130" s="20">
        <v>0</v>
      </c>
      <c r="AC130" s="20">
        <v>0</v>
      </c>
      <c r="AD130" s="20">
        <v>0</v>
      </c>
      <c r="AE130" s="20">
        <v>3.0802402587401816E-4</v>
      </c>
      <c r="AF130" s="20">
        <v>2.6726534103057518E-4</v>
      </c>
      <c r="AG130" s="19">
        <v>0</v>
      </c>
      <c r="AH130" s="19">
        <v>0</v>
      </c>
      <c r="AI130" s="19">
        <v>0</v>
      </c>
      <c r="AJ130" s="19">
        <v>4</v>
      </c>
      <c r="AK130" s="19">
        <v>5</v>
      </c>
      <c r="AL130" s="20">
        <v>0</v>
      </c>
      <c r="AM130" s="20">
        <v>0</v>
      </c>
      <c r="AN130" s="20">
        <v>0</v>
      </c>
      <c r="AO130" s="20">
        <v>1</v>
      </c>
      <c r="AP130" s="20">
        <v>1</v>
      </c>
      <c r="AQ130" s="37"/>
    </row>
    <row r="131" spans="1:55" s="19" customFormat="1" ht="12.75" x14ac:dyDescent="0.2">
      <c r="A131" s="18" t="s">
        <v>88</v>
      </c>
      <c r="B131" s="19">
        <v>16</v>
      </c>
      <c r="C131" s="19">
        <v>17</v>
      </c>
      <c r="D131" s="19">
        <v>25</v>
      </c>
      <c r="E131" s="19">
        <v>28</v>
      </c>
      <c r="F131" s="19">
        <v>18</v>
      </c>
      <c r="G131" s="20">
        <v>1.2168225720587116E-3</v>
      </c>
      <c r="H131" s="20">
        <v>1.2901267359793579E-3</v>
      </c>
      <c r="I131" s="20">
        <v>1.3295043607743032E-3</v>
      </c>
      <c r="J131" s="20">
        <v>1.4966859097712208E-3</v>
      </c>
      <c r="K131" s="20">
        <v>9.7487001733102254E-4</v>
      </c>
      <c r="L131" s="19">
        <v>16</v>
      </c>
      <c r="M131" s="19">
        <v>17</v>
      </c>
      <c r="N131" s="19">
        <v>25</v>
      </c>
      <c r="O131" s="19">
        <v>28</v>
      </c>
      <c r="P131" s="19">
        <v>18</v>
      </c>
      <c r="Q131" s="20">
        <v>1</v>
      </c>
      <c r="R131" s="20">
        <v>1</v>
      </c>
      <c r="S131" s="20">
        <v>1</v>
      </c>
      <c r="T131" s="20">
        <v>1</v>
      </c>
      <c r="U131" s="20">
        <v>1</v>
      </c>
      <c r="W131" s="19">
        <v>0</v>
      </c>
      <c r="X131" s="19">
        <v>3</v>
      </c>
      <c r="Y131" s="19">
        <v>6</v>
      </c>
      <c r="Z131" s="19">
        <v>16</v>
      </c>
      <c r="AA131" s="19">
        <v>28</v>
      </c>
      <c r="AB131" s="20">
        <v>0</v>
      </c>
      <c r="AC131" s="20">
        <v>2.2223868434698867E-4</v>
      </c>
      <c r="AD131" s="20">
        <v>4.5075501464953799E-4</v>
      </c>
      <c r="AE131" s="20">
        <v>1.2320961034960726E-3</v>
      </c>
      <c r="AF131" s="20">
        <v>1.4966859097712208E-3</v>
      </c>
      <c r="AG131" s="19">
        <v>0</v>
      </c>
      <c r="AH131" s="19">
        <v>3</v>
      </c>
      <c r="AI131" s="19">
        <v>6</v>
      </c>
      <c r="AJ131" s="19">
        <v>16</v>
      </c>
      <c r="AK131" s="19">
        <v>28</v>
      </c>
      <c r="AL131" s="20">
        <v>0</v>
      </c>
      <c r="AM131" s="20">
        <v>1</v>
      </c>
      <c r="AN131" s="20">
        <v>1</v>
      </c>
      <c r="AO131" s="20">
        <v>1</v>
      </c>
      <c r="AP131" s="20">
        <v>1</v>
      </c>
      <c r="AQ131" s="37"/>
    </row>
    <row r="132" spans="1:55" s="19" customFormat="1" ht="12.75" x14ac:dyDescent="0.2">
      <c r="A132" s="18" t="s">
        <v>49</v>
      </c>
      <c r="B132" s="19">
        <v>22</v>
      </c>
      <c r="C132" s="19">
        <v>25</v>
      </c>
      <c r="D132" s="19">
        <v>32</v>
      </c>
      <c r="E132" s="19">
        <v>38</v>
      </c>
      <c r="F132" s="19">
        <v>40</v>
      </c>
      <c r="G132" s="20">
        <v>1.6731310365807285E-3</v>
      </c>
      <c r="H132" s="20">
        <v>1.897245199969644E-3</v>
      </c>
      <c r="I132" s="20">
        <v>1.7017655817911082E-3</v>
      </c>
      <c r="J132" s="20">
        <v>2.0312165918323711E-3</v>
      </c>
      <c r="K132" s="20">
        <v>2.1663778162911611E-3</v>
      </c>
      <c r="L132" s="19">
        <v>22</v>
      </c>
      <c r="M132" s="19">
        <v>25</v>
      </c>
      <c r="N132" s="19">
        <v>32</v>
      </c>
      <c r="O132" s="19">
        <v>38</v>
      </c>
      <c r="P132" s="19">
        <v>40</v>
      </c>
      <c r="Q132" s="20">
        <v>1</v>
      </c>
      <c r="R132" s="20">
        <v>1</v>
      </c>
      <c r="S132" s="20">
        <v>1</v>
      </c>
      <c r="T132" s="20">
        <v>1</v>
      </c>
      <c r="U132" s="20">
        <v>1</v>
      </c>
      <c r="W132" s="19">
        <v>0</v>
      </c>
      <c r="X132" s="19">
        <v>207</v>
      </c>
      <c r="Y132" s="19">
        <v>31</v>
      </c>
      <c r="Z132" s="19">
        <v>22</v>
      </c>
      <c r="AA132" s="19">
        <v>38</v>
      </c>
      <c r="AB132" s="20">
        <v>0</v>
      </c>
      <c r="AC132" s="20">
        <v>1.5334469219942217E-2</v>
      </c>
      <c r="AD132" s="20">
        <v>2.3289009090226129E-3</v>
      </c>
      <c r="AE132" s="20">
        <v>1.6941321423071E-3</v>
      </c>
      <c r="AF132" s="20">
        <v>2.0312165918323711E-3</v>
      </c>
      <c r="AG132" s="19">
        <v>0</v>
      </c>
      <c r="AH132" s="19">
        <v>207</v>
      </c>
      <c r="AI132" s="19">
        <v>31</v>
      </c>
      <c r="AJ132" s="19">
        <v>22</v>
      </c>
      <c r="AK132" s="19">
        <v>38</v>
      </c>
      <c r="AL132" s="20">
        <v>0</v>
      </c>
      <c r="AM132" s="20">
        <v>1</v>
      </c>
      <c r="AN132" s="20">
        <v>1</v>
      </c>
      <c r="AO132" s="20">
        <v>1</v>
      </c>
      <c r="AP132" s="20">
        <v>1</v>
      </c>
      <c r="AQ132" s="37"/>
    </row>
    <row r="133" spans="1:55" s="19" customFormat="1" ht="12.75" x14ac:dyDescent="0.2">
      <c r="A133" s="18" t="s">
        <v>52</v>
      </c>
      <c r="B133" s="19">
        <v>37</v>
      </c>
      <c r="C133" s="19">
        <v>42</v>
      </c>
      <c r="D133" s="19">
        <v>39</v>
      </c>
      <c r="E133" s="19">
        <v>71</v>
      </c>
      <c r="F133" s="19">
        <v>70</v>
      </c>
      <c r="G133" s="20">
        <v>2.8139021978857708E-3</v>
      </c>
      <c r="H133" s="20">
        <v>3.1873719359490019E-3</v>
      </c>
      <c r="I133" s="20">
        <v>2.0740268028079131E-3</v>
      </c>
      <c r="J133" s="20">
        <v>3.7951678426341672E-3</v>
      </c>
      <c r="K133" s="20">
        <v>3.7911611785095322E-3</v>
      </c>
      <c r="L133" s="19">
        <v>37</v>
      </c>
      <c r="M133" s="19">
        <v>42</v>
      </c>
      <c r="N133" s="19">
        <v>39</v>
      </c>
      <c r="O133" s="19">
        <v>71</v>
      </c>
      <c r="P133" s="19">
        <v>70</v>
      </c>
      <c r="Q133" s="20">
        <v>1</v>
      </c>
      <c r="R133" s="20">
        <v>1</v>
      </c>
      <c r="S133" s="20">
        <v>1</v>
      </c>
      <c r="T133" s="20">
        <v>1</v>
      </c>
      <c r="U133" s="20">
        <v>1</v>
      </c>
      <c r="W133" s="19">
        <v>0</v>
      </c>
      <c r="X133" s="19">
        <v>155</v>
      </c>
      <c r="Y133" s="19">
        <v>154</v>
      </c>
      <c r="Z133" s="19">
        <v>48</v>
      </c>
      <c r="AA133" s="19">
        <v>71</v>
      </c>
      <c r="AB133" s="20">
        <v>0</v>
      </c>
      <c r="AC133" s="20">
        <v>1.1482332024594415E-2</v>
      </c>
      <c r="AD133" s="20">
        <v>1.1569378709338142E-2</v>
      </c>
      <c r="AE133" s="20">
        <v>3.6962883104882179E-3</v>
      </c>
      <c r="AF133" s="20">
        <v>3.7951678426341672E-3</v>
      </c>
      <c r="AG133" s="19">
        <v>0</v>
      </c>
      <c r="AH133" s="19">
        <v>155</v>
      </c>
      <c r="AI133" s="19">
        <v>154</v>
      </c>
      <c r="AJ133" s="19">
        <v>48</v>
      </c>
      <c r="AK133" s="19">
        <v>71</v>
      </c>
      <c r="AL133" s="20">
        <v>0</v>
      </c>
      <c r="AM133" s="20">
        <v>1</v>
      </c>
      <c r="AN133" s="20">
        <v>1</v>
      </c>
      <c r="AO133" s="20">
        <v>1</v>
      </c>
      <c r="AP133" s="20">
        <v>1</v>
      </c>
      <c r="AQ133" s="37"/>
    </row>
    <row r="134" spans="1:55" s="19" customFormat="1" ht="12.75" x14ac:dyDescent="0.2">
      <c r="A134" s="18" t="s">
        <v>53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W134" s="19">
        <v>0</v>
      </c>
      <c r="X134" s="19">
        <v>8</v>
      </c>
      <c r="Y134" s="19">
        <v>0</v>
      </c>
      <c r="Z134" s="19">
        <v>0</v>
      </c>
      <c r="AA134" s="19">
        <v>0</v>
      </c>
      <c r="AB134" s="20">
        <v>0</v>
      </c>
      <c r="AC134" s="20">
        <v>5.9263649159196972E-4</v>
      </c>
      <c r="AD134" s="20">
        <v>0</v>
      </c>
      <c r="AE134" s="20">
        <v>0</v>
      </c>
      <c r="AF134" s="20">
        <v>0</v>
      </c>
      <c r="AG134" s="19">
        <v>0</v>
      </c>
      <c r="AH134" s="19">
        <v>8</v>
      </c>
      <c r="AI134" s="19">
        <v>0</v>
      </c>
      <c r="AJ134" s="19">
        <v>0</v>
      </c>
      <c r="AK134" s="19">
        <v>0</v>
      </c>
      <c r="AL134" s="20">
        <v>0</v>
      </c>
      <c r="AM134" s="20">
        <v>1</v>
      </c>
      <c r="AN134" s="20">
        <v>0</v>
      </c>
      <c r="AO134" s="20">
        <v>0</v>
      </c>
      <c r="AP134" s="20">
        <v>0</v>
      </c>
      <c r="AQ134" s="37"/>
    </row>
    <row r="135" spans="1:55" s="19" customFormat="1" ht="12.75" x14ac:dyDescent="0.2">
      <c r="A135" s="18" t="s">
        <v>55</v>
      </c>
      <c r="B135" s="19">
        <v>53</v>
      </c>
      <c r="C135" s="19">
        <v>70</v>
      </c>
      <c r="D135" s="19">
        <v>79</v>
      </c>
      <c r="E135" s="19">
        <v>61</v>
      </c>
      <c r="F135" s="19">
        <v>63</v>
      </c>
      <c r="G135" s="20">
        <v>4.0307247699444826E-3</v>
      </c>
      <c r="H135" s="20">
        <v>5.3122865599150035E-3</v>
      </c>
      <c r="I135" s="20">
        <v>4.2012337800467984E-3</v>
      </c>
      <c r="J135" s="20">
        <v>3.2606371605730169E-3</v>
      </c>
      <c r="K135" s="20">
        <v>3.4120450606585787E-3</v>
      </c>
      <c r="L135" s="19">
        <v>53</v>
      </c>
      <c r="M135" s="19">
        <v>70</v>
      </c>
      <c r="N135" s="19">
        <v>79</v>
      </c>
      <c r="O135" s="19">
        <v>61</v>
      </c>
      <c r="P135" s="19">
        <v>63</v>
      </c>
      <c r="Q135" s="20">
        <v>1</v>
      </c>
      <c r="R135" s="20">
        <v>1</v>
      </c>
      <c r="S135" s="20">
        <v>1</v>
      </c>
      <c r="T135" s="20">
        <v>1</v>
      </c>
      <c r="U135" s="20">
        <v>1</v>
      </c>
      <c r="W135" s="19">
        <v>0</v>
      </c>
      <c r="X135" s="19">
        <v>157</v>
      </c>
      <c r="Y135" s="19">
        <v>51</v>
      </c>
      <c r="Z135" s="19">
        <v>60</v>
      </c>
      <c r="AA135" s="19">
        <v>61</v>
      </c>
      <c r="AB135" s="20">
        <v>0</v>
      </c>
      <c r="AC135" s="20">
        <v>1.1630491147492407E-2</v>
      </c>
      <c r="AD135" s="20">
        <v>3.8314176245210726E-3</v>
      </c>
      <c r="AE135" s="20">
        <v>4.6203603881102727E-3</v>
      </c>
      <c r="AF135" s="20">
        <v>3.2606371605730169E-3</v>
      </c>
      <c r="AG135" s="19">
        <v>0</v>
      </c>
      <c r="AH135" s="19">
        <v>157</v>
      </c>
      <c r="AI135" s="19">
        <v>51</v>
      </c>
      <c r="AJ135" s="19">
        <v>60</v>
      </c>
      <c r="AK135" s="19">
        <v>61</v>
      </c>
      <c r="AL135" s="20">
        <v>0</v>
      </c>
      <c r="AM135" s="20">
        <v>1</v>
      </c>
      <c r="AN135" s="20">
        <v>1</v>
      </c>
      <c r="AO135" s="20">
        <v>1</v>
      </c>
      <c r="AP135" s="20">
        <v>1</v>
      </c>
      <c r="AQ135" s="37"/>
    </row>
    <row r="136" spans="1:55" s="19" customFormat="1" ht="12.75" x14ac:dyDescent="0.2">
      <c r="A136" s="18" t="s">
        <v>91</v>
      </c>
      <c r="B136" s="19">
        <v>1264</v>
      </c>
      <c r="C136" s="19">
        <v>1280</v>
      </c>
      <c r="D136" s="19">
        <v>1288</v>
      </c>
      <c r="E136" s="19">
        <v>1291</v>
      </c>
      <c r="F136" s="19">
        <v>1191</v>
      </c>
      <c r="G136" s="20">
        <v>9.6128983192638226E-2</v>
      </c>
      <c r="H136" s="20">
        <v>9.7138954238445777E-2</v>
      </c>
      <c r="I136" s="20">
        <v>6.8496064667092113E-2</v>
      </c>
      <c r="J136" s="20">
        <v>6.9007911054094512E-2</v>
      </c>
      <c r="K136" s="20">
        <v>6.4503899480069321E-2</v>
      </c>
      <c r="L136" s="19">
        <v>1264</v>
      </c>
      <c r="M136" s="19">
        <v>1280</v>
      </c>
      <c r="N136" s="19">
        <v>1288</v>
      </c>
      <c r="O136" s="19">
        <v>1291</v>
      </c>
      <c r="P136" s="19">
        <v>1191</v>
      </c>
      <c r="Q136" s="20">
        <v>1</v>
      </c>
      <c r="R136" s="20">
        <v>1</v>
      </c>
      <c r="S136" s="20">
        <v>1</v>
      </c>
      <c r="T136" s="20">
        <v>1</v>
      </c>
      <c r="U136" s="20">
        <v>1</v>
      </c>
      <c r="W136" s="19">
        <v>0</v>
      </c>
      <c r="X136" s="19">
        <v>209</v>
      </c>
      <c r="Y136" s="19">
        <v>855</v>
      </c>
      <c r="Z136" s="19">
        <v>1274</v>
      </c>
      <c r="AA136" s="19">
        <v>1291</v>
      </c>
      <c r="AB136" s="20">
        <v>0</v>
      </c>
      <c r="AC136" s="20">
        <v>1.5482628342840211E-2</v>
      </c>
      <c r="AD136" s="20">
        <v>6.4232589587559161E-2</v>
      </c>
      <c r="AE136" s="20">
        <v>9.8105652240874794E-2</v>
      </c>
      <c r="AF136" s="20">
        <v>6.9007911054094512E-2</v>
      </c>
      <c r="AG136" s="19">
        <v>0</v>
      </c>
      <c r="AH136" s="19">
        <v>209</v>
      </c>
      <c r="AI136" s="19">
        <v>855</v>
      </c>
      <c r="AJ136" s="19">
        <v>1274</v>
      </c>
      <c r="AK136" s="19">
        <v>1291</v>
      </c>
      <c r="AL136" s="20">
        <v>0</v>
      </c>
      <c r="AM136" s="20">
        <v>1</v>
      </c>
      <c r="AN136" s="20">
        <v>1</v>
      </c>
      <c r="AO136" s="20">
        <v>1</v>
      </c>
      <c r="AP136" s="20">
        <v>1</v>
      </c>
      <c r="AQ136" s="37"/>
    </row>
    <row r="137" spans="1:55" s="19" customFormat="1" ht="12.75" x14ac:dyDescent="0.2">
      <c r="A137" s="18" t="s">
        <v>58</v>
      </c>
      <c r="B137" s="19">
        <v>52</v>
      </c>
      <c r="C137" s="19">
        <v>51</v>
      </c>
      <c r="D137" s="19">
        <v>63</v>
      </c>
      <c r="E137" s="19">
        <v>52</v>
      </c>
      <c r="F137" s="19">
        <v>24</v>
      </c>
      <c r="G137" s="20">
        <v>3.9546733591908131E-3</v>
      </c>
      <c r="H137" s="20">
        <v>3.870380207938074E-3</v>
      </c>
      <c r="I137" s="20">
        <v>3.3503509891512446E-3</v>
      </c>
      <c r="J137" s="20">
        <v>2.7795595467179817E-3</v>
      </c>
      <c r="K137" s="20">
        <v>1.2998266897746968E-3</v>
      </c>
      <c r="L137" s="19">
        <v>52</v>
      </c>
      <c r="M137" s="19">
        <v>51</v>
      </c>
      <c r="N137" s="19">
        <v>63</v>
      </c>
      <c r="O137" s="19">
        <v>52</v>
      </c>
      <c r="P137" s="19">
        <v>24</v>
      </c>
      <c r="Q137" s="20">
        <v>1</v>
      </c>
      <c r="R137" s="20">
        <v>1</v>
      </c>
      <c r="S137" s="20">
        <v>1</v>
      </c>
      <c r="T137" s="20">
        <v>1</v>
      </c>
      <c r="U137" s="20">
        <v>1</v>
      </c>
      <c r="W137" s="19">
        <v>0</v>
      </c>
      <c r="X137" s="19">
        <v>0</v>
      </c>
      <c r="Y137" s="19">
        <v>11</v>
      </c>
      <c r="Z137" s="19">
        <v>21</v>
      </c>
      <c r="AA137" s="19">
        <v>52</v>
      </c>
      <c r="AB137" s="20">
        <v>0</v>
      </c>
      <c r="AC137" s="20">
        <v>0</v>
      </c>
      <c r="AD137" s="20">
        <v>8.2638419352415297E-4</v>
      </c>
      <c r="AE137" s="20">
        <v>1.6171261358385953E-3</v>
      </c>
      <c r="AF137" s="20">
        <v>2.7795595467179817E-3</v>
      </c>
      <c r="AG137" s="19">
        <v>0</v>
      </c>
      <c r="AH137" s="19">
        <v>0</v>
      </c>
      <c r="AI137" s="19">
        <v>11</v>
      </c>
      <c r="AJ137" s="19">
        <v>21</v>
      </c>
      <c r="AK137" s="19">
        <v>52</v>
      </c>
      <c r="AL137" s="20">
        <v>0</v>
      </c>
      <c r="AM137" s="20">
        <v>0</v>
      </c>
      <c r="AN137" s="20">
        <v>1</v>
      </c>
      <c r="AO137" s="20">
        <v>1</v>
      </c>
      <c r="AP137" s="20">
        <v>1</v>
      </c>
      <c r="AQ137" s="37"/>
    </row>
    <row r="138" spans="1:55" s="19" customFormat="1" ht="12.75" x14ac:dyDescent="0.2">
      <c r="A138" s="18" t="s">
        <v>61</v>
      </c>
      <c r="B138" s="19">
        <v>9</v>
      </c>
      <c r="C138" s="19">
        <v>22</v>
      </c>
      <c r="D138" s="19">
        <v>11</v>
      </c>
      <c r="E138" s="19">
        <v>8</v>
      </c>
      <c r="F138" s="19">
        <v>0</v>
      </c>
      <c r="G138" s="20">
        <v>6.8446269678302531E-4</v>
      </c>
      <c r="H138" s="20">
        <v>1.6695757759732869E-3</v>
      </c>
      <c r="I138" s="20">
        <v>5.8498191874069348E-4</v>
      </c>
      <c r="J138" s="20">
        <v>4.2762454564892024E-4</v>
      </c>
      <c r="K138" s="20">
        <v>0</v>
      </c>
      <c r="L138" s="19">
        <v>9</v>
      </c>
      <c r="M138" s="19">
        <v>22</v>
      </c>
      <c r="N138" s="19">
        <v>11</v>
      </c>
      <c r="O138" s="19">
        <v>8</v>
      </c>
      <c r="P138" s="19">
        <v>0</v>
      </c>
      <c r="Q138" s="20">
        <v>1</v>
      </c>
      <c r="R138" s="20">
        <v>1</v>
      </c>
      <c r="S138" s="20">
        <v>1</v>
      </c>
      <c r="T138" s="20">
        <v>1</v>
      </c>
      <c r="U138" s="20">
        <v>0</v>
      </c>
      <c r="W138" s="19">
        <v>0</v>
      </c>
      <c r="X138" s="19">
        <v>5</v>
      </c>
      <c r="Y138" s="19">
        <v>8</v>
      </c>
      <c r="Z138" s="19">
        <v>6</v>
      </c>
      <c r="AA138" s="19">
        <v>8</v>
      </c>
      <c r="AB138" s="20">
        <v>0</v>
      </c>
      <c r="AC138" s="20">
        <v>3.703978072449811E-4</v>
      </c>
      <c r="AD138" s="20">
        <v>6.0100668619938395E-4</v>
      </c>
      <c r="AE138" s="20">
        <v>4.6203603881102723E-4</v>
      </c>
      <c r="AF138" s="20">
        <v>4.2762454564892024E-4</v>
      </c>
      <c r="AG138" s="19">
        <v>0</v>
      </c>
      <c r="AH138" s="19">
        <v>5</v>
      </c>
      <c r="AI138" s="19">
        <v>8</v>
      </c>
      <c r="AJ138" s="19">
        <v>6</v>
      </c>
      <c r="AK138" s="19">
        <v>8</v>
      </c>
      <c r="AL138" s="20">
        <v>0</v>
      </c>
      <c r="AM138" s="20">
        <v>1</v>
      </c>
      <c r="AN138" s="20">
        <v>1</v>
      </c>
      <c r="AO138" s="20">
        <v>1</v>
      </c>
      <c r="AP138" s="20">
        <v>1</v>
      </c>
      <c r="AQ138" s="37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</row>
    <row r="139" spans="1:55" s="21" customFormat="1" ht="12.75" x14ac:dyDescent="0.2">
      <c r="A139" s="29" t="s">
        <v>69</v>
      </c>
      <c r="B139" s="27">
        <v>13149</v>
      </c>
      <c r="C139" s="27">
        <v>13177</v>
      </c>
      <c r="D139" s="27">
        <v>18804</v>
      </c>
      <c r="E139" s="27">
        <v>18708</v>
      </c>
      <c r="F139" s="27">
        <v>18464</v>
      </c>
      <c r="G139" s="22">
        <v>1</v>
      </c>
      <c r="H139" s="22">
        <v>1</v>
      </c>
      <c r="I139" s="22">
        <v>1</v>
      </c>
      <c r="J139" s="22">
        <v>1</v>
      </c>
      <c r="K139" s="22">
        <v>1</v>
      </c>
      <c r="L139" s="27">
        <v>13149</v>
      </c>
      <c r="M139" s="27">
        <v>13177</v>
      </c>
      <c r="N139" s="27">
        <v>13401</v>
      </c>
      <c r="O139" s="27">
        <v>13439</v>
      </c>
      <c r="P139" s="27">
        <v>13196</v>
      </c>
      <c r="Q139" s="22">
        <v>1</v>
      </c>
      <c r="R139" s="22">
        <v>1</v>
      </c>
      <c r="S139" s="22">
        <v>0.71266751754945756</v>
      </c>
      <c r="T139" s="22">
        <v>0.71835578362197994</v>
      </c>
      <c r="U139" s="22">
        <v>0.71468804159445409</v>
      </c>
      <c r="W139" s="27">
        <v>2</v>
      </c>
      <c r="X139" s="27">
        <v>13499</v>
      </c>
      <c r="Y139" s="27">
        <v>13311</v>
      </c>
      <c r="Z139" s="27">
        <v>12986</v>
      </c>
      <c r="AA139" s="27">
        <v>18708</v>
      </c>
      <c r="AB139" s="22">
        <v>1</v>
      </c>
      <c r="AC139" s="22">
        <v>1</v>
      </c>
      <c r="AD139" s="22">
        <v>1</v>
      </c>
      <c r="AE139" s="22">
        <v>1</v>
      </c>
      <c r="AF139" s="22">
        <v>1</v>
      </c>
      <c r="AG139" s="27">
        <v>2</v>
      </c>
      <c r="AH139" s="27">
        <v>13499</v>
      </c>
      <c r="AI139" s="27">
        <v>13311</v>
      </c>
      <c r="AJ139" s="27">
        <v>12986</v>
      </c>
      <c r="AK139" s="27">
        <v>13439</v>
      </c>
      <c r="AL139" s="22">
        <v>1</v>
      </c>
      <c r="AM139" s="22">
        <v>1</v>
      </c>
      <c r="AN139" s="22">
        <v>1</v>
      </c>
      <c r="AO139" s="22">
        <v>1</v>
      </c>
      <c r="AP139" s="22">
        <v>0.71835578362197994</v>
      </c>
      <c r="AQ139" s="37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</row>
    <row r="140" spans="1:55" s="19" customFormat="1" ht="12.75" x14ac:dyDescent="0.2">
      <c r="A140" s="18"/>
      <c r="AQ140" s="37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</row>
    <row r="141" spans="1:55" s="25" customFormat="1" ht="12.75" x14ac:dyDescent="0.2">
      <c r="A141" s="28" t="s">
        <v>70</v>
      </c>
      <c r="B141" s="25" t="s">
        <v>10</v>
      </c>
      <c r="C141" s="25" t="s">
        <v>11</v>
      </c>
      <c r="D141" s="25" t="s">
        <v>12</v>
      </c>
      <c r="E141" s="25" t="s">
        <v>164</v>
      </c>
      <c r="F141" s="25" t="s">
        <v>195</v>
      </c>
      <c r="G141" s="25" t="s">
        <v>10</v>
      </c>
      <c r="H141" s="25" t="s">
        <v>11</v>
      </c>
      <c r="I141" s="25" t="s">
        <v>12</v>
      </c>
      <c r="J141" s="25" t="s">
        <v>164</v>
      </c>
      <c r="K141" s="25" t="s">
        <v>195</v>
      </c>
      <c r="L141" s="25" t="s">
        <v>10</v>
      </c>
      <c r="M141" s="25" t="s">
        <v>11</v>
      </c>
      <c r="N141" s="25" t="s">
        <v>12</v>
      </c>
      <c r="O141" s="25" t="s">
        <v>164</v>
      </c>
      <c r="P141" s="25" t="s">
        <v>195</v>
      </c>
      <c r="Q141" s="25" t="s">
        <v>10</v>
      </c>
      <c r="R141" s="25" t="s">
        <v>11</v>
      </c>
      <c r="S141" s="25" t="s">
        <v>12</v>
      </c>
      <c r="T141" s="25" t="s">
        <v>164</v>
      </c>
      <c r="U141" s="25" t="s">
        <v>195</v>
      </c>
      <c r="W141" s="25" t="s">
        <v>13</v>
      </c>
      <c r="X141" s="25" t="s">
        <v>14</v>
      </c>
      <c r="Y141" s="25" t="s">
        <v>15</v>
      </c>
      <c r="Z141" s="25" t="s">
        <v>16</v>
      </c>
      <c r="AA141" s="25" t="s">
        <v>165</v>
      </c>
      <c r="AB141" s="25" t="s">
        <v>13</v>
      </c>
      <c r="AC141" s="25" t="s">
        <v>14</v>
      </c>
      <c r="AD141" s="25" t="s">
        <v>15</v>
      </c>
      <c r="AE141" s="25" t="s">
        <v>16</v>
      </c>
      <c r="AF141" s="25" t="s">
        <v>165</v>
      </c>
      <c r="AG141" s="25" t="s">
        <v>13</v>
      </c>
      <c r="AH141" s="25" t="s">
        <v>14</v>
      </c>
      <c r="AI141" s="25" t="s">
        <v>15</v>
      </c>
      <c r="AJ141" s="25" t="s">
        <v>16</v>
      </c>
      <c r="AK141" s="25" t="s">
        <v>165</v>
      </c>
      <c r="AL141" s="25" t="s">
        <v>13</v>
      </c>
      <c r="AM141" s="25" t="s">
        <v>14</v>
      </c>
      <c r="AN141" s="25" t="s">
        <v>15</v>
      </c>
      <c r="AO141" s="25" t="s">
        <v>16</v>
      </c>
      <c r="AP141" s="25" t="s">
        <v>165</v>
      </c>
      <c r="AQ141" s="37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</row>
    <row r="142" spans="1:55" s="19" customFormat="1" ht="12.75" x14ac:dyDescent="0.2">
      <c r="A142" s="18" t="s">
        <v>19</v>
      </c>
      <c r="B142" s="19">
        <v>1482</v>
      </c>
      <c r="C142" s="19">
        <v>1489</v>
      </c>
      <c r="D142" s="19">
        <v>1519</v>
      </c>
      <c r="E142" s="19">
        <v>1526</v>
      </c>
      <c r="F142" s="19">
        <v>1484</v>
      </c>
      <c r="G142" s="20">
        <v>0.28239329268292684</v>
      </c>
      <c r="H142" s="20">
        <v>0.23710191082802548</v>
      </c>
      <c r="I142" s="20">
        <v>0.14246858000375165</v>
      </c>
      <c r="J142" s="20">
        <v>0.14150593471810088</v>
      </c>
      <c r="K142" s="20">
        <v>0.13874345549738221</v>
      </c>
      <c r="L142" s="19">
        <v>1482</v>
      </c>
      <c r="M142" s="19">
        <v>1489</v>
      </c>
      <c r="N142" s="19">
        <v>1507</v>
      </c>
      <c r="O142" s="19">
        <v>1515</v>
      </c>
      <c r="P142" s="19">
        <v>1472</v>
      </c>
      <c r="Q142" s="20">
        <v>1</v>
      </c>
      <c r="R142" s="20">
        <v>1</v>
      </c>
      <c r="S142" s="20">
        <v>0.99210006583278476</v>
      </c>
      <c r="T142" s="20">
        <v>0.99279161205766708</v>
      </c>
      <c r="U142" s="20">
        <v>0.99191374663072773</v>
      </c>
      <c r="W142" s="19">
        <v>2526</v>
      </c>
      <c r="X142" s="19">
        <v>2192</v>
      </c>
      <c r="Y142" s="19">
        <v>1418</v>
      </c>
      <c r="Z142" s="19">
        <v>1414</v>
      </c>
      <c r="AA142" s="19">
        <v>1526</v>
      </c>
      <c r="AB142" s="20">
        <v>0.3387421214965804</v>
      </c>
      <c r="AC142" s="20">
        <v>0.43892671205446537</v>
      </c>
      <c r="AD142" s="20">
        <v>0.25679101774719304</v>
      </c>
      <c r="AE142" s="20">
        <v>0.28704831506293138</v>
      </c>
      <c r="AF142" s="20">
        <v>0.14150593471810088</v>
      </c>
      <c r="AG142" s="19">
        <v>2526</v>
      </c>
      <c r="AH142" s="19">
        <v>2192</v>
      </c>
      <c r="AI142" s="19">
        <v>1418</v>
      </c>
      <c r="AJ142" s="19">
        <v>1414</v>
      </c>
      <c r="AK142" s="19">
        <v>1515</v>
      </c>
      <c r="AL142" s="20">
        <v>1</v>
      </c>
      <c r="AM142" s="20">
        <v>1</v>
      </c>
      <c r="AN142" s="20">
        <v>1</v>
      </c>
      <c r="AO142" s="20">
        <v>1</v>
      </c>
      <c r="AP142" s="20">
        <v>0.99279161205766708</v>
      </c>
      <c r="AQ142" s="37"/>
    </row>
    <row r="143" spans="1:55" s="19" customFormat="1" ht="12.75" x14ac:dyDescent="0.2">
      <c r="A143" s="18" t="s">
        <v>20</v>
      </c>
      <c r="B143" s="19">
        <v>353</v>
      </c>
      <c r="C143" s="19">
        <v>331</v>
      </c>
      <c r="D143" s="19">
        <v>153</v>
      </c>
      <c r="E143" s="19">
        <v>124</v>
      </c>
      <c r="F143" s="19">
        <v>120</v>
      </c>
      <c r="G143" s="20">
        <v>6.7263719512195119E-2</v>
      </c>
      <c r="H143" s="20">
        <v>5.2707006369426754E-2</v>
      </c>
      <c r="I143" s="20">
        <v>1.4350028137310074E-2</v>
      </c>
      <c r="J143" s="20">
        <v>1.1498516320474777E-2</v>
      </c>
      <c r="K143" s="20">
        <v>1.1219147344801795E-2</v>
      </c>
      <c r="L143" s="19">
        <v>353</v>
      </c>
      <c r="M143" s="19">
        <v>331</v>
      </c>
      <c r="N143" s="19">
        <v>152</v>
      </c>
      <c r="O143" s="19">
        <v>124</v>
      </c>
      <c r="P143" s="19">
        <v>120</v>
      </c>
      <c r="Q143" s="20">
        <v>1</v>
      </c>
      <c r="R143" s="20">
        <v>1</v>
      </c>
      <c r="S143" s="20">
        <v>0.99346405228758172</v>
      </c>
      <c r="T143" s="20">
        <v>1</v>
      </c>
      <c r="U143" s="20">
        <v>1</v>
      </c>
      <c r="W143" s="19">
        <v>2402</v>
      </c>
      <c r="X143" s="19">
        <v>79</v>
      </c>
      <c r="Y143" s="19">
        <v>1043</v>
      </c>
      <c r="Z143" s="19">
        <v>371</v>
      </c>
      <c r="AA143" s="19">
        <v>124</v>
      </c>
      <c r="AB143" s="20">
        <v>0.32211345044924233</v>
      </c>
      <c r="AC143" s="20">
        <v>1.5818982779335203E-2</v>
      </c>
      <c r="AD143" s="20">
        <v>0.18888084027526258</v>
      </c>
      <c r="AE143" s="20">
        <v>7.5314656922452289E-2</v>
      </c>
      <c r="AF143" s="20">
        <v>1.1498516320474777E-2</v>
      </c>
      <c r="AG143" s="19">
        <v>2402</v>
      </c>
      <c r="AH143" s="19">
        <v>79</v>
      </c>
      <c r="AI143" s="19">
        <v>1043</v>
      </c>
      <c r="AJ143" s="19">
        <v>371</v>
      </c>
      <c r="AK143" s="19">
        <v>124</v>
      </c>
      <c r="AL143" s="20">
        <v>1</v>
      </c>
      <c r="AM143" s="20">
        <v>1</v>
      </c>
      <c r="AN143" s="20">
        <v>1</v>
      </c>
      <c r="AO143" s="20">
        <v>1</v>
      </c>
      <c r="AP143" s="20">
        <v>1</v>
      </c>
      <c r="AQ143" s="37"/>
    </row>
    <row r="144" spans="1:55" s="19" customFormat="1" ht="12.75" x14ac:dyDescent="0.2">
      <c r="A144" s="18" t="s">
        <v>24</v>
      </c>
      <c r="B144" s="19">
        <v>4</v>
      </c>
      <c r="C144" s="19">
        <v>4</v>
      </c>
      <c r="D144" s="19">
        <v>2</v>
      </c>
      <c r="E144" s="19">
        <v>2</v>
      </c>
      <c r="F144" s="19">
        <v>1</v>
      </c>
      <c r="G144" s="20">
        <v>7.6219512195121954E-4</v>
      </c>
      <c r="H144" s="20">
        <v>6.3694267515923564E-4</v>
      </c>
      <c r="I144" s="20">
        <v>1.8758206715438003E-4</v>
      </c>
      <c r="J144" s="20">
        <v>1.85459940652819E-4</v>
      </c>
      <c r="K144" s="20">
        <v>9.3492894540014957E-5</v>
      </c>
      <c r="L144" s="19">
        <v>4</v>
      </c>
      <c r="M144" s="19">
        <v>4</v>
      </c>
      <c r="N144" s="19">
        <v>2</v>
      </c>
      <c r="O144" s="19">
        <v>2</v>
      </c>
      <c r="P144" s="19">
        <v>1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W144" s="19">
        <v>0</v>
      </c>
      <c r="X144" s="19">
        <v>1</v>
      </c>
      <c r="Y144" s="19">
        <v>1</v>
      </c>
      <c r="Z144" s="19">
        <v>3</v>
      </c>
      <c r="AA144" s="19">
        <v>2</v>
      </c>
      <c r="AB144" s="20">
        <v>0</v>
      </c>
      <c r="AC144" s="20">
        <v>2.0024028834601522E-4</v>
      </c>
      <c r="AD144" s="20">
        <v>1.8109380659181456E-4</v>
      </c>
      <c r="AE144" s="20">
        <v>6.0901339829476245E-4</v>
      </c>
      <c r="AF144" s="20">
        <v>1.85459940652819E-4</v>
      </c>
      <c r="AG144" s="19">
        <v>0</v>
      </c>
      <c r="AH144" s="19">
        <v>1</v>
      </c>
      <c r="AI144" s="19">
        <v>1</v>
      </c>
      <c r="AJ144" s="19">
        <v>3</v>
      </c>
      <c r="AK144" s="19">
        <v>2</v>
      </c>
      <c r="AL144" s="20">
        <v>0</v>
      </c>
      <c r="AM144" s="20">
        <v>1</v>
      </c>
      <c r="AN144" s="20">
        <v>1</v>
      </c>
      <c r="AO144" s="20">
        <v>1</v>
      </c>
      <c r="AP144" s="20">
        <v>1</v>
      </c>
      <c r="AQ144" s="37"/>
    </row>
    <row r="145" spans="1:43" s="19" customFormat="1" ht="12.75" x14ac:dyDescent="0.2">
      <c r="A145" s="18" t="s">
        <v>198</v>
      </c>
      <c r="B145" s="19">
        <v>0</v>
      </c>
      <c r="C145" s="19">
        <v>2</v>
      </c>
      <c r="D145" s="19">
        <v>2</v>
      </c>
      <c r="E145" s="19">
        <v>2</v>
      </c>
      <c r="F145" s="19">
        <v>2</v>
      </c>
      <c r="G145" s="20">
        <v>0</v>
      </c>
      <c r="H145" s="20">
        <v>3.1847133757961782E-4</v>
      </c>
      <c r="I145" s="20">
        <v>1.8758206715438003E-4</v>
      </c>
      <c r="J145" s="20">
        <v>1.85459940652819E-4</v>
      </c>
      <c r="K145" s="20">
        <v>1.8698578908002991E-4</v>
      </c>
      <c r="L145" s="19">
        <v>0</v>
      </c>
      <c r="M145" s="19">
        <v>2</v>
      </c>
      <c r="N145" s="19">
        <v>2</v>
      </c>
      <c r="O145" s="19">
        <v>2</v>
      </c>
      <c r="P145" s="19">
        <v>2</v>
      </c>
      <c r="Q145" s="20">
        <v>0</v>
      </c>
      <c r="R145" s="20">
        <v>1</v>
      </c>
      <c r="S145" s="20">
        <v>1</v>
      </c>
      <c r="T145" s="20">
        <v>1</v>
      </c>
      <c r="U145" s="20">
        <v>1</v>
      </c>
      <c r="W145" s="19">
        <v>0</v>
      </c>
      <c r="X145" s="19">
        <v>0</v>
      </c>
      <c r="Y145" s="19">
        <v>0</v>
      </c>
      <c r="Z145" s="19">
        <v>0</v>
      </c>
      <c r="AA145" s="19">
        <v>2</v>
      </c>
      <c r="AB145" s="20">
        <v>0</v>
      </c>
      <c r="AC145" s="20">
        <v>0</v>
      </c>
      <c r="AD145" s="20">
        <v>0</v>
      </c>
      <c r="AE145" s="20">
        <v>0</v>
      </c>
      <c r="AF145" s="20">
        <v>1.85459940652819E-4</v>
      </c>
      <c r="AG145" s="19">
        <v>0</v>
      </c>
      <c r="AH145" s="19">
        <v>0</v>
      </c>
      <c r="AI145" s="19">
        <v>0</v>
      </c>
      <c r="AJ145" s="19">
        <v>0</v>
      </c>
      <c r="AK145" s="19">
        <v>2</v>
      </c>
      <c r="AL145" s="20">
        <v>0</v>
      </c>
      <c r="AM145" s="20">
        <v>0</v>
      </c>
      <c r="AN145" s="20">
        <v>0</v>
      </c>
      <c r="AO145" s="20">
        <v>0</v>
      </c>
      <c r="AP145" s="20">
        <v>1</v>
      </c>
      <c r="AQ145" s="37"/>
    </row>
    <row r="146" spans="1:43" s="19" customFormat="1" ht="12.75" x14ac:dyDescent="0.2">
      <c r="A146" s="18" t="s">
        <v>82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W146" s="19">
        <v>1</v>
      </c>
      <c r="X146" s="19">
        <v>1</v>
      </c>
      <c r="Y146" s="19">
        <v>1</v>
      </c>
      <c r="Z146" s="19">
        <v>0</v>
      </c>
      <c r="AA146" s="19">
        <v>0</v>
      </c>
      <c r="AB146" s="20">
        <v>1.3410218586562962E-4</v>
      </c>
      <c r="AC146" s="20">
        <v>2.0024028834601522E-4</v>
      </c>
      <c r="AD146" s="20">
        <v>1.8109380659181456E-4</v>
      </c>
      <c r="AE146" s="20">
        <v>0</v>
      </c>
      <c r="AF146" s="20">
        <v>0</v>
      </c>
      <c r="AG146" s="19">
        <v>1</v>
      </c>
      <c r="AH146" s="19">
        <v>1</v>
      </c>
      <c r="AI146" s="19">
        <v>1</v>
      </c>
      <c r="AJ146" s="19">
        <v>0</v>
      </c>
      <c r="AK146" s="19">
        <v>0</v>
      </c>
      <c r="AL146" s="20">
        <v>1</v>
      </c>
      <c r="AM146" s="20">
        <v>1</v>
      </c>
      <c r="AN146" s="20">
        <v>1</v>
      </c>
      <c r="AO146" s="20">
        <v>0</v>
      </c>
      <c r="AP146" s="20">
        <v>0</v>
      </c>
      <c r="AQ146" s="37"/>
    </row>
    <row r="147" spans="1:43" s="19" customFormat="1" ht="12.75" x14ac:dyDescent="0.2">
      <c r="A147" s="18" t="s">
        <v>26</v>
      </c>
      <c r="B147" s="19">
        <v>0</v>
      </c>
      <c r="C147" s="19">
        <v>0</v>
      </c>
      <c r="D147" s="19">
        <v>0</v>
      </c>
      <c r="E147" s="19">
        <v>2</v>
      </c>
      <c r="F147" s="19">
        <v>10</v>
      </c>
      <c r="G147" s="20">
        <v>0</v>
      </c>
      <c r="H147" s="20">
        <v>0</v>
      </c>
      <c r="I147" s="20">
        <v>0</v>
      </c>
      <c r="J147" s="20">
        <v>1.85459940652819E-4</v>
      </c>
      <c r="K147" s="20">
        <v>9.3492894540014957E-4</v>
      </c>
      <c r="L147" s="19">
        <v>0</v>
      </c>
      <c r="M147" s="19">
        <v>0</v>
      </c>
      <c r="N147" s="19">
        <v>0</v>
      </c>
      <c r="O147" s="19">
        <v>2</v>
      </c>
      <c r="P147" s="19">
        <v>10</v>
      </c>
      <c r="Q147" s="20">
        <v>0</v>
      </c>
      <c r="R147" s="20">
        <v>0</v>
      </c>
      <c r="S147" s="20">
        <v>0</v>
      </c>
      <c r="T147" s="20">
        <v>1</v>
      </c>
      <c r="U147" s="20">
        <v>1</v>
      </c>
      <c r="W147" s="19">
        <v>0</v>
      </c>
      <c r="X147" s="19">
        <v>0</v>
      </c>
      <c r="Y147" s="19">
        <v>0</v>
      </c>
      <c r="Z147" s="19">
        <v>0</v>
      </c>
      <c r="AA147" s="19">
        <v>2</v>
      </c>
      <c r="AB147" s="20">
        <v>0</v>
      </c>
      <c r="AC147" s="20">
        <v>0</v>
      </c>
      <c r="AD147" s="20">
        <v>0</v>
      </c>
      <c r="AE147" s="20">
        <v>0</v>
      </c>
      <c r="AF147" s="20">
        <v>1.85459940652819E-4</v>
      </c>
      <c r="AG147" s="19">
        <v>0</v>
      </c>
      <c r="AH147" s="19">
        <v>0</v>
      </c>
      <c r="AI147" s="19">
        <v>0</v>
      </c>
      <c r="AJ147" s="19">
        <v>0</v>
      </c>
      <c r="AK147" s="19">
        <v>2</v>
      </c>
      <c r="AL147" s="20">
        <v>0</v>
      </c>
      <c r="AM147" s="20">
        <v>0</v>
      </c>
      <c r="AN147" s="20">
        <v>0</v>
      </c>
      <c r="AO147" s="20">
        <v>0</v>
      </c>
      <c r="AP147" s="20">
        <v>1</v>
      </c>
      <c r="AQ147" s="37"/>
    </row>
    <row r="148" spans="1:43" s="19" customFormat="1" ht="12.75" x14ac:dyDescent="0.2">
      <c r="A148" s="18" t="s">
        <v>30</v>
      </c>
      <c r="B148" s="19">
        <v>664</v>
      </c>
      <c r="C148" s="19">
        <v>641</v>
      </c>
      <c r="D148" s="19">
        <v>1069</v>
      </c>
      <c r="E148" s="19">
        <v>1000</v>
      </c>
      <c r="F148" s="19">
        <v>1125</v>
      </c>
      <c r="G148" s="20">
        <v>0.12652439024390244</v>
      </c>
      <c r="H148" s="20">
        <v>0.10207006369426752</v>
      </c>
      <c r="I148" s="20">
        <v>0.10026261489401614</v>
      </c>
      <c r="J148" s="20">
        <v>9.2729970326409492E-2</v>
      </c>
      <c r="K148" s="20">
        <v>0.10517950635751683</v>
      </c>
      <c r="L148" s="19">
        <v>664</v>
      </c>
      <c r="M148" s="19">
        <v>641</v>
      </c>
      <c r="N148" s="19">
        <v>1063</v>
      </c>
      <c r="O148" s="19">
        <v>994</v>
      </c>
      <c r="P148" s="19">
        <v>1121</v>
      </c>
      <c r="Q148" s="20">
        <v>1</v>
      </c>
      <c r="R148" s="20">
        <v>1</v>
      </c>
      <c r="S148" s="20">
        <v>0.99438727782974745</v>
      </c>
      <c r="T148" s="20">
        <v>0.99399999999999999</v>
      </c>
      <c r="U148" s="20">
        <v>0.99644444444444447</v>
      </c>
      <c r="W148" s="19">
        <v>810</v>
      </c>
      <c r="X148" s="19">
        <v>660</v>
      </c>
      <c r="Y148" s="19">
        <v>520</v>
      </c>
      <c r="Z148" s="19">
        <v>650</v>
      </c>
      <c r="AA148" s="19">
        <v>1000</v>
      </c>
      <c r="AB148" s="20">
        <v>0.10862277055115999</v>
      </c>
      <c r="AC148" s="20">
        <v>0.13215859030837004</v>
      </c>
      <c r="AD148" s="20">
        <v>9.4168779427743571E-2</v>
      </c>
      <c r="AE148" s="20">
        <v>0.13195290296386519</v>
      </c>
      <c r="AF148" s="20">
        <v>9.2729970326409492E-2</v>
      </c>
      <c r="AG148" s="19">
        <v>810</v>
      </c>
      <c r="AH148" s="19">
        <v>660</v>
      </c>
      <c r="AI148" s="19">
        <v>520</v>
      </c>
      <c r="AJ148" s="19">
        <v>650</v>
      </c>
      <c r="AK148" s="19">
        <v>994</v>
      </c>
      <c r="AL148" s="20">
        <v>1</v>
      </c>
      <c r="AM148" s="20">
        <v>1</v>
      </c>
      <c r="AN148" s="20">
        <v>1</v>
      </c>
      <c r="AO148" s="20">
        <v>1</v>
      </c>
      <c r="AP148" s="20">
        <v>0.99399999999999999</v>
      </c>
      <c r="AQ148" s="37"/>
    </row>
    <row r="149" spans="1:43" s="19" customFormat="1" ht="12.75" x14ac:dyDescent="0.2">
      <c r="A149" s="18" t="s">
        <v>79</v>
      </c>
      <c r="B149" s="19">
        <v>0</v>
      </c>
      <c r="C149" s="19">
        <v>6</v>
      </c>
      <c r="D149" s="19">
        <v>12</v>
      </c>
      <c r="E149" s="19">
        <v>10</v>
      </c>
      <c r="F149" s="19">
        <v>12</v>
      </c>
      <c r="G149" s="20">
        <v>0</v>
      </c>
      <c r="H149" s="20">
        <v>9.5541401273885351E-4</v>
      </c>
      <c r="I149" s="20">
        <v>1.1254924029262803E-3</v>
      </c>
      <c r="J149" s="20">
        <v>9.2729970326409499E-4</v>
      </c>
      <c r="K149" s="20">
        <v>1.1219147344801795E-3</v>
      </c>
      <c r="L149" s="19">
        <v>0</v>
      </c>
      <c r="M149" s="19">
        <v>6</v>
      </c>
      <c r="N149" s="19">
        <v>12</v>
      </c>
      <c r="O149" s="19">
        <v>10</v>
      </c>
      <c r="P149" s="19">
        <v>12</v>
      </c>
      <c r="Q149" s="20">
        <v>0</v>
      </c>
      <c r="R149" s="20">
        <v>1</v>
      </c>
      <c r="S149" s="20">
        <v>1</v>
      </c>
      <c r="T149" s="20">
        <v>1</v>
      </c>
      <c r="U149" s="20">
        <v>1</v>
      </c>
      <c r="W149" s="19">
        <v>0</v>
      </c>
      <c r="X149" s="19">
        <v>0</v>
      </c>
      <c r="Y149" s="19">
        <v>0</v>
      </c>
      <c r="Z149" s="19">
        <v>0</v>
      </c>
      <c r="AA149" s="19">
        <v>10</v>
      </c>
      <c r="AB149" s="20">
        <v>0</v>
      </c>
      <c r="AC149" s="20">
        <v>0</v>
      </c>
      <c r="AD149" s="20">
        <v>0</v>
      </c>
      <c r="AE149" s="20">
        <v>0</v>
      </c>
      <c r="AF149" s="20">
        <v>9.2729970326409499E-4</v>
      </c>
      <c r="AG149" s="19">
        <v>0</v>
      </c>
      <c r="AH149" s="19">
        <v>0</v>
      </c>
      <c r="AI149" s="19">
        <v>0</v>
      </c>
      <c r="AJ149" s="19">
        <v>0</v>
      </c>
      <c r="AK149" s="19">
        <v>10</v>
      </c>
      <c r="AL149" s="20">
        <v>0</v>
      </c>
      <c r="AM149" s="20">
        <v>0</v>
      </c>
      <c r="AN149" s="20">
        <v>0</v>
      </c>
      <c r="AO149" s="20">
        <v>0</v>
      </c>
      <c r="AP149" s="20">
        <v>1</v>
      </c>
      <c r="AQ149" s="37"/>
    </row>
    <row r="150" spans="1:43" s="19" customFormat="1" ht="12.75" x14ac:dyDescent="0.2">
      <c r="A150" s="18" t="s">
        <v>80</v>
      </c>
      <c r="B150" s="19">
        <v>42</v>
      </c>
      <c r="C150" s="19">
        <v>47</v>
      </c>
      <c r="D150" s="19">
        <v>62</v>
      </c>
      <c r="E150" s="19">
        <v>63</v>
      </c>
      <c r="F150" s="19">
        <v>61</v>
      </c>
      <c r="G150" s="20">
        <v>8.003048780487805E-3</v>
      </c>
      <c r="H150" s="20">
        <v>7.4840764331210192E-3</v>
      </c>
      <c r="I150" s="20">
        <v>5.8150440817857814E-3</v>
      </c>
      <c r="J150" s="20">
        <v>5.8419881305637978E-3</v>
      </c>
      <c r="K150" s="20">
        <v>5.7030665669409123E-3</v>
      </c>
      <c r="L150" s="19">
        <v>42</v>
      </c>
      <c r="M150" s="19">
        <v>47</v>
      </c>
      <c r="N150" s="19">
        <v>61</v>
      </c>
      <c r="O150" s="19">
        <v>62</v>
      </c>
      <c r="P150" s="19">
        <v>61</v>
      </c>
      <c r="Q150" s="20">
        <v>1</v>
      </c>
      <c r="R150" s="20">
        <v>1</v>
      </c>
      <c r="S150" s="20">
        <v>0.9838709677419355</v>
      </c>
      <c r="T150" s="20">
        <v>0.98412698412698407</v>
      </c>
      <c r="U150" s="20">
        <v>1</v>
      </c>
      <c r="W150" s="19">
        <v>169</v>
      </c>
      <c r="X150" s="19">
        <v>123</v>
      </c>
      <c r="Y150" s="19">
        <v>89</v>
      </c>
      <c r="Z150" s="19">
        <v>51</v>
      </c>
      <c r="AA150" s="19">
        <v>63</v>
      </c>
      <c r="AB150" s="20">
        <v>2.2663269411291403E-2</v>
      </c>
      <c r="AC150" s="20">
        <v>2.4629555466559871E-2</v>
      </c>
      <c r="AD150" s="20">
        <v>1.6117348786671495E-2</v>
      </c>
      <c r="AE150" s="20">
        <v>1.0353227771010963E-2</v>
      </c>
      <c r="AF150" s="20">
        <v>5.8419881305637978E-3</v>
      </c>
      <c r="AG150" s="19">
        <v>169</v>
      </c>
      <c r="AH150" s="19">
        <v>123</v>
      </c>
      <c r="AI150" s="19">
        <v>89</v>
      </c>
      <c r="AJ150" s="19">
        <v>51</v>
      </c>
      <c r="AK150" s="19">
        <v>62</v>
      </c>
      <c r="AL150" s="20">
        <v>1</v>
      </c>
      <c r="AM150" s="20">
        <v>1</v>
      </c>
      <c r="AN150" s="20">
        <v>1</v>
      </c>
      <c r="AO150" s="20">
        <v>1</v>
      </c>
      <c r="AP150" s="20">
        <v>0.98412698412698407</v>
      </c>
      <c r="AQ150" s="37"/>
    </row>
    <row r="151" spans="1:43" s="19" customFormat="1" ht="12.75" x14ac:dyDescent="0.2">
      <c r="A151" s="18" t="s">
        <v>35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W151" s="19">
        <v>1</v>
      </c>
      <c r="X151" s="19">
        <v>0</v>
      </c>
      <c r="Y151" s="19">
        <v>0</v>
      </c>
      <c r="Z151" s="19">
        <v>0</v>
      </c>
      <c r="AA151" s="19">
        <v>0</v>
      </c>
      <c r="AB151" s="20">
        <v>1.3410218586562962E-4</v>
      </c>
      <c r="AC151" s="20">
        <v>0</v>
      </c>
      <c r="AD151" s="20">
        <v>0</v>
      </c>
      <c r="AE151" s="20">
        <v>0</v>
      </c>
      <c r="AF151" s="20">
        <v>0</v>
      </c>
      <c r="AG151" s="19">
        <v>1</v>
      </c>
      <c r="AH151" s="19">
        <v>0</v>
      </c>
      <c r="AI151" s="19">
        <v>0</v>
      </c>
      <c r="AJ151" s="19">
        <v>0</v>
      </c>
      <c r="AK151" s="19">
        <v>0</v>
      </c>
      <c r="AL151" s="20">
        <v>1</v>
      </c>
      <c r="AM151" s="20">
        <v>0</v>
      </c>
      <c r="AN151" s="20">
        <v>0</v>
      </c>
      <c r="AO151" s="20">
        <v>0</v>
      </c>
      <c r="AP151" s="20">
        <v>0</v>
      </c>
      <c r="AQ151" s="37"/>
    </row>
    <row r="152" spans="1:43" s="19" customFormat="1" ht="12.75" x14ac:dyDescent="0.2">
      <c r="A152" s="18" t="s">
        <v>85</v>
      </c>
      <c r="B152" s="19">
        <v>4</v>
      </c>
      <c r="C152" s="19">
        <v>5</v>
      </c>
      <c r="D152" s="19">
        <v>6</v>
      </c>
      <c r="E152" s="19">
        <v>8</v>
      </c>
      <c r="F152" s="19">
        <v>72</v>
      </c>
      <c r="G152" s="20">
        <v>7.6219512195121954E-4</v>
      </c>
      <c r="H152" s="20">
        <v>7.9617834394904463E-4</v>
      </c>
      <c r="I152" s="20">
        <v>5.6274620146314015E-4</v>
      </c>
      <c r="J152" s="20">
        <v>7.4183976261127599E-4</v>
      </c>
      <c r="K152" s="20">
        <v>6.7314884068810773E-3</v>
      </c>
      <c r="L152" s="19">
        <v>4</v>
      </c>
      <c r="M152" s="19">
        <v>5</v>
      </c>
      <c r="N152" s="19">
        <v>6</v>
      </c>
      <c r="O152" s="19">
        <v>8</v>
      </c>
      <c r="P152" s="19">
        <v>72</v>
      </c>
      <c r="Q152" s="20">
        <v>1</v>
      </c>
      <c r="R152" s="20">
        <v>1</v>
      </c>
      <c r="S152" s="20">
        <v>1</v>
      </c>
      <c r="T152" s="20">
        <v>1</v>
      </c>
      <c r="U152" s="20">
        <v>1</v>
      </c>
      <c r="W152" s="19">
        <v>0</v>
      </c>
      <c r="X152" s="19">
        <v>0</v>
      </c>
      <c r="Y152" s="19">
        <v>0</v>
      </c>
      <c r="Z152" s="19">
        <v>2</v>
      </c>
      <c r="AA152" s="19">
        <v>8</v>
      </c>
      <c r="AB152" s="20">
        <v>0</v>
      </c>
      <c r="AC152" s="20">
        <v>0</v>
      </c>
      <c r="AD152" s="20">
        <v>0</v>
      </c>
      <c r="AE152" s="20">
        <v>4.0600893219650832E-4</v>
      </c>
      <c r="AF152" s="20">
        <v>7.4183976261127599E-4</v>
      </c>
      <c r="AG152" s="19">
        <v>0</v>
      </c>
      <c r="AH152" s="19">
        <v>0</v>
      </c>
      <c r="AI152" s="19">
        <v>0</v>
      </c>
      <c r="AJ152" s="19">
        <v>2</v>
      </c>
      <c r="AK152" s="19">
        <v>8</v>
      </c>
      <c r="AL152" s="20">
        <v>0</v>
      </c>
      <c r="AM152" s="20">
        <v>0</v>
      </c>
      <c r="AN152" s="20">
        <v>0</v>
      </c>
      <c r="AO152" s="20">
        <v>1</v>
      </c>
      <c r="AP152" s="20">
        <v>1</v>
      </c>
      <c r="AQ152" s="37"/>
    </row>
    <row r="153" spans="1:43" s="19" customFormat="1" ht="12.75" x14ac:dyDescent="0.2">
      <c r="A153" s="18" t="s">
        <v>37</v>
      </c>
      <c r="B153" s="19">
        <v>11</v>
      </c>
      <c r="C153" s="19">
        <v>11</v>
      </c>
      <c r="D153" s="19">
        <v>11</v>
      </c>
      <c r="E153" s="19">
        <v>16</v>
      </c>
      <c r="F153" s="19">
        <v>17</v>
      </c>
      <c r="G153" s="20">
        <v>2.0960365853658538E-3</v>
      </c>
      <c r="H153" s="20">
        <v>1.7515923566878981E-3</v>
      </c>
      <c r="I153" s="20">
        <v>1.0317013693490903E-3</v>
      </c>
      <c r="J153" s="20">
        <v>1.483679525222552E-3</v>
      </c>
      <c r="K153" s="20">
        <v>1.5893792071802542E-3</v>
      </c>
      <c r="L153" s="19">
        <v>11</v>
      </c>
      <c r="M153" s="19">
        <v>11</v>
      </c>
      <c r="N153" s="19">
        <v>11</v>
      </c>
      <c r="O153" s="19">
        <v>16</v>
      </c>
      <c r="P153" s="19">
        <v>17</v>
      </c>
      <c r="Q153" s="20">
        <v>1</v>
      </c>
      <c r="R153" s="20">
        <v>1</v>
      </c>
      <c r="S153" s="20">
        <v>1</v>
      </c>
      <c r="T153" s="20">
        <v>1</v>
      </c>
      <c r="U153" s="20">
        <v>1</v>
      </c>
      <c r="W153" s="19">
        <v>10</v>
      </c>
      <c r="X153" s="19">
        <v>16</v>
      </c>
      <c r="Y153" s="19">
        <v>45</v>
      </c>
      <c r="Z153" s="19">
        <v>9</v>
      </c>
      <c r="AA153" s="19">
        <v>16</v>
      </c>
      <c r="AB153" s="20">
        <v>1.3410218586562962E-3</v>
      </c>
      <c r="AC153" s="20">
        <v>3.2038446135362435E-3</v>
      </c>
      <c r="AD153" s="20">
        <v>8.1492212966316549E-3</v>
      </c>
      <c r="AE153" s="20">
        <v>1.8270401948842874E-3</v>
      </c>
      <c r="AF153" s="20">
        <v>1.483679525222552E-3</v>
      </c>
      <c r="AG153" s="19">
        <v>10</v>
      </c>
      <c r="AH153" s="19">
        <v>16</v>
      </c>
      <c r="AI153" s="19">
        <v>45</v>
      </c>
      <c r="AJ153" s="19">
        <v>9</v>
      </c>
      <c r="AK153" s="19">
        <v>16</v>
      </c>
      <c r="AL153" s="20">
        <v>1</v>
      </c>
      <c r="AM153" s="20">
        <v>1</v>
      </c>
      <c r="AN153" s="20">
        <v>1</v>
      </c>
      <c r="AO153" s="20">
        <v>1</v>
      </c>
      <c r="AP153" s="20">
        <v>1</v>
      </c>
      <c r="AQ153" s="37"/>
    </row>
    <row r="154" spans="1:43" s="19" customFormat="1" ht="12.75" x14ac:dyDescent="0.2">
      <c r="A154" s="18" t="s">
        <v>86</v>
      </c>
      <c r="B154" s="19">
        <v>1</v>
      </c>
      <c r="C154" s="19">
        <v>1</v>
      </c>
      <c r="D154" s="19">
        <v>2</v>
      </c>
      <c r="E154" s="19">
        <v>2</v>
      </c>
      <c r="F154" s="19">
        <v>1</v>
      </c>
      <c r="G154" s="20">
        <v>1.9054878048780488E-4</v>
      </c>
      <c r="H154" s="20">
        <v>1.5923566878980891E-4</v>
      </c>
      <c r="I154" s="20">
        <v>1.8758206715438003E-4</v>
      </c>
      <c r="J154" s="20">
        <v>1.85459940652819E-4</v>
      </c>
      <c r="K154" s="20">
        <v>9.3492894540014957E-5</v>
      </c>
      <c r="L154" s="19">
        <v>1</v>
      </c>
      <c r="M154" s="19">
        <v>1</v>
      </c>
      <c r="N154" s="19">
        <v>2</v>
      </c>
      <c r="O154" s="19">
        <v>2</v>
      </c>
      <c r="P154" s="19">
        <v>1</v>
      </c>
      <c r="Q154" s="20">
        <v>1</v>
      </c>
      <c r="R154" s="20">
        <v>1</v>
      </c>
      <c r="S154" s="20">
        <v>1</v>
      </c>
      <c r="T154" s="20">
        <v>1</v>
      </c>
      <c r="U154" s="20">
        <v>1</v>
      </c>
      <c r="W154" s="19">
        <v>1</v>
      </c>
      <c r="X154" s="19">
        <v>1</v>
      </c>
      <c r="Y154" s="19">
        <v>2</v>
      </c>
      <c r="Z154" s="19">
        <v>2</v>
      </c>
      <c r="AA154" s="19">
        <v>2</v>
      </c>
      <c r="AB154" s="20">
        <v>1.3410218586562962E-4</v>
      </c>
      <c r="AC154" s="20">
        <v>2.0024028834601522E-4</v>
      </c>
      <c r="AD154" s="20">
        <v>3.6218761318362912E-4</v>
      </c>
      <c r="AE154" s="20">
        <v>4.0600893219650832E-4</v>
      </c>
      <c r="AF154" s="20">
        <v>1.85459940652819E-4</v>
      </c>
      <c r="AG154" s="19">
        <v>1</v>
      </c>
      <c r="AH154" s="19">
        <v>1</v>
      </c>
      <c r="AI154" s="19">
        <v>2</v>
      </c>
      <c r="AJ154" s="19">
        <v>2</v>
      </c>
      <c r="AK154" s="19">
        <v>2</v>
      </c>
      <c r="AL154" s="20">
        <v>1</v>
      </c>
      <c r="AM154" s="20">
        <v>1</v>
      </c>
      <c r="AN154" s="20">
        <v>1</v>
      </c>
      <c r="AO154" s="20">
        <v>1</v>
      </c>
      <c r="AP154" s="20">
        <v>1</v>
      </c>
      <c r="AQ154" s="37"/>
    </row>
    <row r="155" spans="1:43" s="19" customFormat="1" ht="12.75" x14ac:dyDescent="0.2">
      <c r="A155" s="18" t="s">
        <v>40</v>
      </c>
      <c r="B155" s="19">
        <v>38</v>
      </c>
      <c r="C155" s="19">
        <v>45</v>
      </c>
      <c r="D155" s="19">
        <v>118</v>
      </c>
      <c r="E155" s="19">
        <v>117</v>
      </c>
      <c r="F155" s="19">
        <v>206</v>
      </c>
      <c r="G155" s="20">
        <v>7.2408536585365857E-3</v>
      </c>
      <c r="H155" s="20">
        <v>7.1656050955414014E-3</v>
      </c>
      <c r="I155" s="20">
        <v>1.1067341962108422E-2</v>
      </c>
      <c r="J155" s="20">
        <v>1.0849406528189911E-2</v>
      </c>
      <c r="K155" s="20">
        <v>1.9259536275243083E-2</v>
      </c>
      <c r="L155" s="19">
        <v>38</v>
      </c>
      <c r="M155" s="19">
        <v>45</v>
      </c>
      <c r="N155" s="19">
        <v>118</v>
      </c>
      <c r="O155" s="19">
        <v>117</v>
      </c>
      <c r="P155" s="19">
        <v>206</v>
      </c>
      <c r="Q155" s="20">
        <v>1</v>
      </c>
      <c r="R155" s="20">
        <v>1</v>
      </c>
      <c r="S155" s="20">
        <v>1</v>
      </c>
      <c r="T155" s="20">
        <v>1</v>
      </c>
      <c r="U155" s="20">
        <v>1</v>
      </c>
      <c r="W155" s="19">
        <v>400</v>
      </c>
      <c r="X155" s="19">
        <v>237</v>
      </c>
      <c r="Y155" s="19">
        <v>77</v>
      </c>
      <c r="Z155" s="19">
        <v>32</v>
      </c>
      <c r="AA155" s="19">
        <v>117</v>
      </c>
      <c r="AB155" s="20">
        <v>5.3640874346251845E-2</v>
      </c>
      <c r="AC155" s="20">
        <v>4.7456948338005608E-2</v>
      </c>
      <c r="AD155" s="20">
        <v>1.3944223107569721E-2</v>
      </c>
      <c r="AE155" s="20">
        <v>6.4961429151441331E-3</v>
      </c>
      <c r="AF155" s="20">
        <v>1.0849406528189911E-2</v>
      </c>
      <c r="AG155" s="19">
        <v>400</v>
      </c>
      <c r="AH155" s="19">
        <v>237</v>
      </c>
      <c r="AI155" s="19">
        <v>77</v>
      </c>
      <c r="AJ155" s="19">
        <v>32</v>
      </c>
      <c r="AK155" s="19">
        <v>117</v>
      </c>
      <c r="AL155" s="20">
        <v>1</v>
      </c>
      <c r="AM155" s="20">
        <v>1</v>
      </c>
      <c r="AN155" s="20">
        <v>1</v>
      </c>
      <c r="AO155" s="20">
        <v>1</v>
      </c>
      <c r="AP155" s="20">
        <v>1</v>
      </c>
      <c r="AQ155" s="37"/>
    </row>
    <row r="156" spans="1:43" s="19" customFormat="1" ht="12.75" x14ac:dyDescent="0.2">
      <c r="A156" s="18" t="s">
        <v>41</v>
      </c>
      <c r="B156" s="19">
        <v>10</v>
      </c>
      <c r="C156" s="19">
        <v>10</v>
      </c>
      <c r="D156" s="19">
        <v>13</v>
      </c>
      <c r="E156" s="19">
        <v>12</v>
      </c>
      <c r="F156" s="19">
        <v>2</v>
      </c>
      <c r="G156" s="20">
        <v>1.9054878048780487E-3</v>
      </c>
      <c r="H156" s="20">
        <v>1.5923566878980893E-3</v>
      </c>
      <c r="I156" s="20">
        <v>1.2192834365034703E-3</v>
      </c>
      <c r="J156" s="20">
        <v>1.112759643916914E-3</v>
      </c>
      <c r="K156" s="20">
        <v>1.8698578908002991E-4</v>
      </c>
      <c r="L156" s="19">
        <v>10</v>
      </c>
      <c r="M156" s="19">
        <v>10</v>
      </c>
      <c r="N156" s="19">
        <v>13</v>
      </c>
      <c r="O156" s="19">
        <v>12</v>
      </c>
      <c r="P156" s="19">
        <v>2</v>
      </c>
      <c r="Q156" s="20">
        <v>1</v>
      </c>
      <c r="R156" s="20">
        <v>1</v>
      </c>
      <c r="S156" s="20">
        <v>1</v>
      </c>
      <c r="T156" s="20">
        <v>1</v>
      </c>
      <c r="U156" s="20">
        <v>1</v>
      </c>
      <c r="W156" s="19">
        <v>0</v>
      </c>
      <c r="X156" s="19">
        <v>0</v>
      </c>
      <c r="Y156" s="19">
        <v>1</v>
      </c>
      <c r="Z156" s="19">
        <v>0</v>
      </c>
      <c r="AA156" s="19">
        <v>12</v>
      </c>
      <c r="AB156" s="20">
        <v>0</v>
      </c>
      <c r="AC156" s="20">
        <v>0</v>
      </c>
      <c r="AD156" s="20">
        <v>1.8109380659181456E-4</v>
      </c>
      <c r="AE156" s="20">
        <v>0</v>
      </c>
      <c r="AF156" s="20">
        <v>1.112759643916914E-3</v>
      </c>
      <c r="AG156" s="19">
        <v>0</v>
      </c>
      <c r="AH156" s="19">
        <v>0</v>
      </c>
      <c r="AI156" s="19">
        <v>1</v>
      </c>
      <c r="AJ156" s="19">
        <v>0</v>
      </c>
      <c r="AK156" s="19">
        <v>12</v>
      </c>
      <c r="AL156" s="20">
        <v>0</v>
      </c>
      <c r="AM156" s="20">
        <v>0</v>
      </c>
      <c r="AN156" s="20">
        <v>1</v>
      </c>
      <c r="AO156" s="20">
        <v>0</v>
      </c>
      <c r="AP156" s="20">
        <v>1</v>
      </c>
      <c r="AQ156" s="37"/>
    </row>
    <row r="157" spans="1:43" s="19" customFormat="1" ht="12.75" x14ac:dyDescent="0.2">
      <c r="A157" s="18" t="s">
        <v>43</v>
      </c>
      <c r="B157" s="19">
        <v>1871</v>
      </c>
      <c r="C157" s="19">
        <v>1864</v>
      </c>
      <c r="D157" s="19">
        <v>1744</v>
      </c>
      <c r="E157" s="19">
        <v>1803</v>
      </c>
      <c r="F157" s="19">
        <v>1751</v>
      </c>
      <c r="G157" s="20">
        <v>0.35651676829268292</v>
      </c>
      <c r="H157" s="20">
        <v>0.29681528662420381</v>
      </c>
      <c r="I157" s="20">
        <v>0.1635715625586194</v>
      </c>
      <c r="J157" s="20">
        <v>0.16719213649851633</v>
      </c>
      <c r="K157" s="20">
        <v>0.1637060583395662</v>
      </c>
      <c r="L157" s="19">
        <v>1871</v>
      </c>
      <c r="M157" s="19">
        <v>1864</v>
      </c>
      <c r="N157" s="19">
        <v>1743</v>
      </c>
      <c r="O157" s="19">
        <v>1802</v>
      </c>
      <c r="P157" s="19">
        <v>1750</v>
      </c>
      <c r="Q157" s="20">
        <v>1</v>
      </c>
      <c r="R157" s="20">
        <v>1</v>
      </c>
      <c r="S157" s="20">
        <v>0.99942660550458717</v>
      </c>
      <c r="T157" s="20">
        <v>0.99944536882972823</v>
      </c>
      <c r="U157" s="20">
        <v>0.99942889777270127</v>
      </c>
      <c r="W157" s="19">
        <v>819</v>
      </c>
      <c r="X157" s="19">
        <v>1369</v>
      </c>
      <c r="Y157" s="19">
        <v>1883</v>
      </c>
      <c r="Z157" s="19">
        <v>1863</v>
      </c>
      <c r="AA157" s="19">
        <v>1803</v>
      </c>
      <c r="AB157" s="20">
        <v>0.10982969022395066</v>
      </c>
      <c r="AC157" s="20">
        <v>0.27412895474569482</v>
      </c>
      <c r="AD157" s="20">
        <v>0.34099963781238679</v>
      </c>
      <c r="AE157" s="20">
        <v>0.37819732034104753</v>
      </c>
      <c r="AF157" s="20">
        <v>0.16719213649851633</v>
      </c>
      <c r="AG157" s="19">
        <v>819</v>
      </c>
      <c r="AH157" s="19">
        <v>1369</v>
      </c>
      <c r="AI157" s="19">
        <v>1883</v>
      </c>
      <c r="AJ157" s="19">
        <v>1863</v>
      </c>
      <c r="AK157" s="19">
        <v>1802</v>
      </c>
      <c r="AL157" s="20">
        <v>1</v>
      </c>
      <c r="AM157" s="20">
        <v>1</v>
      </c>
      <c r="AN157" s="20">
        <v>1</v>
      </c>
      <c r="AO157" s="20">
        <v>1</v>
      </c>
      <c r="AP157" s="20">
        <v>0.99944536882972823</v>
      </c>
      <c r="AQ157" s="37"/>
    </row>
    <row r="158" spans="1:43" s="19" customFormat="1" ht="12.75" x14ac:dyDescent="0.2">
      <c r="A158" s="18" t="s">
        <v>44</v>
      </c>
      <c r="B158" s="19">
        <v>0</v>
      </c>
      <c r="C158" s="19">
        <v>0</v>
      </c>
      <c r="D158" s="19">
        <v>0</v>
      </c>
      <c r="E158" s="19">
        <v>0</v>
      </c>
      <c r="F158" s="19">
        <v>1</v>
      </c>
      <c r="G158" s="20">
        <v>0</v>
      </c>
      <c r="H158" s="20">
        <v>0</v>
      </c>
      <c r="I158" s="20">
        <v>0</v>
      </c>
      <c r="J158" s="20">
        <v>0</v>
      </c>
      <c r="K158" s="20">
        <v>9.3492894540014957E-5</v>
      </c>
      <c r="L158" s="19">
        <v>0</v>
      </c>
      <c r="M158" s="19">
        <v>0</v>
      </c>
      <c r="N158" s="19">
        <v>0</v>
      </c>
      <c r="O158" s="19">
        <v>0</v>
      </c>
      <c r="P158" s="19">
        <v>1</v>
      </c>
      <c r="Q158" s="20">
        <v>0</v>
      </c>
      <c r="R158" s="20">
        <v>0</v>
      </c>
      <c r="S158" s="20">
        <v>0</v>
      </c>
      <c r="T158" s="20">
        <v>0</v>
      </c>
      <c r="U158" s="20">
        <v>1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37"/>
    </row>
    <row r="159" spans="1:43" s="19" customFormat="1" ht="12.75" x14ac:dyDescent="0.2">
      <c r="A159" s="18" t="s">
        <v>126</v>
      </c>
      <c r="B159" s="19">
        <v>12</v>
      </c>
      <c r="C159" s="19">
        <v>11</v>
      </c>
      <c r="D159" s="19">
        <v>9</v>
      </c>
      <c r="E159" s="19">
        <v>7</v>
      </c>
      <c r="F159" s="19">
        <v>5</v>
      </c>
      <c r="G159" s="20">
        <v>2.2865853658536584E-3</v>
      </c>
      <c r="H159" s="20">
        <v>1.7515923566878981E-3</v>
      </c>
      <c r="I159" s="20">
        <v>8.4411930219471017E-4</v>
      </c>
      <c r="J159" s="20">
        <v>6.4910979228486644E-4</v>
      </c>
      <c r="K159" s="20">
        <v>4.6746447270007478E-4</v>
      </c>
      <c r="L159" s="19">
        <v>12</v>
      </c>
      <c r="M159" s="19">
        <v>11</v>
      </c>
      <c r="N159" s="19">
        <v>9</v>
      </c>
      <c r="O159" s="19">
        <v>7</v>
      </c>
      <c r="P159" s="19">
        <v>5</v>
      </c>
      <c r="Q159" s="20">
        <v>1</v>
      </c>
      <c r="R159" s="20">
        <v>1</v>
      </c>
      <c r="S159" s="20">
        <v>1</v>
      </c>
      <c r="T159" s="20">
        <v>1</v>
      </c>
      <c r="U159" s="20">
        <v>1</v>
      </c>
      <c r="W159" s="19">
        <v>82</v>
      </c>
      <c r="X159" s="19">
        <v>45</v>
      </c>
      <c r="Y159" s="19">
        <v>23</v>
      </c>
      <c r="Z159" s="19">
        <v>12</v>
      </c>
      <c r="AA159" s="19">
        <v>7</v>
      </c>
      <c r="AB159" s="20">
        <v>1.0996379240981628E-2</v>
      </c>
      <c r="AC159" s="20">
        <v>9.010812975570685E-3</v>
      </c>
      <c r="AD159" s="20">
        <v>4.1651575516117346E-3</v>
      </c>
      <c r="AE159" s="20">
        <v>2.4360535931790498E-3</v>
      </c>
      <c r="AF159" s="20">
        <v>6.4910979228486644E-4</v>
      </c>
      <c r="AG159" s="19">
        <v>82</v>
      </c>
      <c r="AH159" s="19">
        <v>45</v>
      </c>
      <c r="AI159" s="19">
        <v>23</v>
      </c>
      <c r="AJ159" s="19">
        <v>12</v>
      </c>
      <c r="AK159" s="19">
        <v>7</v>
      </c>
      <c r="AL159" s="20">
        <v>1</v>
      </c>
      <c r="AM159" s="20">
        <v>1</v>
      </c>
      <c r="AN159" s="20">
        <v>1</v>
      </c>
      <c r="AO159" s="20">
        <v>1</v>
      </c>
      <c r="AP159" s="20">
        <v>1</v>
      </c>
      <c r="AQ159" s="37"/>
    </row>
    <row r="160" spans="1:43" s="19" customFormat="1" ht="12.75" x14ac:dyDescent="0.2">
      <c r="A160" s="18" t="s">
        <v>88</v>
      </c>
      <c r="B160" s="19">
        <v>137</v>
      </c>
      <c r="C160" s="19">
        <v>125</v>
      </c>
      <c r="D160" s="19">
        <v>150</v>
      </c>
      <c r="E160" s="19">
        <v>146</v>
      </c>
      <c r="F160" s="19">
        <v>82</v>
      </c>
      <c r="G160" s="20">
        <v>2.6105182926829267E-2</v>
      </c>
      <c r="H160" s="20">
        <v>1.9904458598726114E-2</v>
      </c>
      <c r="I160" s="20">
        <v>1.4068655036578503E-2</v>
      </c>
      <c r="J160" s="20">
        <v>1.3538575667655787E-2</v>
      </c>
      <c r="K160" s="20">
        <v>7.6664173522812268E-3</v>
      </c>
      <c r="L160" s="19">
        <v>137</v>
      </c>
      <c r="M160" s="19">
        <v>125</v>
      </c>
      <c r="N160" s="19">
        <v>150</v>
      </c>
      <c r="O160" s="19">
        <v>146</v>
      </c>
      <c r="P160" s="19">
        <v>82</v>
      </c>
      <c r="Q160" s="20">
        <v>1</v>
      </c>
      <c r="R160" s="20">
        <v>1</v>
      </c>
      <c r="S160" s="20">
        <v>1</v>
      </c>
      <c r="T160" s="20">
        <v>1</v>
      </c>
      <c r="U160" s="20">
        <v>1</v>
      </c>
      <c r="W160" s="19">
        <v>14</v>
      </c>
      <c r="X160" s="19">
        <v>40</v>
      </c>
      <c r="Y160" s="19">
        <v>102</v>
      </c>
      <c r="Z160" s="19">
        <v>138</v>
      </c>
      <c r="AA160" s="19">
        <v>146</v>
      </c>
      <c r="AB160" s="20">
        <v>1.8774306021188145E-3</v>
      </c>
      <c r="AC160" s="20">
        <v>8.0096115338406087E-3</v>
      </c>
      <c r="AD160" s="20">
        <v>1.8471568272365086E-2</v>
      </c>
      <c r="AE160" s="20">
        <v>2.8014616321559074E-2</v>
      </c>
      <c r="AF160" s="20">
        <v>1.3538575667655787E-2</v>
      </c>
      <c r="AG160" s="19">
        <v>14</v>
      </c>
      <c r="AH160" s="19">
        <v>40</v>
      </c>
      <c r="AI160" s="19">
        <v>102</v>
      </c>
      <c r="AJ160" s="19">
        <v>138</v>
      </c>
      <c r="AK160" s="19">
        <v>146</v>
      </c>
      <c r="AL160" s="20">
        <v>1</v>
      </c>
      <c r="AM160" s="20">
        <v>1</v>
      </c>
      <c r="AN160" s="20">
        <v>1</v>
      </c>
      <c r="AO160" s="20">
        <v>1</v>
      </c>
      <c r="AP160" s="20">
        <v>1</v>
      </c>
      <c r="AQ160" s="37"/>
    </row>
    <row r="161" spans="1:55" s="19" customFormat="1" ht="12.75" x14ac:dyDescent="0.2">
      <c r="A161" s="18" t="s">
        <v>49</v>
      </c>
      <c r="B161" s="19">
        <v>0</v>
      </c>
      <c r="C161" s="19">
        <v>0</v>
      </c>
      <c r="D161" s="19">
        <v>0</v>
      </c>
      <c r="E161" s="19">
        <v>0</v>
      </c>
      <c r="F161" s="19">
        <v>1</v>
      </c>
      <c r="G161" s="20">
        <v>0</v>
      </c>
      <c r="H161" s="20">
        <v>0</v>
      </c>
      <c r="I161" s="20">
        <v>0</v>
      </c>
      <c r="J161" s="20">
        <v>0</v>
      </c>
      <c r="K161" s="20">
        <v>9.3492894540014957E-5</v>
      </c>
      <c r="L161" s="19">
        <v>0</v>
      </c>
      <c r="M161" s="19">
        <v>0</v>
      </c>
      <c r="N161" s="19">
        <v>0</v>
      </c>
      <c r="O161" s="19">
        <v>0</v>
      </c>
      <c r="P161" s="19">
        <v>1</v>
      </c>
      <c r="Q161" s="20">
        <v>0</v>
      </c>
      <c r="R161" s="20">
        <v>0</v>
      </c>
      <c r="S161" s="20">
        <v>0</v>
      </c>
      <c r="T161" s="20">
        <v>0</v>
      </c>
      <c r="U161" s="20">
        <v>1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37"/>
    </row>
    <row r="162" spans="1:55" s="19" customFormat="1" ht="12.75" x14ac:dyDescent="0.2">
      <c r="A162" s="18" t="s">
        <v>52</v>
      </c>
      <c r="B162" s="19">
        <v>8</v>
      </c>
      <c r="C162" s="19">
        <v>7</v>
      </c>
      <c r="D162" s="19">
        <v>8</v>
      </c>
      <c r="E162" s="19">
        <v>12</v>
      </c>
      <c r="F162" s="19">
        <v>16</v>
      </c>
      <c r="G162" s="20">
        <v>1.5243902439024391E-3</v>
      </c>
      <c r="H162" s="20">
        <v>1.1146496815286624E-3</v>
      </c>
      <c r="I162" s="20">
        <v>7.5032826861752013E-4</v>
      </c>
      <c r="J162" s="20">
        <v>1.112759643916914E-3</v>
      </c>
      <c r="K162" s="20">
        <v>1.4958863126402393E-3</v>
      </c>
      <c r="L162" s="19">
        <v>8</v>
      </c>
      <c r="M162" s="19">
        <v>7</v>
      </c>
      <c r="N162" s="19">
        <v>8</v>
      </c>
      <c r="O162" s="19">
        <v>12</v>
      </c>
      <c r="P162" s="19">
        <v>16</v>
      </c>
      <c r="Q162" s="20">
        <v>1</v>
      </c>
      <c r="R162" s="20">
        <v>1</v>
      </c>
      <c r="S162" s="20">
        <v>1</v>
      </c>
      <c r="T162" s="20">
        <v>1</v>
      </c>
      <c r="U162" s="20">
        <v>1</v>
      </c>
      <c r="W162" s="19">
        <v>60</v>
      </c>
      <c r="X162" s="19">
        <v>56</v>
      </c>
      <c r="Y162" s="19">
        <v>54</v>
      </c>
      <c r="Z162" s="19">
        <v>17</v>
      </c>
      <c r="AA162" s="19">
        <v>12</v>
      </c>
      <c r="AB162" s="20">
        <v>8.0461311519377764E-3</v>
      </c>
      <c r="AC162" s="20">
        <v>1.1213456147376852E-2</v>
      </c>
      <c r="AD162" s="20">
        <v>9.7790655559579862E-3</v>
      </c>
      <c r="AE162" s="20">
        <v>3.4510759236703208E-3</v>
      </c>
      <c r="AF162" s="20">
        <v>1.112759643916914E-3</v>
      </c>
      <c r="AG162" s="19">
        <v>60</v>
      </c>
      <c r="AH162" s="19">
        <v>56</v>
      </c>
      <c r="AI162" s="19">
        <v>54</v>
      </c>
      <c r="AJ162" s="19">
        <v>17</v>
      </c>
      <c r="AK162" s="19">
        <v>12</v>
      </c>
      <c r="AL162" s="20">
        <v>1</v>
      </c>
      <c r="AM162" s="20">
        <v>1</v>
      </c>
      <c r="AN162" s="20">
        <v>1</v>
      </c>
      <c r="AO162" s="20">
        <v>1</v>
      </c>
      <c r="AP162" s="20">
        <v>1</v>
      </c>
      <c r="AQ162" s="37"/>
    </row>
    <row r="163" spans="1:55" s="19" customFormat="1" ht="12.75" x14ac:dyDescent="0.2">
      <c r="A163" s="18" t="s">
        <v>53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W163" s="19">
        <v>0</v>
      </c>
      <c r="X163" s="19">
        <v>9</v>
      </c>
      <c r="Y163" s="19">
        <v>0</v>
      </c>
      <c r="Z163" s="19">
        <v>0</v>
      </c>
      <c r="AA163" s="19">
        <v>0</v>
      </c>
      <c r="AB163" s="20">
        <v>0</v>
      </c>
      <c r="AC163" s="20">
        <v>1.802162595114137E-3</v>
      </c>
      <c r="AD163" s="20">
        <v>0</v>
      </c>
      <c r="AE163" s="20">
        <v>0</v>
      </c>
      <c r="AF163" s="20">
        <v>0</v>
      </c>
      <c r="AG163" s="19">
        <v>0</v>
      </c>
      <c r="AH163" s="19">
        <v>9</v>
      </c>
      <c r="AI163" s="19">
        <v>0</v>
      </c>
      <c r="AJ163" s="19">
        <v>0</v>
      </c>
      <c r="AK163" s="19">
        <v>0</v>
      </c>
      <c r="AL163" s="20">
        <v>0</v>
      </c>
      <c r="AM163" s="20">
        <v>1</v>
      </c>
      <c r="AN163" s="20">
        <v>0</v>
      </c>
      <c r="AO163" s="20">
        <v>0</v>
      </c>
      <c r="AP163" s="20">
        <v>0</v>
      </c>
      <c r="AQ163" s="37"/>
    </row>
    <row r="164" spans="1:55" s="19" customFormat="1" ht="12.75" x14ac:dyDescent="0.2">
      <c r="A164" s="18" t="s">
        <v>90</v>
      </c>
      <c r="B164" s="19">
        <v>93</v>
      </c>
      <c r="C164" s="19">
        <v>1119</v>
      </c>
      <c r="D164" s="19">
        <v>5307</v>
      </c>
      <c r="E164" s="19">
        <v>5525</v>
      </c>
      <c r="F164" s="19">
        <v>5525</v>
      </c>
      <c r="G164" s="20">
        <v>1.7721036585365852E-2</v>
      </c>
      <c r="H164" s="20">
        <v>0.17818471337579617</v>
      </c>
      <c r="I164" s="20">
        <v>0.49774901519414744</v>
      </c>
      <c r="J164" s="20">
        <v>0.51233308605341243</v>
      </c>
      <c r="K164" s="20">
        <v>0.51654824233358265</v>
      </c>
      <c r="L164" s="19">
        <v>93</v>
      </c>
      <c r="M164" s="19">
        <v>1119</v>
      </c>
      <c r="N164" s="19">
        <v>5307</v>
      </c>
      <c r="O164" s="19">
        <v>5525</v>
      </c>
      <c r="P164" s="19">
        <v>0</v>
      </c>
      <c r="Q164" s="20">
        <v>1</v>
      </c>
      <c r="R164" s="20">
        <v>1</v>
      </c>
      <c r="S164" s="20">
        <v>1</v>
      </c>
      <c r="T164" s="20">
        <v>1</v>
      </c>
      <c r="U164" s="20">
        <v>0</v>
      </c>
      <c r="W164" s="19">
        <v>0</v>
      </c>
      <c r="X164" s="19">
        <v>0</v>
      </c>
      <c r="Y164" s="19">
        <v>0</v>
      </c>
      <c r="Z164" s="19">
        <v>26</v>
      </c>
      <c r="AA164" s="19">
        <v>5525</v>
      </c>
      <c r="AB164" s="20">
        <v>0</v>
      </c>
      <c r="AC164" s="20">
        <v>0</v>
      </c>
      <c r="AD164" s="20">
        <v>0</v>
      </c>
      <c r="AE164" s="20">
        <v>5.2781161185546082E-3</v>
      </c>
      <c r="AF164" s="20">
        <v>0.51233308605341243</v>
      </c>
      <c r="AG164" s="19">
        <v>0</v>
      </c>
      <c r="AH164" s="19">
        <v>0</v>
      </c>
      <c r="AI164" s="19">
        <v>0</v>
      </c>
      <c r="AJ164" s="19">
        <v>26</v>
      </c>
      <c r="AK164" s="19">
        <v>5525</v>
      </c>
      <c r="AL164" s="20">
        <v>0</v>
      </c>
      <c r="AM164" s="20">
        <v>0</v>
      </c>
      <c r="AN164" s="20">
        <v>0</v>
      </c>
      <c r="AO164" s="20">
        <v>1</v>
      </c>
      <c r="AP164" s="20">
        <v>1</v>
      </c>
      <c r="AQ164" s="37"/>
    </row>
    <row r="165" spans="1:55" s="19" customFormat="1" ht="12.75" x14ac:dyDescent="0.2">
      <c r="A165" s="18" t="s">
        <v>55</v>
      </c>
      <c r="B165" s="19">
        <v>293</v>
      </c>
      <c r="C165" s="19">
        <v>322</v>
      </c>
      <c r="D165" s="19">
        <v>191</v>
      </c>
      <c r="E165" s="19">
        <v>181</v>
      </c>
      <c r="F165" s="19">
        <v>159</v>
      </c>
      <c r="G165" s="20">
        <v>5.583079268292683E-2</v>
      </c>
      <c r="H165" s="20">
        <v>5.1273885350318474E-2</v>
      </c>
      <c r="I165" s="20">
        <v>1.7914087413243292E-2</v>
      </c>
      <c r="J165" s="20">
        <v>1.6784124629080119E-2</v>
      </c>
      <c r="K165" s="20">
        <v>1.4865370231862379E-2</v>
      </c>
      <c r="L165" s="19">
        <v>293</v>
      </c>
      <c r="M165" s="19">
        <v>322</v>
      </c>
      <c r="N165" s="19">
        <v>191</v>
      </c>
      <c r="O165" s="19">
        <v>181</v>
      </c>
      <c r="P165" s="19">
        <v>159</v>
      </c>
      <c r="Q165" s="20">
        <v>1</v>
      </c>
      <c r="R165" s="20">
        <v>1</v>
      </c>
      <c r="S165" s="20">
        <v>1</v>
      </c>
      <c r="T165" s="20">
        <v>1</v>
      </c>
      <c r="U165" s="20">
        <v>1</v>
      </c>
      <c r="W165" s="19">
        <v>107</v>
      </c>
      <c r="X165" s="19">
        <v>74</v>
      </c>
      <c r="Y165" s="19">
        <v>168</v>
      </c>
      <c r="Z165" s="19">
        <v>292</v>
      </c>
      <c r="AA165" s="19">
        <v>181</v>
      </c>
      <c r="AB165" s="20">
        <v>1.4348933887622367E-2</v>
      </c>
      <c r="AC165" s="20">
        <v>1.4817781337605127E-2</v>
      </c>
      <c r="AD165" s="20">
        <v>3.0423759507424847E-2</v>
      </c>
      <c r="AE165" s="20">
        <v>5.9277304100690216E-2</v>
      </c>
      <c r="AF165" s="20">
        <v>1.6784124629080119E-2</v>
      </c>
      <c r="AG165" s="19">
        <v>107</v>
      </c>
      <c r="AH165" s="19">
        <v>74</v>
      </c>
      <c r="AI165" s="19">
        <v>168</v>
      </c>
      <c r="AJ165" s="19">
        <v>292</v>
      </c>
      <c r="AK165" s="19">
        <v>181</v>
      </c>
      <c r="AL165" s="20">
        <v>1</v>
      </c>
      <c r="AM165" s="20">
        <v>1</v>
      </c>
      <c r="AN165" s="20">
        <v>1</v>
      </c>
      <c r="AO165" s="20">
        <v>1</v>
      </c>
      <c r="AP165" s="20">
        <v>1</v>
      </c>
      <c r="AQ165" s="37"/>
    </row>
    <row r="166" spans="1:55" s="19" customFormat="1" ht="12.75" x14ac:dyDescent="0.2">
      <c r="A166" s="18" t="s">
        <v>58</v>
      </c>
      <c r="B166" s="19">
        <v>223</v>
      </c>
      <c r="C166" s="19">
        <v>238</v>
      </c>
      <c r="D166" s="19">
        <v>282</v>
      </c>
      <c r="E166" s="19">
        <v>221</v>
      </c>
      <c r="F166" s="19">
        <v>40</v>
      </c>
      <c r="G166" s="20">
        <v>4.2492378048780491E-2</v>
      </c>
      <c r="H166" s="20">
        <v>3.7898089171974521E-2</v>
      </c>
      <c r="I166" s="20">
        <v>2.6449071468767585E-2</v>
      </c>
      <c r="J166" s="20">
        <v>2.0493323442136498E-2</v>
      </c>
      <c r="K166" s="20">
        <v>3.7397157816005983E-3</v>
      </c>
      <c r="L166" s="19">
        <v>223</v>
      </c>
      <c r="M166" s="19">
        <v>238</v>
      </c>
      <c r="N166" s="19">
        <v>282</v>
      </c>
      <c r="O166" s="19">
        <v>221</v>
      </c>
      <c r="P166" s="19">
        <v>35</v>
      </c>
      <c r="Q166" s="20">
        <v>1</v>
      </c>
      <c r="R166" s="20">
        <v>1</v>
      </c>
      <c r="S166" s="20">
        <v>1</v>
      </c>
      <c r="T166" s="20">
        <v>1</v>
      </c>
      <c r="U166" s="20">
        <v>0.875</v>
      </c>
      <c r="W166" s="19">
        <v>55</v>
      </c>
      <c r="X166" s="19">
        <v>89</v>
      </c>
      <c r="Y166" s="19">
        <v>94</v>
      </c>
      <c r="Z166" s="19">
        <v>42</v>
      </c>
      <c r="AA166" s="19">
        <v>221</v>
      </c>
      <c r="AB166" s="20">
        <v>7.3756202226096289E-3</v>
      </c>
      <c r="AC166" s="20">
        <v>1.7821385662795355E-2</v>
      </c>
      <c r="AD166" s="20">
        <v>1.7022817819630567E-2</v>
      </c>
      <c r="AE166" s="20">
        <v>8.5261875761266752E-3</v>
      </c>
      <c r="AF166" s="20">
        <v>2.0493323442136498E-2</v>
      </c>
      <c r="AG166" s="19">
        <v>55</v>
      </c>
      <c r="AH166" s="19">
        <v>89</v>
      </c>
      <c r="AI166" s="19">
        <v>94</v>
      </c>
      <c r="AJ166" s="19">
        <v>42</v>
      </c>
      <c r="AK166" s="19">
        <v>221</v>
      </c>
      <c r="AL166" s="20">
        <v>1</v>
      </c>
      <c r="AM166" s="20">
        <v>1</v>
      </c>
      <c r="AN166" s="20">
        <v>1</v>
      </c>
      <c r="AO166" s="20">
        <v>1</v>
      </c>
      <c r="AP166" s="20">
        <v>1</v>
      </c>
      <c r="AQ166" s="37"/>
    </row>
    <row r="167" spans="1:55" s="19" customFormat="1" ht="12.75" x14ac:dyDescent="0.2">
      <c r="A167" s="18" t="s">
        <v>61</v>
      </c>
      <c r="B167" s="19">
        <v>2</v>
      </c>
      <c r="C167" s="19">
        <v>2</v>
      </c>
      <c r="D167" s="19">
        <v>2</v>
      </c>
      <c r="E167" s="19">
        <v>5</v>
      </c>
      <c r="F167" s="19">
        <v>3</v>
      </c>
      <c r="G167" s="20">
        <v>3.8109756097560977E-4</v>
      </c>
      <c r="H167" s="20">
        <v>3.1847133757961782E-4</v>
      </c>
      <c r="I167" s="20">
        <v>1.8758206715438003E-4</v>
      </c>
      <c r="J167" s="20">
        <v>4.6364985163204749E-4</v>
      </c>
      <c r="K167" s="20">
        <v>2.8047868362004487E-4</v>
      </c>
      <c r="L167" s="19">
        <v>2</v>
      </c>
      <c r="M167" s="19">
        <v>2</v>
      </c>
      <c r="N167" s="19">
        <v>2</v>
      </c>
      <c r="O167" s="19">
        <v>5</v>
      </c>
      <c r="P167" s="19">
        <v>3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W167" s="19">
        <v>0</v>
      </c>
      <c r="X167" s="19">
        <v>2</v>
      </c>
      <c r="Y167" s="19">
        <v>1</v>
      </c>
      <c r="Z167" s="19">
        <v>2</v>
      </c>
      <c r="AA167" s="19">
        <v>5</v>
      </c>
      <c r="AB167" s="20">
        <v>0</v>
      </c>
      <c r="AC167" s="20">
        <v>4.0048057669203043E-4</v>
      </c>
      <c r="AD167" s="20">
        <v>1.8109380659181456E-4</v>
      </c>
      <c r="AE167" s="20">
        <v>4.0600893219650832E-4</v>
      </c>
      <c r="AF167" s="20">
        <v>4.6364985163204749E-4</v>
      </c>
      <c r="AG167" s="19">
        <v>0</v>
      </c>
      <c r="AH167" s="19">
        <v>2</v>
      </c>
      <c r="AI167" s="19">
        <v>1</v>
      </c>
      <c r="AJ167" s="19">
        <v>2</v>
      </c>
      <c r="AK167" s="19">
        <v>5</v>
      </c>
      <c r="AL167" s="20">
        <v>0</v>
      </c>
      <c r="AM167" s="20">
        <v>1</v>
      </c>
      <c r="AN167" s="20">
        <v>1</v>
      </c>
      <c r="AO167" s="20">
        <v>1</v>
      </c>
      <c r="AP167" s="20">
        <v>1</v>
      </c>
      <c r="AQ167" s="37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</row>
    <row r="168" spans="1:55" s="21" customFormat="1" ht="12.75" x14ac:dyDescent="0.2">
      <c r="A168" s="29" t="s">
        <v>71</v>
      </c>
      <c r="B168" s="27">
        <v>5248</v>
      </c>
      <c r="C168" s="27">
        <v>6280</v>
      </c>
      <c r="D168" s="27">
        <v>10662</v>
      </c>
      <c r="E168" s="27">
        <v>10784</v>
      </c>
      <c r="F168" s="27">
        <v>10696</v>
      </c>
      <c r="G168" s="22">
        <v>1</v>
      </c>
      <c r="H168" s="22">
        <v>1</v>
      </c>
      <c r="I168" s="22">
        <v>1</v>
      </c>
      <c r="J168" s="22">
        <v>1</v>
      </c>
      <c r="K168" s="22">
        <v>1</v>
      </c>
      <c r="L168" s="27">
        <v>5248</v>
      </c>
      <c r="M168" s="27">
        <v>6280</v>
      </c>
      <c r="N168" s="27">
        <v>10641</v>
      </c>
      <c r="O168" s="27">
        <v>10765</v>
      </c>
      <c r="P168" s="27">
        <v>5149</v>
      </c>
      <c r="Q168" s="22">
        <v>1</v>
      </c>
      <c r="R168" s="22">
        <v>1</v>
      </c>
      <c r="S168" s="22">
        <v>0.998030388294879</v>
      </c>
      <c r="T168" s="22">
        <v>0.99823813056379818</v>
      </c>
      <c r="U168" s="22">
        <v>0.481394913986537</v>
      </c>
      <c r="W168" s="27">
        <v>7457</v>
      </c>
      <c r="X168" s="27">
        <v>4994</v>
      </c>
      <c r="Y168" s="27">
        <v>5522</v>
      </c>
      <c r="Z168" s="27">
        <v>4926</v>
      </c>
      <c r="AA168" s="27">
        <v>10784</v>
      </c>
      <c r="AB168" s="22">
        <v>1</v>
      </c>
      <c r="AC168" s="22">
        <v>1</v>
      </c>
      <c r="AD168" s="22">
        <v>1</v>
      </c>
      <c r="AE168" s="22">
        <v>1</v>
      </c>
      <c r="AF168" s="22">
        <v>1</v>
      </c>
      <c r="AG168" s="27">
        <v>7457</v>
      </c>
      <c r="AH168" s="27">
        <v>4994</v>
      </c>
      <c r="AI168" s="27">
        <v>5522</v>
      </c>
      <c r="AJ168" s="27">
        <v>4926</v>
      </c>
      <c r="AK168" s="27">
        <v>10765</v>
      </c>
      <c r="AL168" s="22">
        <v>1</v>
      </c>
      <c r="AM168" s="22">
        <v>1</v>
      </c>
      <c r="AN168" s="22">
        <v>1</v>
      </c>
      <c r="AO168" s="22">
        <v>1</v>
      </c>
      <c r="AP168" s="22">
        <v>0.99823813056379818</v>
      </c>
      <c r="AQ168" s="37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</row>
    <row r="169" spans="1:55" s="19" customFormat="1" ht="12.75" x14ac:dyDescent="0.2">
      <c r="A169" s="18"/>
      <c r="AB169" s="20"/>
      <c r="AC169" s="20"/>
      <c r="AD169" s="20"/>
      <c r="AE169" s="20"/>
      <c r="AF169" s="20"/>
      <c r="AL169" s="20"/>
      <c r="AM169" s="20"/>
      <c r="AN169" s="20"/>
      <c r="AO169" s="20"/>
      <c r="AP169" s="20"/>
      <c r="AQ169" s="37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</row>
    <row r="170" spans="1:55" s="25" customFormat="1" ht="12.75" x14ac:dyDescent="0.2">
      <c r="A170" s="28" t="s">
        <v>72</v>
      </c>
      <c r="B170" s="25" t="s">
        <v>10</v>
      </c>
      <c r="C170" s="25" t="s">
        <v>11</v>
      </c>
      <c r="D170" s="25" t="s">
        <v>12</v>
      </c>
      <c r="E170" s="25" t="s">
        <v>164</v>
      </c>
      <c r="F170" s="25" t="s">
        <v>195</v>
      </c>
      <c r="G170" s="25" t="s">
        <v>10</v>
      </c>
      <c r="H170" s="25" t="s">
        <v>11</v>
      </c>
      <c r="I170" s="25" t="s">
        <v>12</v>
      </c>
      <c r="J170" s="25" t="s">
        <v>164</v>
      </c>
      <c r="K170" s="25" t="s">
        <v>195</v>
      </c>
      <c r="L170" s="25" t="s">
        <v>10</v>
      </c>
      <c r="M170" s="25" t="s">
        <v>11</v>
      </c>
      <c r="N170" s="25" t="s">
        <v>12</v>
      </c>
      <c r="O170" s="25" t="s">
        <v>164</v>
      </c>
      <c r="P170" s="25" t="s">
        <v>195</v>
      </c>
      <c r="Q170" s="25" t="s">
        <v>10</v>
      </c>
      <c r="R170" s="25" t="s">
        <v>11</v>
      </c>
      <c r="S170" s="25" t="s">
        <v>12</v>
      </c>
      <c r="T170" s="25" t="s">
        <v>164</v>
      </c>
      <c r="U170" s="25" t="s">
        <v>195</v>
      </c>
      <c r="W170" s="25" t="s">
        <v>13</v>
      </c>
      <c r="X170" s="25" t="s">
        <v>14</v>
      </c>
      <c r="Y170" s="25" t="s">
        <v>15</v>
      </c>
      <c r="Z170" s="25" t="s">
        <v>16</v>
      </c>
      <c r="AA170" s="25" t="s">
        <v>165</v>
      </c>
      <c r="AB170" s="25" t="s">
        <v>13</v>
      </c>
      <c r="AC170" s="25" t="s">
        <v>14</v>
      </c>
      <c r="AD170" s="25" t="s">
        <v>15</v>
      </c>
      <c r="AE170" s="25" t="s">
        <v>16</v>
      </c>
      <c r="AF170" s="25" t="s">
        <v>165</v>
      </c>
      <c r="AG170" s="25" t="s">
        <v>13</v>
      </c>
      <c r="AH170" s="25" t="s">
        <v>14</v>
      </c>
      <c r="AI170" s="25" t="s">
        <v>15</v>
      </c>
      <c r="AJ170" s="25" t="s">
        <v>16</v>
      </c>
      <c r="AK170" s="25" t="s">
        <v>165</v>
      </c>
      <c r="AL170" s="25" t="s">
        <v>13</v>
      </c>
      <c r="AM170" s="25" t="s">
        <v>14</v>
      </c>
      <c r="AN170" s="25" t="s">
        <v>15</v>
      </c>
      <c r="AO170" s="25" t="s">
        <v>16</v>
      </c>
      <c r="AP170" s="25" t="s">
        <v>165</v>
      </c>
      <c r="AQ170" s="37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</row>
    <row r="171" spans="1:55" s="19" customFormat="1" ht="12.75" x14ac:dyDescent="0.2">
      <c r="A171" s="18" t="s">
        <v>17</v>
      </c>
      <c r="B171" s="19">
        <v>0</v>
      </c>
      <c r="C171" s="19">
        <v>0</v>
      </c>
      <c r="D171" s="19">
        <v>1</v>
      </c>
      <c r="E171" s="19">
        <v>43</v>
      </c>
      <c r="F171" s="19">
        <v>18</v>
      </c>
      <c r="G171" s="20">
        <v>0</v>
      </c>
      <c r="H171" s="20">
        <v>0</v>
      </c>
      <c r="I171" s="20">
        <v>4.1981528127623844E-4</v>
      </c>
      <c r="J171" s="20">
        <v>1.8151118615449557E-2</v>
      </c>
      <c r="K171" s="20">
        <v>8.2116788321167887E-3</v>
      </c>
      <c r="L171" s="19">
        <v>0</v>
      </c>
      <c r="M171" s="19">
        <v>0</v>
      </c>
      <c r="N171" s="19">
        <v>1</v>
      </c>
      <c r="O171" s="19">
        <v>43</v>
      </c>
      <c r="P171" s="19">
        <v>18</v>
      </c>
      <c r="Q171" s="20">
        <v>0</v>
      </c>
      <c r="R171" s="20">
        <v>0</v>
      </c>
      <c r="S171" s="20">
        <v>1</v>
      </c>
      <c r="T171" s="20">
        <v>1</v>
      </c>
      <c r="U171" s="20">
        <v>1</v>
      </c>
      <c r="W171" s="19">
        <v>0</v>
      </c>
      <c r="X171" s="19">
        <v>0</v>
      </c>
      <c r="Y171" s="19">
        <v>0</v>
      </c>
      <c r="Z171" s="19">
        <v>0</v>
      </c>
      <c r="AA171" s="19">
        <v>43</v>
      </c>
      <c r="AB171" s="20">
        <v>0</v>
      </c>
      <c r="AC171" s="20">
        <v>0</v>
      </c>
      <c r="AD171" s="20">
        <v>0</v>
      </c>
      <c r="AE171" s="20">
        <v>0</v>
      </c>
      <c r="AF171" s="20">
        <v>1.8151118615449557E-2</v>
      </c>
      <c r="AG171" s="19">
        <v>0</v>
      </c>
      <c r="AH171" s="19">
        <v>0</v>
      </c>
      <c r="AI171" s="19">
        <v>0</v>
      </c>
      <c r="AJ171" s="19">
        <v>0</v>
      </c>
      <c r="AK171" s="19">
        <v>43</v>
      </c>
      <c r="AL171" s="20">
        <v>0</v>
      </c>
      <c r="AM171" s="20">
        <v>0</v>
      </c>
      <c r="AN171" s="20">
        <v>0</v>
      </c>
      <c r="AO171" s="20">
        <v>0</v>
      </c>
      <c r="AP171" s="20">
        <v>1</v>
      </c>
      <c r="AQ171" s="37"/>
    </row>
    <row r="172" spans="1:55" s="19" customFormat="1" ht="12.75" x14ac:dyDescent="0.2">
      <c r="A172" s="18" t="s">
        <v>22</v>
      </c>
      <c r="B172" s="19">
        <v>2059</v>
      </c>
      <c r="C172" s="19">
        <v>2061</v>
      </c>
      <c r="D172" s="19">
        <v>2111</v>
      </c>
      <c r="E172" s="19">
        <v>2050</v>
      </c>
      <c r="F172" s="19">
        <v>1903</v>
      </c>
      <c r="G172" s="20">
        <v>0.89057093425605538</v>
      </c>
      <c r="H172" s="20">
        <v>0.88989637305699487</v>
      </c>
      <c r="I172" s="20">
        <v>0.88623005877413941</v>
      </c>
      <c r="J172" s="20">
        <v>0.86534402701561841</v>
      </c>
      <c r="K172" s="20">
        <v>0.86815693430656937</v>
      </c>
      <c r="L172" s="19">
        <v>2059</v>
      </c>
      <c r="M172" s="19">
        <v>2061</v>
      </c>
      <c r="N172" s="19">
        <v>1994</v>
      </c>
      <c r="O172" s="19">
        <v>1913</v>
      </c>
      <c r="P172" s="19">
        <v>1832</v>
      </c>
      <c r="Q172" s="20">
        <v>1</v>
      </c>
      <c r="R172" s="20">
        <v>1</v>
      </c>
      <c r="S172" s="20">
        <v>0.94457603031738513</v>
      </c>
      <c r="T172" s="20">
        <v>0.93317073170731712</v>
      </c>
      <c r="U172" s="20">
        <v>0.96269048870204943</v>
      </c>
      <c r="W172" s="19">
        <v>1761</v>
      </c>
      <c r="X172" s="19">
        <v>1753</v>
      </c>
      <c r="Y172" s="19">
        <v>1829</v>
      </c>
      <c r="Z172" s="19">
        <v>2046</v>
      </c>
      <c r="AA172" s="19">
        <v>2050</v>
      </c>
      <c r="AB172" s="20">
        <v>0.86450662739322537</v>
      </c>
      <c r="AC172" s="20">
        <v>0.85637518319491934</v>
      </c>
      <c r="AD172" s="20">
        <v>0.8570759137769447</v>
      </c>
      <c r="AE172" s="20">
        <v>0.88956521739130434</v>
      </c>
      <c r="AF172" s="20">
        <v>0.86534402701561841</v>
      </c>
      <c r="AG172" s="19">
        <v>1761</v>
      </c>
      <c r="AH172" s="19">
        <v>1753</v>
      </c>
      <c r="AI172" s="19">
        <v>1829</v>
      </c>
      <c r="AJ172" s="19">
        <v>2046</v>
      </c>
      <c r="AK172" s="19">
        <v>1913</v>
      </c>
      <c r="AL172" s="20">
        <v>1</v>
      </c>
      <c r="AM172" s="20">
        <v>1</v>
      </c>
      <c r="AN172" s="20">
        <v>1</v>
      </c>
      <c r="AO172" s="20">
        <v>1</v>
      </c>
      <c r="AP172" s="20">
        <v>0.93317073170731712</v>
      </c>
      <c r="AQ172" s="37"/>
    </row>
    <row r="173" spans="1:55" s="19" customFormat="1" ht="12.75" x14ac:dyDescent="0.2">
      <c r="A173" s="18" t="s">
        <v>80</v>
      </c>
      <c r="B173" s="19">
        <v>249</v>
      </c>
      <c r="C173" s="19">
        <v>251</v>
      </c>
      <c r="D173" s="19">
        <v>265</v>
      </c>
      <c r="E173" s="19">
        <v>271</v>
      </c>
      <c r="F173" s="19">
        <v>267</v>
      </c>
      <c r="G173" s="20">
        <v>0.10769896193771626</v>
      </c>
      <c r="H173" s="20">
        <v>0.10837651122625216</v>
      </c>
      <c r="I173" s="20">
        <v>0.11125104953820319</v>
      </c>
      <c r="J173" s="20">
        <v>0.11439425918108907</v>
      </c>
      <c r="K173" s="20">
        <v>0.12180656934306569</v>
      </c>
      <c r="L173" s="19">
        <v>249</v>
      </c>
      <c r="M173" s="19">
        <v>251</v>
      </c>
      <c r="N173" s="19">
        <v>264</v>
      </c>
      <c r="O173" s="19">
        <v>270</v>
      </c>
      <c r="P173" s="19">
        <v>267</v>
      </c>
      <c r="Q173" s="20">
        <v>1</v>
      </c>
      <c r="R173" s="20">
        <v>1</v>
      </c>
      <c r="S173" s="20">
        <v>0.99622641509433962</v>
      </c>
      <c r="T173" s="20">
        <v>0.99630996309963105</v>
      </c>
      <c r="U173" s="20">
        <v>1</v>
      </c>
      <c r="W173" s="19">
        <v>271</v>
      </c>
      <c r="X173" s="19">
        <v>293</v>
      </c>
      <c r="Y173" s="19">
        <v>304</v>
      </c>
      <c r="Z173" s="19">
        <v>250</v>
      </c>
      <c r="AA173" s="19">
        <v>271</v>
      </c>
      <c r="AB173" s="20">
        <v>0.1330387825233186</v>
      </c>
      <c r="AC173" s="20">
        <v>0.14313629702002931</v>
      </c>
      <c r="AD173" s="20">
        <v>0.14245548266166824</v>
      </c>
      <c r="AE173" s="20">
        <v>0.10869565217391304</v>
      </c>
      <c r="AF173" s="20">
        <v>0.11439425918108907</v>
      </c>
      <c r="AG173" s="19">
        <v>271</v>
      </c>
      <c r="AH173" s="19">
        <v>293</v>
      </c>
      <c r="AI173" s="19">
        <v>304</v>
      </c>
      <c r="AJ173" s="19">
        <v>250</v>
      </c>
      <c r="AK173" s="19">
        <v>270</v>
      </c>
      <c r="AL173" s="20">
        <v>1</v>
      </c>
      <c r="AM173" s="20">
        <v>1</v>
      </c>
      <c r="AN173" s="20">
        <v>1</v>
      </c>
      <c r="AO173" s="20">
        <v>1</v>
      </c>
      <c r="AP173" s="20">
        <v>0.99630996309963105</v>
      </c>
      <c r="AQ173" s="37"/>
    </row>
    <row r="174" spans="1:55" s="19" customFormat="1" ht="12.75" x14ac:dyDescent="0.2">
      <c r="A174" s="18" t="s">
        <v>86</v>
      </c>
      <c r="B174" s="19">
        <v>1</v>
      </c>
      <c r="C174" s="19">
        <v>1</v>
      </c>
      <c r="D174" s="19">
        <v>1</v>
      </c>
      <c r="E174" s="19">
        <v>1</v>
      </c>
      <c r="F174" s="19">
        <v>1</v>
      </c>
      <c r="G174" s="20">
        <v>4.3252595155709344E-4</v>
      </c>
      <c r="H174" s="20">
        <v>4.3177892918825559E-4</v>
      </c>
      <c r="I174" s="20">
        <v>4.1981528127623844E-4</v>
      </c>
      <c r="J174" s="20">
        <v>4.2211903756859433E-4</v>
      </c>
      <c r="K174" s="20">
        <v>4.5620437956204378E-4</v>
      </c>
      <c r="L174" s="19">
        <v>1</v>
      </c>
      <c r="M174" s="19">
        <v>1</v>
      </c>
      <c r="N174" s="19">
        <v>1</v>
      </c>
      <c r="O174" s="19">
        <v>1</v>
      </c>
      <c r="P174" s="19">
        <v>1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W174" s="19">
        <v>1</v>
      </c>
      <c r="X174" s="19">
        <v>1</v>
      </c>
      <c r="Y174" s="19">
        <v>1</v>
      </c>
      <c r="Z174" s="19">
        <v>1</v>
      </c>
      <c r="AA174" s="19">
        <v>1</v>
      </c>
      <c r="AB174" s="20">
        <v>4.9091801669121256E-4</v>
      </c>
      <c r="AC174" s="20">
        <v>4.8851978505129456E-4</v>
      </c>
      <c r="AD174" s="20">
        <v>4.6860356138706655E-4</v>
      </c>
      <c r="AE174" s="20">
        <v>4.3478260869565219E-4</v>
      </c>
      <c r="AF174" s="20">
        <v>4.2211903756859433E-4</v>
      </c>
      <c r="AG174" s="19">
        <v>1</v>
      </c>
      <c r="AH174" s="19">
        <v>1</v>
      </c>
      <c r="AI174" s="19">
        <v>1</v>
      </c>
      <c r="AJ174" s="19">
        <v>1</v>
      </c>
      <c r="AK174" s="19">
        <v>1</v>
      </c>
      <c r="AL174" s="20">
        <v>1</v>
      </c>
      <c r="AM174" s="20">
        <v>1</v>
      </c>
      <c r="AN174" s="20">
        <v>1</v>
      </c>
      <c r="AO174" s="20">
        <v>1</v>
      </c>
      <c r="AP174" s="20">
        <v>1</v>
      </c>
      <c r="AQ174" s="37"/>
    </row>
    <row r="175" spans="1:55" s="19" customFormat="1" ht="12.75" x14ac:dyDescent="0.2">
      <c r="A175" s="18" t="s">
        <v>88</v>
      </c>
      <c r="B175" s="19">
        <v>3</v>
      </c>
      <c r="C175" s="19">
        <v>3</v>
      </c>
      <c r="D175" s="19">
        <v>4</v>
      </c>
      <c r="E175" s="19">
        <v>4</v>
      </c>
      <c r="F175" s="19">
        <v>3</v>
      </c>
      <c r="G175" s="20">
        <v>1.2975778546712802E-3</v>
      </c>
      <c r="H175" s="20">
        <v>1.2953367875647669E-3</v>
      </c>
      <c r="I175" s="20">
        <v>1.6792611251049538E-3</v>
      </c>
      <c r="J175" s="20">
        <v>1.6884761502743773E-3</v>
      </c>
      <c r="K175" s="20">
        <v>1.3686131386861315E-3</v>
      </c>
      <c r="L175" s="19">
        <v>3</v>
      </c>
      <c r="M175" s="19">
        <v>3</v>
      </c>
      <c r="N175" s="19">
        <v>4</v>
      </c>
      <c r="O175" s="19">
        <v>4</v>
      </c>
      <c r="P175" s="19">
        <v>3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W175" s="19">
        <v>4</v>
      </c>
      <c r="X175" s="19">
        <v>0</v>
      </c>
      <c r="Y175" s="19">
        <v>0</v>
      </c>
      <c r="Z175" s="19">
        <v>3</v>
      </c>
      <c r="AA175" s="19">
        <v>4</v>
      </c>
      <c r="AB175" s="20">
        <v>1.9636720667648502E-3</v>
      </c>
      <c r="AC175" s="20">
        <v>0</v>
      </c>
      <c r="AD175" s="20">
        <v>0</v>
      </c>
      <c r="AE175" s="20">
        <v>1.3043478260869566E-3</v>
      </c>
      <c r="AF175" s="20">
        <v>1.6884761502743773E-3</v>
      </c>
      <c r="AG175" s="19">
        <v>4</v>
      </c>
      <c r="AH175" s="19">
        <v>0</v>
      </c>
      <c r="AI175" s="19">
        <v>0</v>
      </c>
      <c r="AJ175" s="19">
        <v>3</v>
      </c>
      <c r="AK175" s="19">
        <v>4</v>
      </c>
      <c r="AL175" s="20">
        <v>1</v>
      </c>
      <c r="AM175" s="20">
        <v>0</v>
      </c>
      <c r="AN175" s="20">
        <v>0</v>
      </c>
      <c r="AO175" s="20">
        <v>1</v>
      </c>
      <c r="AP175" s="20">
        <v>1</v>
      </c>
      <c r="AQ175" s="37"/>
    </row>
    <row r="176" spans="1:55" s="21" customFormat="1" ht="12.75" x14ac:dyDescent="0.2">
      <c r="A176" s="29" t="s">
        <v>73</v>
      </c>
      <c r="B176" s="27">
        <v>2312</v>
      </c>
      <c r="C176" s="27">
        <v>2316</v>
      </c>
      <c r="D176" s="27">
        <v>2382</v>
      </c>
      <c r="E176" s="27">
        <v>2369</v>
      </c>
      <c r="F176" s="27">
        <v>2192</v>
      </c>
      <c r="G176" s="22">
        <v>1</v>
      </c>
      <c r="H176" s="22">
        <v>1</v>
      </c>
      <c r="I176" s="22">
        <v>1</v>
      </c>
      <c r="J176" s="22">
        <v>1</v>
      </c>
      <c r="K176" s="22">
        <v>1</v>
      </c>
      <c r="L176" s="27">
        <v>2312</v>
      </c>
      <c r="M176" s="27">
        <v>2316</v>
      </c>
      <c r="N176" s="27">
        <v>2264</v>
      </c>
      <c r="O176" s="27">
        <v>2231</v>
      </c>
      <c r="P176" s="27">
        <v>2121</v>
      </c>
      <c r="Q176" s="22">
        <v>1</v>
      </c>
      <c r="R176" s="22">
        <v>1</v>
      </c>
      <c r="S176" s="22">
        <v>0.9504617968094039</v>
      </c>
      <c r="T176" s="22">
        <v>0.94174757281553401</v>
      </c>
      <c r="U176" s="22">
        <v>0.9676094890510949</v>
      </c>
      <c r="W176" s="27">
        <v>2037</v>
      </c>
      <c r="X176" s="27">
        <v>2047</v>
      </c>
      <c r="Y176" s="27">
        <v>2134</v>
      </c>
      <c r="Z176" s="27">
        <v>2300</v>
      </c>
      <c r="AA176" s="27">
        <v>2369</v>
      </c>
      <c r="AB176" s="22">
        <v>1</v>
      </c>
      <c r="AC176" s="22">
        <v>1</v>
      </c>
      <c r="AD176" s="22">
        <v>1</v>
      </c>
      <c r="AE176" s="22">
        <v>1</v>
      </c>
      <c r="AF176" s="22">
        <v>1</v>
      </c>
      <c r="AG176" s="27">
        <v>2037</v>
      </c>
      <c r="AH176" s="27">
        <v>2047</v>
      </c>
      <c r="AI176" s="27">
        <v>2134</v>
      </c>
      <c r="AJ176" s="27">
        <v>2300</v>
      </c>
      <c r="AK176" s="27">
        <v>2231</v>
      </c>
      <c r="AL176" s="22">
        <v>1</v>
      </c>
      <c r="AM176" s="22">
        <v>1</v>
      </c>
      <c r="AN176" s="22">
        <v>1</v>
      </c>
      <c r="AO176" s="22">
        <v>1</v>
      </c>
      <c r="AP176" s="22">
        <v>0.94174757281553401</v>
      </c>
      <c r="AQ176" s="37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</row>
    <row r="177" spans="1:55" s="19" customFormat="1" ht="12.75" x14ac:dyDescent="0.2">
      <c r="A177" s="18"/>
      <c r="AB177" s="20"/>
      <c r="AC177" s="20"/>
      <c r="AD177" s="20"/>
      <c r="AE177" s="20"/>
      <c r="AF177" s="20"/>
      <c r="AL177" s="20"/>
      <c r="AM177" s="20"/>
      <c r="AN177" s="20"/>
      <c r="AO177" s="20"/>
      <c r="AP177" s="20"/>
      <c r="AQ177" s="37"/>
    </row>
    <row r="178" spans="1:55" s="19" customFormat="1" ht="12.75" x14ac:dyDescent="0.2">
      <c r="A178" s="2" t="s">
        <v>74</v>
      </c>
      <c r="AB178" s="20"/>
      <c r="AC178" s="20"/>
      <c r="AD178" s="20"/>
      <c r="AE178" s="20"/>
      <c r="AF178" s="20"/>
      <c r="AL178" s="20"/>
      <c r="AM178" s="20"/>
      <c r="AN178" s="20"/>
      <c r="AO178" s="20"/>
      <c r="AP178" s="20"/>
      <c r="AQ178" s="37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</row>
    <row r="179" spans="1:55" s="21" customFormat="1" ht="12.75" x14ac:dyDescent="0.2">
      <c r="A179" s="1" t="s">
        <v>75</v>
      </c>
      <c r="AB179" s="22"/>
      <c r="AC179" s="22"/>
      <c r="AD179" s="22"/>
      <c r="AE179" s="22"/>
      <c r="AF179" s="22"/>
      <c r="AL179" s="22"/>
      <c r="AM179" s="22"/>
      <c r="AN179" s="22"/>
      <c r="AO179" s="22"/>
      <c r="AP179" s="22"/>
      <c r="AQ179" s="38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</row>
    <row r="180" spans="1:55" s="19" customFormat="1" ht="12.75" x14ac:dyDescent="0.2">
      <c r="A180" s="9" t="s">
        <v>9</v>
      </c>
      <c r="B180" s="9" t="s">
        <v>10</v>
      </c>
      <c r="C180" s="9" t="s">
        <v>11</v>
      </c>
      <c r="D180" s="9" t="s">
        <v>12</v>
      </c>
      <c r="E180" s="9" t="s">
        <v>164</v>
      </c>
      <c r="F180" s="9" t="s">
        <v>195</v>
      </c>
      <c r="G180" s="9" t="s">
        <v>10</v>
      </c>
      <c r="H180" s="9" t="s">
        <v>11</v>
      </c>
      <c r="I180" s="9" t="s">
        <v>12</v>
      </c>
      <c r="J180" s="9" t="s">
        <v>164</v>
      </c>
      <c r="K180" s="9" t="s">
        <v>195</v>
      </c>
      <c r="L180" s="9" t="s">
        <v>10</v>
      </c>
      <c r="M180" s="9" t="s">
        <v>11</v>
      </c>
      <c r="N180" s="9" t="s">
        <v>12</v>
      </c>
      <c r="O180" s="9" t="s">
        <v>164</v>
      </c>
      <c r="P180" s="9" t="s">
        <v>195</v>
      </c>
      <c r="Q180" s="9" t="s">
        <v>10</v>
      </c>
      <c r="R180" s="9" t="s">
        <v>11</v>
      </c>
      <c r="S180" s="9" t="s">
        <v>12</v>
      </c>
      <c r="T180" s="9" t="s">
        <v>164</v>
      </c>
      <c r="U180" s="9" t="s">
        <v>195</v>
      </c>
      <c r="V180" s="9"/>
      <c r="W180" s="9" t="s">
        <v>13</v>
      </c>
      <c r="X180" s="9" t="s">
        <v>14</v>
      </c>
      <c r="Y180" s="9" t="s">
        <v>15</v>
      </c>
      <c r="Z180" s="9" t="s">
        <v>16</v>
      </c>
      <c r="AA180" s="9" t="s">
        <v>165</v>
      </c>
      <c r="AB180" s="9" t="s">
        <v>13</v>
      </c>
      <c r="AC180" s="9" t="s">
        <v>14</v>
      </c>
      <c r="AD180" s="9" t="s">
        <v>15</v>
      </c>
      <c r="AE180" s="9" t="s">
        <v>16</v>
      </c>
      <c r="AF180" s="9" t="s">
        <v>165</v>
      </c>
      <c r="AG180" s="9" t="s">
        <v>13</v>
      </c>
      <c r="AH180" s="9" t="s">
        <v>14</v>
      </c>
      <c r="AI180" s="9" t="s">
        <v>15</v>
      </c>
      <c r="AJ180" s="9" t="s">
        <v>16</v>
      </c>
      <c r="AK180" s="9" t="s">
        <v>165</v>
      </c>
      <c r="AL180" s="9" t="s">
        <v>13</v>
      </c>
      <c r="AM180" s="9" t="s">
        <v>14</v>
      </c>
      <c r="AN180" s="9" t="s">
        <v>15</v>
      </c>
      <c r="AO180" s="9" t="s">
        <v>16</v>
      </c>
      <c r="AP180" s="9" t="s">
        <v>165</v>
      </c>
      <c r="AQ180" s="37"/>
    </row>
    <row r="181" spans="1:55" s="19" customFormat="1" ht="12.75" x14ac:dyDescent="0.2">
      <c r="A181" s="18" t="s">
        <v>19</v>
      </c>
      <c r="B181" s="19">
        <v>11161</v>
      </c>
      <c r="C181" s="19">
        <v>11569</v>
      </c>
      <c r="D181" s="19">
        <v>12095</v>
      </c>
      <c r="E181" s="19">
        <v>11968</v>
      </c>
      <c r="F181" s="19">
        <v>11867</v>
      </c>
      <c r="G181" s="20">
        <v>0.21552156953616808</v>
      </c>
      <c r="H181" s="20">
        <v>0.21766698024459077</v>
      </c>
      <c r="I181" s="20">
        <v>0.18545777941334315</v>
      </c>
      <c r="J181" s="20">
        <v>0.1848653825360293</v>
      </c>
      <c r="K181" s="20">
        <v>0.1859564999373198</v>
      </c>
      <c r="L181" s="19">
        <v>11161</v>
      </c>
      <c r="M181" s="19">
        <v>11569</v>
      </c>
      <c r="N181" s="19">
        <v>11984</v>
      </c>
      <c r="O181" s="19">
        <v>11878</v>
      </c>
      <c r="P181" s="19">
        <v>11787</v>
      </c>
      <c r="Q181" s="20">
        <v>1</v>
      </c>
      <c r="R181" s="20">
        <v>1</v>
      </c>
      <c r="S181" s="20">
        <v>0.99082265398925173</v>
      </c>
      <c r="T181" s="20">
        <v>0.99247994652406413</v>
      </c>
      <c r="U181" s="20">
        <v>0.99325861633100199</v>
      </c>
      <c r="W181" s="19">
        <v>8236</v>
      </c>
      <c r="X181" s="19">
        <v>9802</v>
      </c>
      <c r="Y181" s="19">
        <v>7658</v>
      </c>
      <c r="Z181" s="19">
        <v>10712</v>
      </c>
      <c r="AA181" s="19">
        <v>11968</v>
      </c>
      <c r="AB181" s="20">
        <v>0.18043992638681974</v>
      </c>
      <c r="AC181" s="20">
        <v>0.18431048098980859</v>
      </c>
      <c r="AD181" s="20">
        <v>0.14421573981657596</v>
      </c>
      <c r="AE181" s="20">
        <v>0.2130723634483033</v>
      </c>
      <c r="AF181" s="20">
        <v>0.1848653825360293</v>
      </c>
      <c r="AG181" s="19">
        <v>8236</v>
      </c>
      <c r="AH181" s="19">
        <v>9802</v>
      </c>
      <c r="AI181" s="19">
        <v>7658</v>
      </c>
      <c r="AJ181" s="19">
        <v>10712</v>
      </c>
      <c r="AK181" s="19">
        <v>11878</v>
      </c>
      <c r="AL181" s="20">
        <v>1</v>
      </c>
      <c r="AM181" s="20">
        <v>1</v>
      </c>
      <c r="AN181" s="20">
        <v>1</v>
      </c>
      <c r="AO181" s="20">
        <v>1</v>
      </c>
      <c r="AP181" s="20">
        <v>0.99247994652406413</v>
      </c>
      <c r="AQ181" s="37"/>
    </row>
    <row r="182" spans="1:55" s="19" customFormat="1" ht="12.75" x14ac:dyDescent="0.2">
      <c r="A182" s="18" t="s">
        <v>43</v>
      </c>
      <c r="B182" s="19">
        <v>18228</v>
      </c>
      <c r="C182" s="19">
        <v>18241</v>
      </c>
      <c r="D182" s="19">
        <v>17353</v>
      </c>
      <c r="E182" s="19">
        <v>17911</v>
      </c>
      <c r="F182" s="19">
        <v>17926</v>
      </c>
      <c r="G182" s="20">
        <v>0.35198702351987021</v>
      </c>
      <c r="H182" s="20">
        <v>0.34319849482596426</v>
      </c>
      <c r="I182" s="20">
        <v>0.26608092981891224</v>
      </c>
      <c r="J182" s="20">
        <v>0.27666476158111802</v>
      </c>
      <c r="K182" s="20">
        <v>0.28090134135639966</v>
      </c>
      <c r="L182" s="19">
        <v>18228</v>
      </c>
      <c r="M182" s="19">
        <v>18241</v>
      </c>
      <c r="N182" s="19">
        <v>16720</v>
      </c>
      <c r="O182" s="19">
        <v>17313</v>
      </c>
      <c r="P182" s="19">
        <v>17318</v>
      </c>
      <c r="Q182" s="20">
        <v>1</v>
      </c>
      <c r="R182" s="20">
        <v>1</v>
      </c>
      <c r="S182" s="20">
        <v>0.96352215755200832</v>
      </c>
      <c r="T182" s="20">
        <v>0.96661269610853662</v>
      </c>
      <c r="U182" s="20">
        <v>0.96608278478188103</v>
      </c>
      <c r="W182" s="19">
        <v>9658</v>
      </c>
      <c r="X182" s="19">
        <v>18890</v>
      </c>
      <c r="Y182" s="19">
        <v>20732</v>
      </c>
      <c r="Z182" s="19">
        <v>17641</v>
      </c>
      <c r="AA182" s="19">
        <v>17911</v>
      </c>
      <c r="AB182" s="20">
        <v>0.21159407589168347</v>
      </c>
      <c r="AC182" s="20">
        <v>0.35519536685344666</v>
      </c>
      <c r="AD182" s="20">
        <v>0.39042579235795938</v>
      </c>
      <c r="AE182" s="20">
        <v>0.35089708397979075</v>
      </c>
      <c r="AF182" s="20">
        <v>0.27666476158111802</v>
      </c>
      <c r="AG182" s="19">
        <v>9658</v>
      </c>
      <c r="AH182" s="19">
        <v>18890</v>
      </c>
      <c r="AI182" s="19">
        <v>20732</v>
      </c>
      <c r="AJ182" s="19">
        <v>17641</v>
      </c>
      <c r="AK182" s="19">
        <v>17313</v>
      </c>
      <c r="AL182" s="20">
        <v>1</v>
      </c>
      <c r="AM182" s="20">
        <v>1</v>
      </c>
      <c r="AN182" s="20">
        <v>1</v>
      </c>
      <c r="AO182" s="20">
        <v>1</v>
      </c>
      <c r="AP182" s="20">
        <v>0.96661269610853662</v>
      </c>
      <c r="AQ182" s="37"/>
    </row>
    <row r="183" spans="1:55" s="19" customFormat="1" ht="12.75" x14ac:dyDescent="0.2">
      <c r="A183" s="18" t="s">
        <v>30</v>
      </c>
      <c r="B183" s="19">
        <v>7497</v>
      </c>
      <c r="C183" s="19">
        <v>7276</v>
      </c>
      <c r="D183" s="19">
        <v>10562</v>
      </c>
      <c r="E183" s="19">
        <v>9567</v>
      </c>
      <c r="F183" s="19">
        <v>9646</v>
      </c>
      <c r="G183" s="20">
        <v>0.14476885644768855</v>
      </c>
      <c r="H183" s="20">
        <v>0.13689557855126999</v>
      </c>
      <c r="I183" s="20">
        <v>0.16195163837649693</v>
      </c>
      <c r="J183" s="20">
        <v>0.14777800089590509</v>
      </c>
      <c r="K183" s="20">
        <v>0.15115331578287577</v>
      </c>
      <c r="L183" s="19">
        <v>7497</v>
      </c>
      <c r="M183" s="19">
        <v>7276</v>
      </c>
      <c r="N183" s="19">
        <v>10218</v>
      </c>
      <c r="O183" s="19">
        <v>9254</v>
      </c>
      <c r="P183" s="19">
        <v>9323</v>
      </c>
      <c r="Q183" s="20">
        <v>1</v>
      </c>
      <c r="R183" s="20">
        <v>1</v>
      </c>
      <c r="S183" s="20">
        <v>0.9674304109070252</v>
      </c>
      <c r="T183" s="20">
        <v>0.96728336991742447</v>
      </c>
      <c r="U183" s="20">
        <v>0.9665146174580137</v>
      </c>
      <c r="W183" s="19">
        <v>15243</v>
      </c>
      <c r="X183" s="19">
        <v>13006</v>
      </c>
      <c r="Y183" s="19">
        <v>10874</v>
      </c>
      <c r="Z183" s="19">
        <v>7549</v>
      </c>
      <c r="AA183" s="19">
        <v>9567</v>
      </c>
      <c r="AB183" s="20">
        <v>0.333954079397073</v>
      </c>
      <c r="AC183" s="20">
        <v>0.24455642886690987</v>
      </c>
      <c r="AD183" s="20">
        <v>0.20477957100619573</v>
      </c>
      <c r="AE183" s="20">
        <v>0.15015713887894339</v>
      </c>
      <c r="AF183" s="20">
        <v>0.14777800089590509</v>
      </c>
      <c r="AG183" s="19">
        <v>15243</v>
      </c>
      <c r="AH183" s="19">
        <v>13006</v>
      </c>
      <c r="AI183" s="19">
        <v>10874</v>
      </c>
      <c r="AJ183" s="19">
        <v>7549</v>
      </c>
      <c r="AK183" s="19">
        <v>9254</v>
      </c>
      <c r="AL183" s="20">
        <v>1</v>
      </c>
      <c r="AM183" s="20">
        <v>1</v>
      </c>
      <c r="AN183" s="20">
        <v>1</v>
      </c>
      <c r="AO183" s="20">
        <v>1</v>
      </c>
      <c r="AP183" s="20">
        <v>0.96728336991742447</v>
      </c>
      <c r="AQ183" s="37"/>
    </row>
    <row r="184" spans="1:55" s="19" customFormat="1" ht="12.75" x14ac:dyDescent="0.2">
      <c r="A184" s="18" t="s">
        <v>76</v>
      </c>
      <c r="B184" s="19">
        <v>14900</v>
      </c>
      <c r="C184" s="19">
        <v>16064</v>
      </c>
      <c r="D184" s="19">
        <v>25207</v>
      </c>
      <c r="E184" s="19">
        <v>25293</v>
      </c>
      <c r="F184" s="19">
        <v>24377</v>
      </c>
      <c r="G184" s="20">
        <v>0.2877225504962731</v>
      </c>
      <c r="H184" s="20">
        <v>0.302238946378175</v>
      </c>
      <c r="I184" s="20">
        <v>0.38650965239124768</v>
      </c>
      <c r="J184" s="20">
        <v>0.39069185498694758</v>
      </c>
      <c r="K184" s="20">
        <v>0.38198884292340479</v>
      </c>
      <c r="L184" s="19">
        <v>14900</v>
      </c>
      <c r="M184" s="19">
        <v>16064</v>
      </c>
      <c r="N184" s="19">
        <v>20021</v>
      </c>
      <c r="O184" s="19">
        <v>20210</v>
      </c>
      <c r="P184" s="19">
        <v>13857</v>
      </c>
      <c r="Q184" s="20">
        <v>1</v>
      </c>
      <c r="R184" s="20">
        <v>1</v>
      </c>
      <c r="S184" s="20">
        <v>0.79426349823461739</v>
      </c>
      <c r="T184" s="20">
        <v>0.79903530621120467</v>
      </c>
      <c r="U184" s="20">
        <v>0.56844566599663615</v>
      </c>
      <c r="W184" s="19">
        <v>12507</v>
      </c>
      <c r="X184" s="19">
        <v>11484</v>
      </c>
      <c r="Y184" s="19">
        <v>13837</v>
      </c>
      <c r="Z184" s="19">
        <v>14372</v>
      </c>
      <c r="AA184" s="19">
        <v>25293</v>
      </c>
      <c r="AB184" s="20">
        <v>0.27401191832442379</v>
      </c>
      <c r="AC184" s="20">
        <v>0.2159377232898349</v>
      </c>
      <c r="AD184" s="20">
        <v>0.26057889681926893</v>
      </c>
      <c r="AE184" s="20">
        <v>0.28587341369296254</v>
      </c>
      <c r="AF184" s="20">
        <v>0.39069185498694758</v>
      </c>
      <c r="AG184" s="19">
        <v>12507</v>
      </c>
      <c r="AH184" s="19">
        <v>11484</v>
      </c>
      <c r="AI184" s="19">
        <v>13837</v>
      </c>
      <c r="AJ184" s="19">
        <v>14372</v>
      </c>
      <c r="AK184" s="19">
        <v>20210</v>
      </c>
      <c r="AL184" s="20">
        <v>1</v>
      </c>
      <c r="AM184" s="20">
        <v>1</v>
      </c>
      <c r="AN184" s="20">
        <v>1</v>
      </c>
      <c r="AO184" s="20">
        <v>1</v>
      </c>
      <c r="AP184" s="20">
        <v>0.79903530621120467</v>
      </c>
      <c r="AQ184" s="37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</row>
    <row r="185" spans="1:55" s="21" customFormat="1" ht="12.75" x14ac:dyDescent="0.2">
      <c r="A185" s="29" t="s">
        <v>77</v>
      </c>
      <c r="B185" s="21">
        <v>51786</v>
      </c>
      <c r="C185" s="21">
        <v>53150</v>
      </c>
      <c r="D185" s="21">
        <v>65217</v>
      </c>
      <c r="E185" s="21">
        <v>64739</v>
      </c>
      <c r="F185" s="21">
        <v>63816</v>
      </c>
      <c r="G185" s="22">
        <v>1</v>
      </c>
      <c r="H185" s="22">
        <v>1</v>
      </c>
      <c r="I185" s="22">
        <v>1</v>
      </c>
      <c r="J185" s="22">
        <v>1</v>
      </c>
      <c r="K185" s="22">
        <v>1</v>
      </c>
      <c r="L185" s="21">
        <v>51786</v>
      </c>
      <c r="M185" s="21">
        <v>53150</v>
      </c>
      <c r="N185" s="21">
        <v>58943</v>
      </c>
      <c r="O185" s="21">
        <v>58655</v>
      </c>
      <c r="P185" s="21">
        <v>52285</v>
      </c>
      <c r="Q185" s="22">
        <v>1</v>
      </c>
      <c r="R185" s="22">
        <v>1</v>
      </c>
      <c r="S185" s="22">
        <v>0.90379808945520335</v>
      </c>
      <c r="T185" s="22">
        <v>0.90602264477362948</v>
      </c>
      <c r="U185" s="22">
        <v>0.8193086373323305</v>
      </c>
      <c r="W185" s="21">
        <v>45644</v>
      </c>
      <c r="X185" s="21">
        <v>53182</v>
      </c>
      <c r="Y185" s="21">
        <v>53101</v>
      </c>
      <c r="Z185" s="21">
        <v>50274</v>
      </c>
      <c r="AA185" s="21">
        <v>64739</v>
      </c>
      <c r="AB185" s="22">
        <v>1</v>
      </c>
      <c r="AC185" s="22">
        <v>1</v>
      </c>
      <c r="AD185" s="22">
        <v>1</v>
      </c>
      <c r="AE185" s="22">
        <v>1</v>
      </c>
      <c r="AF185" s="22">
        <v>1</v>
      </c>
      <c r="AG185" s="21">
        <v>45644</v>
      </c>
      <c r="AH185" s="21">
        <v>53182</v>
      </c>
      <c r="AI185" s="21">
        <v>53101</v>
      </c>
      <c r="AJ185" s="21">
        <v>50274</v>
      </c>
      <c r="AK185" s="21">
        <v>58655</v>
      </c>
      <c r="AL185" s="22">
        <v>1</v>
      </c>
      <c r="AM185" s="22">
        <v>1</v>
      </c>
      <c r="AN185" s="22">
        <v>1</v>
      </c>
      <c r="AO185" s="22">
        <v>1</v>
      </c>
      <c r="AP185" s="22">
        <v>0.90602264477362948</v>
      </c>
      <c r="AQ185" s="37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</row>
    <row r="186" spans="1:55" s="19" customFormat="1" ht="12.75" x14ac:dyDescent="0.2">
      <c r="A186" s="18"/>
      <c r="AB186" s="20"/>
      <c r="AC186" s="20"/>
      <c r="AD186" s="20"/>
      <c r="AE186" s="20"/>
      <c r="AF186" s="20"/>
      <c r="AL186" s="20"/>
      <c r="AM186" s="20"/>
      <c r="AN186" s="20"/>
      <c r="AO186" s="20"/>
      <c r="AP186" s="20"/>
      <c r="AQ186" s="37"/>
    </row>
    <row r="187" spans="1:55" s="19" customFormat="1" ht="12.75" x14ac:dyDescent="0.2">
      <c r="A187" s="9" t="s">
        <v>64</v>
      </c>
      <c r="B187" s="9" t="s">
        <v>10</v>
      </c>
      <c r="C187" s="9" t="s">
        <v>11</v>
      </c>
      <c r="D187" s="9" t="s">
        <v>12</v>
      </c>
      <c r="E187" s="9" t="s">
        <v>164</v>
      </c>
      <c r="F187" s="9" t="s">
        <v>195</v>
      </c>
      <c r="G187" s="9" t="s">
        <v>10</v>
      </c>
      <c r="H187" s="9" t="s">
        <v>11</v>
      </c>
      <c r="I187" s="9" t="s">
        <v>12</v>
      </c>
      <c r="J187" s="9" t="s">
        <v>164</v>
      </c>
      <c r="K187" s="9" t="s">
        <v>195</v>
      </c>
      <c r="L187" s="9" t="s">
        <v>10</v>
      </c>
      <c r="M187" s="9" t="s">
        <v>11</v>
      </c>
      <c r="N187" s="9" t="s">
        <v>12</v>
      </c>
      <c r="O187" s="9" t="s">
        <v>164</v>
      </c>
      <c r="P187" s="9" t="s">
        <v>195</v>
      </c>
      <c r="Q187" s="9" t="s">
        <v>10</v>
      </c>
      <c r="R187" s="9" t="s">
        <v>11</v>
      </c>
      <c r="S187" s="9" t="s">
        <v>12</v>
      </c>
      <c r="T187" s="9" t="s">
        <v>164</v>
      </c>
      <c r="U187" s="9" t="s">
        <v>195</v>
      </c>
      <c r="V187" s="9"/>
      <c r="W187" s="9" t="s">
        <v>13</v>
      </c>
      <c r="X187" s="9" t="s">
        <v>14</v>
      </c>
      <c r="Y187" s="9" t="s">
        <v>15</v>
      </c>
      <c r="Z187" s="9" t="s">
        <v>16</v>
      </c>
      <c r="AA187" s="9" t="s">
        <v>165</v>
      </c>
      <c r="AB187" s="9" t="s">
        <v>13</v>
      </c>
      <c r="AC187" s="9" t="s">
        <v>14</v>
      </c>
      <c r="AD187" s="9" t="s">
        <v>15</v>
      </c>
      <c r="AE187" s="9" t="s">
        <v>16</v>
      </c>
      <c r="AF187" s="9" t="s">
        <v>165</v>
      </c>
      <c r="AG187" s="9" t="s">
        <v>13</v>
      </c>
      <c r="AH187" s="9" t="s">
        <v>14</v>
      </c>
      <c r="AI187" s="9" t="s">
        <v>15</v>
      </c>
      <c r="AJ187" s="9" t="s">
        <v>16</v>
      </c>
      <c r="AK187" s="9" t="s">
        <v>165</v>
      </c>
      <c r="AL187" s="9" t="s">
        <v>13</v>
      </c>
      <c r="AM187" s="9" t="s">
        <v>14</v>
      </c>
      <c r="AN187" s="9" t="s">
        <v>15</v>
      </c>
      <c r="AO187" s="9" t="s">
        <v>16</v>
      </c>
      <c r="AP187" s="9" t="s">
        <v>165</v>
      </c>
      <c r="AQ187" s="37"/>
    </row>
    <row r="188" spans="1:55" s="19" customFormat="1" ht="12.75" x14ac:dyDescent="0.2">
      <c r="A188" s="18" t="s">
        <v>18</v>
      </c>
      <c r="B188" s="19">
        <v>1358</v>
      </c>
      <c r="C188" s="19">
        <v>1355</v>
      </c>
      <c r="D188" s="19">
        <v>1353</v>
      </c>
      <c r="E188" s="19">
        <v>1348</v>
      </c>
      <c r="F188" s="19">
        <v>1345</v>
      </c>
      <c r="G188" s="20">
        <v>0.71737982039091386</v>
      </c>
      <c r="H188" s="20">
        <v>0.71579503433703118</v>
      </c>
      <c r="I188" s="20">
        <v>0.7043206663196252</v>
      </c>
      <c r="J188" s="20">
        <v>0.69917012448132776</v>
      </c>
      <c r="K188" s="20">
        <v>0.69689119170984459</v>
      </c>
      <c r="L188" s="19">
        <v>1358</v>
      </c>
      <c r="M188" s="19">
        <v>1355</v>
      </c>
      <c r="N188" s="19">
        <v>1353</v>
      </c>
      <c r="O188" s="19">
        <v>1348</v>
      </c>
      <c r="P188" s="19">
        <v>1345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W188" s="19">
        <v>1221</v>
      </c>
      <c r="X188" s="19">
        <v>1153</v>
      </c>
      <c r="Y188" s="19">
        <v>1436</v>
      </c>
      <c r="Z188" s="19">
        <v>1352</v>
      </c>
      <c r="AA188" s="19">
        <v>1348</v>
      </c>
      <c r="AB188" s="20">
        <v>0.65645161290322585</v>
      </c>
      <c r="AC188" s="20">
        <v>0.65104460756634674</v>
      </c>
      <c r="AD188" s="20">
        <v>0.73340143003064351</v>
      </c>
      <c r="AE188" s="20">
        <v>0.72299465240641714</v>
      </c>
      <c r="AF188" s="20">
        <v>0.69917012448132776</v>
      </c>
      <c r="AG188" s="19">
        <v>1221</v>
      </c>
      <c r="AH188" s="19">
        <v>1153</v>
      </c>
      <c r="AI188" s="19">
        <v>1436</v>
      </c>
      <c r="AJ188" s="19">
        <v>1352</v>
      </c>
      <c r="AK188" s="19">
        <v>1348</v>
      </c>
      <c r="AL188" s="20">
        <v>1</v>
      </c>
      <c r="AM188" s="20">
        <v>1</v>
      </c>
      <c r="AN188" s="20">
        <v>1</v>
      </c>
      <c r="AO188" s="20">
        <v>1</v>
      </c>
      <c r="AP188" s="20">
        <v>1</v>
      </c>
      <c r="AQ188" s="37"/>
    </row>
    <row r="189" spans="1:55" s="19" customFormat="1" ht="12.75" x14ac:dyDescent="0.2">
      <c r="A189" s="18" t="s">
        <v>43</v>
      </c>
      <c r="B189" s="19">
        <v>251</v>
      </c>
      <c r="C189" s="19">
        <v>254</v>
      </c>
      <c r="D189" s="19">
        <v>239</v>
      </c>
      <c r="E189" s="19">
        <v>254</v>
      </c>
      <c r="F189" s="19">
        <v>257</v>
      </c>
      <c r="G189" s="20">
        <v>0.13259376650818805</v>
      </c>
      <c r="H189" s="20">
        <v>0.13417855256207079</v>
      </c>
      <c r="I189" s="20">
        <v>0.12441436751691827</v>
      </c>
      <c r="J189" s="20">
        <v>0.13174273858921162</v>
      </c>
      <c r="K189" s="20">
        <v>0.13316062176165802</v>
      </c>
      <c r="L189" s="19">
        <v>251</v>
      </c>
      <c r="M189" s="19">
        <v>254</v>
      </c>
      <c r="N189" s="19">
        <v>234</v>
      </c>
      <c r="O189" s="19">
        <v>253</v>
      </c>
      <c r="P189" s="19">
        <v>256</v>
      </c>
      <c r="Q189" s="20">
        <v>1</v>
      </c>
      <c r="R189" s="20">
        <v>1</v>
      </c>
      <c r="S189" s="20">
        <v>0.97907949790794979</v>
      </c>
      <c r="T189" s="20">
        <v>0.99606299212598426</v>
      </c>
      <c r="U189" s="20">
        <v>0.99610894941634243</v>
      </c>
      <c r="W189" s="19">
        <v>167</v>
      </c>
      <c r="X189" s="19">
        <v>209</v>
      </c>
      <c r="Y189" s="19">
        <v>263</v>
      </c>
      <c r="Z189" s="19">
        <v>250</v>
      </c>
      <c r="AA189" s="19">
        <v>254</v>
      </c>
      <c r="AB189" s="20">
        <v>8.9784946236559138E-2</v>
      </c>
      <c r="AC189" s="20">
        <v>0.11801242236024845</v>
      </c>
      <c r="AD189" s="20">
        <v>0.13432073544433096</v>
      </c>
      <c r="AE189" s="20">
        <v>0.13368983957219252</v>
      </c>
      <c r="AF189" s="20">
        <v>0.13174273858921162</v>
      </c>
      <c r="AG189" s="19">
        <v>167</v>
      </c>
      <c r="AH189" s="19">
        <v>209</v>
      </c>
      <c r="AI189" s="19">
        <v>263</v>
      </c>
      <c r="AJ189" s="19">
        <v>250</v>
      </c>
      <c r="AK189" s="19">
        <v>253</v>
      </c>
      <c r="AL189" s="20">
        <v>1</v>
      </c>
      <c r="AM189" s="20">
        <v>1</v>
      </c>
      <c r="AN189" s="20">
        <v>1</v>
      </c>
      <c r="AO189" s="20">
        <v>1</v>
      </c>
      <c r="AP189" s="20">
        <v>0.99606299212598426</v>
      </c>
      <c r="AQ189" s="37"/>
    </row>
    <row r="190" spans="1:55" s="19" customFormat="1" ht="12.75" x14ac:dyDescent="0.2">
      <c r="A190" s="18" t="s">
        <v>30</v>
      </c>
      <c r="B190" s="19">
        <v>124</v>
      </c>
      <c r="C190" s="19">
        <v>129</v>
      </c>
      <c r="D190" s="19">
        <v>165</v>
      </c>
      <c r="E190" s="19">
        <v>166</v>
      </c>
      <c r="F190" s="19">
        <v>165</v>
      </c>
      <c r="G190" s="20">
        <v>6.550449022715267E-2</v>
      </c>
      <c r="H190" s="20">
        <v>6.8145800316957217E-2</v>
      </c>
      <c r="I190" s="20">
        <v>8.5892764185320145E-2</v>
      </c>
      <c r="J190" s="20">
        <v>8.6099585062240663E-2</v>
      </c>
      <c r="K190" s="20">
        <v>8.549222797927461E-2</v>
      </c>
      <c r="L190" s="19">
        <v>124</v>
      </c>
      <c r="M190" s="19">
        <v>129</v>
      </c>
      <c r="N190" s="19">
        <v>165</v>
      </c>
      <c r="O190" s="19">
        <v>163</v>
      </c>
      <c r="P190" s="19">
        <v>164</v>
      </c>
      <c r="Q190" s="20">
        <v>1</v>
      </c>
      <c r="R190" s="20">
        <v>1</v>
      </c>
      <c r="S190" s="20">
        <v>1</v>
      </c>
      <c r="T190" s="20">
        <v>0.98192771084337349</v>
      </c>
      <c r="U190" s="20">
        <v>0.9939393939393939</v>
      </c>
      <c r="W190" s="19">
        <v>152</v>
      </c>
      <c r="X190" s="19">
        <v>140</v>
      </c>
      <c r="Y190" s="19">
        <v>110</v>
      </c>
      <c r="Z190" s="19">
        <v>108</v>
      </c>
      <c r="AA190" s="19">
        <v>166</v>
      </c>
      <c r="AB190" s="20">
        <v>8.1720430107526887E-2</v>
      </c>
      <c r="AC190" s="20">
        <v>7.9051383399209488E-2</v>
      </c>
      <c r="AD190" s="20">
        <v>5.6179775280898875E-2</v>
      </c>
      <c r="AE190" s="20">
        <v>5.7754010695187166E-2</v>
      </c>
      <c r="AF190" s="20">
        <v>8.6099585062240663E-2</v>
      </c>
      <c r="AG190" s="19">
        <v>152</v>
      </c>
      <c r="AH190" s="19">
        <v>140</v>
      </c>
      <c r="AI190" s="19">
        <v>110</v>
      </c>
      <c r="AJ190" s="19">
        <v>108</v>
      </c>
      <c r="AK190" s="19">
        <v>163</v>
      </c>
      <c r="AL190" s="20">
        <v>1</v>
      </c>
      <c r="AM190" s="20">
        <v>1</v>
      </c>
      <c r="AN190" s="20">
        <v>1</v>
      </c>
      <c r="AO190" s="20">
        <v>1</v>
      </c>
      <c r="AP190" s="20">
        <v>0.98192771084337349</v>
      </c>
      <c r="AQ190" s="37"/>
    </row>
    <row r="191" spans="1:55" s="19" customFormat="1" ht="12.75" x14ac:dyDescent="0.2">
      <c r="A191" s="18" t="s">
        <v>76</v>
      </c>
      <c r="B191" s="19">
        <v>160</v>
      </c>
      <c r="C191" s="19">
        <v>155</v>
      </c>
      <c r="D191" s="19">
        <v>164</v>
      </c>
      <c r="E191" s="19">
        <v>160</v>
      </c>
      <c r="F191" s="19">
        <v>163</v>
      </c>
      <c r="G191" s="20">
        <v>8.4521922873745381E-2</v>
      </c>
      <c r="H191" s="20">
        <v>8.1880612783940834E-2</v>
      </c>
      <c r="I191" s="20">
        <v>8.5372201978136386E-2</v>
      </c>
      <c r="J191" s="20">
        <v>8.2987551867219914E-2</v>
      </c>
      <c r="K191" s="20">
        <v>8.4455958549222804E-2</v>
      </c>
      <c r="L191" s="19">
        <v>160</v>
      </c>
      <c r="M191" s="19">
        <v>155</v>
      </c>
      <c r="N191" s="19">
        <v>163</v>
      </c>
      <c r="O191" s="19">
        <v>159</v>
      </c>
      <c r="P191" s="19">
        <v>163</v>
      </c>
      <c r="Q191" s="20">
        <v>1</v>
      </c>
      <c r="R191" s="20">
        <v>1</v>
      </c>
      <c r="S191" s="20">
        <v>0.99390243902439024</v>
      </c>
      <c r="T191" s="20">
        <v>0.99375000000000002</v>
      </c>
      <c r="U191" s="20">
        <v>1</v>
      </c>
      <c r="W191" s="19">
        <v>320</v>
      </c>
      <c r="X191" s="19">
        <v>269</v>
      </c>
      <c r="Y191" s="19">
        <v>149</v>
      </c>
      <c r="Z191" s="19">
        <v>160</v>
      </c>
      <c r="AA191" s="19">
        <v>160</v>
      </c>
      <c r="AB191" s="20">
        <v>0.17204301075268819</v>
      </c>
      <c r="AC191" s="20">
        <v>0.15189158667419536</v>
      </c>
      <c r="AD191" s="20">
        <v>7.6098059244126659E-2</v>
      </c>
      <c r="AE191" s="20">
        <v>8.5561497326203204E-2</v>
      </c>
      <c r="AF191" s="20">
        <v>8.2987551867219914E-2</v>
      </c>
      <c r="AG191" s="19">
        <v>320</v>
      </c>
      <c r="AH191" s="19">
        <v>269</v>
      </c>
      <c r="AI191" s="19">
        <v>149</v>
      </c>
      <c r="AJ191" s="19">
        <v>160</v>
      </c>
      <c r="AK191" s="19">
        <v>159</v>
      </c>
      <c r="AL191" s="20">
        <v>1</v>
      </c>
      <c r="AM191" s="20">
        <v>1</v>
      </c>
      <c r="AN191" s="20">
        <v>1</v>
      </c>
      <c r="AO191" s="20">
        <v>1</v>
      </c>
      <c r="AP191" s="20">
        <v>0.99375000000000002</v>
      </c>
      <c r="AQ191" s="37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</row>
    <row r="192" spans="1:55" s="21" customFormat="1" ht="12.75" x14ac:dyDescent="0.2">
      <c r="A192" s="29" t="s">
        <v>77</v>
      </c>
      <c r="B192" s="21">
        <v>1893</v>
      </c>
      <c r="C192" s="21">
        <v>1893</v>
      </c>
      <c r="D192" s="21">
        <v>1921</v>
      </c>
      <c r="E192" s="21">
        <v>1928</v>
      </c>
      <c r="F192" s="21">
        <v>1930</v>
      </c>
      <c r="G192" s="22">
        <v>1</v>
      </c>
      <c r="H192" s="22">
        <v>1</v>
      </c>
      <c r="I192" s="22">
        <v>1</v>
      </c>
      <c r="J192" s="22">
        <v>1</v>
      </c>
      <c r="K192" s="22">
        <v>1</v>
      </c>
      <c r="L192" s="21">
        <v>1893</v>
      </c>
      <c r="M192" s="21">
        <v>1893</v>
      </c>
      <c r="N192" s="21">
        <v>1915</v>
      </c>
      <c r="O192" s="21">
        <v>1923</v>
      </c>
      <c r="P192" s="21">
        <v>1928</v>
      </c>
      <c r="Q192" s="22">
        <v>1</v>
      </c>
      <c r="R192" s="22">
        <v>1</v>
      </c>
      <c r="S192" s="22">
        <v>0.99687662675689748</v>
      </c>
      <c r="T192" s="22">
        <v>0.99740663900414939</v>
      </c>
      <c r="U192" s="22">
        <v>0.99896373056994814</v>
      </c>
      <c r="W192" s="21">
        <v>1860</v>
      </c>
      <c r="X192" s="21">
        <v>1771</v>
      </c>
      <c r="Y192" s="21">
        <v>1958</v>
      </c>
      <c r="Z192" s="21">
        <v>1870</v>
      </c>
      <c r="AA192" s="21">
        <v>1928</v>
      </c>
      <c r="AB192" s="22">
        <v>1</v>
      </c>
      <c r="AC192" s="22">
        <v>1</v>
      </c>
      <c r="AD192" s="22">
        <v>1</v>
      </c>
      <c r="AE192" s="22">
        <v>1</v>
      </c>
      <c r="AF192" s="22">
        <v>1</v>
      </c>
      <c r="AG192" s="21">
        <v>1860</v>
      </c>
      <c r="AH192" s="21">
        <v>1771</v>
      </c>
      <c r="AI192" s="21">
        <v>1958</v>
      </c>
      <c r="AJ192" s="21">
        <v>1870</v>
      </c>
      <c r="AK192" s="21">
        <v>1923</v>
      </c>
      <c r="AL192" s="22">
        <v>1</v>
      </c>
      <c r="AM192" s="22">
        <v>1</v>
      </c>
      <c r="AN192" s="22">
        <v>1</v>
      </c>
      <c r="AO192" s="22">
        <v>1</v>
      </c>
      <c r="AP192" s="22">
        <v>0.99740663900414939</v>
      </c>
      <c r="AQ192" s="37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</row>
    <row r="193" spans="1:55" s="19" customFormat="1" ht="12.75" x14ac:dyDescent="0.2">
      <c r="A193" s="18"/>
      <c r="AB193" s="20"/>
      <c r="AC193" s="20"/>
      <c r="AD193" s="20"/>
      <c r="AE193" s="20"/>
      <c r="AF193" s="20"/>
      <c r="AL193" s="20"/>
      <c r="AM193" s="20"/>
      <c r="AN193" s="20"/>
      <c r="AO193" s="20"/>
      <c r="AP193" s="20"/>
      <c r="AQ193" s="37"/>
    </row>
    <row r="194" spans="1:55" s="19" customFormat="1" ht="12.75" x14ac:dyDescent="0.2">
      <c r="A194" s="9" t="s">
        <v>66</v>
      </c>
      <c r="B194" s="9" t="s">
        <v>10</v>
      </c>
      <c r="C194" s="9" t="s">
        <v>11</v>
      </c>
      <c r="D194" s="9" t="s">
        <v>12</v>
      </c>
      <c r="E194" s="9" t="s">
        <v>164</v>
      </c>
      <c r="F194" s="9" t="s">
        <v>195</v>
      </c>
      <c r="G194" s="9" t="s">
        <v>10</v>
      </c>
      <c r="H194" s="9" t="s">
        <v>11</v>
      </c>
      <c r="I194" s="9" t="s">
        <v>12</v>
      </c>
      <c r="J194" s="9" t="s">
        <v>164</v>
      </c>
      <c r="K194" s="9" t="s">
        <v>195</v>
      </c>
      <c r="L194" s="9" t="s">
        <v>10</v>
      </c>
      <c r="M194" s="9" t="s">
        <v>11</v>
      </c>
      <c r="N194" s="9" t="s">
        <v>12</v>
      </c>
      <c r="O194" s="9" t="s">
        <v>164</v>
      </c>
      <c r="P194" s="9" t="s">
        <v>195</v>
      </c>
      <c r="Q194" s="9" t="s">
        <v>10</v>
      </c>
      <c r="R194" s="9" t="s">
        <v>11</v>
      </c>
      <c r="S194" s="9" t="s">
        <v>12</v>
      </c>
      <c r="T194" s="9" t="s">
        <v>164</v>
      </c>
      <c r="U194" s="9" t="s">
        <v>195</v>
      </c>
      <c r="V194" s="9"/>
      <c r="W194" s="9" t="s">
        <v>13</v>
      </c>
      <c r="X194" s="9" t="s">
        <v>14</v>
      </c>
      <c r="Y194" s="9" t="s">
        <v>15</v>
      </c>
      <c r="Z194" s="9" t="s">
        <v>16</v>
      </c>
      <c r="AA194" s="9" t="s">
        <v>165</v>
      </c>
      <c r="AB194" s="9" t="s">
        <v>13</v>
      </c>
      <c r="AC194" s="9" t="s">
        <v>14</v>
      </c>
      <c r="AD194" s="9" t="s">
        <v>15</v>
      </c>
      <c r="AE194" s="9" t="s">
        <v>16</v>
      </c>
      <c r="AF194" s="9" t="s">
        <v>165</v>
      </c>
      <c r="AG194" s="9" t="s">
        <v>13</v>
      </c>
      <c r="AH194" s="9" t="s">
        <v>14</v>
      </c>
      <c r="AI194" s="9" t="s">
        <v>15</v>
      </c>
      <c r="AJ194" s="9" t="s">
        <v>16</v>
      </c>
      <c r="AK194" s="9" t="s">
        <v>165</v>
      </c>
      <c r="AL194" s="9" t="s">
        <v>13</v>
      </c>
      <c r="AM194" s="9" t="s">
        <v>14</v>
      </c>
      <c r="AN194" s="9" t="s">
        <v>15</v>
      </c>
      <c r="AO194" s="9" t="s">
        <v>16</v>
      </c>
      <c r="AP194" s="9" t="s">
        <v>165</v>
      </c>
      <c r="AQ194" s="37"/>
    </row>
    <row r="195" spans="1:55" s="19" customFormat="1" ht="12.75" x14ac:dyDescent="0.2">
      <c r="A195" s="18" t="s">
        <v>43</v>
      </c>
      <c r="B195" s="19">
        <v>10985</v>
      </c>
      <c r="C195" s="19">
        <v>11069</v>
      </c>
      <c r="D195" s="19">
        <v>10307</v>
      </c>
      <c r="E195" s="19">
        <v>10578</v>
      </c>
      <c r="F195" s="19">
        <v>10569</v>
      </c>
      <c r="G195" s="20">
        <v>0.3764048793859649</v>
      </c>
      <c r="H195" s="20">
        <v>0.37542395875729206</v>
      </c>
      <c r="I195" s="20">
        <v>0.327747392520987</v>
      </c>
      <c r="J195" s="20">
        <v>0.34177705977382877</v>
      </c>
      <c r="K195" s="20">
        <v>0.34613873059540184</v>
      </c>
      <c r="L195" s="19">
        <v>10985</v>
      </c>
      <c r="M195" s="19">
        <v>11069</v>
      </c>
      <c r="N195" s="19">
        <v>9981</v>
      </c>
      <c r="O195" s="19">
        <v>10264</v>
      </c>
      <c r="P195" s="19">
        <v>10261</v>
      </c>
      <c r="Q195" s="20">
        <v>1</v>
      </c>
      <c r="R195" s="20">
        <v>1</v>
      </c>
      <c r="S195" s="20">
        <v>0.96837100999320846</v>
      </c>
      <c r="T195" s="20">
        <v>0.97031574966912459</v>
      </c>
      <c r="U195" s="20">
        <v>0.97085817012016273</v>
      </c>
      <c r="W195" s="19">
        <v>8672</v>
      </c>
      <c r="X195" s="19">
        <v>9952</v>
      </c>
      <c r="Y195" s="19">
        <v>11218</v>
      </c>
      <c r="Z195" s="19">
        <v>10458</v>
      </c>
      <c r="AA195" s="19">
        <v>10578</v>
      </c>
      <c r="AB195" s="20">
        <v>0.25291647223518432</v>
      </c>
      <c r="AC195" s="20">
        <v>0.32237374882575881</v>
      </c>
      <c r="AD195" s="20">
        <v>0.3717523860021209</v>
      </c>
      <c r="AE195" s="20">
        <v>0.37095629965947785</v>
      </c>
      <c r="AF195" s="20">
        <v>0.34177705977382877</v>
      </c>
      <c r="AG195" s="19">
        <v>8672</v>
      </c>
      <c r="AH195" s="19">
        <v>9952</v>
      </c>
      <c r="AI195" s="19">
        <v>11218</v>
      </c>
      <c r="AJ195" s="19">
        <v>10458</v>
      </c>
      <c r="AK195" s="19">
        <v>10264</v>
      </c>
      <c r="AL195" s="20">
        <v>1</v>
      </c>
      <c r="AM195" s="20">
        <v>1</v>
      </c>
      <c r="AN195" s="20">
        <v>1</v>
      </c>
      <c r="AO195" s="20">
        <v>1</v>
      </c>
      <c r="AP195" s="20">
        <v>0.97031574966912459</v>
      </c>
      <c r="AQ195" s="37"/>
    </row>
    <row r="196" spans="1:55" s="19" customFormat="1" ht="12.75" x14ac:dyDescent="0.2">
      <c r="A196" s="18" t="s">
        <v>19</v>
      </c>
      <c r="B196" s="19">
        <v>5495</v>
      </c>
      <c r="C196" s="19">
        <v>5826</v>
      </c>
      <c r="D196" s="19">
        <v>6303</v>
      </c>
      <c r="E196" s="19">
        <v>6258</v>
      </c>
      <c r="F196" s="19">
        <v>6330</v>
      </c>
      <c r="G196" s="20">
        <v>0.18828810307017543</v>
      </c>
      <c r="H196" s="20">
        <v>0.19759869759869761</v>
      </c>
      <c r="I196" s="20">
        <v>0.20042610022894938</v>
      </c>
      <c r="J196" s="20">
        <v>0.20219709208400646</v>
      </c>
      <c r="K196" s="20">
        <v>0.20730988406366674</v>
      </c>
      <c r="L196" s="19">
        <v>5495</v>
      </c>
      <c r="M196" s="19">
        <v>5826</v>
      </c>
      <c r="N196" s="19">
        <v>6254</v>
      </c>
      <c r="O196" s="19">
        <v>6216</v>
      </c>
      <c r="P196" s="19">
        <v>6295</v>
      </c>
      <c r="Q196" s="20">
        <v>1</v>
      </c>
      <c r="R196" s="20">
        <v>1</v>
      </c>
      <c r="S196" s="20">
        <v>0.99222592416309696</v>
      </c>
      <c r="T196" s="20">
        <v>0.99328859060402686</v>
      </c>
      <c r="U196" s="20">
        <v>0.99447077409162721</v>
      </c>
      <c r="W196" s="19">
        <v>5639</v>
      </c>
      <c r="X196" s="19">
        <v>5169</v>
      </c>
      <c r="Y196" s="19">
        <v>3968</v>
      </c>
      <c r="Z196" s="19">
        <v>5257</v>
      </c>
      <c r="AA196" s="19">
        <v>6258</v>
      </c>
      <c r="AB196" s="20">
        <v>0.16445986934204387</v>
      </c>
      <c r="AC196" s="20">
        <v>0.1674386965112889</v>
      </c>
      <c r="AD196" s="20">
        <v>0.13149522799575822</v>
      </c>
      <c r="AE196" s="20">
        <v>0.18647133938706015</v>
      </c>
      <c r="AF196" s="20">
        <v>0.20219709208400646</v>
      </c>
      <c r="AG196" s="19">
        <v>5639</v>
      </c>
      <c r="AH196" s="19">
        <v>5169</v>
      </c>
      <c r="AI196" s="19">
        <v>3968</v>
      </c>
      <c r="AJ196" s="19">
        <v>5257</v>
      </c>
      <c r="AK196" s="19">
        <v>6216</v>
      </c>
      <c r="AL196" s="20">
        <v>1</v>
      </c>
      <c r="AM196" s="20">
        <v>1</v>
      </c>
      <c r="AN196" s="20">
        <v>1</v>
      </c>
      <c r="AO196" s="20">
        <v>1</v>
      </c>
      <c r="AP196" s="20">
        <v>0.99328859060402686</v>
      </c>
      <c r="AQ196" s="37"/>
    </row>
    <row r="197" spans="1:55" s="19" customFormat="1" ht="12.75" x14ac:dyDescent="0.2">
      <c r="A197" s="18" t="s">
        <v>30</v>
      </c>
      <c r="B197" s="19">
        <v>6044</v>
      </c>
      <c r="C197" s="19">
        <v>5892</v>
      </c>
      <c r="D197" s="19">
        <v>8160</v>
      </c>
      <c r="E197" s="19">
        <v>7370</v>
      </c>
      <c r="F197" s="19">
        <v>7352</v>
      </c>
      <c r="G197" s="20">
        <v>0.20709978070175439</v>
      </c>
      <c r="H197" s="20">
        <v>0.19983719983719983</v>
      </c>
      <c r="I197" s="20">
        <v>0.25947596031544135</v>
      </c>
      <c r="J197" s="20">
        <v>0.23812600969305331</v>
      </c>
      <c r="K197" s="20">
        <v>0.24078076897884326</v>
      </c>
      <c r="L197" s="19">
        <v>6044</v>
      </c>
      <c r="M197" s="19">
        <v>5892</v>
      </c>
      <c r="N197" s="19">
        <v>7848</v>
      </c>
      <c r="O197" s="19">
        <v>7088</v>
      </c>
      <c r="P197" s="19">
        <v>7059</v>
      </c>
      <c r="Q197" s="20">
        <v>1</v>
      </c>
      <c r="R197" s="20">
        <v>1</v>
      </c>
      <c r="S197" s="20">
        <v>0.96176470588235297</v>
      </c>
      <c r="T197" s="20">
        <v>0.96173677069199459</v>
      </c>
      <c r="U197" s="20">
        <v>0.96014689880304682</v>
      </c>
      <c r="W197" s="19">
        <v>14281</v>
      </c>
      <c r="X197" s="19">
        <v>10435</v>
      </c>
      <c r="Y197" s="19">
        <v>9178</v>
      </c>
      <c r="Z197" s="19">
        <v>6080</v>
      </c>
      <c r="AA197" s="19">
        <v>7370</v>
      </c>
      <c r="AB197" s="20">
        <v>0.4165013999066729</v>
      </c>
      <c r="AC197" s="20">
        <v>0.33801950050208934</v>
      </c>
      <c r="AD197" s="20">
        <v>0.30414899257688227</v>
      </c>
      <c r="AE197" s="20">
        <v>0.21566401816118047</v>
      </c>
      <c r="AF197" s="20">
        <v>0.23812600969305331</v>
      </c>
      <c r="AG197" s="19">
        <v>14281</v>
      </c>
      <c r="AH197" s="19">
        <v>10435</v>
      </c>
      <c r="AI197" s="19">
        <v>9178</v>
      </c>
      <c r="AJ197" s="19">
        <v>6080</v>
      </c>
      <c r="AK197" s="19">
        <v>7088</v>
      </c>
      <c r="AL197" s="20">
        <v>1</v>
      </c>
      <c r="AM197" s="20">
        <v>1</v>
      </c>
      <c r="AN197" s="20">
        <v>1</v>
      </c>
      <c r="AO197" s="20">
        <v>1</v>
      </c>
      <c r="AP197" s="20">
        <v>0.96173677069199459</v>
      </c>
      <c r="AQ197" s="37"/>
    </row>
    <row r="198" spans="1:55" s="19" customFormat="1" ht="12.75" x14ac:dyDescent="0.2">
      <c r="A198" s="18" t="s">
        <v>76</v>
      </c>
      <c r="B198" s="19">
        <v>6660</v>
      </c>
      <c r="C198" s="19">
        <v>6697</v>
      </c>
      <c r="D198" s="19">
        <v>6678</v>
      </c>
      <c r="E198" s="19">
        <v>6744</v>
      </c>
      <c r="F198" s="19">
        <v>6283</v>
      </c>
      <c r="G198" s="20">
        <v>0.22820723684210525</v>
      </c>
      <c r="H198" s="20">
        <v>0.22714014380681047</v>
      </c>
      <c r="I198" s="20">
        <v>0.21235054693462224</v>
      </c>
      <c r="J198" s="20">
        <v>0.21789983844911148</v>
      </c>
      <c r="K198" s="20">
        <v>0.20577061636208815</v>
      </c>
      <c r="L198" s="19">
        <v>6660</v>
      </c>
      <c r="M198" s="19">
        <v>6697</v>
      </c>
      <c r="N198" s="19">
        <v>6639</v>
      </c>
      <c r="O198" s="19">
        <v>6729</v>
      </c>
      <c r="P198" s="19">
        <v>6276</v>
      </c>
      <c r="Q198" s="20">
        <v>1</v>
      </c>
      <c r="R198" s="20">
        <v>1</v>
      </c>
      <c r="S198" s="20">
        <v>0.99415992812219223</v>
      </c>
      <c r="T198" s="20">
        <v>0.99777580071174377</v>
      </c>
      <c r="U198" s="20">
        <v>0.99888588254018784</v>
      </c>
      <c r="W198" s="19">
        <v>5696</v>
      </c>
      <c r="X198" s="19">
        <v>5315</v>
      </c>
      <c r="Y198" s="19">
        <v>5812</v>
      </c>
      <c r="Z198" s="19">
        <v>6397</v>
      </c>
      <c r="AA198" s="19">
        <v>6744</v>
      </c>
      <c r="AB198" s="20">
        <v>0.16612225851609894</v>
      </c>
      <c r="AC198" s="20">
        <v>0.17216805416086295</v>
      </c>
      <c r="AD198" s="20">
        <v>0.19260339342523861</v>
      </c>
      <c r="AE198" s="20">
        <v>0.2269083427922815</v>
      </c>
      <c r="AF198" s="20">
        <v>0.21789983844911148</v>
      </c>
      <c r="AG198" s="19">
        <v>5696</v>
      </c>
      <c r="AH198" s="19">
        <v>5315</v>
      </c>
      <c r="AI198" s="19">
        <v>5812</v>
      </c>
      <c r="AJ198" s="19">
        <v>6397</v>
      </c>
      <c r="AK198" s="19">
        <v>6729</v>
      </c>
      <c r="AL198" s="20">
        <v>1</v>
      </c>
      <c r="AM198" s="20">
        <v>1</v>
      </c>
      <c r="AN198" s="20">
        <v>1</v>
      </c>
      <c r="AO198" s="20">
        <v>1</v>
      </c>
      <c r="AP198" s="20">
        <v>0.99777580071174377</v>
      </c>
      <c r="AQ198" s="37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</row>
    <row r="199" spans="1:55" s="21" customFormat="1" ht="12.75" x14ac:dyDescent="0.2">
      <c r="A199" s="29" t="s">
        <v>77</v>
      </c>
      <c r="B199" s="21">
        <v>29184</v>
      </c>
      <c r="C199" s="21">
        <v>29484</v>
      </c>
      <c r="D199" s="21">
        <v>31448</v>
      </c>
      <c r="E199" s="21">
        <v>30950</v>
      </c>
      <c r="F199" s="21">
        <v>30534</v>
      </c>
      <c r="G199" s="22">
        <v>1</v>
      </c>
      <c r="H199" s="22">
        <v>1</v>
      </c>
      <c r="I199" s="22">
        <v>1</v>
      </c>
      <c r="J199" s="22">
        <v>1</v>
      </c>
      <c r="K199" s="22">
        <v>1</v>
      </c>
      <c r="L199" s="21">
        <v>29184</v>
      </c>
      <c r="M199" s="21">
        <v>29484</v>
      </c>
      <c r="N199" s="21">
        <v>30722</v>
      </c>
      <c r="O199" s="21">
        <v>30297</v>
      </c>
      <c r="P199" s="21">
        <v>29891</v>
      </c>
      <c r="Q199" s="22">
        <v>1</v>
      </c>
      <c r="R199" s="22">
        <v>1</v>
      </c>
      <c r="S199" s="22">
        <v>0.97691427117781737</v>
      </c>
      <c r="T199" s="22">
        <v>0.97890145395799677</v>
      </c>
      <c r="U199" s="22">
        <v>0.97894150782734002</v>
      </c>
      <c r="W199" s="21">
        <v>34288</v>
      </c>
      <c r="X199" s="21">
        <v>30871</v>
      </c>
      <c r="Y199" s="21">
        <v>30176</v>
      </c>
      <c r="Z199" s="21">
        <v>28192</v>
      </c>
      <c r="AA199" s="21">
        <v>30950</v>
      </c>
      <c r="AB199" s="22">
        <v>1</v>
      </c>
      <c r="AC199" s="22">
        <v>1</v>
      </c>
      <c r="AD199" s="22">
        <v>1</v>
      </c>
      <c r="AE199" s="22">
        <v>1</v>
      </c>
      <c r="AF199" s="22">
        <v>1</v>
      </c>
      <c r="AG199" s="21">
        <v>34288</v>
      </c>
      <c r="AH199" s="21">
        <v>30871</v>
      </c>
      <c r="AI199" s="21">
        <v>30176</v>
      </c>
      <c r="AJ199" s="21">
        <v>28192</v>
      </c>
      <c r="AK199" s="21">
        <v>30297</v>
      </c>
      <c r="AL199" s="22">
        <v>1</v>
      </c>
      <c r="AM199" s="22">
        <v>1</v>
      </c>
      <c r="AN199" s="22">
        <v>1</v>
      </c>
      <c r="AO199" s="22">
        <v>1</v>
      </c>
      <c r="AP199" s="22">
        <v>0.97890145395799677</v>
      </c>
      <c r="AQ199" s="37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</row>
    <row r="200" spans="1:55" s="19" customFormat="1" ht="12.75" x14ac:dyDescent="0.2">
      <c r="A200" s="18"/>
      <c r="AB200" s="20"/>
      <c r="AC200" s="20"/>
      <c r="AD200" s="20"/>
      <c r="AE200" s="20"/>
      <c r="AF200" s="20"/>
      <c r="AL200" s="20"/>
      <c r="AM200" s="20"/>
      <c r="AN200" s="20"/>
      <c r="AO200" s="20"/>
      <c r="AP200" s="20"/>
      <c r="AQ200" s="37"/>
    </row>
    <row r="201" spans="1:55" s="19" customFormat="1" ht="12.75" x14ac:dyDescent="0.2">
      <c r="A201" s="9" t="s">
        <v>68</v>
      </c>
      <c r="B201" s="9" t="s">
        <v>10</v>
      </c>
      <c r="C201" s="9" t="s">
        <v>11</v>
      </c>
      <c r="D201" s="9" t="s">
        <v>12</v>
      </c>
      <c r="E201" s="9" t="s">
        <v>164</v>
      </c>
      <c r="F201" s="9" t="s">
        <v>195</v>
      </c>
      <c r="G201" s="9" t="s">
        <v>10</v>
      </c>
      <c r="H201" s="9" t="s">
        <v>11</v>
      </c>
      <c r="I201" s="9" t="s">
        <v>12</v>
      </c>
      <c r="J201" s="9" t="s">
        <v>164</v>
      </c>
      <c r="K201" s="9" t="s">
        <v>195</v>
      </c>
      <c r="L201" s="9" t="s">
        <v>10</v>
      </c>
      <c r="M201" s="9" t="s">
        <v>11</v>
      </c>
      <c r="N201" s="9" t="s">
        <v>12</v>
      </c>
      <c r="O201" s="9" t="s">
        <v>164</v>
      </c>
      <c r="P201" s="9" t="s">
        <v>195</v>
      </c>
      <c r="Q201" s="9" t="s">
        <v>10</v>
      </c>
      <c r="R201" s="9" t="s">
        <v>11</v>
      </c>
      <c r="S201" s="9" t="s">
        <v>12</v>
      </c>
      <c r="T201" s="9" t="s">
        <v>164</v>
      </c>
      <c r="U201" s="9" t="s">
        <v>195</v>
      </c>
      <c r="V201" s="9"/>
      <c r="W201" s="9" t="s">
        <v>13</v>
      </c>
      <c r="X201" s="9" t="s">
        <v>14</v>
      </c>
      <c r="Y201" s="9" t="s">
        <v>15</v>
      </c>
      <c r="Z201" s="9" t="s">
        <v>16</v>
      </c>
      <c r="AA201" s="9" t="s">
        <v>165</v>
      </c>
      <c r="AB201" s="9" t="s">
        <v>13</v>
      </c>
      <c r="AC201" s="9" t="s">
        <v>14</v>
      </c>
      <c r="AD201" s="9" t="s">
        <v>15</v>
      </c>
      <c r="AE201" s="9" t="s">
        <v>16</v>
      </c>
      <c r="AF201" s="9" t="s">
        <v>165</v>
      </c>
      <c r="AG201" s="9" t="s">
        <v>13</v>
      </c>
      <c r="AH201" s="9" t="s">
        <v>14</v>
      </c>
      <c r="AI201" s="9" t="s">
        <v>15</v>
      </c>
      <c r="AJ201" s="9" t="s">
        <v>16</v>
      </c>
      <c r="AK201" s="9" t="s">
        <v>165</v>
      </c>
      <c r="AL201" s="9" t="s">
        <v>13</v>
      </c>
      <c r="AM201" s="9" t="s">
        <v>14</v>
      </c>
      <c r="AN201" s="9" t="s">
        <v>15</v>
      </c>
      <c r="AO201" s="9" t="s">
        <v>16</v>
      </c>
      <c r="AP201" s="9" t="s">
        <v>165</v>
      </c>
      <c r="AQ201" s="37"/>
    </row>
    <row r="202" spans="1:55" s="19" customFormat="1" ht="12.75" x14ac:dyDescent="0.2">
      <c r="A202" s="18" t="s">
        <v>32</v>
      </c>
      <c r="B202" s="19">
        <v>0</v>
      </c>
      <c r="C202" s="19">
        <v>0</v>
      </c>
      <c r="D202" s="19">
        <v>5010</v>
      </c>
      <c r="E202" s="19">
        <v>4918</v>
      </c>
      <c r="F202" s="19">
        <v>4905</v>
      </c>
      <c r="G202" s="20">
        <v>0</v>
      </c>
      <c r="H202" s="20">
        <v>0</v>
      </c>
      <c r="I202" s="20">
        <v>0.26643267389917041</v>
      </c>
      <c r="J202" s="20">
        <v>0.26288218943767372</v>
      </c>
      <c r="K202" s="20">
        <v>0.26565207972270366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4918</v>
      </c>
      <c r="AB202" s="20">
        <v>0</v>
      </c>
      <c r="AC202" s="20">
        <v>0</v>
      </c>
      <c r="AD202" s="20">
        <v>0</v>
      </c>
      <c r="AE202" s="20">
        <v>0</v>
      </c>
      <c r="AF202" s="20">
        <v>0.26288218943767372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20">
        <v>0</v>
      </c>
      <c r="AM202" s="20">
        <v>0</v>
      </c>
      <c r="AN202" s="20">
        <v>0</v>
      </c>
      <c r="AO202" s="20">
        <v>0</v>
      </c>
      <c r="AP202" s="20">
        <v>0</v>
      </c>
      <c r="AQ202" s="37"/>
    </row>
    <row r="203" spans="1:55" s="19" customFormat="1" ht="12.75" x14ac:dyDescent="0.2">
      <c r="A203" s="18" t="s">
        <v>43</v>
      </c>
      <c r="B203" s="19">
        <v>5121</v>
      </c>
      <c r="C203" s="19">
        <v>5054</v>
      </c>
      <c r="D203" s="19">
        <v>5063</v>
      </c>
      <c r="E203" s="19">
        <v>5276</v>
      </c>
      <c r="F203" s="19">
        <v>5349</v>
      </c>
      <c r="G203" s="20">
        <v>0.38945927446954143</v>
      </c>
      <c r="H203" s="20">
        <v>0.38354708962586326</v>
      </c>
      <c r="I203" s="20">
        <v>0.2692512231440119</v>
      </c>
      <c r="J203" s="20">
        <v>0.2820183878554629</v>
      </c>
      <c r="K203" s="20">
        <v>0.28969887348353551</v>
      </c>
      <c r="L203" s="19">
        <v>5121</v>
      </c>
      <c r="M203" s="19">
        <v>5054</v>
      </c>
      <c r="N203" s="19">
        <v>4762</v>
      </c>
      <c r="O203" s="19">
        <v>4994</v>
      </c>
      <c r="P203" s="19">
        <v>5051</v>
      </c>
      <c r="Q203" s="20">
        <v>1</v>
      </c>
      <c r="R203" s="20">
        <v>1</v>
      </c>
      <c r="S203" s="20">
        <v>0.94054908157219042</v>
      </c>
      <c r="T203" s="20">
        <v>0.94655041698256259</v>
      </c>
      <c r="U203" s="20">
        <v>0.94428865208450175</v>
      </c>
      <c r="W203" s="19">
        <v>0</v>
      </c>
      <c r="X203" s="19">
        <v>7360</v>
      </c>
      <c r="Y203" s="19">
        <v>7368</v>
      </c>
      <c r="Z203" s="19">
        <v>5070</v>
      </c>
      <c r="AA203" s="19">
        <v>5276</v>
      </c>
      <c r="AB203" s="20">
        <v>0</v>
      </c>
      <c r="AC203" s="20">
        <v>0.54522557226461221</v>
      </c>
      <c r="AD203" s="20">
        <v>0.55352715798963259</v>
      </c>
      <c r="AE203" s="20">
        <v>0.39042045279531801</v>
      </c>
      <c r="AF203" s="20">
        <v>0.2820183878554629</v>
      </c>
      <c r="AG203" s="19">
        <v>0</v>
      </c>
      <c r="AH203" s="19">
        <v>7360</v>
      </c>
      <c r="AI203" s="19">
        <v>7368</v>
      </c>
      <c r="AJ203" s="19">
        <v>5070</v>
      </c>
      <c r="AK203" s="19">
        <v>4994</v>
      </c>
      <c r="AL203" s="20">
        <v>0</v>
      </c>
      <c r="AM203" s="20">
        <v>1</v>
      </c>
      <c r="AN203" s="20">
        <v>1</v>
      </c>
      <c r="AO203" s="20">
        <v>1</v>
      </c>
      <c r="AP203" s="20">
        <v>0.94655041698256259</v>
      </c>
      <c r="AQ203" s="37"/>
    </row>
    <row r="204" spans="1:55" s="19" customFormat="1" ht="12.75" x14ac:dyDescent="0.2">
      <c r="A204" s="18" t="s">
        <v>19</v>
      </c>
      <c r="B204" s="19">
        <v>4173</v>
      </c>
      <c r="C204" s="19">
        <v>4245</v>
      </c>
      <c r="D204" s="19">
        <v>4268</v>
      </c>
      <c r="E204" s="19">
        <v>4179</v>
      </c>
      <c r="F204" s="19">
        <v>4047</v>
      </c>
      <c r="G204" s="20">
        <v>0.31736253707506273</v>
      </c>
      <c r="H204" s="20">
        <v>0.32215223495484557</v>
      </c>
      <c r="I204" s="20">
        <v>0.22697298447138906</v>
      </c>
      <c r="J204" s="20">
        <v>0.2233803720333547</v>
      </c>
      <c r="K204" s="20">
        <v>0.21918327556325823</v>
      </c>
      <c r="L204" s="19">
        <v>4173</v>
      </c>
      <c r="M204" s="19">
        <v>4245</v>
      </c>
      <c r="N204" s="19">
        <v>4218</v>
      </c>
      <c r="O204" s="19">
        <v>4142</v>
      </c>
      <c r="P204" s="19">
        <v>4014</v>
      </c>
      <c r="Q204" s="20">
        <v>1</v>
      </c>
      <c r="R204" s="20">
        <v>1</v>
      </c>
      <c r="S204" s="20">
        <v>0.98828491096532334</v>
      </c>
      <c r="T204" s="20">
        <v>0.99114620722660929</v>
      </c>
      <c r="U204" s="20">
        <v>0.99184581171237951</v>
      </c>
      <c r="W204" s="19">
        <v>0</v>
      </c>
      <c r="X204" s="19">
        <v>2387</v>
      </c>
      <c r="Y204" s="19">
        <v>2259</v>
      </c>
      <c r="Z204" s="19">
        <v>4029</v>
      </c>
      <c r="AA204" s="19">
        <v>4179</v>
      </c>
      <c r="AB204" s="20">
        <v>0</v>
      </c>
      <c r="AC204" s="20">
        <v>0.17682791317875399</v>
      </c>
      <c r="AD204" s="20">
        <v>0.16970926301555106</v>
      </c>
      <c r="AE204" s="20">
        <v>0.31025720006160479</v>
      </c>
      <c r="AF204" s="20">
        <v>0.2233803720333547</v>
      </c>
      <c r="AG204" s="19">
        <v>0</v>
      </c>
      <c r="AH204" s="19">
        <v>2387</v>
      </c>
      <c r="AI204" s="19">
        <v>2259</v>
      </c>
      <c r="AJ204" s="19">
        <v>4029</v>
      </c>
      <c r="AK204" s="19">
        <v>4142</v>
      </c>
      <c r="AL204" s="20">
        <v>0</v>
      </c>
      <c r="AM204" s="20">
        <v>1</v>
      </c>
      <c r="AN204" s="20">
        <v>1</v>
      </c>
      <c r="AO204" s="20">
        <v>1</v>
      </c>
      <c r="AP204" s="20">
        <v>0.99114620722660929</v>
      </c>
      <c r="AQ204" s="37"/>
    </row>
    <row r="205" spans="1:55" s="19" customFormat="1" ht="12.75" x14ac:dyDescent="0.2">
      <c r="A205" s="18" t="s">
        <v>76</v>
      </c>
      <c r="B205" s="19">
        <v>3855</v>
      </c>
      <c r="C205" s="19">
        <v>3878</v>
      </c>
      <c r="D205" s="19">
        <v>4463</v>
      </c>
      <c r="E205" s="19">
        <v>4335</v>
      </c>
      <c r="F205" s="19">
        <v>4163</v>
      </c>
      <c r="G205" s="20">
        <v>0.29317818845539584</v>
      </c>
      <c r="H205" s="20">
        <v>0.29430067541929117</v>
      </c>
      <c r="I205" s="20">
        <v>0.23734311848542863</v>
      </c>
      <c r="J205" s="20">
        <v>0.23171905067350865</v>
      </c>
      <c r="K205" s="20">
        <v>0.2254657712305026</v>
      </c>
      <c r="L205" s="19">
        <v>3855</v>
      </c>
      <c r="M205" s="19">
        <v>3878</v>
      </c>
      <c r="N205" s="19">
        <v>4421</v>
      </c>
      <c r="O205" s="19">
        <v>4303</v>
      </c>
      <c r="P205" s="19">
        <v>4131</v>
      </c>
      <c r="Q205" s="20">
        <v>1</v>
      </c>
      <c r="R205" s="20">
        <v>1</v>
      </c>
      <c r="S205" s="20">
        <v>0.99058928971543803</v>
      </c>
      <c r="T205" s="20">
        <v>0.99261822376009223</v>
      </c>
      <c r="U205" s="20">
        <v>0.99231323564736973</v>
      </c>
      <c r="W205" s="19">
        <v>2</v>
      </c>
      <c r="X205" s="19">
        <v>3752</v>
      </c>
      <c r="Y205" s="19">
        <v>3684</v>
      </c>
      <c r="Z205" s="19">
        <v>3887</v>
      </c>
      <c r="AA205" s="19">
        <v>4335</v>
      </c>
      <c r="AB205" s="20">
        <v>1</v>
      </c>
      <c r="AC205" s="20">
        <v>0.27794651455663383</v>
      </c>
      <c r="AD205" s="20">
        <v>0.27676357899481629</v>
      </c>
      <c r="AE205" s="20">
        <v>0.29932234714307715</v>
      </c>
      <c r="AF205" s="20">
        <v>0.23171905067350865</v>
      </c>
      <c r="AG205" s="19">
        <v>2</v>
      </c>
      <c r="AH205" s="19">
        <v>3752</v>
      </c>
      <c r="AI205" s="19">
        <v>3684</v>
      </c>
      <c r="AJ205" s="19">
        <v>3887</v>
      </c>
      <c r="AK205" s="19">
        <v>4303</v>
      </c>
      <c r="AL205" s="20">
        <v>1</v>
      </c>
      <c r="AM205" s="20">
        <v>1</v>
      </c>
      <c r="AN205" s="20">
        <v>1</v>
      </c>
      <c r="AO205" s="20">
        <v>1</v>
      </c>
      <c r="AP205" s="20">
        <v>0.99261822376009223</v>
      </c>
      <c r="AQ205" s="37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</row>
    <row r="206" spans="1:55" s="21" customFormat="1" ht="12.75" x14ac:dyDescent="0.2">
      <c r="A206" s="29" t="s">
        <v>77</v>
      </c>
      <c r="B206" s="21">
        <v>13149</v>
      </c>
      <c r="C206" s="21">
        <v>13177</v>
      </c>
      <c r="D206" s="21">
        <v>18804</v>
      </c>
      <c r="E206" s="21">
        <v>18708</v>
      </c>
      <c r="F206" s="21">
        <v>18464</v>
      </c>
      <c r="G206" s="22">
        <v>1</v>
      </c>
      <c r="H206" s="22">
        <v>1</v>
      </c>
      <c r="I206" s="22">
        <v>1</v>
      </c>
      <c r="J206" s="22">
        <v>1</v>
      </c>
      <c r="K206" s="22">
        <v>1</v>
      </c>
      <c r="L206" s="21">
        <v>13149</v>
      </c>
      <c r="M206" s="21">
        <v>13177</v>
      </c>
      <c r="N206" s="21">
        <v>13401</v>
      </c>
      <c r="O206" s="21">
        <v>13439</v>
      </c>
      <c r="P206" s="21">
        <v>13196</v>
      </c>
      <c r="Q206" s="22">
        <v>1</v>
      </c>
      <c r="R206" s="22">
        <v>1</v>
      </c>
      <c r="S206" s="22">
        <v>0.71266751754945756</v>
      </c>
      <c r="T206" s="22">
        <v>0.71835578362197994</v>
      </c>
      <c r="U206" s="22">
        <v>0.71468804159445409</v>
      </c>
      <c r="W206" s="21">
        <v>2</v>
      </c>
      <c r="X206" s="21">
        <v>13499</v>
      </c>
      <c r="Y206" s="21">
        <v>13311</v>
      </c>
      <c r="Z206" s="21">
        <v>12986</v>
      </c>
      <c r="AA206" s="21">
        <v>18708</v>
      </c>
      <c r="AB206" s="22">
        <v>1</v>
      </c>
      <c r="AC206" s="22">
        <v>1</v>
      </c>
      <c r="AD206" s="22">
        <v>1</v>
      </c>
      <c r="AE206" s="22">
        <v>1</v>
      </c>
      <c r="AF206" s="22">
        <v>1</v>
      </c>
      <c r="AG206" s="21">
        <v>2</v>
      </c>
      <c r="AH206" s="21">
        <v>13499</v>
      </c>
      <c r="AI206" s="21">
        <v>13311</v>
      </c>
      <c r="AJ206" s="21">
        <v>12986</v>
      </c>
      <c r="AK206" s="21">
        <v>13439</v>
      </c>
      <c r="AL206" s="22">
        <v>1</v>
      </c>
      <c r="AM206" s="22">
        <v>1</v>
      </c>
      <c r="AN206" s="22">
        <v>1</v>
      </c>
      <c r="AO206" s="22">
        <v>1</v>
      </c>
      <c r="AP206" s="22">
        <v>0.71835578362197994</v>
      </c>
      <c r="AQ206" s="37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</row>
    <row r="207" spans="1:55" s="19" customFormat="1" ht="12.75" x14ac:dyDescent="0.2">
      <c r="A207" s="18"/>
      <c r="AB207" s="20"/>
      <c r="AC207" s="20"/>
      <c r="AD207" s="20"/>
      <c r="AE207" s="20"/>
      <c r="AF207" s="20"/>
      <c r="AL207" s="20"/>
      <c r="AM207" s="20"/>
      <c r="AN207" s="20"/>
      <c r="AO207" s="20"/>
      <c r="AP207" s="20"/>
      <c r="AQ207" s="37"/>
    </row>
    <row r="208" spans="1:55" s="19" customFormat="1" ht="12.75" x14ac:dyDescent="0.2">
      <c r="A208" s="9" t="s">
        <v>70</v>
      </c>
      <c r="B208" s="9" t="s">
        <v>10</v>
      </c>
      <c r="C208" s="9" t="s">
        <v>11</v>
      </c>
      <c r="D208" s="9" t="s">
        <v>12</v>
      </c>
      <c r="E208" s="9" t="s">
        <v>164</v>
      </c>
      <c r="F208" s="9" t="s">
        <v>195</v>
      </c>
      <c r="G208" s="9" t="s">
        <v>10</v>
      </c>
      <c r="H208" s="9" t="s">
        <v>11</v>
      </c>
      <c r="I208" s="9" t="s">
        <v>12</v>
      </c>
      <c r="J208" s="9" t="s">
        <v>164</v>
      </c>
      <c r="K208" s="9" t="s">
        <v>195</v>
      </c>
      <c r="L208" s="9" t="s">
        <v>10</v>
      </c>
      <c r="M208" s="9" t="s">
        <v>11</v>
      </c>
      <c r="N208" s="9" t="s">
        <v>12</v>
      </c>
      <c r="O208" s="9" t="s">
        <v>164</v>
      </c>
      <c r="P208" s="9" t="s">
        <v>195</v>
      </c>
      <c r="Q208" s="9" t="s">
        <v>10</v>
      </c>
      <c r="R208" s="9" t="s">
        <v>11</v>
      </c>
      <c r="S208" s="9" t="s">
        <v>12</v>
      </c>
      <c r="T208" s="9" t="s">
        <v>164</v>
      </c>
      <c r="U208" s="9" t="s">
        <v>195</v>
      </c>
      <c r="V208" s="9"/>
      <c r="W208" s="9" t="s">
        <v>13</v>
      </c>
      <c r="X208" s="9" t="s">
        <v>14</v>
      </c>
      <c r="Y208" s="9" t="s">
        <v>15</v>
      </c>
      <c r="Z208" s="9" t="s">
        <v>16</v>
      </c>
      <c r="AA208" s="9" t="s">
        <v>165</v>
      </c>
      <c r="AB208" s="9" t="s">
        <v>13</v>
      </c>
      <c r="AC208" s="9" t="s">
        <v>14</v>
      </c>
      <c r="AD208" s="9" t="s">
        <v>15</v>
      </c>
      <c r="AE208" s="9" t="s">
        <v>16</v>
      </c>
      <c r="AF208" s="9" t="s">
        <v>165</v>
      </c>
      <c r="AG208" s="9" t="s">
        <v>13</v>
      </c>
      <c r="AH208" s="9" t="s">
        <v>14</v>
      </c>
      <c r="AI208" s="9" t="s">
        <v>15</v>
      </c>
      <c r="AJ208" s="9" t="s">
        <v>16</v>
      </c>
      <c r="AK208" s="9" t="s">
        <v>165</v>
      </c>
      <c r="AL208" s="9" t="s">
        <v>13</v>
      </c>
      <c r="AM208" s="9" t="s">
        <v>14</v>
      </c>
      <c r="AN208" s="9" t="s">
        <v>15</v>
      </c>
      <c r="AO208" s="9" t="s">
        <v>16</v>
      </c>
      <c r="AP208" s="9" t="s">
        <v>165</v>
      </c>
      <c r="AQ208" s="37"/>
    </row>
    <row r="209" spans="1:55" s="19" customFormat="1" ht="12.75" x14ac:dyDescent="0.2">
      <c r="A209" s="18" t="s">
        <v>19</v>
      </c>
      <c r="B209" s="19">
        <v>1482</v>
      </c>
      <c r="C209" s="19">
        <v>1489</v>
      </c>
      <c r="D209" s="19">
        <v>1519</v>
      </c>
      <c r="E209" s="19">
        <v>1526</v>
      </c>
      <c r="F209" s="19">
        <v>1484</v>
      </c>
      <c r="G209" s="20">
        <v>0.28239329268292684</v>
      </c>
      <c r="H209" s="20">
        <v>0.23710191082802548</v>
      </c>
      <c r="I209" s="20">
        <v>0.14246858000375165</v>
      </c>
      <c r="J209" s="20">
        <v>0.14150593471810088</v>
      </c>
      <c r="K209" s="20">
        <v>0.13874345549738221</v>
      </c>
      <c r="L209" s="19">
        <v>1482</v>
      </c>
      <c r="M209" s="19">
        <v>1489</v>
      </c>
      <c r="N209" s="19">
        <v>1507</v>
      </c>
      <c r="O209" s="19">
        <v>1515</v>
      </c>
      <c r="P209" s="19">
        <v>1472</v>
      </c>
      <c r="Q209" s="20">
        <v>1</v>
      </c>
      <c r="R209" s="20">
        <v>1</v>
      </c>
      <c r="S209" s="20">
        <v>0.99210006583278476</v>
      </c>
      <c r="T209" s="20">
        <v>0.99279161205766708</v>
      </c>
      <c r="U209" s="20">
        <v>0.99191374663072773</v>
      </c>
      <c r="W209" s="19">
        <v>2526</v>
      </c>
      <c r="X209" s="19">
        <v>2192</v>
      </c>
      <c r="Y209" s="19">
        <v>1418</v>
      </c>
      <c r="Z209" s="19">
        <v>1414</v>
      </c>
      <c r="AA209" s="19">
        <v>1526</v>
      </c>
      <c r="AB209" s="20">
        <v>0.3387421214965804</v>
      </c>
      <c r="AC209" s="20">
        <v>0.43892671205446537</v>
      </c>
      <c r="AD209" s="20">
        <v>0.25679101774719304</v>
      </c>
      <c r="AE209" s="20">
        <v>0.28704831506293138</v>
      </c>
      <c r="AF209" s="20">
        <v>0.14150593471810088</v>
      </c>
      <c r="AG209" s="19">
        <v>2526</v>
      </c>
      <c r="AH209" s="19">
        <v>2192</v>
      </c>
      <c r="AI209" s="19">
        <v>1418</v>
      </c>
      <c r="AJ209" s="19">
        <v>1414</v>
      </c>
      <c r="AK209" s="19">
        <v>1515</v>
      </c>
      <c r="AL209" s="20">
        <v>1</v>
      </c>
      <c r="AM209" s="20">
        <v>1</v>
      </c>
      <c r="AN209" s="20">
        <v>1</v>
      </c>
      <c r="AO209" s="20">
        <v>1</v>
      </c>
      <c r="AP209" s="20">
        <v>0.99279161205766708</v>
      </c>
      <c r="AQ209" s="37"/>
    </row>
    <row r="210" spans="1:55" s="19" customFormat="1" ht="12.75" x14ac:dyDescent="0.2">
      <c r="A210" s="18" t="s">
        <v>43</v>
      </c>
      <c r="B210" s="19">
        <v>1871</v>
      </c>
      <c r="C210" s="19">
        <v>1864</v>
      </c>
      <c r="D210" s="19">
        <v>1744</v>
      </c>
      <c r="E210" s="19">
        <v>1803</v>
      </c>
      <c r="F210" s="19">
        <v>1751</v>
      </c>
      <c r="G210" s="20">
        <v>0.35651676829268292</v>
      </c>
      <c r="H210" s="20">
        <v>0.29681528662420381</v>
      </c>
      <c r="I210" s="20">
        <v>0.1635715625586194</v>
      </c>
      <c r="J210" s="20">
        <v>0.16719213649851633</v>
      </c>
      <c r="K210" s="20">
        <v>0.1637060583395662</v>
      </c>
      <c r="L210" s="19">
        <v>1871</v>
      </c>
      <c r="M210" s="19">
        <v>1864</v>
      </c>
      <c r="N210" s="19">
        <v>1743</v>
      </c>
      <c r="O210" s="19">
        <v>1802</v>
      </c>
      <c r="P210" s="19">
        <v>1750</v>
      </c>
      <c r="Q210" s="20">
        <v>1</v>
      </c>
      <c r="R210" s="20">
        <v>1</v>
      </c>
      <c r="S210" s="20">
        <v>0.99942660550458717</v>
      </c>
      <c r="T210" s="20">
        <v>0.99944536882972823</v>
      </c>
      <c r="U210" s="20">
        <v>0.99942889777270127</v>
      </c>
      <c r="W210" s="19">
        <v>819</v>
      </c>
      <c r="X210" s="19">
        <v>1369</v>
      </c>
      <c r="Y210" s="19">
        <v>1883</v>
      </c>
      <c r="Z210" s="19">
        <v>1863</v>
      </c>
      <c r="AA210" s="19">
        <v>1803</v>
      </c>
      <c r="AB210" s="20">
        <v>0.10982969022395066</v>
      </c>
      <c r="AC210" s="20">
        <v>0.27412895474569482</v>
      </c>
      <c r="AD210" s="20">
        <v>0.34099963781238679</v>
      </c>
      <c r="AE210" s="20">
        <v>0.37819732034104753</v>
      </c>
      <c r="AF210" s="20">
        <v>0.16719213649851633</v>
      </c>
      <c r="AG210" s="19">
        <v>819</v>
      </c>
      <c r="AH210" s="19">
        <v>1369</v>
      </c>
      <c r="AI210" s="19">
        <v>1883</v>
      </c>
      <c r="AJ210" s="19">
        <v>1863</v>
      </c>
      <c r="AK210" s="19">
        <v>1802</v>
      </c>
      <c r="AL210" s="20">
        <v>1</v>
      </c>
      <c r="AM210" s="20">
        <v>1</v>
      </c>
      <c r="AN210" s="20">
        <v>1</v>
      </c>
      <c r="AO210" s="20">
        <v>1</v>
      </c>
      <c r="AP210" s="20">
        <v>0.99944536882972823</v>
      </c>
      <c r="AQ210" s="37"/>
    </row>
    <row r="211" spans="1:55" s="19" customFormat="1" ht="12.75" x14ac:dyDescent="0.2">
      <c r="A211" s="18" t="s">
        <v>30</v>
      </c>
      <c r="B211" s="19">
        <v>664</v>
      </c>
      <c r="C211" s="19">
        <v>641</v>
      </c>
      <c r="D211" s="19">
        <v>1069</v>
      </c>
      <c r="E211" s="19">
        <v>1000</v>
      </c>
      <c r="F211" s="19">
        <v>1125</v>
      </c>
      <c r="G211" s="20">
        <v>0.12652439024390244</v>
      </c>
      <c r="H211" s="20">
        <v>0.10207006369426752</v>
      </c>
      <c r="I211" s="20">
        <v>0.10026261489401614</v>
      </c>
      <c r="J211" s="20">
        <v>9.2729970326409492E-2</v>
      </c>
      <c r="K211" s="20">
        <v>0.10517950635751683</v>
      </c>
      <c r="L211" s="19">
        <v>664</v>
      </c>
      <c r="M211" s="19">
        <v>641</v>
      </c>
      <c r="N211" s="19">
        <v>1063</v>
      </c>
      <c r="O211" s="19">
        <v>994</v>
      </c>
      <c r="P211" s="19">
        <v>1121</v>
      </c>
      <c r="Q211" s="20">
        <v>1</v>
      </c>
      <c r="R211" s="20">
        <v>1</v>
      </c>
      <c r="S211" s="20">
        <v>0.99438727782974745</v>
      </c>
      <c r="T211" s="20">
        <v>0.99399999999999999</v>
      </c>
      <c r="U211" s="20">
        <v>0.99644444444444447</v>
      </c>
      <c r="W211" s="19">
        <v>810</v>
      </c>
      <c r="X211" s="19">
        <v>660</v>
      </c>
      <c r="Y211" s="19">
        <v>520</v>
      </c>
      <c r="Z211" s="19">
        <v>650</v>
      </c>
      <c r="AA211" s="19">
        <v>1000</v>
      </c>
      <c r="AB211" s="20">
        <v>0.10862277055115999</v>
      </c>
      <c r="AC211" s="20">
        <v>0.13215859030837004</v>
      </c>
      <c r="AD211" s="20">
        <v>9.4168779427743571E-2</v>
      </c>
      <c r="AE211" s="20">
        <v>0.13195290296386519</v>
      </c>
      <c r="AF211" s="20">
        <v>9.2729970326409492E-2</v>
      </c>
      <c r="AG211" s="19">
        <v>810</v>
      </c>
      <c r="AH211" s="19">
        <v>660</v>
      </c>
      <c r="AI211" s="19">
        <v>520</v>
      </c>
      <c r="AJ211" s="19">
        <v>650</v>
      </c>
      <c r="AK211" s="19">
        <v>994</v>
      </c>
      <c r="AL211" s="20">
        <v>1</v>
      </c>
      <c r="AM211" s="20">
        <v>1</v>
      </c>
      <c r="AN211" s="20">
        <v>1</v>
      </c>
      <c r="AO211" s="20">
        <v>1</v>
      </c>
      <c r="AP211" s="20">
        <v>0.99399999999999999</v>
      </c>
      <c r="AQ211" s="37"/>
    </row>
    <row r="212" spans="1:55" s="19" customFormat="1" ht="12.75" x14ac:dyDescent="0.2">
      <c r="A212" s="18" t="s">
        <v>76</v>
      </c>
      <c r="B212" s="19">
        <v>1231</v>
      </c>
      <c r="C212" s="19">
        <v>2286</v>
      </c>
      <c r="D212" s="19">
        <v>6330</v>
      </c>
      <c r="E212" s="19">
        <v>6455</v>
      </c>
      <c r="F212" s="19">
        <v>6336</v>
      </c>
      <c r="G212" s="20">
        <v>0.2345655487804878</v>
      </c>
      <c r="H212" s="20">
        <v>0.36401273885350316</v>
      </c>
      <c r="I212" s="20">
        <v>0.59369724254361278</v>
      </c>
      <c r="J212" s="20">
        <v>0.59857195845697331</v>
      </c>
      <c r="K212" s="20">
        <v>0.59237097980553477</v>
      </c>
      <c r="L212" s="19">
        <v>1231</v>
      </c>
      <c r="M212" s="19">
        <v>2286</v>
      </c>
      <c r="N212" s="19">
        <v>6328</v>
      </c>
      <c r="O212" s="19">
        <v>6454</v>
      </c>
      <c r="P212" s="19">
        <v>806</v>
      </c>
      <c r="Q212" s="20">
        <v>1</v>
      </c>
      <c r="R212" s="20">
        <v>1</v>
      </c>
      <c r="S212" s="20">
        <v>0.9996840442338073</v>
      </c>
      <c r="T212" s="20">
        <v>0.99984508133230054</v>
      </c>
      <c r="U212" s="20">
        <v>0.12720959595959597</v>
      </c>
      <c r="W212" s="19">
        <v>3302</v>
      </c>
      <c r="X212" s="19">
        <v>773</v>
      </c>
      <c r="Y212" s="19">
        <v>1701</v>
      </c>
      <c r="Z212" s="19">
        <v>999</v>
      </c>
      <c r="AA212" s="19">
        <v>6455</v>
      </c>
      <c r="AB212" s="20">
        <v>0.44280541772830895</v>
      </c>
      <c r="AC212" s="20">
        <v>0.15478574289146976</v>
      </c>
      <c r="AD212" s="20">
        <v>0.30804056501267657</v>
      </c>
      <c r="AE212" s="20">
        <v>0.2028014616321559</v>
      </c>
      <c r="AF212" s="20">
        <v>0.59857195845697331</v>
      </c>
      <c r="AG212" s="19">
        <v>3302</v>
      </c>
      <c r="AH212" s="19">
        <v>773</v>
      </c>
      <c r="AI212" s="19">
        <v>1701</v>
      </c>
      <c r="AJ212" s="19">
        <v>999</v>
      </c>
      <c r="AK212" s="19">
        <v>6454</v>
      </c>
      <c r="AL212" s="20">
        <v>1</v>
      </c>
      <c r="AM212" s="20">
        <v>1</v>
      </c>
      <c r="AN212" s="20">
        <v>1</v>
      </c>
      <c r="AO212" s="20">
        <v>1</v>
      </c>
      <c r="AP212" s="20">
        <v>0.99984508133230054</v>
      </c>
      <c r="AQ212" s="37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</row>
    <row r="213" spans="1:55" s="21" customFormat="1" ht="12.75" x14ac:dyDescent="0.2">
      <c r="A213" s="29" t="s">
        <v>77</v>
      </c>
      <c r="B213" s="21">
        <v>5248</v>
      </c>
      <c r="C213" s="21">
        <v>6280</v>
      </c>
      <c r="D213" s="21">
        <v>10662</v>
      </c>
      <c r="E213" s="21">
        <v>10784</v>
      </c>
      <c r="F213" s="21">
        <v>10696</v>
      </c>
      <c r="G213" s="22">
        <v>1</v>
      </c>
      <c r="H213" s="22">
        <v>1</v>
      </c>
      <c r="I213" s="22">
        <v>1</v>
      </c>
      <c r="J213" s="22">
        <v>1</v>
      </c>
      <c r="K213" s="22">
        <v>1</v>
      </c>
      <c r="L213" s="21">
        <v>5248</v>
      </c>
      <c r="M213" s="21">
        <v>6280</v>
      </c>
      <c r="N213" s="21">
        <v>10641</v>
      </c>
      <c r="O213" s="21">
        <v>10765</v>
      </c>
      <c r="P213" s="21">
        <v>5149</v>
      </c>
      <c r="Q213" s="22">
        <v>1</v>
      </c>
      <c r="R213" s="22">
        <v>1</v>
      </c>
      <c r="S213" s="22">
        <v>0.998030388294879</v>
      </c>
      <c r="T213" s="22">
        <v>0.99823813056379818</v>
      </c>
      <c r="U213" s="22">
        <v>0.481394913986537</v>
      </c>
      <c r="W213" s="21">
        <v>7457</v>
      </c>
      <c r="X213" s="21">
        <v>4994</v>
      </c>
      <c r="Y213" s="21">
        <v>5522</v>
      </c>
      <c r="Z213" s="21">
        <v>4926</v>
      </c>
      <c r="AA213" s="21">
        <v>10784</v>
      </c>
      <c r="AB213" s="22">
        <v>1</v>
      </c>
      <c r="AC213" s="22">
        <v>1</v>
      </c>
      <c r="AD213" s="22">
        <v>1</v>
      </c>
      <c r="AE213" s="22">
        <v>1</v>
      </c>
      <c r="AF213" s="22">
        <v>1</v>
      </c>
      <c r="AG213" s="21">
        <v>7457</v>
      </c>
      <c r="AH213" s="21">
        <v>4994</v>
      </c>
      <c r="AI213" s="21">
        <v>5522</v>
      </c>
      <c r="AJ213" s="21">
        <v>4926</v>
      </c>
      <c r="AK213" s="21">
        <v>10765</v>
      </c>
      <c r="AL213" s="22">
        <v>1</v>
      </c>
      <c r="AM213" s="22">
        <v>1</v>
      </c>
      <c r="AN213" s="22">
        <v>1</v>
      </c>
      <c r="AO213" s="22">
        <v>1</v>
      </c>
      <c r="AP213" s="22">
        <v>0.99823813056379818</v>
      </c>
      <c r="AQ213" s="37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</row>
    <row r="214" spans="1:55" s="19" customFormat="1" ht="12.75" x14ac:dyDescent="0.2">
      <c r="A214" s="18"/>
      <c r="AB214" s="20"/>
      <c r="AC214" s="20"/>
      <c r="AD214" s="20"/>
      <c r="AE214" s="20"/>
      <c r="AF214" s="20"/>
      <c r="AL214" s="20"/>
      <c r="AM214" s="20"/>
      <c r="AN214" s="20"/>
      <c r="AO214" s="20"/>
      <c r="AP214" s="20"/>
      <c r="AQ214" s="37"/>
    </row>
    <row r="215" spans="1:55" s="19" customFormat="1" ht="12.75" x14ac:dyDescent="0.2">
      <c r="A215" s="9" t="s">
        <v>72</v>
      </c>
      <c r="B215" s="9" t="s">
        <v>10</v>
      </c>
      <c r="C215" s="9" t="s">
        <v>11</v>
      </c>
      <c r="D215" s="9" t="s">
        <v>12</v>
      </c>
      <c r="E215" s="9" t="s">
        <v>164</v>
      </c>
      <c r="F215" s="9" t="s">
        <v>195</v>
      </c>
      <c r="G215" s="9" t="s">
        <v>10</v>
      </c>
      <c r="H215" s="9" t="s">
        <v>11</v>
      </c>
      <c r="I215" s="9" t="s">
        <v>12</v>
      </c>
      <c r="J215" s="9" t="s">
        <v>164</v>
      </c>
      <c r="K215" s="9" t="s">
        <v>195</v>
      </c>
      <c r="L215" s="9" t="s">
        <v>10</v>
      </c>
      <c r="M215" s="9" t="s">
        <v>11</v>
      </c>
      <c r="N215" s="9" t="s">
        <v>12</v>
      </c>
      <c r="O215" s="9" t="s">
        <v>164</v>
      </c>
      <c r="P215" s="9" t="s">
        <v>195</v>
      </c>
      <c r="Q215" s="9" t="s">
        <v>10</v>
      </c>
      <c r="R215" s="9" t="s">
        <v>11</v>
      </c>
      <c r="S215" s="9" t="s">
        <v>12</v>
      </c>
      <c r="T215" s="9" t="s">
        <v>164</v>
      </c>
      <c r="U215" s="9" t="s">
        <v>195</v>
      </c>
      <c r="V215" s="9"/>
      <c r="W215" s="9" t="s">
        <v>13</v>
      </c>
      <c r="X215" s="9" t="s">
        <v>14</v>
      </c>
      <c r="Y215" s="9" t="s">
        <v>15</v>
      </c>
      <c r="Z215" s="9" t="s">
        <v>16</v>
      </c>
      <c r="AA215" s="9" t="s">
        <v>165</v>
      </c>
      <c r="AB215" s="9" t="s">
        <v>13</v>
      </c>
      <c r="AC215" s="9" t="s">
        <v>14</v>
      </c>
      <c r="AD215" s="9" t="s">
        <v>15</v>
      </c>
      <c r="AE215" s="9" t="s">
        <v>16</v>
      </c>
      <c r="AF215" s="9" t="s">
        <v>165</v>
      </c>
      <c r="AG215" s="9" t="s">
        <v>13</v>
      </c>
      <c r="AH215" s="9" t="s">
        <v>14</v>
      </c>
      <c r="AI215" s="9" t="s">
        <v>15</v>
      </c>
      <c r="AJ215" s="9" t="s">
        <v>16</v>
      </c>
      <c r="AK215" s="9" t="s">
        <v>165</v>
      </c>
      <c r="AL215" s="9" t="s">
        <v>13</v>
      </c>
      <c r="AM215" s="9" t="s">
        <v>14</v>
      </c>
      <c r="AN215" s="9" t="s">
        <v>15</v>
      </c>
      <c r="AO215" s="9" t="s">
        <v>16</v>
      </c>
      <c r="AP215" s="9" t="s">
        <v>165</v>
      </c>
      <c r="AQ215" s="37"/>
    </row>
    <row r="216" spans="1:55" s="19" customFormat="1" ht="12.75" x14ac:dyDescent="0.2">
      <c r="A216" s="18" t="s">
        <v>22</v>
      </c>
      <c r="B216" s="19">
        <v>2059</v>
      </c>
      <c r="C216" s="19">
        <v>2061</v>
      </c>
      <c r="D216" s="19">
        <v>2111</v>
      </c>
      <c r="E216" s="19">
        <v>2050</v>
      </c>
      <c r="F216" s="19">
        <v>1903</v>
      </c>
      <c r="G216" s="20">
        <v>0.89057093425605538</v>
      </c>
      <c r="H216" s="20">
        <v>0.88989637305699487</v>
      </c>
      <c r="I216" s="20">
        <v>0.88623005877413941</v>
      </c>
      <c r="J216" s="20">
        <v>0.86534402701561841</v>
      </c>
      <c r="K216" s="20">
        <v>0.86815693430656937</v>
      </c>
      <c r="L216" s="19">
        <v>2059</v>
      </c>
      <c r="M216" s="19">
        <v>2061</v>
      </c>
      <c r="N216" s="19">
        <v>1994</v>
      </c>
      <c r="O216" s="19">
        <v>1913</v>
      </c>
      <c r="P216" s="19">
        <v>1832</v>
      </c>
      <c r="Q216" s="20">
        <v>1</v>
      </c>
      <c r="R216" s="20">
        <v>1</v>
      </c>
      <c r="S216" s="20">
        <v>0.94457603031738513</v>
      </c>
      <c r="T216" s="20">
        <v>0.93317073170731712</v>
      </c>
      <c r="U216" s="20">
        <v>0.96269048870204943</v>
      </c>
      <c r="W216" s="19">
        <v>1761</v>
      </c>
      <c r="X216" s="19">
        <v>1753</v>
      </c>
      <c r="Y216" s="19">
        <v>1829</v>
      </c>
      <c r="Z216" s="19">
        <v>2046</v>
      </c>
      <c r="AA216" s="19">
        <v>2050</v>
      </c>
      <c r="AB216" s="20">
        <v>0.86450662739322537</v>
      </c>
      <c r="AC216" s="20">
        <v>0.85637518319491934</v>
      </c>
      <c r="AD216" s="20">
        <v>0.8570759137769447</v>
      </c>
      <c r="AE216" s="20">
        <v>0.88956521739130434</v>
      </c>
      <c r="AF216" s="20">
        <v>0.86534402701561841</v>
      </c>
      <c r="AG216" s="19">
        <v>1761</v>
      </c>
      <c r="AH216" s="19">
        <v>1753</v>
      </c>
      <c r="AI216" s="19">
        <v>1829</v>
      </c>
      <c r="AJ216" s="19">
        <v>2046</v>
      </c>
      <c r="AK216" s="19">
        <v>1913</v>
      </c>
      <c r="AL216" s="20">
        <v>1</v>
      </c>
      <c r="AM216" s="20">
        <v>1</v>
      </c>
      <c r="AN216" s="20">
        <v>1</v>
      </c>
      <c r="AO216" s="20">
        <v>1</v>
      </c>
      <c r="AP216" s="20">
        <v>0.93317073170731712</v>
      </c>
      <c r="AQ216" s="37"/>
    </row>
    <row r="217" spans="1:55" s="19" customFormat="1" ht="12.75" x14ac:dyDescent="0.2">
      <c r="A217" s="18" t="s">
        <v>76</v>
      </c>
      <c r="B217" s="19">
        <v>253</v>
      </c>
      <c r="C217" s="19">
        <v>255</v>
      </c>
      <c r="D217" s="19">
        <v>271</v>
      </c>
      <c r="E217" s="19">
        <v>319</v>
      </c>
      <c r="F217" s="19">
        <v>289</v>
      </c>
      <c r="G217" s="20">
        <v>0.10942906574394463</v>
      </c>
      <c r="H217" s="20">
        <v>0.11010362694300518</v>
      </c>
      <c r="I217" s="20">
        <v>0.11376994122586062</v>
      </c>
      <c r="J217" s="20">
        <v>0.13465597298438159</v>
      </c>
      <c r="K217" s="20">
        <v>0.13184306569343066</v>
      </c>
      <c r="L217" s="19">
        <v>253</v>
      </c>
      <c r="M217" s="19">
        <v>255</v>
      </c>
      <c r="N217" s="19">
        <v>270</v>
      </c>
      <c r="O217" s="19">
        <v>318</v>
      </c>
      <c r="P217" s="19">
        <v>289</v>
      </c>
      <c r="Q217" s="20">
        <v>1</v>
      </c>
      <c r="R217" s="20">
        <v>1</v>
      </c>
      <c r="S217" s="20">
        <v>0.99630996309963105</v>
      </c>
      <c r="T217" s="20">
        <v>0.99686520376175547</v>
      </c>
      <c r="U217" s="20">
        <v>1</v>
      </c>
      <c r="W217" s="19">
        <v>276</v>
      </c>
      <c r="X217" s="19">
        <v>294</v>
      </c>
      <c r="Y217" s="19">
        <v>305</v>
      </c>
      <c r="Z217" s="19">
        <v>254</v>
      </c>
      <c r="AA217" s="19">
        <v>319</v>
      </c>
      <c r="AB217" s="20">
        <v>0.13549337260677466</v>
      </c>
      <c r="AC217" s="20">
        <v>0.1436248168050806</v>
      </c>
      <c r="AD217" s="20">
        <v>0.1429240862230553</v>
      </c>
      <c r="AE217" s="20">
        <v>0.11043478260869566</v>
      </c>
      <c r="AF217" s="20">
        <v>0.13465597298438159</v>
      </c>
      <c r="AG217" s="19">
        <v>276</v>
      </c>
      <c r="AH217" s="19">
        <v>294</v>
      </c>
      <c r="AI217" s="19">
        <v>305</v>
      </c>
      <c r="AJ217" s="19">
        <v>254</v>
      </c>
      <c r="AK217" s="19">
        <v>318</v>
      </c>
      <c r="AL217" s="20">
        <v>1</v>
      </c>
      <c r="AM217" s="20">
        <v>1</v>
      </c>
      <c r="AN217" s="20">
        <v>1</v>
      </c>
      <c r="AO217" s="20">
        <v>1</v>
      </c>
      <c r="AP217" s="20">
        <v>0.99686520376175547</v>
      </c>
      <c r="AQ217" s="37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</row>
    <row r="218" spans="1:55" s="21" customFormat="1" ht="12.75" x14ac:dyDescent="0.2">
      <c r="A218" s="29" t="s">
        <v>77</v>
      </c>
      <c r="B218" s="21">
        <v>2312</v>
      </c>
      <c r="C218" s="21">
        <v>2316</v>
      </c>
      <c r="D218" s="21">
        <v>2382</v>
      </c>
      <c r="E218" s="21">
        <v>2369</v>
      </c>
      <c r="F218" s="21">
        <v>2192</v>
      </c>
      <c r="G218" s="22">
        <v>1</v>
      </c>
      <c r="H218" s="22">
        <v>1</v>
      </c>
      <c r="I218" s="22">
        <v>1</v>
      </c>
      <c r="J218" s="22">
        <v>1</v>
      </c>
      <c r="K218" s="22">
        <v>1</v>
      </c>
      <c r="L218" s="21">
        <v>2312</v>
      </c>
      <c r="M218" s="21">
        <v>2316</v>
      </c>
      <c r="N218" s="21">
        <v>2264</v>
      </c>
      <c r="O218" s="21">
        <v>2231</v>
      </c>
      <c r="P218" s="21">
        <v>2121</v>
      </c>
      <c r="Q218" s="22">
        <v>1</v>
      </c>
      <c r="R218" s="22">
        <v>1</v>
      </c>
      <c r="S218" s="22">
        <v>0.9504617968094039</v>
      </c>
      <c r="T218" s="22">
        <v>0.94174757281553401</v>
      </c>
      <c r="U218" s="22">
        <v>0.9676094890510949</v>
      </c>
      <c r="W218" s="21">
        <v>2037</v>
      </c>
      <c r="X218" s="21">
        <v>2047</v>
      </c>
      <c r="Y218" s="21">
        <v>2134</v>
      </c>
      <c r="Z218" s="21">
        <v>2300</v>
      </c>
      <c r="AA218" s="21">
        <v>2369</v>
      </c>
      <c r="AB218" s="22">
        <v>1</v>
      </c>
      <c r="AC218" s="22">
        <v>1</v>
      </c>
      <c r="AD218" s="22">
        <v>1</v>
      </c>
      <c r="AE218" s="22">
        <v>1</v>
      </c>
      <c r="AF218" s="22">
        <v>1</v>
      </c>
      <c r="AG218" s="21">
        <v>2037</v>
      </c>
      <c r="AH218" s="21">
        <v>2047</v>
      </c>
      <c r="AI218" s="21">
        <v>2134</v>
      </c>
      <c r="AJ218" s="21">
        <v>2300</v>
      </c>
      <c r="AK218" s="21">
        <v>2231</v>
      </c>
      <c r="AL218" s="22">
        <v>1</v>
      </c>
      <c r="AM218" s="22">
        <v>1</v>
      </c>
      <c r="AN218" s="22">
        <v>1</v>
      </c>
      <c r="AO218" s="22">
        <v>1</v>
      </c>
      <c r="AP218" s="22">
        <v>0.94174757281553401</v>
      </c>
      <c r="AQ218" s="37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</row>
    <row r="219" spans="1:55" s="19" customFormat="1" ht="12.75" x14ac:dyDescent="0.2">
      <c r="A219" s="18"/>
      <c r="G219" s="20"/>
      <c r="H219" s="20"/>
      <c r="I219" s="20"/>
      <c r="J219" s="20"/>
      <c r="K219" s="20"/>
      <c r="Q219" s="20"/>
      <c r="R219" s="20"/>
      <c r="S219" s="20"/>
      <c r="T219" s="20"/>
      <c r="U219" s="20"/>
      <c r="AB219" s="20"/>
      <c r="AC219" s="20"/>
      <c r="AD219" s="20"/>
      <c r="AE219" s="20"/>
      <c r="AF219" s="20"/>
      <c r="AL219" s="20"/>
      <c r="AM219" s="20"/>
      <c r="AN219" s="20"/>
      <c r="AO219" s="20"/>
      <c r="AP219" s="20"/>
      <c r="AQ219" s="37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</row>
    <row r="220" spans="1:55" s="21" customFormat="1" ht="12.75" x14ac:dyDescent="0.2">
      <c r="A220" s="29"/>
      <c r="G220" s="22"/>
      <c r="H220" s="22"/>
      <c r="I220" s="22"/>
      <c r="J220" s="22"/>
      <c r="K220" s="22"/>
      <c r="Q220" s="22"/>
      <c r="R220" s="22"/>
      <c r="S220" s="22"/>
      <c r="T220" s="22"/>
      <c r="U220" s="22"/>
      <c r="AB220" s="22"/>
      <c r="AC220" s="22"/>
      <c r="AD220" s="22"/>
      <c r="AE220" s="22"/>
      <c r="AF220" s="22"/>
      <c r="AL220" s="22"/>
      <c r="AM220" s="22"/>
      <c r="AN220" s="22"/>
      <c r="AO220" s="22"/>
      <c r="AP220" s="22"/>
      <c r="AQ220" s="37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</row>
    <row r="222" spans="1:55" s="43" customFormat="1" x14ac:dyDescent="0.25">
      <c r="A222" s="115"/>
      <c r="G222" s="116"/>
      <c r="H222" s="116"/>
      <c r="I222" s="116"/>
      <c r="J222" s="116"/>
      <c r="K222" s="116"/>
      <c r="Q222" s="116"/>
      <c r="R222" s="116"/>
      <c r="S222" s="116"/>
      <c r="T222" s="116"/>
      <c r="U222" s="116"/>
      <c r="AB222" s="116"/>
      <c r="AC222" s="116"/>
      <c r="AD222" s="116"/>
      <c r="AE222" s="116"/>
      <c r="AF222" s="116"/>
      <c r="AL222" s="116"/>
      <c r="AM222" s="116"/>
      <c r="AN222" s="116"/>
      <c r="AO222" s="116"/>
      <c r="AP222" s="116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19" priority="1"/>
  </conditionalFormatting>
  <dataValidations count="1">
    <dataValidation type="list" allowBlank="1" showInputMessage="1" showErrorMessage="1" sqref="A181:A183 A188:A190 A195:A197 A202:A204 A209:A211 A216">
      <formula1>$A$16:$A$80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99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G7" sqref="G7"/>
    </sheetView>
  </sheetViews>
  <sheetFormatPr defaultRowHeight="15" x14ac:dyDescent="0.25"/>
  <cols>
    <col min="1" max="1" width="25.28515625" customWidth="1"/>
    <col min="2" max="6" width="12.5703125" customWidth="1"/>
    <col min="7" max="11" width="12.5703125" style="48" customWidth="1"/>
    <col min="12" max="16" width="12.5703125" customWidth="1"/>
    <col min="17" max="21" width="12.5703125" style="48" customWidth="1"/>
    <col min="22" max="27" width="12.5703125" customWidth="1"/>
    <col min="28" max="32" width="12.5703125" style="48" customWidth="1"/>
    <col min="33" max="37" width="12.5703125" customWidth="1"/>
    <col min="38" max="42" width="12.5703125" style="48" customWidth="1"/>
  </cols>
  <sheetData>
    <row r="1" spans="1:43" x14ac:dyDescent="0.25">
      <c r="A1" s="1" t="s">
        <v>0</v>
      </c>
      <c r="B1" s="58" t="s">
        <v>153</v>
      </c>
      <c r="C1" s="2"/>
      <c r="D1" s="3"/>
      <c r="E1" s="3"/>
      <c r="F1" s="3"/>
      <c r="G1" s="8"/>
      <c r="H1" s="105"/>
      <c r="I1" s="105"/>
      <c r="J1" s="105"/>
      <c r="K1" s="105"/>
      <c r="L1" s="4"/>
      <c r="M1" s="4"/>
      <c r="N1" s="4"/>
      <c r="O1" s="3"/>
      <c r="P1" s="3"/>
      <c r="Q1" s="8"/>
      <c r="R1" s="8"/>
      <c r="S1" s="8"/>
      <c r="T1" s="8"/>
      <c r="U1" s="8"/>
      <c r="V1" s="3"/>
      <c r="W1" s="5" t="s">
        <v>1</v>
      </c>
      <c r="X1" s="6"/>
      <c r="Y1" s="6"/>
      <c r="Z1" s="6"/>
      <c r="AA1" s="58" t="s">
        <v>153</v>
      </c>
      <c r="AB1" s="8"/>
      <c r="AC1" s="8"/>
      <c r="AD1" s="8"/>
      <c r="AE1" s="8"/>
      <c r="AF1" s="8"/>
      <c r="AG1" s="6"/>
      <c r="AH1" s="3"/>
      <c r="AI1" s="8"/>
      <c r="AJ1" s="8"/>
      <c r="AK1" s="8"/>
      <c r="AL1" s="8"/>
      <c r="AM1" s="106"/>
      <c r="AN1" s="106"/>
      <c r="AO1" s="106"/>
      <c r="AP1" s="106"/>
    </row>
    <row r="2" spans="1:43" x14ac:dyDescent="0.25">
      <c r="A2" s="1" t="s">
        <v>184</v>
      </c>
      <c r="B2" s="2"/>
      <c r="C2" s="2"/>
      <c r="D2" s="3"/>
      <c r="E2" s="3"/>
      <c r="F2" s="3"/>
      <c r="G2" s="8"/>
      <c r="H2" s="105"/>
      <c r="I2" s="105"/>
      <c r="J2" s="105"/>
      <c r="K2" s="105"/>
      <c r="L2" s="4"/>
      <c r="M2" s="4"/>
      <c r="N2" s="4"/>
      <c r="O2" s="3"/>
      <c r="P2" s="3"/>
      <c r="Q2" s="8"/>
      <c r="R2" s="8"/>
      <c r="S2" s="8"/>
      <c r="T2" s="8"/>
      <c r="U2" s="8"/>
      <c r="V2" s="3"/>
      <c r="W2" s="5"/>
      <c r="X2" s="6"/>
      <c r="Y2" s="6"/>
      <c r="Z2" s="6"/>
      <c r="AA2" s="7"/>
      <c r="AB2" s="8"/>
      <c r="AC2" s="8"/>
      <c r="AD2" s="8"/>
      <c r="AE2" s="8"/>
      <c r="AF2" s="8"/>
      <c r="AG2" s="6"/>
      <c r="AH2" s="3"/>
      <c r="AI2" s="8"/>
      <c r="AJ2" s="8"/>
      <c r="AK2" s="8"/>
      <c r="AL2" s="8"/>
      <c r="AM2" s="106"/>
      <c r="AN2" s="106"/>
      <c r="AO2" s="106"/>
      <c r="AP2" s="106"/>
    </row>
    <row r="3" spans="1:43" x14ac:dyDescent="0.25">
      <c r="A3" s="1"/>
      <c r="B3" s="2"/>
      <c r="C3" s="2"/>
      <c r="D3" s="3"/>
      <c r="E3" s="3"/>
      <c r="F3" s="3"/>
      <c r="G3" s="8"/>
      <c r="H3" s="105"/>
      <c r="I3" s="105"/>
      <c r="J3" s="105"/>
      <c r="K3" s="105"/>
      <c r="L3" s="4"/>
      <c r="M3" s="4"/>
      <c r="N3" s="4"/>
      <c r="O3" s="3"/>
      <c r="P3" s="3"/>
      <c r="Q3" s="8"/>
      <c r="R3" s="8"/>
      <c r="S3" s="8"/>
      <c r="T3" s="8"/>
      <c r="U3" s="8"/>
      <c r="V3" s="3"/>
      <c r="W3" s="5"/>
      <c r="X3" s="6"/>
      <c r="Y3" s="6"/>
      <c r="Z3" s="6"/>
      <c r="AA3" s="7"/>
      <c r="AB3" s="8"/>
      <c r="AC3" s="8"/>
      <c r="AD3" s="8"/>
      <c r="AE3" s="8"/>
      <c r="AF3" s="8"/>
      <c r="AG3" s="6"/>
      <c r="AH3" s="3"/>
      <c r="AI3" s="8"/>
      <c r="AJ3" s="8"/>
      <c r="AK3" s="8"/>
      <c r="AL3" s="8"/>
      <c r="AM3" s="106"/>
      <c r="AN3" s="106"/>
      <c r="AO3" s="106"/>
      <c r="AP3" s="106"/>
    </row>
    <row r="4" spans="1:43" s="19" customFormat="1" ht="12.75" x14ac:dyDescent="0.2">
      <c r="A4" s="9" t="s">
        <v>194</v>
      </c>
      <c r="B4" s="10" t="s">
        <v>92</v>
      </c>
      <c r="C4" s="10" t="s">
        <v>3</v>
      </c>
      <c r="D4" s="4"/>
      <c r="E4" s="11"/>
      <c r="F4" s="12"/>
      <c r="G4" s="16"/>
      <c r="H4" s="105"/>
      <c r="I4" s="105"/>
      <c r="J4" s="105"/>
      <c r="K4" s="105"/>
      <c r="L4" s="4"/>
      <c r="M4" s="4"/>
      <c r="N4" s="4"/>
      <c r="O4" s="12"/>
      <c r="P4" s="12"/>
      <c r="Q4" s="16"/>
      <c r="R4" s="16"/>
      <c r="S4" s="16"/>
      <c r="T4" s="16"/>
      <c r="U4" s="16"/>
      <c r="V4" s="12"/>
      <c r="W4" s="13" t="s">
        <v>167</v>
      </c>
      <c r="X4" s="13"/>
      <c r="Y4" s="13" t="s">
        <v>92</v>
      </c>
      <c r="Z4" s="13" t="s">
        <v>3</v>
      </c>
      <c r="AA4" s="14"/>
      <c r="AB4" s="16"/>
      <c r="AC4" s="16"/>
      <c r="AD4" s="16"/>
      <c r="AE4" s="16"/>
      <c r="AF4" s="16"/>
      <c r="AG4" s="15"/>
      <c r="AH4" s="12"/>
      <c r="AI4" s="16"/>
      <c r="AJ4" s="16"/>
      <c r="AK4" s="16"/>
      <c r="AL4" s="16"/>
      <c r="AM4" s="106"/>
      <c r="AN4" s="106"/>
      <c r="AO4" s="106"/>
      <c r="AP4" s="106"/>
    </row>
    <row r="5" spans="1:43" s="19" customFormat="1" ht="12.75" x14ac:dyDescent="0.2">
      <c r="A5" s="1" t="s">
        <v>4</v>
      </c>
      <c r="B5" s="166" t="s">
        <v>5</v>
      </c>
      <c r="C5" s="166"/>
      <c r="D5" s="166"/>
      <c r="E5" s="166"/>
      <c r="F5" s="166"/>
      <c r="G5" s="167" t="s">
        <v>6</v>
      </c>
      <c r="H5" s="167"/>
      <c r="I5" s="167"/>
      <c r="J5" s="167"/>
      <c r="K5" s="167"/>
      <c r="L5" s="166" t="s">
        <v>7</v>
      </c>
      <c r="M5" s="166"/>
      <c r="N5" s="166"/>
      <c r="O5" s="166"/>
      <c r="P5" s="166"/>
      <c r="Q5" s="167" t="s">
        <v>8</v>
      </c>
      <c r="R5" s="167"/>
      <c r="S5" s="167"/>
      <c r="T5" s="167"/>
      <c r="U5" s="167"/>
      <c r="V5" s="63"/>
      <c r="W5" s="168" t="s">
        <v>5</v>
      </c>
      <c r="X5" s="168"/>
      <c r="Y5" s="168"/>
      <c r="Z5" s="168"/>
      <c r="AA5" s="168"/>
      <c r="AB5" s="167" t="s">
        <v>6</v>
      </c>
      <c r="AC5" s="167"/>
      <c r="AD5" s="167"/>
      <c r="AE5" s="167"/>
      <c r="AF5" s="167"/>
      <c r="AG5" s="168" t="s">
        <v>7</v>
      </c>
      <c r="AH5" s="168"/>
      <c r="AI5" s="168"/>
      <c r="AJ5" s="168"/>
      <c r="AK5" s="168"/>
      <c r="AL5" s="167" t="s">
        <v>8</v>
      </c>
      <c r="AM5" s="167"/>
      <c r="AN5" s="167"/>
      <c r="AO5" s="167"/>
      <c r="AP5" s="167"/>
    </row>
    <row r="6" spans="1:43" s="19" customFormat="1" ht="12.75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164</v>
      </c>
      <c r="F6" s="10" t="s">
        <v>195</v>
      </c>
      <c r="G6" s="10" t="s">
        <v>10</v>
      </c>
      <c r="H6" s="10" t="s">
        <v>11</v>
      </c>
      <c r="I6" s="10" t="s">
        <v>12</v>
      </c>
      <c r="J6" s="10" t="s">
        <v>164</v>
      </c>
      <c r="K6" s="10" t="s">
        <v>195</v>
      </c>
      <c r="L6" s="10" t="s">
        <v>10</v>
      </c>
      <c r="M6" s="10" t="s">
        <v>11</v>
      </c>
      <c r="N6" s="10" t="s">
        <v>12</v>
      </c>
      <c r="O6" s="10" t="s">
        <v>164</v>
      </c>
      <c r="P6" s="10" t="s">
        <v>195</v>
      </c>
      <c r="Q6" s="10" t="s">
        <v>10</v>
      </c>
      <c r="R6" s="10" t="s">
        <v>11</v>
      </c>
      <c r="S6" s="10" t="s">
        <v>12</v>
      </c>
      <c r="T6" s="10" t="s">
        <v>164</v>
      </c>
      <c r="U6" s="10" t="s">
        <v>195</v>
      </c>
      <c r="V6" s="10"/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165</v>
      </c>
      <c r="AB6" s="17" t="s">
        <v>13</v>
      </c>
      <c r="AC6" s="17" t="s">
        <v>14</v>
      </c>
      <c r="AD6" s="17" t="s">
        <v>15</v>
      </c>
      <c r="AE6" s="17" t="s">
        <v>16</v>
      </c>
      <c r="AF6" s="17" t="s">
        <v>165</v>
      </c>
      <c r="AG6" s="13" t="s">
        <v>13</v>
      </c>
      <c r="AH6" s="13" t="s">
        <v>14</v>
      </c>
      <c r="AI6" s="13" t="s">
        <v>15</v>
      </c>
      <c r="AJ6" s="13" t="s">
        <v>16</v>
      </c>
      <c r="AK6" s="13" t="s">
        <v>165</v>
      </c>
      <c r="AL6" s="13" t="s">
        <v>13</v>
      </c>
      <c r="AM6" s="13" t="s">
        <v>14</v>
      </c>
      <c r="AN6" s="13" t="s">
        <v>15</v>
      </c>
      <c r="AO6" s="13" t="s">
        <v>16</v>
      </c>
      <c r="AP6" s="13" t="s">
        <v>165</v>
      </c>
      <c r="AQ6" s="37"/>
    </row>
    <row r="7" spans="1:43" s="19" customFormat="1" ht="12.75" x14ac:dyDescent="0.2">
      <c r="A7" s="18" t="s">
        <v>18</v>
      </c>
      <c r="B7" s="19">
        <v>126658</v>
      </c>
      <c r="C7" s="19">
        <v>124261</v>
      </c>
      <c r="D7" s="19">
        <v>123137</v>
      </c>
      <c r="E7" s="19">
        <v>121203</v>
      </c>
      <c r="F7" s="19">
        <v>120507</v>
      </c>
      <c r="G7" s="20">
        <v>6.0345891378538991E-2</v>
      </c>
      <c r="H7" s="20">
        <v>5.8812476512589251E-2</v>
      </c>
      <c r="I7" s="20">
        <v>5.6738493863624319E-2</v>
      </c>
      <c r="J7" s="20">
        <v>5.6279958933363301E-2</v>
      </c>
      <c r="K7" s="20">
        <v>5.549149717032828E-2</v>
      </c>
      <c r="L7" s="19">
        <v>55326</v>
      </c>
      <c r="M7" s="19">
        <v>56667</v>
      </c>
      <c r="N7" s="19">
        <v>45674</v>
      </c>
      <c r="O7" s="19">
        <v>50643</v>
      </c>
      <c r="P7" s="19">
        <v>55217</v>
      </c>
      <c r="Q7" s="20">
        <v>0.43681409780669206</v>
      </c>
      <c r="R7" s="20">
        <v>0.45603206154787101</v>
      </c>
      <c r="S7" s="20">
        <v>0.37092019458002062</v>
      </c>
      <c r="T7" s="20">
        <v>0.41783619217346107</v>
      </c>
      <c r="U7" s="20">
        <v>0.45820574738396941</v>
      </c>
      <c r="W7" s="19">
        <v>132217</v>
      </c>
      <c r="X7" s="19">
        <v>130437</v>
      </c>
      <c r="Y7" s="19">
        <v>127603</v>
      </c>
      <c r="Z7" s="19">
        <v>128194</v>
      </c>
      <c r="AA7" s="19">
        <v>121203</v>
      </c>
      <c r="AB7" s="20">
        <v>7.5670877440386794E-2</v>
      </c>
      <c r="AC7" s="20">
        <v>6.6313703978049476E-2</v>
      </c>
      <c r="AD7" s="20">
        <v>6.3204940172184837E-2</v>
      </c>
      <c r="AE7" s="20">
        <v>6.1573768539038731E-2</v>
      </c>
      <c r="AF7" s="20">
        <v>5.6279958933363301E-2</v>
      </c>
      <c r="AG7" s="19">
        <v>33062</v>
      </c>
      <c r="AH7" s="19">
        <v>30160</v>
      </c>
      <c r="AI7" s="19">
        <v>21775</v>
      </c>
      <c r="AJ7" s="19">
        <v>46824</v>
      </c>
      <c r="AK7" s="19">
        <v>50643</v>
      </c>
      <c r="AL7" s="20">
        <v>0.25005861576045441</v>
      </c>
      <c r="AM7" s="20">
        <v>0.23122273588015671</v>
      </c>
      <c r="AN7" s="20">
        <v>0.17064645815537252</v>
      </c>
      <c r="AO7" s="20">
        <v>0.36525890447290826</v>
      </c>
      <c r="AP7" s="20">
        <v>0.41783619217346107</v>
      </c>
      <c r="AQ7" s="37"/>
    </row>
    <row r="8" spans="1:43" s="19" customFormat="1" ht="12.75" x14ac:dyDescent="0.2">
      <c r="A8" s="18" t="s">
        <v>19</v>
      </c>
      <c r="B8" s="19">
        <v>822446</v>
      </c>
      <c r="C8" s="19">
        <v>817586</v>
      </c>
      <c r="D8" s="19">
        <v>828162</v>
      </c>
      <c r="E8" s="19">
        <v>822787</v>
      </c>
      <c r="F8" s="19">
        <v>818916</v>
      </c>
      <c r="G8" s="20">
        <v>0.3918523660622612</v>
      </c>
      <c r="H8" s="20">
        <v>0.38696177740418791</v>
      </c>
      <c r="I8" s="20">
        <v>0.38159663265376648</v>
      </c>
      <c r="J8" s="20">
        <v>0.38205670297686684</v>
      </c>
      <c r="K8" s="20">
        <v>0.37709738767653789</v>
      </c>
      <c r="L8" s="19">
        <v>681369</v>
      </c>
      <c r="M8" s="19">
        <v>679172</v>
      </c>
      <c r="N8" s="19">
        <v>683885</v>
      </c>
      <c r="O8" s="19">
        <v>686189</v>
      </c>
      <c r="P8" s="19">
        <v>687815</v>
      </c>
      <c r="Q8" s="20">
        <v>0.82846654977956002</v>
      </c>
      <c r="R8" s="20">
        <v>0.83070404825914335</v>
      </c>
      <c r="S8" s="20">
        <v>0.82578650070879855</v>
      </c>
      <c r="T8" s="20">
        <v>0.83398133417275677</v>
      </c>
      <c r="U8" s="20">
        <v>0.83990909934596469</v>
      </c>
      <c r="W8" s="19">
        <v>787421</v>
      </c>
      <c r="X8" s="19">
        <v>852939</v>
      </c>
      <c r="Y8" s="19">
        <v>840132</v>
      </c>
      <c r="Z8" s="19">
        <v>826589</v>
      </c>
      <c r="AA8" s="19">
        <v>822787</v>
      </c>
      <c r="AB8" s="20">
        <v>0.45065943097322442</v>
      </c>
      <c r="AC8" s="20">
        <v>0.43363113501026196</v>
      </c>
      <c r="AD8" s="20">
        <v>0.41613827885502686</v>
      </c>
      <c r="AE8" s="20">
        <v>0.39702481990510857</v>
      </c>
      <c r="AF8" s="20">
        <v>0.38205670297686684</v>
      </c>
      <c r="AG8" s="19">
        <v>580752</v>
      </c>
      <c r="AH8" s="19">
        <v>645068</v>
      </c>
      <c r="AI8" s="19">
        <v>663291</v>
      </c>
      <c r="AJ8" s="19">
        <v>679741</v>
      </c>
      <c r="AK8" s="19">
        <v>686189</v>
      </c>
      <c r="AL8" s="20">
        <v>0.73753684496603467</v>
      </c>
      <c r="AM8" s="20">
        <v>0.7562885505294048</v>
      </c>
      <c r="AN8" s="20">
        <v>0.78950807730213823</v>
      </c>
      <c r="AO8" s="20">
        <v>0.82234459931114501</v>
      </c>
      <c r="AP8" s="20">
        <v>0.83398133417275677</v>
      </c>
      <c r="AQ8" s="37"/>
    </row>
    <row r="9" spans="1:43" s="19" customFormat="1" ht="12.75" x14ac:dyDescent="0.2">
      <c r="A9" s="18" t="s">
        <v>20</v>
      </c>
      <c r="B9" s="19">
        <v>41586</v>
      </c>
      <c r="C9" s="19">
        <v>44630</v>
      </c>
      <c r="D9" s="19">
        <v>45237</v>
      </c>
      <c r="E9" s="19">
        <v>46876</v>
      </c>
      <c r="F9" s="19">
        <v>53633</v>
      </c>
      <c r="G9" s="20">
        <v>1.9813547023227292E-2</v>
      </c>
      <c r="H9" s="20">
        <v>2.1123287489693936E-2</v>
      </c>
      <c r="I9" s="20">
        <v>2.0844094357575491E-2</v>
      </c>
      <c r="J9" s="20">
        <v>2.1766617616398424E-2</v>
      </c>
      <c r="K9" s="20">
        <v>2.4697116912181172E-2</v>
      </c>
      <c r="L9" s="19">
        <v>40566</v>
      </c>
      <c r="M9" s="19">
        <v>43450</v>
      </c>
      <c r="N9" s="19">
        <v>43284</v>
      </c>
      <c r="O9" s="19">
        <v>45254</v>
      </c>
      <c r="P9" s="19">
        <v>51584</v>
      </c>
      <c r="Q9" s="20">
        <v>0.97547251478863084</v>
      </c>
      <c r="R9" s="20">
        <v>0.97356038539099266</v>
      </c>
      <c r="S9" s="20">
        <v>0.95682737582067778</v>
      </c>
      <c r="T9" s="20">
        <v>0.96539807150780788</v>
      </c>
      <c r="U9" s="20">
        <v>0.96179590923498592</v>
      </c>
      <c r="W9" s="19">
        <v>14627</v>
      </c>
      <c r="X9" s="19">
        <v>17287</v>
      </c>
      <c r="Y9" s="19">
        <v>17356</v>
      </c>
      <c r="Z9" s="19">
        <v>38489</v>
      </c>
      <c r="AA9" s="19">
        <v>46876</v>
      </c>
      <c r="AB9" s="20">
        <v>8.3713737592029588E-3</v>
      </c>
      <c r="AC9" s="20">
        <v>8.788648931426982E-3</v>
      </c>
      <c r="AD9" s="20">
        <v>8.5968585505704406E-3</v>
      </c>
      <c r="AE9" s="20">
        <v>1.8486924327964348E-2</v>
      </c>
      <c r="AF9" s="20">
        <v>2.1766617616398424E-2</v>
      </c>
      <c r="AG9" s="19">
        <v>14058</v>
      </c>
      <c r="AH9" s="19">
        <v>16521</v>
      </c>
      <c r="AI9" s="19">
        <v>17181</v>
      </c>
      <c r="AJ9" s="19">
        <v>37434</v>
      </c>
      <c r="AK9" s="19">
        <v>45254</v>
      </c>
      <c r="AL9" s="20">
        <v>0.96109933684282489</v>
      </c>
      <c r="AM9" s="20">
        <v>0.95568924625441087</v>
      </c>
      <c r="AN9" s="20">
        <v>0.98991703157409539</v>
      </c>
      <c r="AO9" s="20">
        <v>0.97258957104627297</v>
      </c>
      <c r="AP9" s="20">
        <v>0.96539807150780788</v>
      </c>
      <c r="AQ9" s="37"/>
    </row>
    <row r="10" spans="1:43" s="19" customFormat="1" ht="12.75" x14ac:dyDescent="0.2">
      <c r="A10" s="18" t="s">
        <v>21</v>
      </c>
      <c r="B10" s="19">
        <v>16497</v>
      </c>
      <c r="C10" s="19">
        <v>17665</v>
      </c>
      <c r="D10" s="19">
        <v>19549</v>
      </c>
      <c r="E10" s="19">
        <v>20732</v>
      </c>
      <c r="F10" s="19">
        <v>21760</v>
      </c>
      <c r="G10" s="20">
        <v>7.8599549185346188E-3</v>
      </c>
      <c r="H10" s="20">
        <v>8.3608082793063723E-3</v>
      </c>
      <c r="I10" s="20">
        <v>9.0076972521662205E-3</v>
      </c>
      <c r="J10" s="20">
        <v>9.6267923121250119E-3</v>
      </c>
      <c r="K10" s="20">
        <v>1.0020123133314606E-2</v>
      </c>
      <c r="L10" s="19">
        <v>16099</v>
      </c>
      <c r="M10" s="19">
        <v>17150</v>
      </c>
      <c r="N10" s="19">
        <v>18591</v>
      </c>
      <c r="O10" s="19">
        <v>19621</v>
      </c>
      <c r="P10" s="19">
        <v>20571</v>
      </c>
      <c r="Q10" s="20">
        <v>0.97587440140631632</v>
      </c>
      <c r="R10" s="20">
        <v>0.9708463062553071</v>
      </c>
      <c r="S10" s="20">
        <v>0.95099493580234284</v>
      </c>
      <c r="T10" s="20">
        <v>0.94641134478101485</v>
      </c>
      <c r="U10" s="20">
        <v>0.9453584558823529</v>
      </c>
      <c r="W10" s="19">
        <v>0</v>
      </c>
      <c r="X10" s="19">
        <v>0</v>
      </c>
      <c r="Y10" s="19">
        <v>3687</v>
      </c>
      <c r="Z10" s="19">
        <v>14103</v>
      </c>
      <c r="AA10" s="19">
        <v>20732</v>
      </c>
      <c r="AB10" s="20">
        <v>0</v>
      </c>
      <c r="AC10" s="20">
        <v>0</v>
      </c>
      <c r="AD10" s="20">
        <v>1.8262628183886389E-3</v>
      </c>
      <c r="AE10" s="20">
        <v>6.7739118656572322E-3</v>
      </c>
      <c r="AF10" s="20">
        <v>9.6267923121250119E-3</v>
      </c>
      <c r="AG10" s="19">
        <v>0</v>
      </c>
      <c r="AH10" s="19">
        <v>0</v>
      </c>
      <c r="AI10" s="19">
        <v>3667</v>
      </c>
      <c r="AJ10" s="19">
        <v>13790</v>
      </c>
      <c r="AK10" s="19">
        <v>19621</v>
      </c>
      <c r="AL10" s="20">
        <v>0</v>
      </c>
      <c r="AM10" s="20">
        <v>0</v>
      </c>
      <c r="AN10" s="20">
        <v>0.99457553566585299</v>
      </c>
      <c r="AO10" s="20">
        <v>0.97780614053747428</v>
      </c>
      <c r="AP10" s="20">
        <v>0.94641134478101485</v>
      </c>
      <c r="AQ10" s="37"/>
    </row>
    <row r="11" spans="1:43" s="19" customFormat="1" ht="12.75" x14ac:dyDescent="0.2">
      <c r="A11" s="18" t="s">
        <v>25</v>
      </c>
      <c r="B11" s="19">
        <v>2019</v>
      </c>
      <c r="C11" s="19">
        <v>2105</v>
      </c>
      <c r="D11" s="19">
        <v>2198</v>
      </c>
      <c r="E11" s="19">
        <v>2259</v>
      </c>
      <c r="F11" s="19">
        <v>2305</v>
      </c>
      <c r="G11" s="20">
        <v>9.6194756504342578E-4</v>
      </c>
      <c r="H11" s="20">
        <v>9.9629218386300096E-4</v>
      </c>
      <c r="I11" s="20">
        <v>1.0127842119935216E-3</v>
      </c>
      <c r="J11" s="20">
        <v>1.0489544584743587E-3</v>
      </c>
      <c r="K11" s="20">
        <v>1.0614146977155408E-3</v>
      </c>
      <c r="L11" s="19">
        <v>1922</v>
      </c>
      <c r="M11" s="19">
        <v>2036</v>
      </c>
      <c r="N11" s="19">
        <v>2085</v>
      </c>
      <c r="O11" s="19">
        <v>2115</v>
      </c>
      <c r="P11" s="19">
        <v>2187</v>
      </c>
      <c r="Q11" s="20">
        <v>0.95195641406636944</v>
      </c>
      <c r="R11" s="20">
        <v>0.96722090261282656</v>
      </c>
      <c r="S11" s="20">
        <v>0.94858962693357596</v>
      </c>
      <c r="T11" s="20">
        <v>0.93625498007968122</v>
      </c>
      <c r="U11" s="20">
        <v>0.94880694143167033</v>
      </c>
      <c r="W11" s="19">
        <v>1028</v>
      </c>
      <c r="X11" s="19">
        <v>1881</v>
      </c>
      <c r="Y11" s="19">
        <v>1694</v>
      </c>
      <c r="Z11" s="19">
        <v>1998</v>
      </c>
      <c r="AA11" s="19">
        <v>2259</v>
      </c>
      <c r="AB11" s="20">
        <v>5.8834841214607523E-4</v>
      </c>
      <c r="AC11" s="20">
        <v>9.5629366807509426E-4</v>
      </c>
      <c r="AD11" s="20">
        <v>8.3908034020893792E-4</v>
      </c>
      <c r="AE11" s="20">
        <v>9.596735380829008E-4</v>
      </c>
      <c r="AF11" s="20">
        <v>1.0489544584743587E-3</v>
      </c>
      <c r="AG11" s="19">
        <v>1028</v>
      </c>
      <c r="AH11" s="19">
        <v>1835</v>
      </c>
      <c r="AI11" s="19">
        <v>1645</v>
      </c>
      <c r="AJ11" s="19">
        <v>1927</v>
      </c>
      <c r="AK11" s="19">
        <v>2115</v>
      </c>
      <c r="AL11" s="20">
        <v>1</v>
      </c>
      <c r="AM11" s="20">
        <v>0.97554492291334394</v>
      </c>
      <c r="AN11" s="20">
        <v>0.97107438016528924</v>
      </c>
      <c r="AO11" s="20">
        <v>0.96446446446446443</v>
      </c>
      <c r="AP11" s="20">
        <v>0.93625498007968122</v>
      </c>
      <c r="AQ11" s="37"/>
    </row>
    <row r="12" spans="1:43" s="19" customFormat="1" ht="12.75" x14ac:dyDescent="0.2">
      <c r="A12" s="18" t="s">
        <v>28</v>
      </c>
      <c r="B12" s="19">
        <v>10542</v>
      </c>
      <c r="C12" s="19">
        <v>10798</v>
      </c>
      <c r="D12" s="19">
        <v>11451</v>
      </c>
      <c r="E12" s="19">
        <v>11481</v>
      </c>
      <c r="F12" s="19">
        <v>11709</v>
      </c>
      <c r="G12" s="20">
        <v>5.022709871564039E-3</v>
      </c>
      <c r="H12" s="20">
        <v>5.110671259549969E-3</v>
      </c>
      <c r="I12" s="20">
        <v>5.2763384947851748E-3</v>
      </c>
      <c r="J12" s="20">
        <v>5.3311403885542771E-3</v>
      </c>
      <c r="K12" s="20">
        <v>5.3918024709549966E-3</v>
      </c>
      <c r="L12" s="19">
        <v>10003</v>
      </c>
      <c r="M12" s="19">
        <v>10355</v>
      </c>
      <c r="N12" s="19">
        <v>10963</v>
      </c>
      <c r="O12" s="19">
        <v>10566</v>
      </c>
      <c r="P12" s="19">
        <v>11122</v>
      </c>
      <c r="Q12" s="20">
        <v>0.94887118193891107</v>
      </c>
      <c r="R12" s="20">
        <v>0.95897388405260231</v>
      </c>
      <c r="S12" s="20">
        <v>0.95738363461706399</v>
      </c>
      <c r="T12" s="20">
        <v>0.92030310948523653</v>
      </c>
      <c r="U12" s="20">
        <v>0.94986762319583229</v>
      </c>
      <c r="W12" s="19">
        <v>5</v>
      </c>
      <c r="X12" s="19">
        <v>4499</v>
      </c>
      <c r="Y12" s="19">
        <v>9313</v>
      </c>
      <c r="Z12" s="19">
        <v>10512</v>
      </c>
      <c r="AA12" s="19">
        <v>11481</v>
      </c>
      <c r="AB12" s="20">
        <v>2.861616790593751E-6</v>
      </c>
      <c r="AC12" s="20">
        <v>2.2872754984954008E-3</v>
      </c>
      <c r="AD12" s="20">
        <v>4.6129605716445331E-3</v>
      </c>
      <c r="AE12" s="20">
        <v>5.0490932093730997E-3</v>
      </c>
      <c r="AF12" s="20">
        <v>5.3311403885542771E-3</v>
      </c>
      <c r="AG12" s="19">
        <v>5</v>
      </c>
      <c r="AH12" s="19">
        <v>4477</v>
      </c>
      <c r="AI12" s="19">
        <v>9013</v>
      </c>
      <c r="AJ12" s="19">
        <v>10085</v>
      </c>
      <c r="AK12" s="19">
        <v>10566</v>
      </c>
      <c r="AL12" s="20">
        <v>1</v>
      </c>
      <c r="AM12" s="20">
        <v>0.99511002444987773</v>
      </c>
      <c r="AN12" s="20">
        <v>0.96778696445828416</v>
      </c>
      <c r="AO12" s="20">
        <v>0.95937975646879758</v>
      </c>
      <c r="AP12" s="20">
        <v>0.92030310948523653</v>
      </c>
      <c r="AQ12" s="37"/>
    </row>
    <row r="13" spans="1:43" s="19" customFormat="1" ht="12.75" x14ac:dyDescent="0.2">
      <c r="A13" s="18" t="s">
        <v>30</v>
      </c>
      <c r="B13" s="19">
        <v>408111</v>
      </c>
      <c r="C13" s="19">
        <v>415840</v>
      </c>
      <c r="D13" s="19">
        <v>440350</v>
      </c>
      <c r="E13" s="19">
        <v>415262</v>
      </c>
      <c r="F13" s="19">
        <v>419942</v>
      </c>
      <c r="G13" s="20">
        <v>0.19444347831472886</v>
      </c>
      <c r="H13" s="20">
        <v>0.19681621935277452</v>
      </c>
      <c r="I13" s="20">
        <v>0.20290242390871119</v>
      </c>
      <c r="J13" s="20">
        <v>0.19282466858564812</v>
      </c>
      <c r="K13" s="20">
        <v>0.19337640389937513</v>
      </c>
      <c r="L13" s="19">
        <v>386229</v>
      </c>
      <c r="M13" s="19">
        <v>395237</v>
      </c>
      <c r="N13" s="19">
        <v>418759</v>
      </c>
      <c r="O13" s="19">
        <v>396956</v>
      </c>
      <c r="P13" s="19">
        <v>401185</v>
      </c>
      <c r="Q13" s="20">
        <v>0.94638223424509504</v>
      </c>
      <c r="R13" s="20">
        <v>0.9504545017314352</v>
      </c>
      <c r="S13" s="20">
        <v>0.95096854774611106</v>
      </c>
      <c r="T13" s="20">
        <v>0.95591698734774677</v>
      </c>
      <c r="U13" s="20">
        <v>0.95533430807111464</v>
      </c>
      <c r="W13" s="19">
        <v>336204</v>
      </c>
      <c r="X13" s="19">
        <v>362616</v>
      </c>
      <c r="Y13" s="19">
        <v>392698</v>
      </c>
      <c r="Z13" s="19">
        <v>400342</v>
      </c>
      <c r="AA13" s="19">
        <v>415262</v>
      </c>
      <c r="AB13" s="20">
        <v>0.19241740229295631</v>
      </c>
      <c r="AC13" s="20">
        <v>0.18435267663089758</v>
      </c>
      <c r="AD13" s="20">
        <v>0.19451308821686511</v>
      </c>
      <c r="AE13" s="20">
        <v>0.19229110289448684</v>
      </c>
      <c r="AF13" s="20">
        <v>0.19282466858564812</v>
      </c>
      <c r="AG13" s="19">
        <v>300097</v>
      </c>
      <c r="AH13" s="19">
        <v>335103</v>
      </c>
      <c r="AI13" s="19">
        <v>367036</v>
      </c>
      <c r="AJ13" s="19">
        <v>378260</v>
      </c>
      <c r="AK13" s="19">
        <v>396956</v>
      </c>
      <c r="AL13" s="20">
        <v>0.89260389525407191</v>
      </c>
      <c r="AM13" s="20">
        <v>0.92412634853398634</v>
      </c>
      <c r="AN13" s="20">
        <v>0.93465207360363434</v>
      </c>
      <c r="AO13" s="20">
        <v>0.94484215995323995</v>
      </c>
      <c r="AP13" s="20">
        <v>0.95591698734774677</v>
      </c>
      <c r="AQ13" s="37"/>
    </row>
    <row r="14" spans="1:43" s="19" customFormat="1" ht="12.75" x14ac:dyDescent="0.2">
      <c r="A14" s="18" t="s">
        <v>37</v>
      </c>
      <c r="B14" s="19">
        <v>2460</v>
      </c>
      <c r="C14" s="19">
        <v>4990</v>
      </c>
      <c r="D14" s="19">
        <v>6676</v>
      </c>
      <c r="E14" s="19">
        <v>8054</v>
      </c>
      <c r="F14" s="19">
        <v>9484</v>
      </c>
      <c r="G14" s="20">
        <v>1.1720609262044714E-3</v>
      </c>
      <c r="H14" s="20">
        <v>2.361756768397328E-3</v>
      </c>
      <c r="I14" s="20">
        <v>3.0761362144079841E-3</v>
      </c>
      <c r="J14" s="20">
        <v>3.739831433622171E-3</v>
      </c>
      <c r="K14" s="20">
        <v>4.3672264612295833E-3</v>
      </c>
      <c r="L14" s="19">
        <v>2436</v>
      </c>
      <c r="M14" s="19">
        <v>4977</v>
      </c>
      <c r="N14" s="19">
        <v>6664</v>
      </c>
      <c r="O14" s="19">
        <v>8054</v>
      </c>
      <c r="P14" s="19">
        <v>9484</v>
      </c>
      <c r="Q14" s="20">
        <v>0.99024390243902438</v>
      </c>
      <c r="R14" s="20">
        <v>0.99739478957915828</v>
      </c>
      <c r="S14" s="20">
        <v>0.99820251647693226</v>
      </c>
      <c r="T14" s="20">
        <v>1</v>
      </c>
      <c r="U14" s="20">
        <v>1</v>
      </c>
      <c r="W14" s="19">
        <v>18150</v>
      </c>
      <c r="X14" s="19">
        <v>13575</v>
      </c>
      <c r="Y14" s="19">
        <v>944</v>
      </c>
      <c r="Z14" s="19">
        <v>695</v>
      </c>
      <c r="AA14" s="19">
        <v>8054</v>
      </c>
      <c r="AB14" s="20">
        <v>1.0387668949855317E-2</v>
      </c>
      <c r="AC14" s="20">
        <v>6.9014814163314217E-3</v>
      </c>
      <c r="AD14" s="20">
        <v>4.6758668309163955E-4</v>
      </c>
      <c r="AE14" s="20">
        <v>3.338203748586667E-4</v>
      </c>
      <c r="AF14" s="20">
        <v>3.739831433622171E-3</v>
      </c>
      <c r="AG14" s="19">
        <v>16867</v>
      </c>
      <c r="AH14" s="19">
        <v>12229</v>
      </c>
      <c r="AI14" s="19">
        <v>868</v>
      </c>
      <c r="AJ14" s="19">
        <v>672</v>
      </c>
      <c r="AK14" s="19">
        <v>8054</v>
      </c>
      <c r="AL14" s="20">
        <v>0.92931129476584018</v>
      </c>
      <c r="AM14" s="20">
        <v>0.90084714548802947</v>
      </c>
      <c r="AN14" s="20">
        <v>0.91949152542372881</v>
      </c>
      <c r="AO14" s="20">
        <v>0.96690647482014391</v>
      </c>
      <c r="AP14" s="20">
        <v>1</v>
      </c>
      <c r="AQ14" s="37"/>
    </row>
    <row r="15" spans="1:43" s="19" customFormat="1" ht="12.75" x14ac:dyDescent="0.2">
      <c r="A15" s="18" t="s">
        <v>38</v>
      </c>
      <c r="B15" s="19">
        <v>8747</v>
      </c>
      <c r="C15" s="19">
        <v>8764</v>
      </c>
      <c r="D15" s="19">
        <v>9341</v>
      </c>
      <c r="E15" s="19">
        <v>9038</v>
      </c>
      <c r="F15" s="19">
        <v>8304</v>
      </c>
      <c r="G15" s="20">
        <v>4.1674865534595566E-3</v>
      </c>
      <c r="H15" s="20">
        <v>4.1479832301070507E-3</v>
      </c>
      <c r="I15" s="20">
        <v>4.3041025132991287E-3</v>
      </c>
      <c r="J15" s="20">
        <v>4.1967465231036978E-3</v>
      </c>
      <c r="K15" s="20">
        <v>3.8238558133752067E-3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W15" s="19">
        <v>0</v>
      </c>
      <c r="X15" s="19">
        <v>5599</v>
      </c>
      <c r="Y15" s="19">
        <v>8139</v>
      </c>
      <c r="Z15" s="19">
        <v>8476</v>
      </c>
      <c r="AA15" s="19">
        <v>9038</v>
      </c>
      <c r="AB15" s="20">
        <v>0</v>
      </c>
      <c r="AC15" s="20">
        <v>2.8465115616972104E-3</v>
      </c>
      <c r="AD15" s="20">
        <v>4.0314491670369219E-3</v>
      </c>
      <c r="AE15" s="20">
        <v>4.0711676220173514E-3</v>
      </c>
      <c r="AF15" s="20">
        <v>4.1967465231036978E-3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37"/>
    </row>
    <row r="16" spans="1:43" s="19" customFormat="1" ht="12.75" x14ac:dyDescent="0.2">
      <c r="A16" s="18" t="s">
        <v>43</v>
      </c>
      <c r="B16" s="19">
        <v>567501</v>
      </c>
      <c r="C16" s="19">
        <v>569150</v>
      </c>
      <c r="D16" s="19">
        <v>581722</v>
      </c>
      <c r="E16" s="19">
        <v>587158</v>
      </c>
      <c r="F16" s="19">
        <v>590315</v>
      </c>
      <c r="G16" s="20">
        <v>0.27038445027722102</v>
      </c>
      <c r="H16" s="20">
        <v>0.26937752800267317</v>
      </c>
      <c r="I16" s="20">
        <v>0.26804315621896968</v>
      </c>
      <c r="J16" s="20">
        <v>0.27264364848556327</v>
      </c>
      <c r="K16" s="20">
        <v>0.27183037626114948</v>
      </c>
      <c r="L16" s="19">
        <v>483936</v>
      </c>
      <c r="M16" s="19">
        <v>487344</v>
      </c>
      <c r="N16" s="19">
        <v>491071</v>
      </c>
      <c r="O16" s="19">
        <v>499104</v>
      </c>
      <c r="P16" s="19">
        <v>505128</v>
      </c>
      <c r="Q16" s="20">
        <v>0.85274915815126318</v>
      </c>
      <c r="R16" s="20">
        <v>0.85626636211894935</v>
      </c>
      <c r="S16" s="20">
        <v>0.84416783274485063</v>
      </c>
      <c r="T16" s="20">
        <v>0.85003355144611847</v>
      </c>
      <c r="U16" s="20">
        <v>0.85569229987379625</v>
      </c>
      <c r="W16" s="19">
        <v>423959</v>
      </c>
      <c r="X16" s="19">
        <v>534102</v>
      </c>
      <c r="Y16" s="19">
        <v>547775</v>
      </c>
      <c r="Z16" s="19">
        <v>565486</v>
      </c>
      <c r="AA16" s="19">
        <v>587158</v>
      </c>
      <c r="AB16" s="20">
        <v>0.24264163858466722</v>
      </c>
      <c r="AC16" s="20">
        <v>0.27153554529837531</v>
      </c>
      <c r="AD16" s="20">
        <v>0.27132658403657084</v>
      </c>
      <c r="AE16" s="20">
        <v>0.27161258776593955</v>
      </c>
      <c r="AF16" s="20">
        <v>0.27264364848556327</v>
      </c>
      <c r="AG16" s="19">
        <v>330601</v>
      </c>
      <c r="AH16" s="19">
        <v>421355</v>
      </c>
      <c r="AI16" s="19">
        <v>446462</v>
      </c>
      <c r="AJ16" s="19">
        <v>479420</v>
      </c>
      <c r="AK16" s="19">
        <v>499104</v>
      </c>
      <c r="AL16" s="20">
        <v>0.7797947443031048</v>
      </c>
      <c r="AM16" s="20">
        <v>0.788903617661046</v>
      </c>
      <c r="AN16" s="20">
        <v>0.81504632376431929</v>
      </c>
      <c r="AO16" s="20">
        <v>0.84780171392395209</v>
      </c>
      <c r="AP16" s="20">
        <v>0.85003355144611847</v>
      </c>
      <c r="AQ16" s="37"/>
    </row>
    <row r="17" spans="1:55" s="19" customFormat="1" ht="12.75" x14ac:dyDescent="0.2">
      <c r="A17" s="18" t="s">
        <v>50</v>
      </c>
      <c r="B17" s="19">
        <v>0</v>
      </c>
      <c r="C17" s="19">
        <v>166</v>
      </c>
      <c r="D17" s="19">
        <v>234</v>
      </c>
      <c r="E17" s="19">
        <v>229</v>
      </c>
      <c r="F17" s="19">
        <v>229</v>
      </c>
      <c r="G17" s="20">
        <v>0</v>
      </c>
      <c r="H17" s="20">
        <v>7.8567459630051394E-5</v>
      </c>
      <c r="I17" s="20">
        <v>1.0782143112214923E-4</v>
      </c>
      <c r="J17" s="20">
        <v>1.0633491411714393E-4</v>
      </c>
      <c r="K17" s="20">
        <v>1.054507443717392E-4</v>
      </c>
      <c r="L17" s="19">
        <v>0</v>
      </c>
      <c r="M17" s="19">
        <v>166</v>
      </c>
      <c r="N17" s="19">
        <v>210</v>
      </c>
      <c r="O17" s="19">
        <v>229</v>
      </c>
      <c r="P17" s="19">
        <v>229</v>
      </c>
      <c r="Q17" s="20">
        <v>0</v>
      </c>
      <c r="R17" s="20">
        <v>1</v>
      </c>
      <c r="S17" s="20">
        <v>0.89743589743589747</v>
      </c>
      <c r="T17" s="20">
        <v>1</v>
      </c>
      <c r="U17" s="20">
        <v>1</v>
      </c>
      <c r="W17" s="19">
        <v>0</v>
      </c>
      <c r="X17" s="19">
        <v>0</v>
      </c>
      <c r="Y17" s="19">
        <v>0</v>
      </c>
      <c r="Z17" s="19">
        <v>0</v>
      </c>
      <c r="AA17" s="19">
        <v>229</v>
      </c>
      <c r="AB17" s="20">
        <v>0</v>
      </c>
      <c r="AC17" s="20">
        <v>0</v>
      </c>
      <c r="AD17" s="20">
        <v>0</v>
      </c>
      <c r="AE17" s="20">
        <v>0</v>
      </c>
      <c r="AF17" s="20">
        <v>1.0633491411714393E-4</v>
      </c>
      <c r="AG17" s="19">
        <v>0</v>
      </c>
      <c r="AH17" s="19">
        <v>0</v>
      </c>
      <c r="AI17" s="19">
        <v>0</v>
      </c>
      <c r="AJ17" s="19">
        <v>0</v>
      </c>
      <c r="AK17" s="19">
        <v>229</v>
      </c>
      <c r="AL17" s="20">
        <v>0</v>
      </c>
      <c r="AM17" s="20">
        <v>0</v>
      </c>
      <c r="AN17" s="20">
        <v>0</v>
      </c>
      <c r="AO17" s="20">
        <v>0</v>
      </c>
      <c r="AP17" s="20">
        <v>1</v>
      </c>
      <c r="AQ17" s="37"/>
    </row>
    <row r="18" spans="1:55" s="19" customFormat="1" ht="12.75" x14ac:dyDescent="0.2">
      <c r="A18" s="18" t="s">
        <v>52</v>
      </c>
      <c r="B18" s="19">
        <v>47168</v>
      </c>
      <c r="C18" s="19">
        <v>50517</v>
      </c>
      <c r="D18" s="19">
        <v>54121</v>
      </c>
      <c r="E18" s="19">
        <v>57664</v>
      </c>
      <c r="F18" s="19">
        <v>62400</v>
      </c>
      <c r="G18" s="20">
        <v>2.2473077141143293E-2</v>
      </c>
      <c r="H18" s="20">
        <v>2.3909592518863289E-2</v>
      </c>
      <c r="I18" s="20">
        <v>2.4937622537443756E-2</v>
      </c>
      <c r="J18" s="20">
        <v>2.6775967194982479E-2</v>
      </c>
      <c r="K18" s="20">
        <v>2.8734176632299241E-2</v>
      </c>
      <c r="L18" s="19">
        <v>47098</v>
      </c>
      <c r="M18" s="19">
        <v>50441</v>
      </c>
      <c r="N18" s="19">
        <v>54050</v>
      </c>
      <c r="O18" s="19">
        <v>57609</v>
      </c>
      <c r="P18" s="19">
        <v>62344</v>
      </c>
      <c r="Q18" s="20">
        <v>0.99851594301221169</v>
      </c>
      <c r="R18" s="20">
        <v>0.99849555595146189</v>
      </c>
      <c r="S18" s="20">
        <v>0.99868812475748781</v>
      </c>
      <c r="T18" s="20">
        <v>0.99904619866814648</v>
      </c>
      <c r="U18" s="20">
        <v>0.99910256410256415</v>
      </c>
      <c r="W18" s="19">
        <v>0</v>
      </c>
      <c r="X18" s="19">
        <v>9077</v>
      </c>
      <c r="Y18" s="19">
        <v>31563</v>
      </c>
      <c r="Z18" s="19">
        <v>42969</v>
      </c>
      <c r="AA18" s="19">
        <v>57664</v>
      </c>
      <c r="AB18" s="20">
        <v>0</v>
      </c>
      <c r="AC18" s="20">
        <v>4.6147143142571132E-3</v>
      </c>
      <c r="AD18" s="20">
        <v>1.5633939066124387E-2</v>
      </c>
      <c r="AE18" s="20">
        <v>2.0638744873815899E-2</v>
      </c>
      <c r="AF18" s="20">
        <v>2.6775967194982479E-2</v>
      </c>
      <c r="AG18" s="19">
        <v>0</v>
      </c>
      <c r="AH18" s="19">
        <v>9069</v>
      </c>
      <c r="AI18" s="19">
        <v>31442</v>
      </c>
      <c r="AJ18" s="19">
        <v>42894</v>
      </c>
      <c r="AK18" s="19">
        <v>57609</v>
      </c>
      <c r="AL18" s="20">
        <v>0</v>
      </c>
      <c r="AM18" s="20">
        <v>0.99911865153685142</v>
      </c>
      <c r="AN18" s="20">
        <v>0.99616639736400214</v>
      </c>
      <c r="AO18" s="20">
        <v>0.99825455560985832</v>
      </c>
      <c r="AP18" s="20">
        <v>0.99904619866814648</v>
      </c>
      <c r="AQ18" s="37"/>
    </row>
    <row r="19" spans="1:55" s="19" customFormat="1" ht="12.75" x14ac:dyDescent="0.2">
      <c r="A19" s="18" t="s">
        <v>54</v>
      </c>
      <c r="B19" s="19">
        <v>756</v>
      </c>
      <c r="C19" s="19">
        <v>878</v>
      </c>
      <c r="D19" s="19">
        <v>1051</v>
      </c>
      <c r="E19" s="19">
        <v>1022</v>
      </c>
      <c r="F19" s="19">
        <v>18</v>
      </c>
      <c r="G19" s="20">
        <v>3.6019433341893508E-4</v>
      </c>
      <c r="H19" s="20">
        <v>4.1555559973003084E-4</v>
      </c>
      <c r="I19" s="20">
        <v>4.842748893563199E-4</v>
      </c>
      <c r="J19" s="20">
        <v>4.7456018440052882E-4</v>
      </c>
      <c r="K19" s="20">
        <v>8.2887047977786269E-6</v>
      </c>
      <c r="L19" s="19">
        <v>756</v>
      </c>
      <c r="M19" s="19">
        <v>878</v>
      </c>
      <c r="N19" s="19">
        <v>1012</v>
      </c>
      <c r="O19" s="19">
        <v>1013</v>
      </c>
      <c r="P19" s="19">
        <v>6</v>
      </c>
      <c r="Q19" s="20">
        <v>1</v>
      </c>
      <c r="R19" s="20">
        <v>1</v>
      </c>
      <c r="S19" s="20">
        <v>0.9628924833491912</v>
      </c>
      <c r="T19" s="20">
        <v>0.99119373776908026</v>
      </c>
      <c r="U19" s="20">
        <v>0.33333333333333331</v>
      </c>
      <c r="W19" s="19">
        <v>0</v>
      </c>
      <c r="X19" s="19">
        <v>183</v>
      </c>
      <c r="Y19" s="19">
        <v>185</v>
      </c>
      <c r="Z19" s="19">
        <v>676</v>
      </c>
      <c r="AA19" s="19">
        <v>1022</v>
      </c>
      <c r="AB19" s="20">
        <v>0</v>
      </c>
      <c r="AC19" s="20">
        <v>9.3036545059937392E-5</v>
      </c>
      <c r="AD19" s="20">
        <v>9.1635102088933606E-5</v>
      </c>
      <c r="AE19" s="20">
        <v>3.2469435022224269E-4</v>
      </c>
      <c r="AF19" s="20">
        <v>4.7456018440052882E-4</v>
      </c>
      <c r="AG19" s="19">
        <v>0</v>
      </c>
      <c r="AH19" s="19">
        <v>183</v>
      </c>
      <c r="AI19" s="19">
        <v>0</v>
      </c>
      <c r="AJ19" s="19">
        <v>676</v>
      </c>
      <c r="AK19" s="19">
        <v>1013</v>
      </c>
      <c r="AL19" s="20">
        <v>0</v>
      </c>
      <c r="AM19" s="20">
        <v>1</v>
      </c>
      <c r="AN19" s="20">
        <v>0</v>
      </c>
      <c r="AO19" s="20">
        <v>1</v>
      </c>
      <c r="AP19" s="20">
        <v>0.99119373776908026</v>
      </c>
      <c r="AQ19" s="37"/>
    </row>
    <row r="20" spans="1:55" s="19" customFormat="1" ht="12.75" x14ac:dyDescent="0.2">
      <c r="A20" s="18" t="s">
        <v>55</v>
      </c>
      <c r="B20" s="19">
        <v>44376</v>
      </c>
      <c r="C20" s="19">
        <v>45484</v>
      </c>
      <c r="D20" s="19">
        <v>47026</v>
      </c>
      <c r="E20" s="19">
        <v>49808</v>
      </c>
      <c r="F20" s="19">
        <v>52108</v>
      </c>
      <c r="G20" s="20">
        <v>2.1142835634654317E-2</v>
      </c>
      <c r="H20" s="20">
        <v>2.152748393863408E-2</v>
      </c>
      <c r="I20" s="20">
        <v>2.1668421452778589E-2</v>
      </c>
      <c r="J20" s="20">
        <v>2.312807599278037E-2</v>
      </c>
      <c r="K20" s="20">
        <v>2.3994879422369372E-2</v>
      </c>
      <c r="L20" s="19">
        <v>44043</v>
      </c>
      <c r="M20" s="19">
        <v>45171</v>
      </c>
      <c r="N20" s="19">
        <v>46650</v>
      </c>
      <c r="O20" s="19">
        <v>49378</v>
      </c>
      <c r="P20" s="19">
        <v>51676</v>
      </c>
      <c r="Q20" s="20">
        <v>0.99249594375338024</v>
      </c>
      <c r="R20" s="20">
        <v>0.99311845923841346</v>
      </c>
      <c r="S20" s="20">
        <v>0.99200442308510184</v>
      </c>
      <c r="T20" s="20">
        <v>0.99136684869900416</v>
      </c>
      <c r="U20" s="20">
        <v>0.991709526368312</v>
      </c>
      <c r="W20" s="19">
        <v>33653</v>
      </c>
      <c r="X20" s="19">
        <v>34774</v>
      </c>
      <c r="Y20" s="19">
        <v>37788</v>
      </c>
      <c r="Z20" s="19">
        <v>43429</v>
      </c>
      <c r="AA20" s="19">
        <v>49808</v>
      </c>
      <c r="AB20" s="20">
        <v>1.9260397970770303E-2</v>
      </c>
      <c r="AC20" s="20">
        <v>1.7678977147072474E-2</v>
      </c>
      <c r="AD20" s="20">
        <v>1.8717336420197961E-2</v>
      </c>
      <c r="AE20" s="20">
        <v>2.0859690733434584E-2</v>
      </c>
      <c r="AF20" s="20">
        <v>2.312807599278037E-2</v>
      </c>
      <c r="AG20" s="19">
        <v>33141</v>
      </c>
      <c r="AH20" s="19">
        <v>34340</v>
      </c>
      <c r="AI20" s="19">
        <v>37350</v>
      </c>
      <c r="AJ20" s="19">
        <v>43065</v>
      </c>
      <c r="AK20" s="19">
        <v>49378</v>
      </c>
      <c r="AL20" s="20">
        <v>0.98478590318842307</v>
      </c>
      <c r="AM20" s="20">
        <v>0.98751941105423591</v>
      </c>
      <c r="AN20" s="20">
        <v>0.98840901873610665</v>
      </c>
      <c r="AO20" s="20">
        <v>0.99161850376476546</v>
      </c>
      <c r="AP20" s="20">
        <v>0.99136684869900416</v>
      </c>
      <c r="AQ20" s="37"/>
    </row>
    <row r="21" spans="1:55" s="21" customFormat="1" ht="12.75" x14ac:dyDescent="0.2">
      <c r="A21" s="1" t="s">
        <v>62</v>
      </c>
      <c r="B21" s="21">
        <v>2098867</v>
      </c>
      <c r="C21" s="21">
        <v>2112834</v>
      </c>
      <c r="D21" s="21">
        <v>2170255</v>
      </c>
      <c r="E21" s="21">
        <v>2153573</v>
      </c>
      <c r="F21" s="21">
        <v>2171630</v>
      </c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21">
        <v>1769783</v>
      </c>
      <c r="M21" s="21">
        <v>1793044</v>
      </c>
      <c r="N21" s="21">
        <v>1822898</v>
      </c>
      <c r="O21" s="21">
        <v>1826731</v>
      </c>
      <c r="P21" s="21">
        <v>1858548</v>
      </c>
      <c r="Q21" s="22">
        <v>0.8432087407158243</v>
      </c>
      <c r="R21" s="22">
        <v>0.84864404870425225</v>
      </c>
      <c r="S21" s="22">
        <v>0.83994645790471623</v>
      </c>
      <c r="T21" s="22">
        <v>0.8482326812232508</v>
      </c>
      <c r="U21" s="22">
        <v>0.85583087358343735</v>
      </c>
      <c r="W21" s="21">
        <v>1747264</v>
      </c>
      <c r="X21" s="21">
        <v>1966969</v>
      </c>
      <c r="Y21" s="21">
        <v>2018877</v>
      </c>
      <c r="Z21" s="21">
        <v>2081958</v>
      </c>
      <c r="AA21" s="21">
        <v>2153573</v>
      </c>
      <c r="AB21" s="22">
        <v>1</v>
      </c>
      <c r="AC21" s="22">
        <v>1</v>
      </c>
      <c r="AD21" s="22">
        <v>1</v>
      </c>
      <c r="AE21" s="22">
        <v>1</v>
      </c>
      <c r="AF21" s="22">
        <v>1</v>
      </c>
      <c r="AG21" s="21">
        <v>1309611</v>
      </c>
      <c r="AH21" s="21">
        <v>1510340</v>
      </c>
      <c r="AI21" s="21">
        <v>1599730</v>
      </c>
      <c r="AJ21" s="21">
        <v>1734788</v>
      </c>
      <c r="AK21" s="21">
        <v>1826731</v>
      </c>
      <c r="AL21" s="22">
        <v>0.74952096534925461</v>
      </c>
      <c r="AM21" s="22">
        <v>0.76785145063292815</v>
      </c>
      <c r="AN21" s="22">
        <v>0.79238606413367429</v>
      </c>
      <c r="AO21" s="22">
        <v>0.83324831720908876</v>
      </c>
      <c r="AP21" s="22">
        <v>0.8482326812232508</v>
      </c>
      <c r="AQ21" s="37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</row>
    <row r="22" spans="1:55" s="19" customFormat="1" ht="12.75" x14ac:dyDescent="0.2">
      <c r="A22" s="23"/>
      <c r="AQ22" s="37"/>
    </row>
    <row r="23" spans="1:55" s="19" customFormat="1" ht="12.75" x14ac:dyDescent="0.2">
      <c r="A23" s="1" t="s">
        <v>63</v>
      </c>
      <c r="AQ23" s="37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</row>
    <row r="24" spans="1:55" s="25" customFormat="1" ht="12.75" x14ac:dyDescent="0.2">
      <c r="A24" s="24" t="s">
        <v>64</v>
      </c>
      <c r="B24" s="25" t="s">
        <v>10</v>
      </c>
      <c r="C24" s="25" t="s">
        <v>11</v>
      </c>
      <c r="D24" s="25" t="s">
        <v>12</v>
      </c>
      <c r="E24" s="25" t="s">
        <v>164</v>
      </c>
      <c r="F24" s="25" t="s">
        <v>195</v>
      </c>
      <c r="G24" s="25" t="s">
        <v>10</v>
      </c>
      <c r="H24" s="25" t="s">
        <v>11</v>
      </c>
      <c r="I24" s="25" t="s">
        <v>12</v>
      </c>
      <c r="J24" s="25" t="s">
        <v>164</v>
      </c>
      <c r="K24" s="25" t="s">
        <v>195</v>
      </c>
      <c r="L24" s="25" t="s">
        <v>10</v>
      </c>
      <c r="M24" s="25" t="s">
        <v>11</v>
      </c>
      <c r="N24" s="25" t="s">
        <v>12</v>
      </c>
      <c r="O24" s="25" t="s">
        <v>164</v>
      </c>
      <c r="P24" s="25" t="s">
        <v>195</v>
      </c>
      <c r="Q24" s="25" t="s">
        <v>10</v>
      </c>
      <c r="R24" s="25" t="s">
        <v>11</v>
      </c>
      <c r="S24" s="25" t="s">
        <v>12</v>
      </c>
      <c r="T24" s="25" t="s">
        <v>164</v>
      </c>
      <c r="U24" s="25" t="s">
        <v>195</v>
      </c>
      <c r="W24" s="25" t="s">
        <v>13</v>
      </c>
      <c r="X24" s="25" t="s">
        <v>14</v>
      </c>
      <c r="Y24" s="25" t="s">
        <v>15</v>
      </c>
      <c r="Z24" s="25" t="s">
        <v>16</v>
      </c>
      <c r="AA24" s="25" t="s">
        <v>165</v>
      </c>
      <c r="AB24" s="25" t="s">
        <v>13</v>
      </c>
      <c r="AC24" s="25" t="s">
        <v>14</v>
      </c>
      <c r="AD24" s="25" t="s">
        <v>15</v>
      </c>
      <c r="AE24" s="25" t="s">
        <v>16</v>
      </c>
      <c r="AF24" s="25" t="s">
        <v>165</v>
      </c>
      <c r="AG24" s="25" t="s">
        <v>13</v>
      </c>
      <c r="AH24" s="25" t="s">
        <v>14</v>
      </c>
      <c r="AI24" s="25" t="s">
        <v>15</v>
      </c>
      <c r="AJ24" s="25" t="s">
        <v>16</v>
      </c>
      <c r="AK24" s="25" t="s">
        <v>165</v>
      </c>
      <c r="AL24" s="25" t="s">
        <v>13</v>
      </c>
      <c r="AM24" s="25" t="s">
        <v>14</v>
      </c>
      <c r="AN24" s="25" t="s">
        <v>15</v>
      </c>
      <c r="AO24" s="25" t="s">
        <v>16</v>
      </c>
      <c r="AP24" s="25" t="s">
        <v>165</v>
      </c>
      <c r="AQ24" s="37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</row>
    <row r="25" spans="1:55" s="19" customFormat="1" ht="12.75" x14ac:dyDescent="0.2">
      <c r="A25" s="18" t="s">
        <v>18</v>
      </c>
      <c r="B25" s="19">
        <v>107062</v>
      </c>
      <c r="C25" s="19">
        <v>105122</v>
      </c>
      <c r="D25" s="19">
        <v>104009</v>
      </c>
      <c r="E25" s="19">
        <v>102351</v>
      </c>
      <c r="F25" s="19">
        <v>101880</v>
      </c>
      <c r="G25" s="20">
        <v>0.87605659157672511</v>
      </c>
      <c r="H25" s="20">
        <v>0.85755773639085353</v>
      </c>
      <c r="I25" s="20">
        <v>0.83755969109606143</v>
      </c>
      <c r="J25" s="20">
        <v>0.82464649720017724</v>
      </c>
      <c r="K25" s="20">
        <v>0.81774181896987652</v>
      </c>
      <c r="L25" s="19">
        <v>44357</v>
      </c>
      <c r="M25" s="19">
        <v>45538</v>
      </c>
      <c r="N25" s="19">
        <v>37383</v>
      </c>
      <c r="O25" s="19">
        <v>42089</v>
      </c>
      <c r="P25" s="19">
        <v>46480</v>
      </c>
      <c r="Q25" s="20">
        <v>0.41431133361977174</v>
      </c>
      <c r="R25" s="20">
        <v>0.43319191035178173</v>
      </c>
      <c r="S25" s="20">
        <v>0.35942081935217146</v>
      </c>
      <c r="T25" s="20">
        <v>0.41122216685718754</v>
      </c>
      <c r="U25" s="20">
        <v>0.45622300745975658</v>
      </c>
      <c r="W25" s="19">
        <v>110268</v>
      </c>
      <c r="X25" s="19">
        <v>109282</v>
      </c>
      <c r="Y25" s="19">
        <v>107016</v>
      </c>
      <c r="Z25" s="19">
        <v>108488</v>
      </c>
      <c r="AA25" s="19">
        <v>102351</v>
      </c>
      <c r="AB25" s="20">
        <v>0.94621404544518428</v>
      </c>
      <c r="AC25" s="20">
        <v>0.92725020363833832</v>
      </c>
      <c r="AD25" s="20">
        <v>0.91076671687900523</v>
      </c>
      <c r="AE25" s="20">
        <v>0.89256742303325487</v>
      </c>
      <c r="AF25" s="20">
        <v>0.82464649720017724</v>
      </c>
      <c r="AG25" s="19">
        <v>25744</v>
      </c>
      <c r="AH25" s="19">
        <v>22957</v>
      </c>
      <c r="AI25" s="19">
        <v>15511</v>
      </c>
      <c r="AJ25" s="19">
        <v>36134</v>
      </c>
      <c r="AK25" s="19">
        <v>42089</v>
      </c>
      <c r="AL25" s="20">
        <v>0.23346755178292886</v>
      </c>
      <c r="AM25" s="20">
        <v>0.21007119196207977</v>
      </c>
      <c r="AN25" s="20">
        <v>0.14494094341033117</v>
      </c>
      <c r="AO25" s="20">
        <v>0.33306909519946909</v>
      </c>
      <c r="AP25" s="20">
        <v>0.41122216685718754</v>
      </c>
      <c r="AQ25" s="37"/>
    </row>
    <row r="26" spans="1:55" s="19" customFormat="1" ht="12.75" x14ac:dyDescent="0.2">
      <c r="A26" s="18" t="s">
        <v>30</v>
      </c>
      <c r="B26" s="19">
        <v>5005</v>
      </c>
      <c r="C26" s="19">
        <v>5124</v>
      </c>
      <c r="D26" s="19">
        <v>5689</v>
      </c>
      <c r="E26" s="19">
        <v>5469</v>
      </c>
      <c r="F26" s="19">
        <v>5311</v>
      </c>
      <c r="G26" s="20">
        <v>4.0954430524756766E-2</v>
      </c>
      <c r="H26" s="20">
        <v>4.1800249626783484E-2</v>
      </c>
      <c r="I26" s="20">
        <v>4.5812161280711222E-2</v>
      </c>
      <c r="J26" s="20">
        <v>4.4063972928332598E-2</v>
      </c>
      <c r="K26" s="20">
        <v>4.2628845706213329E-2</v>
      </c>
      <c r="L26" s="19">
        <v>4775</v>
      </c>
      <c r="M26" s="19">
        <v>4897</v>
      </c>
      <c r="N26" s="19">
        <v>5448</v>
      </c>
      <c r="O26" s="19">
        <v>5253</v>
      </c>
      <c r="P26" s="19">
        <v>5104</v>
      </c>
      <c r="Q26" s="20">
        <v>0.95404595404595405</v>
      </c>
      <c r="R26" s="20">
        <v>0.95569867291178767</v>
      </c>
      <c r="S26" s="20">
        <v>0.95763754614167695</v>
      </c>
      <c r="T26" s="20">
        <v>0.96050466264399337</v>
      </c>
      <c r="U26" s="20">
        <v>0.96102428921107141</v>
      </c>
      <c r="W26" s="19">
        <v>4187</v>
      </c>
      <c r="X26" s="19">
        <v>4181</v>
      </c>
      <c r="Y26" s="19">
        <v>4324</v>
      </c>
      <c r="Z26" s="19">
        <v>4917</v>
      </c>
      <c r="AA26" s="19">
        <v>5469</v>
      </c>
      <c r="AB26" s="20">
        <v>3.592881169767282E-2</v>
      </c>
      <c r="AC26" s="20">
        <v>3.547549551995656E-2</v>
      </c>
      <c r="AD26" s="20">
        <v>3.6799686811176076E-2</v>
      </c>
      <c r="AE26" s="20">
        <v>4.0453819952939625E-2</v>
      </c>
      <c r="AF26" s="20">
        <v>4.4063972928332598E-2</v>
      </c>
      <c r="AG26" s="19">
        <v>3784</v>
      </c>
      <c r="AH26" s="19">
        <v>3846</v>
      </c>
      <c r="AI26" s="19">
        <v>4038</v>
      </c>
      <c r="AJ26" s="19">
        <v>4664</v>
      </c>
      <c r="AK26" s="19">
        <v>5253</v>
      </c>
      <c r="AL26" s="20">
        <v>0.90374970145689038</v>
      </c>
      <c r="AM26" s="20">
        <v>0.91987562784022958</v>
      </c>
      <c r="AN26" s="20">
        <v>0.93385753931544868</v>
      </c>
      <c r="AO26" s="20">
        <v>0.94854586129753915</v>
      </c>
      <c r="AP26" s="20">
        <v>0.96050466264399337</v>
      </c>
      <c r="AQ26" s="37"/>
    </row>
    <row r="27" spans="1:55" s="19" customFormat="1" ht="12.75" x14ac:dyDescent="0.2">
      <c r="A27" s="18" t="s">
        <v>43</v>
      </c>
      <c r="B27" s="19">
        <v>10142</v>
      </c>
      <c r="C27" s="19">
        <v>12337</v>
      </c>
      <c r="D27" s="19">
        <v>14483</v>
      </c>
      <c r="E27" s="19">
        <v>16295</v>
      </c>
      <c r="F27" s="19">
        <v>17396</v>
      </c>
      <c r="G27" s="20">
        <v>8.2988977898518113E-2</v>
      </c>
      <c r="H27" s="20">
        <v>0.10064201398236297</v>
      </c>
      <c r="I27" s="20">
        <v>0.11662814762322739</v>
      </c>
      <c r="J27" s="20">
        <v>0.13128952987149015</v>
      </c>
      <c r="K27" s="20">
        <v>0.1396293353239102</v>
      </c>
      <c r="L27" s="19">
        <v>9863</v>
      </c>
      <c r="M27" s="19">
        <v>12042</v>
      </c>
      <c r="N27" s="19">
        <v>13960</v>
      </c>
      <c r="O27" s="19">
        <v>15714</v>
      </c>
      <c r="P27" s="19">
        <v>16779</v>
      </c>
      <c r="Q27" s="20">
        <v>0.97249063301124039</v>
      </c>
      <c r="R27" s="20">
        <v>0.9760881899975683</v>
      </c>
      <c r="S27" s="20">
        <v>0.96388869709314373</v>
      </c>
      <c r="T27" s="20">
        <v>0.96434489107088062</v>
      </c>
      <c r="U27" s="20">
        <v>0.96453207633938831</v>
      </c>
      <c r="W27" s="19">
        <v>2081</v>
      </c>
      <c r="X27" s="19">
        <v>4393</v>
      </c>
      <c r="Y27" s="19">
        <v>6161</v>
      </c>
      <c r="Z27" s="19">
        <v>8141</v>
      </c>
      <c r="AA27" s="19">
        <v>16295</v>
      </c>
      <c r="AB27" s="20">
        <v>1.7857142857142856E-2</v>
      </c>
      <c r="AC27" s="20">
        <v>3.7274300841705132E-2</v>
      </c>
      <c r="AD27" s="20">
        <v>5.2433596309818642E-2</v>
      </c>
      <c r="AE27" s="20">
        <v>6.6978757013805471E-2</v>
      </c>
      <c r="AF27" s="20">
        <v>0.13128952987149015</v>
      </c>
      <c r="AG27" s="19">
        <v>2057</v>
      </c>
      <c r="AH27" s="19">
        <v>4329</v>
      </c>
      <c r="AI27" s="19">
        <v>5984</v>
      </c>
      <c r="AJ27" s="19">
        <v>7862</v>
      </c>
      <c r="AK27" s="19">
        <v>15714</v>
      </c>
      <c r="AL27" s="20">
        <v>0.98846708313310905</v>
      </c>
      <c r="AM27" s="20">
        <v>0.98543136808559073</v>
      </c>
      <c r="AN27" s="20">
        <v>0.97127089758156149</v>
      </c>
      <c r="AO27" s="20">
        <v>0.96572902591819187</v>
      </c>
      <c r="AP27" s="20">
        <v>0.96434489107088062</v>
      </c>
      <c r="AQ27" s="37"/>
    </row>
    <row r="28" spans="1:55" s="27" customFormat="1" ht="12.75" x14ac:dyDescent="0.2">
      <c r="A28" s="26" t="s">
        <v>65</v>
      </c>
      <c r="B28" s="27">
        <v>122209</v>
      </c>
      <c r="C28" s="27">
        <v>122583</v>
      </c>
      <c r="D28" s="27">
        <v>124181</v>
      </c>
      <c r="E28" s="27">
        <v>124115</v>
      </c>
      <c r="F28" s="27">
        <v>124587</v>
      </c>
      <c r="G28" s="22">
        <v>1</v>
      </c>
      <c r="H28" s="22">
        <v>1</v>
      </c>
      <c r="I28" s="22">
        <v>1</v>
      </c>
      <c r="J28" s="22">
        <v>1</v>
      </c>
      <c r="K28" s="22">
        <v>1</v>
      </c>
      <c r="L28" s="27">
        <v>58995</v>
      </c>
      <c r="M28" s="27">
        <v>62477</v>
      </c>
      <c r="N28" s="27">
        <v>56791</v>
      </c>
      <c r="O28" s="27">
        <v>63056</v>
      </c>
      <c r="P28" s="27">
        <v>68363</v>
      </c>
      <c r="Q28" s="22">
        <v>0.48273858717443069</v>
      </c>
      <c r="R28" s="22">
        <v>0.50967099842555652</v>
      </c>
      <c r="S28" s="22">
        <v>0.4573243893993445</v>
      </c>
      <c r="T28" s="22">
        <v>0.50804495830479801</v>
      </c>
      <c r="U28" s="22">
        <v>0.54871696083861077</v>
      </c>
      <c r="W28" s="27">
        <v>116536</v>
      </c>
      <c r="X28" s="27">
        <v>117856</v>
      </c>
      <c r="Y28" s="27">
        <v>117501</v>
      </c>
      <c r="Z28" s="27">
        <v>121546</v>
      </c>
      <c r="AA28" s="27">
        <v>124115</v>
      </c>
      <c r="AB28" s="22">
        <v>1</v>
      </c>
      <c r="AC28" s="22">
        <v>1</v>
      </c>
      <c r="AD28" s="22">
        <v>1</v>
      </c>
      <c r="AE28" s="22">
        <v>1</v>
      </c>
      <c r="AF28" s="22">
        <v>1</v>
      </c>
      <c r="AG28" s="27">
        <v>31585</v>
      </c>
      <c r="AH28" s="27">
        <v>31132</v>
      </c>
      <c r="AI28" s="27">
        <v>25533</v>
      </c>
      <c r="AJ28" s="27">
        <v>48660</v>
      </c>
      <c r="AK28" s="27">
        <v>63056</v>
      </c>
      <c r="AL28" s="22">
        <v>0.27103212741127203</v>
      </c>
      <c r="AM28" s="22">
        <v>0.2641528645126256</v>
      </c>
      <c r="AN28" s="22">
        <v>0.21730027829550386</v>
      </c>
      <c r="AO28" s="22">
        <v>0.40034225725239825</v>
      </c>
      <c r="AP28" s="22">
        <v>0.50804495830479801</v>
      </c>
      <c r="AQ28" s="37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</row>
    <row r="29" spans="1:55" s="19" customFormat="1" ht="12.75" x14ac:dyDescent="0.2">
      <c r="A29" s="18"/>
      <c r="AB29" s="20"/>
      <c r="AC29" s="20"/>
      <c r="AD29" s="20"/>
      <c r="AE29" s="20"/>
      <c r="AF29" s="20"/>
      <c r="AL29" s="20"/>
      <c r="AM29" s="20"/>
      <c r="AN29" s="20"/>
      <c r="AO29" s="20"/>
      <c r="AP29" s="20"/>
      <c r="AQ29" s="37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</row>
    <row r="30" spans="1:55" s="25" customFormat="1" ht="12.75" x14ac:dyDescent="0.2">
      <c r="A30" s="28" t="s">
        <v>66</v>
      </c>
      <c r="B30" s="25" t="s">
        <v>10</v>
      </c>
      <c r="C30" s="25" t="s">
        <v>11</v>
      </c>
      <c r="D30" s="25" t="s">
        <v>12</v>
      </c>
      <c r="E30" s="25" t="s">
        <v>164</v>
      </c>
      <c r="F30" s="25" t="s">
        <v>195</v>
      </c>
      <c r="G30" s="25" t="s">
        <v>10</v>
      </c>
      <c r="H30" s="25" t="s">
        <v>11</v>
      </c>
      <c r="I30" s="25" t="s">
        <v>12</v>
      </c>
      <c r="J30" s="25" t="s">
        <v>164</v>
      </c>
      <c r="K30" s="25" t="s">
        <v>195</v>
      </c>
      <c r="L30" s="25" t="s">
        <v>10</v>
      </c>
      <c r="M30" s="25" t="s">
        <v>11</v>
      </c>
      <c r="N30" s="25" t="s">
        <v>12</v>
      </c>
      <c r="O30" s="25" t="s">
        <v>164</v>
      </c>
      <c r="P30" s="25" t="s">
        <v>195</v>
      </c>
      <c r="Q30" s="25" t="s">
        <v>10</v>
      </c>
      <c r="R30" s="25" t="s">
        <v>11</v>
      </c>
      <c r="S30" s="25" t="s">
        <v>12</v>
      </c>
      <c r="T30" s="25" t="s">
        <v>164</v>
      </c>
      <c r="U30" s="25" t="s">
        <v>195</v>
      </c>
      <c r="W30" s="25" t="s">
        <v>13</v>
      </c>
      <c r="X30" s="25" t="s">
        <v>14</v>
      </c>
      <c r="Y30" s="25" t="s">
        <v>15</v>
      </c>
      <c r="Z30" s="25" t="s">
        <v>16</v>
      </c>
      <c r="AA30" s="25" t="s">
        <v>165</v>
      </c>
      <c r="AB30" s="25" t="s">
        <v>13</v>
      </c>
      <c r="AC30" s="25" t="s">
        <v>14</v>
      </c>
      <c r="AD30" s="25" t="s">
        <v>15</v>
      </c>
      <c r="AE30" s="25" t="s">
        <v>16</v>
      </c>
      <c r="AF30" s="25" t="s">
        <v>165</v>
      </c>
      <c r="AG30" s="25" t="s">
        <v>13</v>
      </c>
      <c r="AH30" s="25" t="s">
        <v>14</v>
      </c>
      <c r="AI30" s="25" t="s">
        <v>15</v>
      </c>
      <c r="AJ30" s="25" t="s">
        <v>16</v>
      </c>
      <c r="AK30" s="25" t="s">
        <v>165</v>
      </c>
      <c r="AL30" s="25" t="s">
        <v>13</v>
      </c>
      <c r="AM30" s="25" t="s">
        <v>14</v>
      </c>
      <c r="AN30" s="25" t="s">
        <v>15</v>
      </c>
      <c r="AO30" s="25" t="s">
        <v>16</v>
      </c>
      <c r="AP30" s="25" t="s">
        <v>165</v>
      </c>
      <c r="AQ30" s="37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</row>
    <row r="31" spans="1:55" s="19" customFormat="1" ht="12.75" x14ac:dyDescent="0.2">
      <c r="A31" s="18" t="s">
        <v>18</v>
      </c>
      <c r="B31" s="19">
        <v>19596</v>
      </c>
      <c r="C31" s="19">
        <v>19139</v>
      </c>
      <c r="D31" s="19">
        <v>19128</v>
      </c>
      <c r="E31" s="19">
        <v>18852</v>
      </c>
      <c r="F31" s="19">
        <v>18627</v>
      </c>
      <c r="G31" s="20">
        <v>1.4419372997156007E-2</v>
      </c>
      <c r="H31" s="20">
        <v>1.3972326922810176E-2</v>
      </c>
      <c r="I31" s="20">
        <v>1.3513580342855528E-2</v>
      </c>
      <c r="J31" s="20">
        <v>1.3469928449043343E-2</v>
      </c>
      <c r="K31" s="20">
        <v>1.3152738264957029E-2</v>
      </c>
      <c r="L31" s="19">
        <v>10969</v>
      </c>
      <c r="M31" s="19">
        <v>11129</v>
      </c>
      <c r="N31" s="19">
        <v>8291</v>
      </c>
      <c r="O31" s="19">
        <v>8554</v>
      </c>
      <c r="P31" s="19">
        <v>8737</v>
      </c>
      <c r="Q31" s="20">
        <v>0.55975709328434375</v>
      </c>
      <c r="R31" s="20">
        <v>0.58148283609383977</v>
      </c>
      <c r="S31" s="20">
        <v>0.43344834797156001</v>
      </c>
      <c r="T31" s="20">
        <v>0.45374496074687037</v>
      </c>
      <c r="U31" s="20">
        <v>0.46905030332313308</v>
      </c>
      <c r="W31" s="19">
        <v>21949</v>
      </c>
      <c r="X31" s="19">
        <v>21155</v>
      </c>
      <c r="Y31" s="19">
        <v>20587</v>
      </c>
      <c r="Z31" s="19">
        <v>19706</v>
      </c>
      <c r="AA31" s="19">
        <v>18852</v>
      </c>
      <c r="AB31" s="20">
        <v>1.7946397106859923E-2</v>
      </c>
      <c r="AC31" s="20">
        <v>1.682715634977577E-2</v>
      </c>
      <c r="AD31" s="20">
        <v>1.5878329131146035E-2</v>
      </c>
      <c r="AE31" s="20">
        <v>1.4645573552647811E-2</v>
      </c>
      <c r="AF31" s="20">
        <v>1.3469928449043343E-2</v>
      </c>
      <c r="AG31" s="19">
        <v>7318</v>
      </c>
      <c r="AH31" s="19">
        <v>7203</v>
      </c>
      <c r="AI31" s="19">
        <v>6264</v>
      </c>
      <c r="AJ31" s="19">
        <v>10690</v>
      </c>
      <c r="AK31" s="19">
        <v>8554</v>
      </c>
      <c r="AL31" s="20">
        <v>0.3334092669369903</v>
      </c>
      <c r="AM31" s="20">
        <v>0.34048688253367998</v>
      </c>
      <c r="AN31" s="20">
        <v>0.3042696847525137</v>
      </c>
      <c r="AO31" s="20">
        <v>0.54247437328732362</v>
      </c>
      <c r="AP31" s="20">
        <v>0.45374496074687037</v>
      </c>
      <c r="AQ31" s="37"/>
    </row>
    <row r="32" spans="1:55" s="19" customFormat="1" ht="12.75" x14ac:dyDescent="0.2">
      <c r="A32" s="18" t="s">
        <v>19</v>
      </c>
      <c r="B32" s="19">
        <v>617877</v>
      </c>
      <c r="C32" s="19">
        <v>612891</v>
      </c>
      <c r="D32" s="19">
        <v>621721</v>
      </c>
      <c r="E32" s="19">
        <v>617175</v>
      </c>
      <c r="F32" s="19">
        <v>614073</v>
      </c>
      <c r="G32" s="20">
        <v>0.45465395638720973</v>
      </c>
      <c r="H32" s="20">
        <v>0.4474378713646508</v>
      </c>
      <c r="I32" s="20">
        <v>0.43923445652135518</v>
      </c>
      <c r="J32" s="20">
        <v>0.44097724859634657</v>
      </c>
      <c r="K32" s="20">
        <v>0.43360398585799959</v>
      </c>
      <c r="L32" s="19">
        <v>498552</v>
      </c>
      <c r="M32" s="19">
        <v>496318</v>
      </c>
      <c r="N32" s="19">
        <v>499866</v>
      </c>
      <c r="O32" s="19">
        <v>501528</v>
      </c>
      <c r="P32" s="19">
        <v>502217</v>
      </c>
      <c r="Q32" s="20">
        <v>0.80687903903204039</v>
      </c>
      <c r="R32" s="20">
        <v>0.80979815334211136</v>
      </c>
      <c r="S32" s="20">
        <v>0.80400372514359331</v>
      </c>
      <c r="T32" s="20">
        <v>0.81261878721594361</v>
      </c>
      <c r="U32" s="20">
        <v>0.8178457610088703</v>
      </c>
      <c r="W32" s="19">
        <v>659869</v>
      </c>
      <c r="X32" s="19">
        <v>649432</v>
      </c>
      <c r="Y32" s="19">
        <v>634247</v>
      </c>
      <c r="Z32" s="19">
        <v>621820</v>
      </c>
      <c r="AA32" s="19">
        <v>617175</v>
      </c>
      <c r="AB32" s="20">
        <v>0.53953579263322027</v>
      </c>
      <c r="AC32" s="20">
        <v>0.516572621250181</v>
      </c>
      <c r="AD32" s="20">
        <v>0.48918164941186087</v>
      </c>
      <c r="AE32" s="20">
        <v>0.46213897018712385</v>
      </c>
      <c r="AF32" s="20">
        <v>0.44097724859634657</v>
      </c>
      <c r="AG32" s="19">
        <v>461027</v>
      </c>
      <c r="AH32" s="19">
        <v>470557</v>
      </c>
      <c r="AI32" s="19">
        <v>484914</v>
      </c>
      <c r="AJ32" s="19">
        <v>497241</v>
      </c>
      <c r="AK32" s="19">
        <v>501528</v>
      </c>
      <c r="AL32" s="20">
        <v>0.69866443187966099</v>
      </c>
      <c r="AM32" s="20">
        <v>0.72456700624545756</v>
      </c>
      <c r="AN32" s="20">
        <v>0.76455071919930251</v>
      </c>
      <c r="AO32" s="20">
        <v>0.7996542407770737</v>
      </c>
      <c r="AP32" s="20">
        <v>0.81261878721594361</v>
      </c>
      <c r="AQ32" s="37"/>
    </row>
    <row r="33" spans="1:55" s="19" customFormat="1" ht="12.75" x14ac:dyDescent="0.2">
      <c r="A33" s="18" t="s">
        <v>20</v>
      </c>
      <c r="B33" s="19">
        <v>18045</v>
      </c>
      <c r="C33" s="19">
        <v>20858</v>
      </c>
      <c r="D33" s="19">
        <v>21781</v>
      </c>
      <c r="E33" s="19">
        <v>23227</v>
      </c>
      <c r="F33" s="19">
        <v>28731</v>
      </c>
      <c r="G33" s="20">
        <v>1.3278096842910807E-2</v>
      </c>
      <c r="H33" s="20">
        <v>1.5227273888707595E-2</v>
      </c>
      <c r="I33" s="20">
        <v>1.5387876068994994E-2</v>
      </c>
      <c r="J33" s="20">
        <v>1.6595906433584221E-2</v>
      </c>
      <c r="K33" s="20">
        <v>2.0287288510789737E-2</v>
      </c>
      <c r="L33" s="19">
        <v>17596</v>
      </c>
      <c r="M33" s="19">
        <v>20338</v>
      </c>
      <c r="N33" s="19">
        <v>20817</v>
      </c>
      <c r="O33" s="19">
        <v>22379</v>
      </c>
      <c r="P33" s="19">
        <v>27604</v>
      </c>
      <c r="Q33" s="20">
        <v>0.9751177611526739</v>
      </c>
      <c r="R33" s="20">
        <v>0.97506951769105377</v>
      </c>
      <c r="S33" s="20">
        <v>0.95574124236720082</v>
      </c>
      <c r="T33" s="20">
        <v>0.96349076505790676</v>
      </c>
      <c r="U33" s="20">
        <v>0.9607740767811771</v>
      </c>
      <c r="W33" s="19">
        <v>0</v>
      </c>
      <c r="X33" s="19">
        <v>0</v>
      </c>
      <c r="Y33" s="19">
        <v>295</v>
      </c>
      <c r="Z33" s="19">
        <v>15330</v>
      </c>
      <c r="AA33" s="19">
        <v>23227</v>
      </c>
      <c r="AB33" s="20">
        <v>0</v>
      </c>
      <c r="AC33" s="20">
        <v>0</v>
      </c>
      <c r="AD33" s="20">
        <v>2.2752742476747853E-4</v>
      </c>
      <c r="AE33" s="20">
        <v>1.1393313841575711E-2</v>
      </c>
      <c r="AF33" s="20">
        <v>1.6595906433584221E-2</v>
      </c>
      <c r="AG33" s="19">
        <v>0</v>
      </c>
      <c r="AH33" s="19">
        <v>0</v>
      </c>
      <c r="AI33" s="19">
        <v>295</v>
      </c>
      <c r="AJ33" s="19">
        <v>14934</v>
      </c>
      <c r="AK33" s="19">
        <v>22379</v>
      </c>
      <c r="AL33" s="20">
        <v>0</v>
      </c>
      <c r="AM33" s="20">
        <v>0</v>
      </c>
      <c r="AN33" s="20">
        <v>1</v>
      </c>
      <c r="AO33" s="20">
        <v>0.97416829745596867</v>
      </c>
      <c r="AP33" s="20">
        <v>0.96349076505790676</v>
      </c>
      <c r="AQ33" s="37"/>
    </row>
    <row r="34" spans="1:55" s="19" customFormat="1" ht="12.75" x14ac:dyDescent="0.2">
      <c r="A34" s="18" t="s">
        <v>21</v>
      </c>
      <c r="B34" s="19">
        <v>16497</v>
      </c>
      <c r="C34" s="19">
        <v>17665</v>
      </c>
      <c r="D34" s="19">
        <v>19549</v>
      </c>
      <c r="E34" s="19">
        <v>20732</v>
      </c>
      <c r="F34" s="19">
        <v>21760</v>
      </c>
      <c r="G34" s="20">
        <v>1.2139028186062597E-2</v>
      </c>
      <c r="H34" s="20">
        <v>1.2896240926456019E-2</v>
      </c>
      <c r="I34" s="20">
        <v>1.3811009103015616E-2</v>
      </c>
      <c r="J34" s="20">
        <v>1.481320584582891E-2</v>
      </c>
      <c r="K34" s="20">
        <v>1.536498548587883E-2</v>
      </c>
      <c r="L34" s="19">
        <v>16099</v>
      </c>
      <c r="M34" s="19">
        <v>17150</v>
      </c>
      <c r="N34" s="19">
        <v>18591</v>
      </c>
      <c r="O34" s="19">
        <v>19621</v>
      </c>
      <c r="P34" s="19">
        <v>20571</v>
      </c>
      <c r="Q34" s="20">
        <v>0.97587440140631632</v>
      </c>
      <c r="R34" s="20">
        <v>0.9708463062553071</v>
      </c>
      <c r="S34" s="20">
        <v>0.95099493580234284</v>
      </c>
      <c r="T34" s="20">
        <v>0.94641134478101485</v>
      </c>
      <c r="U34" s="20">
        <v>0.9453584558823529</v>
      </c>
      <c r="W34" s="19">
        <v>0</v>
      </c>
      <c r="X34" s="19">
        <v>0</v>
      </c>
      <c r="Y34" s="19">
        <v>3687</v>
      </c>
      <c r="Z34" s="19">
        <v>14103</v>
      </c>
      <c r="AA34" s="19">
        <v>20732</v>
      </c>
      <c r="AB34" s="20">
        <v>0</v>
      </c>
      <c r="AC34" s="20">
        <v>0</v>
      </c>
      <c r="AD34" s="20">
        <v>2.8437071698904862E-3</v>
      </c>
      <c r="AE34" s="20">
        <v>1.0481402811985795E-2</v>
      </c>
      <c r="AF34" s="20">
        <v>1.481320584582891E-2</v>
      </c>
      <c r="AG34" s="19">
        <v>0</v>
      </c>
      <c r="AH34" s="19">
        <v>0</v>
      </c>
      <c r="AI34" s="19">
        <v>3667</v>
      </c>
      <c r="AJ34" s="19">
        <v>13790</v>
      </c>
      <c r="AK34" s="19">
        <v>19621</v>
      </c>
      <c r="AL34" s="20">
        <v>0</v>
      </c>
      <c r="AM34" s="20">
        <v>0</v>
      </c>
      <c r="AN34" s="20">
        <v>0.99457553566585299</v>
      </c>
      <c r="AO34" s="20">
        <v>0.97780614053747428</v>
      </c>
      <c r="AP34" s="20">
        <v>0.94641134478101485</v>
      </c>
      <c r="AQ34" s="37"/>
    </row>
    <row r="35" spans="1:55" s="19" customFormat="1" ht="12.75" x14ac:dyDescent="0.2">
      <c r="A35" s="18" t="s">
        <v>25</v>
      </c>
      <c r="B35" s="19">
        <v>2019</v>
      </c>
      <c r="C35" s="19">
        <v>2105</v>
      </c>
      <c r="D35" s="19">
        <v>2198</v>
      </c>
      <c r="E35" s="19">
        <v>2259</v>
      </c>
      <c r="F35" s="19">
        <v>2305</v>
      </c>
      <c r="G35" s="20">
        <v>1.4856457481760552E-3</v>
      </c>
      <c r="H35" s="20">
        <v>1.536744248524762E-3</v>
      </c>
      <c r="I35" s="20">
        <v>1.5528465910495844E-3</v>
      </c>
      <c r="J35" s="20">
        <v>1.6140764039035069E-3</v>
      </c>
      <c r="K35" s="20">
        <v>1.6275869276172199E-3</v>
      </c>
      <c r="L35" s="19">
        <v>1922</v>
      </c>
      <c r="M35" s="19">
        <v>2036</v>
      </c>
      <c r="N35" s="19">
        <v>2085</v>
      </c>
      <c r="O35" s="19">
        <v>2115</v>
      </c>
      <c r="P35" s="19">
        <v>2187</v>
      </c>
      <c r="Q35" s="20">
        <v>0.95195641406636944</v>
      </c>
      <c r="R35" s="20">
        <v>0.96722090261282656</v>
      </c>
      <c r="S35" s="20">
        <v>0.94858962693357596</v>
      </c>
      <c r="T35" s="20">
        <v>0.93625498007968122</v>
      </c>
      <c r="U35" s="20">
        <v>0.94880694143167033</v>
      </c>
      <c r="W35" s="19">
        <v>1028</v>
      </c>
      <c r="X35" s="19">
        <v>1881</v>
      </c>
      <c r="Y35" s="19">
        <v>1694</v>
      </c>
      <c r="Z35" s="19">
        <v>1998</v>
      </c>
      <c r="AA35" s="19">
        <v>2259</v>
      </c>
      <c r="AB35" s="20">
        <v>8.4053470435336468E-4</v>
      </c>
      <c r="AC35" s="20">
        <v>1.496189132305754E-3</v>
      </c>
      <c r="AD35" s="20">
        <v>1.3065473137495209E-3</v>
      </c>
      <c r="AE35" s="20">
        <v>1.4849211386476367E-3</v>
      </c>
      <c r="AF35" s="20">
        <v>1.6140764039035069E-3</v>
      </c>
      <c r="AG35" s="19">
        <v>1028</v>
      </c>
      <c r="AH35" s="19">
        <v>1835</v>
      </c>
      <c r="AI35" s="19">
        <v>1645</v>
      </c>
      <c r="AJ35" s="19">
        <v>1927</v>
      </c>
      <c r="AK35" s="19">
        <v>2115</v>
      </c>
      <c r="AL35" s="20">
        <v>1</v>
      </c>
      <c r="AM35" s="20">
        <v>0.97554492291334394</v>
      </c>
      <c r="AN35" s="20">
        <v>0.97107438016528924</v>
      </c>
      <c r="AO35" s="20">
        <v>0.96446446446446443</v>
      </c>
      <c r="AP35" s="20">
        <v>0.93625498007968122</v>
      </c>
      <c r="AQ35" s="37"/>
    </row>
    <row r="36" spans="1:55" s="19" customFormat="1" ht="12.75" x14ac:dyDescent="0.2">
      <c r="A36" s="18" t="s">
        <v>28</v>
      </c>
      <c r="B36" s="19">
        <v>10542</v>
      </c>
      <c r="C36" s="19">
        <v>10798</v>
      </c>
      <c r="D36" s="19">
        <v>11451</v>
      </c>
      <c r="E36" s="19">
        <v>11481</v>
      </c>
      <c r="F36" s="19">
        <v>11709</v>
      </c>
      <c r="G36" s="20">
        <v>7.7571458530321814E-3</v>
      </c>
      <c r="H36" s="20">
        <v>7.8830234658291594E-3</v>
      </c>
      <c r="I36" s="20">
        <v>8.0899209800312979E-3</v>
      </c>
      <c r="J36" s="20">
        <v>8.2032807406888734E-3</v>
      </c>
      <c r="K36" s="20">
        <v>8.2678591477093385E-3</v>
      </c>
      <c r="L36" s="19">
        <v>10003</v>
      </c>
      <c r="M36" s="19">
        <v>10355</v>
      </c>
      <c r="N36" s="19">
        <v>10963</v>
      </c>
      <c r="O36" s="19">
        <v>10566</v>
      </c>
      <c r="P36" s="19">
        <v>11122</v>
      </c>
      <c r="Q36" s="20">
        <v>0.94887118193891107</v>
      </c>
      <c r="R36" s="20">
        <v>0.95897388405260231</v>
      </c>
      <c r="S36" s="20">
        <v>0.95738363461706399</v>
      </c>
      <c r="T36" s="20">
        <v>0.92030310948523653</v>
      </c>
      <c r="U36" s="20">
        <v>0.94986762319583229</v>
      </c>
      <c r="W36" s="19">
        <v>5</v>
      </c>
      <c r="X36" s="19">
        <v>4499</v>
      </c>
      <c r="Y36" s="19">
        <v>9313</v>
      </c>
      <c r="Z36" s="19">
        <v>10512</v>
      </c>
      <c r="AA36" s="19">
        <v>11481</v>
      </c>
      <c r="AB36" s="20">
        <v>4.0882038149482718E-6</v>
      </c>
      <c r="AC36" s="20">
        <v>3.5786044158658092E-3</v>
      </c>
      <c r="AD36" s="20">
        <v>7.182925107998399E-3</v>
      </c>
      <c r="AE36" s="20">
        <v>7.8125580627947736E-3</v>
      </c>
      <c r="AF36" s="20">
        <v>8.2032807406888734E-3</v>
      </c>
      <c r="AG36" s="19">
        <v>5</v>
      </c>
      <c r="AH36" s="19">
        <v>4477</v>
      </c>
      <c r="AI36" s="19">
        <v>9013</v>
      </c>
      <c r="AJ36" s="19">
        <v>10085</v>
      </c>
      <c r="AK36" s="19">
        <v>10566</v>
      </c>
      <c r="AL36" s="20">
        <v>1</v>
      </c>
      <c r="AM36" s="20">
        <v>0.99511002444987773</v>
      </c>
      <c r="AN36" s="20">
        <v>0.96778696445828416</v>
      </c>
      <c r="AO36" s="20">
        <v>0.95937975646879758</v>
      </c>
      <c r="AP36" s="20">
        <v>0.92030310948523653</v>
      </c>
      <c r="AQ36" s="37"/>
    </row>
    <row r="37" spans="1:55" s="19" customFormat="1" ht="12.75" x14ac:dyDescent="0.2">
      <c r="A37" s="18" t="s">
        <v>30</v>
      </c>
      <c r="B37" s="19">
        <v>354560</v>
      </c>
      <c r="C37" s="19">
        <v>363255</v>
      </c>
      <c r="D37" s="19">
        <v>386133</v>
      </c>
      <c r="E37" s="19">
        <v>364333</v>
      </c>
      <c r="F37" s="19">
        <v>370732</v>
      </c>
      <c r="G37" s="20">
        <v>0.26089675902590498</v>
      </c>
      <c r="H37" s="20">
        <v>0.26519241425076601</v>
      </c>
      <c r="I37" s="20">
        <v>0.27279586566958564</v>
      </c>
      <c r="J37" s="20">
        <v>0.26031929989525293</v>
      </c>
      <c r="K37" s="20">
        <v>0.2617781157697992</v>
      </c>
      <c r="L37" s="19">
        <v>333615</v>
      </c>
      <c r="M37" s="19">
        <v>343604</v>
      </c>
      <c r="N37" s="19">
        <v>365574</v>
      </c>
      <c r="O37" s="19">
        <v>346975</v>
      </c>
      <c r="P37" s="19">
        <v>352983</v>
      </c>
      <c r="Q37" s="20">
        <v>0.94092678249097472</v>
      </c>
      <c r="R37" s="20">
        <v>0.94590301578780744</v>
      </c>
      <c r="S37" s="20">
        <v>0.94675668746260999</v>
      </c>
      <c r="T37" s="20">
        <v>0.95235677251305806</v>
      </c>
      <c r="U37" s="20">
        <v>0.95212444569122712</v>
      </c>
      <c r="W37" s="19">
        <v>278434</v>
      </c>
      <c r="X37" s="19">
        <v>303541</v>
      </c>
      <c r="Y37" s="19">
        <v>333394</v>
      </c>
      <c r="Z37" s="19">
        <v>345017</v>
      </c>
      <c r="AA37" s="19">
        <v>364333</v>
      </c>
      <c r="AB37" s="20">
        <v>0.22765898820226144</v>
      </c>
      <c r="AC37" s="20">
        <v>0.24144324583159002</v>
      </c>
      <c r="AD37" s="20">
        <v>0.25713992628111437</v>
      </c>
      <c r="AE37" s="20">
        <v>0.25641793618257841</v>
      </c>
      <c r="AF37" s="20">
        <v>0.26031929989525293</v>
      </c>
      <c r="AG37" s="19">
        <v>243544</v>
      </c>
      <c r="AH37" s="19">
        <v>277137</v>
      </c>
      <c r="AI37" s="19">
        <v>308810</v>
      </c>
      <c r="AJ37" s="19">
        <v>323883</v>
      </c>
      <c r="AK37" s="19">
        <v>346975</v>
      </c>
      <c r="AL37" s="20">
        <v>0.87469202755410613</v>
      </c>
      <c r="AM37" s="20">
        <v>0.91301339851947516</v>
      </c>
      <c r="AN37" s="20">
        <v>0.92626142042148329</v>
      </c>
      <c r="AO37" s="20">
        <v>0.93874504734549313</v>
      </c>
      <c r="AP37" s="20">
        <v>0.95235677251305806</v>
      </c>
      <c r="AQ37" s="37"/>
    </row>
    <row r="38" spans="1:55" s="19" customFormat="1" ht="12.75" x14ac:dyDescent="0.2">
      <c r="A38" s="18" t="s">
        <v>37</v>
      </c>
      <c r="B38" s="19">
        <v>154</v>
      </c>
      <c r="C38" s="19">
        <v>103</v>
      </c>
      <c r="D38" s="19">
        <v>31</v>
      </c>
      <c r="E38" s="19">
        <v>0</v>
      </c>
      <c r="F38" s="19">
        <v>0</v>
      </c>
      <c r="G38" s="20">
        <v>1.133181997122895E-4</v>
      </c>
      <c r="H38" s="20">
        <v>7.5194611685534674E-5</v>
      </c>
      <c r="I38" s="20">
        <v>2.1900930083046913E-5</v>
      </c>
      <c r="J38" s="20">
        <v>0</v>
      </c>
      <c r="K38" s="20">
        <v>0</v>
      </c>
      <c r="L38" s="19">
        <v>130</v>
      </c>
      <c r="M38" s="19">
        <v>90</v>
      </c>
      <c r="N38" s="19">
        <v>19</v>
      </c>
      <c r="O38" s="19">
        <v>0</v>
      </c>
      <c r="P38" s="19">
        <v>0</v>
      </c>
      <c r="Q38" s="20">
        <v>0.8441558441558441</v>
      </c>
      <c r="R38" s="20">
        <v>0.87378640776699024</v>
      </c>
      <c r="S38" s="20">
        <v>0.61290322580645162</v>
      </c>
      <c r="T38" s="20">
        <v>0</v>
      </c>
      <c r="U38" s="20">
        <v>0</v>
      </c>
      <c r="W38" s="19">
        <v>18150</v>
      </c>
      <c r="X38" s="19">
        <v>13575</v>
      </c>
      <c r="Y38" s="19">
        <v>944</v>
      </c>
      <c r="Z38" s="19">
        <v>180</v>
      </c>
      <c r="AA38" s="19">
        <v>0</v>
      </c>
      <c r="AB38" s="20">
        <v>1.4840179848262228E-2</v>
      </c>
      <c r="AC38" s="20">
        <v>1.0797856178123663E-2</v>
      </c>
      <c r="AD38" s="20">
        <v>7.2808775925593133E-4</v>
      </c>
      <c r="AE38" s="20">
        <v>1.3377667915744475E-4</v>
      </c>
      <c r="AF38" s="20">
        <v>0</v>
      </c>
      <c r="AG38" s="19">
        <v>16867</v>
      </c>
      <c r="AH38" s="19">
        <v>12229</v>
      </c>
      <c r="AI38" s="19">
        <v>868</v>
      </c>
      <c r="AJ38" s="19">
        <v>157</v>
      </c>
      <c r="AK38" s="19">
        <v>0</v>
      </c>
      <c r="AL38" s="20">
        <v>0.92931129476584018</v>
      </c>
      <c r="AM38" s="20">
        <v>0.90084714548802947</v>
      </c>
      <c r="AN38" s="20">
        <v>0.91949152542372881</v>
      </c>
      <c r="AO38" s="20">
        <v>0.87222222222222223</v>
      </c>
      <c r="AP38" s="20">
        <v>0</v>
      </c>
      <c r="AQ38" s="37"/>
    </row>
    <row r="39" spans="1:55" s="19" customFormat="1" ht="12.75" x14ac:dyDescent="0.2">
      <c r="A39" s="18" t="s">
        <v>43</v>
      </c>
      <c r="B39" s="19">
        <v>271002</v>
      </c>
      <c r="C39" s="19">
        <v>270994</v>
      </c>
      <c r="D39" s="19">
        <v>277944</v>
      </c>
      <c r="E39" s="19">
        <v>282170</v>
      </c>
      <c r="F39" s="19">
        <v>284271</v>
      </c>
      <c r="G39" s="20">
        <v>0.19941206985993429</v>
      </c>
      <c r="H39" s="20">
        <v>0.19783775338941537</v>
      </c>
      <c r="I39" s="20">
        <v>0.19636232616136748</v>
      </c>
      <c r="J39" s="20">
        <v>0.20161307609094845</v>
      </c>
      <c r="K39" s="20">
        <v>0.20072701236471788</v>
      </c>
      <c r="L39" s="19">
        <v>247908</v>
      </c>
      <c r="M39" s="19">
        <v>248281</v>
      </c>
      <c r="N39" s="19">
        <v>249334</v>
      </c>
      <c r="O39" s="19">
        <v>254328</v>
      </c>
      <c r="P39" s="19">
        <v>257276</v>
      </c>
      <c r="Q39" s="20">
        <v>0.91478291673124179</v>
      </c>
      <c r="R39" s="20">
        <v>0.91618633622884638</v>
      </c>
      <c r="S39" s="20">
        <v>0.89706559594738511</v>
      </c>
      <c r="T39" s="20">
        <v>0.901328986072226</v>
      </c>
      <c r="U39" s="20">
        <v>0.90503779843881371</v>
      </c>
      <c r="W39" s="19">
        <v>243596</v>
      </c>
      <c r="X39" s="19">
        <v>254034</v>
      </c>
      <c r="Y39" s="19">
        <v>260017</v>
      </c>
      <c r="Z39" s="19">
        <v>271960</v>
      </c>
      <c r="AA39" s="19">
        <v>282170</v>
      </c>
      <c r="AB39" s="20">
        <v>0.19917401930122786</v>
      </c>
      <c r="AC39" s="20">
        <v>0.20206427965771392</v>
      </c>
      <c r="AD39" s="20">
        <v>0.20054575730767954</v>
      </c>
      <c r="AE39" s="20">
        <v>0.20212169813143707</v>
      </c>
      <c r="AF39" s="20">
        <v>0.20161307609094845</v>
      </c>
      <c r="AG39" s="19">
        <v>206591</v>
      </c>
      <c r="AH39" s="19">
        <v>221620</v>
      </c>
      <c r="AI39" s="19">
        <v>231896</v>
      </c>
      <c r="AJ39" s="19">
        <v>248399</v>
      </c>
      <c r="AK39" s="19">
        <v>254328</v>
      </c>
      <c r="AL39" s="20">
        <v>0.84808863856549366</v>
      </c>
      <c r="AM39" s="20">
        <v>0.87240290669752862</v>
      </c>
      <c r="AN39" s="20">
        <v>0.89184937907906026</v>
      </c>
      <c r="AO39" s="20">
        <v>0.91336593616708339</v>
      </c>
      <c r="AP39" s="20">
        <v>0.901328986072226</v>
      </c>
      <c r="AQ39" s="37"/>
    </row>
    <row r="40" spans="1:55" s="19" customFormat="1" ht="12.75" x14ac:dyDescent="0.2">
      <c r="A40" s="18" t="s">
        <v>50</v>
      </c>
      <c r="B40" s="19">
        <v>0</v>
      </c>
      <c r="C40" s="19">
        <v>166</v>
      </c>
      <c r="D40" s="19">
        <v>234</v>
      </c>
      <c r="E40" s="19">
        <v>229</v>
      </c>
      <c r="F40" s="19">
        <v>229</v>
      </c>
      <c r="G40" s="20">
        <v>0</v>
      </c>
      <c r="H40" s="20">
        <v>1.2118743242523064E-4</v>
      </c>
      <c r="I40" s="20">
        <v>1.6531669804622509E-4</v>
      </c>
      <c r="J40" s="20">
        <v>1.6362261907653967E-4</v>
      </c>
      <c r="K40" s="20">
        <v>1.6169952556370644E-4</v>
      </c>
      <c r="L40" s="19">
        <v>0</v>
      </c>
      <c r="M40" s="19">
        <v>166</v>
      </c>
      <c r="N40" s="19">
        <v>210</v>
      </c>
      <c r="O40" s="19">
        <v>229</v>
      </c>
      <c r="P40" s="19">
        <v>229</v>
      </c>
      <c r="Q40" s="20">
        <v>0</v>
      </c>
      <c r="R40" s="20">
        <v>1</v>
      </c>
      <c r="S40" s="20">
        <v>0.89743589743589747</v>
      </c>
      <c r="T40" s="20">
        <v>1</v>
      </c>
      <c r="U40" s="20">
        <v>1</v>
      </c>
      <c r="W40" s="19">
        <v>0</v>
      </c>
      <c r="X40" s="19">
        <v>0</v>
      </c>
      <c r="Y40" s="19">
        <v>0</v>
      </c>
      <c r="Z40" s="19">
        <v>0</v>
      </c>
      <c r="AA40" s="19">
        <v>229</v>
      </c>
      <c r="AB40" s="20">
        <v>0</v>
      </c>
      <c r="AC40" s="20">
        <v>0</v>
      </c>
      <c r="AD40" s="20">
        <v>0</v>
      </c>
      <c r="AE40" s="20">
        <v>0</v>
      </c>
      <c r="AF40" s="20">
        <v>1.6362261907653967E-4</v>
      </c>
      <c r="AG40" s="19">
        <v>0</v>
      </c>
      <c r="AH40" s="19">
        <v>0</v>
      </c>
      <c r="AI40" s="19">
        <v>0</v>
      </c>
      <c r="AJ40" s="19">
        <v>0</v>
      </c>
      <c r="AK40" s="19">
        <v>229</v>
      </c>
      <c r="AL40" s="20">
        <v>0</v>
      </c>
      <c r="AM40" s="20">
        <v>0</v>
      </c>
      <c r="AN40" s="20">
        <v>0</v>
      </c>
      <c r="AO40" s="20">
        <v>0</v>
      </c>
      <c r="AP40" s="20">
        <v>1</v>
      </c>
      <c r="AQ40" s="37"/>
    </row>
    <row r="41" spans="1:55" s="19" customFormat="1" ht="12.75" x14ac:dyDescent="0.2">
      <c r="A41" s="18" t="s">
        <v>52</v>
      </c>
      <c r="B41" s="19">
        <v>44534</v>
      </c>
      <c r="C41" s="19">
        <v>47188</v>
      </c>
      <c r="D41" s="19">
        <v>50099</v>
      </c>
      <c r="E41" s="19">
        <v>53180</v>
      </c>
      <c r="F41" s="19">
        <v>57074</v>
      </c>
      <c r="G41" s="20">
        <v>3.2769563025890264E-2</v>
      </c>
      <c r="H41" s="20">
        <v>3.4449352778805925E-2</v>
      </c>
      <c r="I41" s="20">
        <v>3.5394022459050559E-2</v>
      </c>
      <c r="J41" s="20">
        <v>3.7997602106944889E-2</v>
      </c>
      <c r="K41" s="20">
        <v>4.0300605773026119E-2</v>
      </c>
      <c r="L41" s="19">
        <v>44464</v>
      </c>
      <c r="M41" s="19">
        <v>47112</v>
      </c>
      <c r="N41" s="19">
        <v>50028</v>
      </c>
      <c r="O41" s="19">
        <v>53125</v>
      </c>
      <c r="P41" s="19">
        <v>57019</v>
      </c>
      <c r="Q41" s="20">
        <v>0.99842816724300532</v>
      </c>
      <c r="R41" s="20">
        <v>0.99838942103924722</v>
      </c>
      <c r="S41" s="20">
        <v>0.99858280604403282</v>
      </c>
      <c r="T41" s="20">
        <v>0.99896577660774732</v>
      </c>
      <c r="U41" s="20">
        <v>0.99903633878823983</v>
      </c>
      <c r="W41" s="19">
        <v>0</v>
      </c>
      <c r="X41" s="19">
        <v>9077</v>
      </c>
      <c r="Y41" s="19">
        <v>31563</v>
      </c>
      <c r="Z41" s="19">
        <v>41116</v>
      </c>
      <c r="AA41" s="19">
        <v>53180</v>
      </c>
      <c r="AB41" s="20">
        <v>0</v>
      </c>
      <c r="AC41" s="20">
        <v>7.220047184444087E-3</v>
      </c>
      <c r="AD41" s="20">
        <v>2.4343891891308221E-2</v>
      </c>
      <c r="AE41" s="20">
        <v>3.0557566334652769E-2</v>
      </c>
      <c r="AF41" s="20">
        <v>3.7997602106944889E-2</v>
      </c>
      <c r="AG41" s="19">
        <v>0</v>
      </c>
      <c r="AH41" s="19">
        <v>9069</v>
      </c>
      <c r="AI41" s="19">
        <v>31442</v>
      </c>
      <c r="AJ41" s="19">
        <v>41041</v>
      </c>
      <c r="AK41" s="19">
        <v>53125</v>
      </c>
      <c r="AL41" s="20">
        <v>0</v>
      </c>
      <c r="AM41" s="20">
        <v>0.99911865153685142</v>
      </c>
      <c r="AN41" s="20">
        <v>0.99616639736400214</v>
      </c>
      <c r="AO41" s="20">
        <v>0.99817589259655604</v>
      </c>
      <c r="AP41" s="20">
        <v>0.99896577660774732</v>
      </c>
      <c r="AQ41" s="37"/>
    </row>
    <row r="42" spans="1:55" s="19" customFormat="1" ht="12.75" x14ac:dyDescent="0.2">
      <c r="A42" s="18" t="s">
        <v>55</v>
      </c>
      <c r="B42" s="19">
        <v>4179</v>
      </c>
      <c r="C42" s="19">
        <v>4617</v>
      </c>
      <c r="D42" s="19">
        <v>5196</v>
      </c>
      <c r="E42" s="19">
        <v>5924</v>
      </c>
      <c r="F42" s="19">
        <v>6696</v>
      </c>
      <c r="G42" s="20">
        <v>3.0750438740107652E-3</v>
      </c>
      <c r="H42" s="20">
        <v>3.3706167199234328E-3</v>
      </c>
      <c r="I42" s="20">
        <v>3.6708784745648954E-3</v>
      </c>
      <c r="J42" s="20">
        <v>4.2327528183817506E-3</v>
      </c>
      <c r="K42" s="20">
        <v>4.7281223719413895E-3</v>
      </c>
      <c r="L42" s="19">
        <v>4176</v>
      </c>
      <c r="M42" s="19">
        <v>4614</v>
      </c>
      <c r="N42" s="19">
        <v>5155</v>
      </c>
      <c r="O42" s="19">
        <v>5871</v>
      </c>
      <c r="P42" s="19">
        <v>6626</v>
      </c>
      <c r="Q42" s="20">
        <v>0.99928212491026558</v>
      </c>
      <c r="R42" s="20">
        <v>0.9993502274204028</v>
      </c>
      <c r="S42" s="20">
        <v>0.9921093148575828</v>
      </c>
      <c r="T42" s="20">
        <v>0.9910533423362593</v>
      </c>
      <c r="U42" s="20">
        <v>0.98954599761051376</v>
      </c>
      <c r="W42" s="19">
        <v>0</v>
      </c>
      <c r="X42" s="19">
        <v>0</v>
      </c>
      <c r="Y42" s="19">
        <v>806</v>
      </c>
      <c r="Z42" s="19">
        <v>3784</v>
      </c>
      <c r="AA42" s="19">
        <v>5924</v>
      </c>
      <c r="AB42" s="20">
        <v>0</v>
      </c>
      <c r="AC42" s="20">
        <v>0</v>
      </c>
      <c r="AD42" s="20">
        <v>6.2165120122911082E-4</v>
      </c>
      <c r="AE42" s="20">
        <v>2.8122830773987272E-3</v>
      </c>
      <c r="AF42" s="20">
        <v>4.2327528183817506E-3</v>
      </c>
      <c r="AG42" s="19">
        <v>0</v>
      </c>
      <c r="AH42" s="19">
        <v>0</v>
      </c>
      <c r="AI42" s="19">
        <v>805</v>
      </c>
      <c r="AJ42" s="19">
        <v>3780</v>
      </c>
      <c r="AK42" s="19">
        <v>5871</v>
      </c>
      <c r="AL42" s="20">
        <v>0</v>
      </c>
      <c r="AM42" s="20">
        <v>0</v>
      </c>
      <c r="AN42" s="20">
        <v>0.99875930521091816</v>
      </c>
      <c r="AO42" s="20">
        <v>0.9989429175475687</v>
      </c>
      <c r="AP42" s="20">
        <v>0.9910533423362593</v>
      </c>
      <c r="AQ42" s="37"/>
    </row>
    <row r="43" spans="1:55" s="21" customFormat="1" ht="12.75" x14ac:dyDescent="0.2">
      <c r="A43" s="29" t="s">
        <v>67</v>
      </c>
      <c r="B43" s="27">
        <v>1359005</v>
      </c>
      <c r="C43" s="27">
        <v>1369779</v>
      </c>
      <c r="D43" s="27">
        <v>1415465</v>
      </c>
      <c r="E43" s="27">
        <v>1399562</v>
      </c>
      <c r="F43" s="27">
        <v>1416207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7">
        <v>1185434</v>
      </c>
      <c r="M43" s="27">
        <v>1201193</v>
      </c>
      <c r="N43" s="27">
        <v>1230933</v>
      </c>
      <c r="O43" s="27">
        <v>1225291</v>
      </c>
      <c r="P43" s="27">
        <v>1246571</v>
      </c>
      <c r="Q43" s="22">
        <v>0.87228082310219612</v>
      </c>
      <c r="R43" s="22">
        <v>0.8769246717901209</v>
      </c>
      <c r="S43" s="22">
        <v>0.86963153451339315</v>
      </c>
      <c r="T43" s="22">
        <v>0.87548175786424609</v>
      </c>
      <c r="U43" s="22">
        <v>0.88021807546495678</v>
      </c>
      <c r="W43" s="27">
        <v>1223031</v>
      </c>
      <c r="X43" s="27">
        <v>1257194</v>
      </c>
      <c r="Y43" s="27">
        <v>1296547</v>
      </c>
      <c r="Z43" s="27">
        <v>1345526</v>
      </c>
      <c r="AA43" s="27">
        <v>1399562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7">
        <v>936380</v>
      </c>
      <c r="AH43" s="27">
        <v>1004127</v>
      </c>
      <c r="AI43" s="27">
        <v>1079619</v>
      </c>
      <c r="AJ43" s="27">
        <v>1165927</v>
      </c>
      <c r="AK43" s="27">
        <v>1225291</v>
      </c>
      <c r="AL43" s="22">
        <v>0.76562245764825254</v>
      </c>
      <c r="AM43" s="22">
        <v>0.7987048935963742</v>
      </c>
      <c r="AN43" s="22">
        <v>0.83268790101708612</v>
      </c>
      <c r="AO43" s="22">
        <v>0.86652134555556715</v>
      </c>
      <c r="AP43" s="22">
        <v>0.87548175786424609</v>
      </c>
      <c r="AQ43" s="37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</row>
    <row r="44" spans="1:55" s="19" customFormat="1" ht="12.75" x14ac:dyDescent="0.2">
      <c r="A44" s="18"/>
      <c r="AQ44" s="37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</row>
    <row r="45" spans="1:55" s="25" customFormat="1" ht="12.75" x14ac:dyDescent="0.2">
      <c r="A45" s="28" t="s">
        <v>68</v>
      </c>
      <c r="B45" s="25" t="s">
        <v>10</v>
      </c>
      <c r="C45" s="25" t="s">
        <v>11</v>
      </c>
      <c r="D45" s="25" t="s">
        <v>12</v>
      </c>
      <c r="E45" s="25" t="s">
        <v>164</v>
      </c>
      <c r="F45" s="25" t="s">
        <v>195</v>
      </c>
      <c r="G45" s="25" t="s">
        <v>10</v>
      </c>
      <c r="H45" s="25" t="s">
        <v>11</v>
      </c>
      <c r="I45" s="25" t="s">
        <v>12</v>
      </c>
      <c r="J45" s="25" t="s">
        <v>164</v>
      </c>
      <c r="K45" s="25" t="s">
        <v>195</v>
      </c>
      <c r="L45" s="25" t="s">
        <v>10</v>
      </c>
      <c r="M45" s="25" t="s">
        <v>11</v>
      </c>
      <c r="N45" s="25" t="s">
        <v>12</v>
      </c>
      <c r="O45" s="25" t="s">
        <v>164</v>
      </c>
      <c r="P45" s="25" t="s">
        <v>195</v>
      </c>
      <c r="Q45" s="25" t="s">
        <v>10</v>
      </c>
      <c r="R45" s="25" t="s">
        <v>11</v>
      </c>
      <c r="S45" s="25" t="s">
        <v>12</v>
      </c>
      <c r="T45" s="25" t="s">
        <v>164</v>
      </c>
      <c r="U45" s="25" t="s">
        <v>195</v>
      </c>
      <c r="W45" s="25" t="s">
        <v>13</v>
      </c>
      <c r="X45" s="25" t="s">
        <v>14</v>
      </c>
      <c r="Y45" s="25" t="s">
        <v>15</v>
      </c>
      <c r="Z45" s="25" t="s">
        <v>16</v>
      </c>
      <c r="AA45" s="25" t="s">
        <v>165</v>
      </c>
      <c r="AB45" s="25" t="s">
        <v>13</v>
      </c>
      <c r="AC45" s="25" t="s">
        <v>14</v>
      </c>
      <c r="AD45" s="25" t="s">
        <v>15</v>
      </c>
      <c r="AE45" s="25" t="s">
        <v>16</v>
      </c>
      <c r="AF45" s="25" t="s">
        <v>165</v>
      </c>
      <c r="AG45" s="25" t="s">
        <v>13</v>
      </c>
      <c r="AH45" s="25" t="s">
        <v>14</v>
      </c>
      <c r="AI45" s="25" t="s">
        <v>15</v>
      </c>
      <c r="AJ45" s="25" t="s">
        <v>16</v>
      </c>
      <c r="AK45" s="25" t="s">
        <v>165</v>
      </c>
      <c r="AL45" s="25" t="s">
        <v>13</v>
      </c>
      <c r="AM45" s="25" t="s">
        <v>14</v>
      </c>
      <c r="AN45" s="25" t="s">
        <v>15</v>
      </c>
      <c r="AO45" s="25" t="s">
        <v>16</v>
      </c>
      <c r="AP45" s="25" t="s">
        <v>165</v>
      </c>
      <c r="AQ45" s="37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</row>
    <row r="46" spans="1:55" s="19" customFormat="1" ht="12.75" x14ac:dyDescent="0.2">
      <c r="A46" s="18" t="s">
        <v>19</v>
      </c>
      <c r="B46" s="19">
        <v>78431</v>
      </c>
      <c r="C46" s="19">
        <v>78873</v>
      </c>
      <c r="D46" s="19">
        <v>79879</v>
      </c>
      <c r="E46" s="19">
        <v>79873</v>
      </c>
      <c r="F46" s="19">
        <v>79920</v>
      </c>
      <c r="G46" s="20">
        <v>0.41138520123156974</v>
      </c>
      <c r="H46" s="20">
        <v>0.41138180850897371</v>
      </c>
      <c r="I46" s="20">
        <v>0.4076083073939889</v>
      </c>
      <c r="J46" s="20">
        <v>0.40751530612244896</v>
      </c>
      <c r="K46" s="20">
        <v>0.40922706674518039</v>
      </c>
      <c r="L46" s="19">
        <v>65392</v>
      </c>
      <c r="M46" s="19">
        <v>66087</v>
      </c>
      <c r="N46" s="19">
        <v>66948</v>
      </c>
      <c r="O46" s="19">
        <v>67784</v>
      </c>
      <c r="P46" s="19">
        <v>68828</v>
      </c>
      <c r="Q46" s="20">
        <v>0.83375196032181154</v>
      </c>
      <c r="R46" s="20">
        <v>0.83789129359856984</v>
      </c>
      <c r="S46" s="20">
        <v>0.838117652950087</v>
      </c>
      <c r="T46" s="20">
        <v>0.84864722747361432</v>
      </c>
      <c r="U46" s="20">
        <v>0.86121121121121125</v>
      </c>
      <c r="W46" s="19">
        <v>0</v>
      </c>
      <c r="X46" s="19">
        <v>74648</v>
      </c>
      <c r="Y46" s="19">
        <v>77559</v>
      </c>
      <c r="Z46" s="19">
        <v>78024</v>
      </c>
      <c r="AA46" s="19">
        <v>79873</v>
      </c>
      <c r="AB46" s="20">
        <v>0</v>
      </c>
      <c r="AC46" s="20">
        <v>0.41759717156347198</v>
      </c>
      <c r="AD46" s="20">
        <v>0.41570769304983091</v>
      </c>
      <c r="AE46" s="20">
        <v>0.41147124278828406</v>
      </c>
      <c r="AF46" s="20">
        <v>0.40751530612244896</v>
      </c>
      <c r="AG46" s="19">
        <v>0</v>
      </c>
      <c r="AH46" s="19">
        <v>54459</v>
      </c>
      <c r="AI46" s="19">
        <v>58913</v>
      </c>
      <c r="AJ46" s="19">
        <v>64434</v>
      </c>
      <c r="AK46" s="19">
        <v>67784</v>
      </c>
      <c r="AL46" s="20">
        <v>0</v>
      </c>
      <c r="AM46" s="20">
        <v>0.72954399314114238</v>
      </c>
      <c r="AN46" s="20">
        <v>0.75958947381993058</v>
      </c>
      <c r="AO46" s="20">
        <v>0.82582282374653948</v>
      </c>
      <c r="AP46" s="20">
        <v>0.84864722747361432</v>
      </c>
      <c r="AQ46" s="37"/>
    </row>
    <row r="47" spans="1:55" s="19" customFormat="1" ht="12.75" x14ac:dyDescent="0.2">
      <c r="A47" s="18" t="s">
        <v>38</v>
      </c>
      <c r="B47" s="19">
        <v>8747</v>
      </c>
      <c r="C47" s="19">
        <v>8764</v>
      </c>
      <c r="D47" s="19">
        <v>9341</v>
      </c>
      <c r="E47" s="19">
        <v>9038</v>
      </c>
      <c r="F47" s="19">
        <v>8304</v>
      </c>
      <c r="G47" s="20">
        <v>4.5879643956758684E-2</v>
      </c>
      <c r="H47" s="20">
        <v>4.5710828417489448E-2</v>
      </c>
      <c r="I47" s="20">
        <v>4.7665458998826349E-2</v>
      </c>
      <c r="J47" s="20">
        <v>4.6112244897959183E-2</v>
      </c>
      <c r="K47" s="20">
        <v>4.2520289817967689E-2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W47" s="19">
        <v>0</v>
      </c>
      <c r="X47" s="19">
        <v>5599</v>
      </c>
      <c r="Y47" s="19">
        <v>8139</v>
      </c>
      <c r="Z47" s="19">
        <v>8476</v>
      </c>
      <c r="AA47" s="19">
        <v>9038</v>
      </c>
      <c r="AB47" s="20">
        <v>0</v>
      </c>
      <c r="AC47" s="20">
        <v>3.1322025554386984E-2</v>
      </c>
      <c r="AD47" s="20">
        <v>4.3624143087618118E-2</v>
      </c>
      <c r="AE47" s="20">
        <v>4.469945470462288E-2</v>
      </c>
      <c r="AF47" s="20">
        <v>4.6112244897959183E-2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37"/>
    </row>
    <row r="48" spans="1:55" s="19" customFormat="1" ht="12.75" x14ac:dyDescent="0.2">
      <c r="A48" s="18" t="s">
        <v>43</v>
      </c>
      <c r="B48" s="19">
        <v>102969</v>
      </c>
      <c r="C48" s="19">
        <v>102987</v>
      </c>
      <c r="D48" s="19">
        <v>104970</v>
      </c>
      <c r="E48" s="19">
        <v>104800</v>
      </c>
      <c r="F48" s="19">
        <v>104149</v>
      </c>
      <c r="G48" s="20">
        <v>0.54009158095158172</v>
      </c>
      <c r="H48" s="20">
        <v>0.53715439140027221</v>
      </c>
      <c r="I48" s="20">
        <v>0.53564321069551457</v>
      </c>
      <c r="J48" s="20">
        <v>0.53469387755102038</v>
      </c>
      <c r="K48" s="20">
        <v>0.53329066284339077</v>
      </c>
      <c r="L48" s="19">
        <v>78745</v>
      </c>
      <c r="M48" s="19">
        <v>79239</v>
      </c>
      <c r="N48" s="19">
        <v>79346</v>
      </c>
      <c r="O48" s="19">
        <v>79879</v>
      </c>
      <c r="P48" s="19">
        <v>80103</v>
      </c>
      <c r="Q48" s="20">
        <v>0.76474472899610557</v>
      </c>
      <c r="R48" s="20">
        <v>0.76940778933263421</v>
      </c>
      <c r="S48" s="20">
        <v>0.75589215966466605</v>
      </c>
      <c r="T48" s="20">
        <v>0.76220419847328247</v>
      </c>
      <c r="U48" s="20">
        <v>0.76911924262354892</v>
      </c>
      <c r="W48" s="19">
        <v>0</v>
      </c>
      <c r="X48" s="19">
        <v>98509</v>
      </c>
      <c r="Y48" s="19">
        <v>100873</v>
      </c>
      <c r="Z48" s="19">
        <v>103122</v>
      </c>
      <c r="AA48" s="19">
        <v>104800</v>
      </c>
      <c r="AB48" s="20">
        <v>0</v>
      </c>
      <c r="AC48" s="20">
        <v>0.55108080288214101</v>
      </c>
      <c r="AD48" s="20">
        <v>0.54066816386255101</v>
      </c>
      <c r="AE48" s="20">
        <v>0.54382930250709305</v>
      </c>
      <c r="AF48" s="20">
        <v>0.53469387755102038</v>
      </c>
      <c r="AG48" s="19">
        <v>0</v>
      </c>
      <c r="AH48" s="19">
        <v>67587</v>
      </c>
      <c r="AI48" s="19">
        <v>72109</v>
      </c>
      <c r="AJ48" s="19">
        <v>78310</v>
      </c>
      <c r="AK48" s="19">
        <v>79879</v>
      </c>
      <c r="AL48" s="20">
        <v>0</v>
      </c>
      <c r="AM48" s="20">
        <v>0.68609974723121747</v>
      </c>
      <c r="AN48" s="20">
        <v>0.71484936504317309</v>
      </c>
      <c r="AO48" s="20">
        <v>0.75939178836717669</v>
      </c>
      <c r="AP48" s="20">
        <v>0.76220419847328247</v>
      </c>
      <c r="AQ48" s="37"/>
    </row>
    <row r="49" spans="1:55" s="19" customFormat="1" ht="12.75" x14ac:dyDescent="0.2">
      <c r="A49" s="18" t="s">
        <v>52</v>
      </c>
      <c r="B49" s="19">
        <v>414</v>
      </c>
      <c r="C49" s="19">
        <v>1013</v>
      </c>
      <c r="D49" s="19">
        <v>1686</v>
      </c>
      <c r="E49" s="19">
        <v>2199</v>
      </c>
      <c r="F49" s="19">
        <v>2918</v>
      </c>
      <c r="G49" s="20">
        <v>2.1715070993595627E-3</v>
      </c>
      <c r="H49" s="20">
        <v>5.2835542203236892E-3</v>
      </c>
      <c r="I49" s="20">
        <v>8.6033576567842024E-3</v>
      </c>
      <c r="J49" s="20">
        <v>1.1219387755102041E-2</v>
      </c>
      <c r="K49" s="20">
        <v>1.4941498758288744E-2</v>
      </c>
      <c r="L49" s="19">
        <v>414</v>
      </c>
      <c r="M49" s="19">
        <v>1013</v>
      </c>
      <c r="N49" s="19">
        <v>1686</v>
      </c>
      <c r="O49" s="19">
        <v>2199</v>
      </c>
      <c r="P49" s="19">
        <v>2917</v>
      </c>
      <c r="Q49" s="20">
        <v>1</v>
      </c>
      <c r="R49" s="20">
        <v>1</v>
      </c>
      <c r="S49" s="20">
        <v>1</v>
      </c>
      <c r="T49" s="20">
        <v>1</v>
      </c>
      <c r="U49" s="20">
        <v>0.99965729952021931</v>
      </c>
      <c r="W49" s="19">
        <v>0</v>
      </c>
      <c r="X49" s="19">
        <v>0</v>
      </c>
      <c r="Y49" s="19">
        <v>0</v>
      </c>
      <c r="Z49" s="19">
        <v>0</v>
      </c>
      <c r="AA49" s="19">
        <v>2199</v>
      </c>
      <c r="AB49" s="20">
        <v>0</v>
      </c>
      <c r="AC49" s="20">
        <v>0</v>
      </c>
      <c r="AD49" s="20">
        <v>0</v>
      </c>
      <c r="AE49" s="20">
        <v>0</v>
      </c>
      <c r="AF49" s="20">
        <v>1.1219387755102041E-2</v>
      </c>
      <c r="AG49" s="19">
        <v>0</v>
      </c>
      <c r="AH49" s="19">
        <v>0</v>
      </c>
      <c r="AI49" s="19">
        <v>0</v>
      </c>
      <c r="AJ49" s="19">
        <v>0</v>
      </c>
      <c r="AK49" s="19">
        <v>2199</v>
      </c>
      <c r="AL49" s="20">
        <v>0</v>
      </c>
      <c r="AM49" s="20">
        <v>0</v>
      </c>
      <c r="AN49" s="20">
        <v>0</v>
      </c>
      <c r="AO49" s="20">
        <v>0</v>
      </c>
      <c r="AP49" s="20">
        <v>1</v>
      </c>
      <c r="AQ49" s="37"/>
    </row>
    <row r="50" spans="1:55" s="19" customFormat="1" ht="12.75" x14ac:dyDescent="0.2">
      <c r="A50" s="18" t="s">
        <v>54</v>
      </c>
      <c r="B50" s="19">
        <v>90</v>
      </c>
      <c r="C50" s="19">
        <v>90</v>
      </c>
      <c r="D50" s="19">
        <v>94</v>
      </c>
      <c r="E50" s="19">
        <v>90</v>
      </c>
      <c r="F50" s="19">
        <v>4</v>
      </c>
      <c r="G50" s="20">
        <v>4.7206676073033971E-4</v>
      </c>
      <c r="H50" s="20">
        <v>4.6941745294090036E-4</v>
      </c>
      <c r="I50" s="20">
        <v>4.7966525488595191E-4</v>
      </c>
      <c r="J50" s="20">
        <v>4.5918367346938773E-4</v>
      </c>
      <c r="K50" s="20">
        <v>2.0481835172431449E-5</v>
      </c>
      <c r="L50" s="19">
        <v>90</v>
      </c>
      <c r="M50" s="19">
        <v>90</v>
      </c>
      <c r="N50" s="19">
        <v>89</v>
      </c>
      <c r="O50" s="19">
        <v>89</v>
      </c>
      <c r="P50" s="19">
        <v>0</v>
      </c>
      <c r="Q50" s="20">
        <v>1</v>
      </c>
      <c r="R50" s="20">
        <v>1</v>
      </c>
      <c r="S50" s="20">
        <v>0.94680851063829785</v>
      </c>
      <c r="T50" s="20">
        <v>0.98888888888888893</v>
      </c>
      <c r="U50" s="20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90</v>
      </c>
      <c r="AB50" s="20">
        <v>0</v>
      </c>
      <c r="AC50" s="20">
        <v>0</v>
      </c>
      <c r="AD50" s="20">
        <v>0</v>
      </c>
      <c r="AE50" s="20">
        <v>0</v>
      </c>
      <c r="AF50" s="20">
        <v>4.5918367346938773E-4</v>
      </c>
      <c r="AG50" s="19">
        <v>0</v>
      </c>
      <c r="AH50" s="19">
        <v>0</v>
      </c>
      <c r="AI50" s="19">
        <v>0</v>
      </c>
      <c r="AJ50" s="19">
        <v>0</v>
      </c>
      <c r="AK50" s="19">
        <v>89</v>
      </c>
      <c r="AL50" s="20">
        <v>0</v>
      </c>
      <c r="AM50" s="20">
        <v>0</v>
      </c>
      <c r="AN50" s="20">
        <v>0</v>
      </c>
      <c r="AO50" s="20">
        <v>0</v>
      </c>
      <c r="AP50" s="20">
        <v>0.98888888888888893</v>
      </c>
      <c r="AQ50" s="37"/>
    </row>
    <row r="51" spans="1:55" s="21" customFormat="1" ht="12.75" x14ac:dyDescent="0.2">
      <c r="A51" s="29" t="s">
        <v>69</v>
      </c>
      <c r="B51" s="27">
        <v>190651</v>
      </c>
      <c r="C51" s="27">
        <v>191727</v>
      </c>
      <c r="D51" s="27">
        <v>195970</v>
      </c>
      <c r="E51" s="27">
        <v>196000</v>
      </c>
      <c r="F51" s="27">
        <v>195295</v>
      </c>
      <c r="G51" s="22">
        <v>1</v>
      </c>
      <c r="H51" s="22">
        <v>1</v>
      </c>
      <c r="I51" s="22">
        <v>1</v>
      </c>
      <c r="J51" s="22">
        <v>1</v>
      </c>
      <c r="K51" s="22">
        <v>1</v>
      </c>
      <c r="L51" s="27">
        <v>144641</v>
      </c>
      <c r="M51" s="27">
        <v>146429</v>
      </c>
      <c r="N51" s="27">
        <v>148069</v>
      </c>
      <c r="O51" s="27">
        <v>149951</v>
      </c>
      <c r="P51" s="27">
        <v>151848</v>
      </c>
      <c r="Q51" s="22">
        <v>0.75866898154218965</v>
      </c>
      <c r="R51" s="22">
        <v>0.76373698018536773</v>
      </c>
      <c r="S51" s="22">
        <v>0.75556973006072359</v>
      </c>
      <c r="T51" s="22">
        <v>0.76505612244897958</v>
      </c>
      <c r="U51" s="22">
        <v>0.77753142681584275</v>
      </c>
      <c r="W51" s="27">
        <v>0</v>
      </c>
      <c r="X51" s="27">
        <v>178756</v>
      </c>
      <c r="Y51" s="27">
        <v>186571</v>
      </c>
      <c r="Z51" s="27">
        <v>189622</v>
      </c>
      <c r="AA51" s="27">
        <v>196000</v>
      </c>
      <c r="AB51" s="22">
        <v>0</v>
      </c>
      <c r="AC51" s="22">
        <v>1</v>
      </c>
      <c r="AD51" s="22">
        <v>1</v>
      </c>
      <c r="AE51" s="22">
        <v>1</v>
      </c>
      <c r="AF51" s="22">
        <v>1</v>
      </c>
      <c r="AG51" s="27">
        <v>0</v>
      </c>
      <c r="AH51" s="27">
        <v>122046</v>
      </c>
      <c r="AI51" s="27">
        <v>131022</v>
      </c>
      <c r="AJ51" s="27">
        <v>142744</v>
      </c>
      <c r="AK51" s="27">
        <v>149951</v>
      </c>
      <c r="AL51" s="22">
        <v>0</v>
      </c>
      <c r="AM51" s="22">
        <v>0.68275190762827542</v>
      </c>
      <c r="AN51" s="22">
        <v>0.70226348146282114</v>
      </c>
      <c r="AO51" s="22">
        <v>0.75278185020725441</v>
      </c>
      <c r="AP51" s="22">
        <v>0.76505612244897958</v>
      </c>
      <c r="AQ51" s="37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</row>
    <row r="52" spans="1:55" s="19" customFormat="1" ht="12.75" x14ac:dyDescent="0.2">
      <c r="A52" s="18"/>
      <c r="AQ52" s="37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</row>
    <row r="53" spans="1:55" s="25" customFormat="1" ht="12.75" x14ac:dyDescent="0.2">
      <c r="A53" s="28" t="s">
        <v>70</v>
      </c>
      <c r="B53" s="25" t="s">
        <v>10</v>
      </c>
      <c r="C53" s="25" t="s">
        <v>11</v>
      </c>
      <c r="D53" s="25" t="s">
        <v>12</v>
      </c>
      <c r="E53" s="25" t="s">
        <v>164</v>
      </c>
      <c r="F53" s="25" t="s">
        <v>195</v>
      </c>
      <c r="G53" s="25" t="s">
        <v>10</v>
      </c>
      <c r="H53" s="25" t="s">
        <v>11</v>
      </c>
      <c r="I53" s="25" t="s">
        <v>12</v>
      </c>
      <c r="J53" s="25" t="s">
        <v>164</v>
      </c>
      <c r="K53" s="25" t="s">
        <v>195</v>
      </c>
      <c r="L53" s="25" t="s">
        <v>10</v>
      </c>
      <c r="M53" s="25" t="s">
        <v>11</v>
      </c>
      <c r="N53" s="25" t="s">
        <v>12</v>
      </c>
      <c r="O53" s="25" t="s">
        <v>164</v>
      </c>
      <c r="P53" s="25" t="s">
        <v>195</v>
      </c>
      <c r="Q53" s="25" t="s">
        <v>10</v>
      </c>
      <c r="R53" s="25" t="s">
        <v>11</v>
      </c>
      <c r="S53" s="25" t="s">
        <v>12</v>
      </c>
      <c r="T53" s="25" t="s">
        <v>164</v>
      </c>
      <c r="U53" s="25" t="s">
        <v>195</v>
      </c>
      <c r="W53" s="25" t="s">
        <v>13</v>
      </c>
      <c r="X53" s="25" t="s">
        <v>14</v>
      </c>
      <c r="Y53" s="25" t="s">
        <v>15</v>
      </c>
      <c r="Z53" s="25" t="s">
        <v>16</v>
      </c>
      <c r="AA53" s="25" t="s">
        <v>165</v>
      </c>
      <c r="AB53" s="25" t="s">
        <v>13</v>
      </c>
      <c r="AC53" s="25" t="s">
        <v>14</v>
      </c>
      <c r="AD53" s="25" t="s">
        <v>15</v>
      </c>
      <c r="AE53" s="25" t="s">
        <v>16</v>
      </c>
      <c r="AF53" s="25" t="s">
        <v>165</v>
      </c>
      <c r="AG53" s="25" t="s">
        <v>13</v>
      </c>
      <c r="AH53" s="25" t="s">
        <v>14</v>
      </c>
      <c r="AI53" s="25" t="s">
        <v>15</v>
      </c>
      <c r="AJ53" s="25" t="s">
        <v>16</v>
      </c>
      <c r="AK53" s="25" t="s">
        <v>165</v>
      </c>
      <c r="AL53" s="25" t="s">
        <v>13</v>
      </c>
      <c r="AM53" s="25" t="s">
        <v>14</v>
      </c>
      <c r="AN53" s="25" t="s">
        <v>15</v>
      </c>
      <c r="AO53" s="25" t="s">
        <v>16</v>
      </c>
      <c r="AP53" s="25" t="s">
        <v>165</v>
      </c>
      <c r="AQ53" s="37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</row>
    <row r="54" spans="1:55" s="19" customFormat="1" ht="12.75" x14ac:dyDescent="0.2">
      <c r="A54" s="18" t="s">
        <v>19</v>
      </c>
      <c r="B54" s="19">
        <v>126138</v>
      </c>
      <c r="C54" s="19">
        <v>125822</v>
      </c>
      <c r="D54" s="19">
        <v>126562</v>
      </c>
      <c r="E54" s="19">
        <v>125739</v>
      </c>
      <c r="F54" s="19">
        <v>124923</v>
      </c>
      <c r="G54" s="20">
        <v>0.29540376860061546</v>
      </c>
      <c r="H54" s="20">
        <v>0.29346581301239666</v>
      </c>
      <c r="I54" s="20">
        <v>0.2911887796539197</v>
      </c>
      <c r="J54" s="20">
        <v>0.28979064107528069</v>
      </c>
      <c r="K54" s="20">
        <v>0.28682259534693633</v>
      </c>
      <c r="L54" s="19">
        <v>117425</v>
      </c>
      <c r="M54" s="19">
        <v>116767</v>
      </c>
      <c r="N54" s="19">
        <v>117071</v>
      </c>
      <c r="O54" s="19">
        <v>116877</v>
      </c>
      <c r="P54" s="19">
        <v>116770</v>
      </c>
      <c r="Q54" s="20">
        <v>0.93092486007388731</v>
      </c>
      <c r="R54" s="20">
        <v>0.92803325332612741</v>
      </c>
      <c r="S54" s="20">
        <v>0.92500908645565016</v>
      </c>
      <c r="T54" s="20">
        <v>0.9295206737766325</v>
      </c>
      <c r="U54" s="20">
        <v>0.93473579725110667</v>
      </c>
      <c r="W54" s="19">
        <v>127552</v>
      </c>
      <c r="X54" s="19">
        <v>128859</v>
      </c>
      <c r="Y54" s="19">
        <v>128326</v>
      </c>
      <c r="Z54" s="19">
        <v>126745</v>
      </c>
      <c r="AA54" s="19">
        <v>125739</v>
      </c>
      <c r="AB54" s="20">
        <v>0.31285979538726066</v>
      </c>
      <c r="AC54" s="20">
        <v>0.31188417162233789</v>
      </c>
      <c r="AD54" s="20">
        <v>0.30681062884631016</v>
      </c>
      <c r="AE54" s="20">
        <v>0.29803839497347528</v>
      </c>
      <c r="AF54" s="20">
        <v>0.28979064107528069</v>
      </c>
      <c r="AG54" s="19">
        <v>119725</v>
      </c>
      <c r="AH54" s="19">
        <v>120052</v>
      </c>
      <c r="AI54" s="19">
        <v>119464</v>
      </c>
      <c r="AJ54" s="19">
        <v>118066</v>
      </c>
      <c r="AK54" s="19">
        <v>116877</v>
      </c>
      <c r="AL54" s="20">
        <v>0.9386367912694431</v>
      </c>
      <c r="AM54" s="20">
        <v>0.93165397837946906</v>
      </c>
      <c r="AN54" s="20">
        <v>0.93094150834593148</v>
      </c>
      <c r="AO54" s="20">
        <v>0.93152392599313583</v>
      </c>
      <c r="AP54" s="20">
        <v>0.9295206737766325</v>
      </c>
      <c r="AQ54" s="37"/>
    </row>
    <row r="55" spans="1:55" s="19" customFormat="1" ht="12.75" x14ac:dyDescent="0.2">
      <c r="A55" s="18" t="s">
        <v>20</v>
      </c>
      <c r="B55" s="19">
        <v>23541</v>
      </c>
      <c r="C55" s="19">
        <v>23772</v>
      </c>
      <c r="D55" s="19">
        <v>23456</v>
      </c>
      <c r="E55" s="19">
        <v>23649</v>
      </c>
      <c r="F55" s="19">
        <v>24902</v>
      </c>
      <c r="G55" s="20">
        <v>5.5130889316677673E-2</v>
      </c>
      <c r="H55" s="20">
        <v>5.5445544554455446E-2</v>
      </c>
      <c r="I55" s="20">
        <v>5.3966625176295732E-2</v>
      </c>
      <c r="J55" s="20">
        <v>5.4503844239172518E-2</v>
      </c>
      <c r="K55" s="20">
        <v>5.7174869874477952E-2</v>
      </c>
      <c r="L55" s="19">
        <v>22970</v>
      </c>
      <c r="M55" s="19">
        <v>23112</v>
      </c>
      <c r="N55" s="19">
        <v>22467</v>
      </c>
      <c r="O55" s="19">
        <v>22875</v>
      </c>
      <c r="P55" s="19">
        <v>23980</v>
      </c>
      <c r="Q55" s="20">
        <v>0.97574444586041376</v>
      </c>
      <c r="R55" s="20">
        <v>0.97223624432104994</v>
      </c>
      <c r="S55" s="20">
        <v>0.95783594815825379</v>
      </c>
      <c r="T55" s="20">
        <v>0.96727134339718379</v>
      </c>
      <c r="U55" s="20">
        <v>0.96297486145691114</v>
      </c>
      <c r="W55" s="19">
        <v>14627</v>
      </c>
      <c r="X55" s="19">
        <v>17287</v>
      </c>
      <c r="Y55" s="19">
        <v>17061</v>
      </c>
      <c r="Z55" s="19">
        <v>23159</v>
      </c>
      <c r="AA55" s="19">
        <v>23649</v>
      </c>
      <c r="AB55" s="20">
        <v>3.5877134244303978E-2</v>
      </c>
      <c r="AC55" s="20">
        <v>4.1840629485215275E-2</v>
      </c>
      <c r="AD55" s="20">
        <v>4.0790612492767622E-2</v>
      </c>
      <c r="AE55" s="20">
        <v>5.4457936716956999E-2</v>
      </c>
      <c r="AF55" s="20">
        <v>5.4503844239172518E-2</v>
      </c>
      <c r="AG55" s="19">
        <v>14058</v>
      </c>
      <c r="AH55" s="19">
        <v>16521</v>
      </c>
      <c r="AI55" s="19">
        <v>16886</v>
      </c>
      <c r="AJ55" s="19">
        <v>22500</v>
      </c>
      <c r="AK55" s="19">
        <v>22875</v>
      </c>
      <c r="AL55" s="20">
        <v>0.96109933684282489</v>
      </c>
      <c r="AM55" s="20">
        <v>0.95568924625441087</v>
      </c>
      <c r="AN55" s="20">
        <v>0.98974268800187559</v>
      </c>
      <c r="AO55" s="20">
        <v>0.9715445399196857</v>
      </c>
      <c r="AP55" s="20">
        <v>0.96727134339718379</v>
      </c>
      <c r="AQ55" s="37"/>
    </row>
    <row r="56" spans="1:55" s="19" customFormat="1" ht="12.75" x14ac:dyDescent="0.2">
      <c r="A56" s="18" t="s">
        <v>30</v>
      </c>
      <c r="B56" s="19">
        <v>48546</v>
      </c>
      <c r="C56" s="19">
        <v>47461</v>
      </c>
      <c r="D56" s="19">
        <v>48528</v>
      </c>
      <c r="E56" s="19">
        <v>45460</v>
      </c>
      <c r="F56" s="19">
        <v>43899</v>
      </c>
      <c r="G56" s="20">
        <v>0.11369033400311943</v>
      </c>
      <c r="H56" s="20">
        <v>0.1106975008454909</v>
      </c>
      <c r="I56" s="20">
        <v>0.11165127841726122</v>
      </c>
      <c r="J56" s="20">
        <v>0.10477165034939248</v>
      </c>
      <c r="K56" s="20">
        <v>0.10079188870852572</v>
      </c>
      <c r="L56" s="19">
        <v>47839</v>
      </c>
      <c r="M56" s="19">
        <v>46736</v>
      </c>
      <c r="N56" s="19">
        <v>47737</v>
      </c>
      <c r="O56" s="19">
        <v>44728</v>
      </c>
      <c r="P56" s="19">
        <v>43098</v>
      </c>
      <c r="Q56" s="20">
        <v>0.98543649322292259</v>
      </c>
      <c r="R56" s="20">
        <v>0.98472429995153921</v>
      </c>
      <c r="S56" s="20">
        <v>0.98370013188262451</v>
      </c>
      <c r="T56" s="20">
        <v>0.98389793224813027</v>
      </c>
      <c r="U56" s="20">
        <v>0.98175357069637126</v>
      </c>
      <c r="W56" s="19">
        <v>53583</v>
      </c>
      <c r="X56" s="19">
        <v>54894</v>
      </c>
      <c r="Y56" s="19">
        <v>54980</v>
      </c>
      <c r="Z56" s="19">
        <v>50408</v>
      </c>
      <c r="AA56" s="19">
        <v>45460</v>
      </c>
      <c r="AB56" s="20">
        <v>0.13142848733250428</v>
      </c>
      <c r="AC56" s="20">
        <v>0.13286281685436499</v>
      </c>
      <c r="AD56" s="20">
        <v>0.13144996628875</v>
      </c>
      <c r="AE56" s="20">
        <v>0.11853342864667595</v>
      </c>
      <c r="AF56" s="20">
        <v>0.10477165034939248</v>
      </c>
      <c r="AG56" s="19">
        <v>52769</v>
      </c>
      <c r="AH56" s="19">
        <v>54120</v>
      </c>
      <c r="AI56" s="19">
        <v>54188</v>
      </c>
      <c r="AJ56" s="19">
        <v>49713</v>
      </c>
      <c r="AK56" s="19">
        <v>44728</v>
      </c>
      <c r="AL56" s="20">
        <v>0.98480861467256409</v>
      </c>
      <c r="AM56" s="20">
        <v>0.98590009837140669</v>
      </c>
      <c r="AN56" s="20">
        <v>0.9855947617315387</v>
      </c>
      <c r="AO56" s="20">
        <v>0.98621250595143628</v>
      </c>
      <c r="AP56" s="20">
        <v>0.98389793224813027</v>
      </c>
      <c r="AQ56" s="37"/>
    </row>
    <row r="57" spans="1:55" s="19" customFormat="1" ht="12.75" x14ac:dyDescent="0.2">
      <c r="A57" s="18" t="s">
        <v>37</v>
      </c>
      <c r="B57" s="19">
        <v>2306</v>
      </c>
      <c r="C57" s="19">
        <v>4887</v>
      </c>
      <c r="D57" s="19">
        <v>6645</v>
      </c>
      <c r="E57" s="19">
        <v>8054</v>
      </c>
      <c r="F57" s="19">
        <v>9484</v>
      </c>
      <c r="G57" s="20">
        <v>5.4004430892595351E-3</v>
      </c>
      <c r="H57" s="20">
        <v>1.1398383654619879E-2</v>
      </c>
      <c r="I57" s="20">
        <v>1.5288549808001583E-2</v>
      </c>
      <c r="J57" s="20">
        <v>1.8562051735899848E-2</v>
      </c>
      <c r="K57" s="20">
        <v>2.1775217488135445E-2</v>
      </c>
      <c r="L57" s="19">
        <v>2306</v>
      </c>
      <c r="M57" s="19">
        <v>4887</v>
      </c>
      <c r="N57" s="19">
        <v>6645</v>
      </c>
      <c r="O57" s="19">
        <v>8054</v>
      </c>
      <c r="P57" s="19">
        <v>9484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W57" s="19">
        <v>0</v>
      </c>
      <c r="X57" s="19">
        <v>0</v>
      </c>
      <c r="Y57" s="19">
        <v>0</v>
      </c>
      <c r="Z57" s="19">
        <v>515</v>
      </c>
      <c r="AA57" s="19">
        <v>8054</v>
      </c>
      <c r="AB57" s="20">
        <v>0</v>
      </c>
      <c r="AC57" s="20">
        <v>0</v>
      </c>
      <c r="AD57" s="20">
        <v>0</v>
      </c>
      <c r="AE57" s="20">
        <v>1.2110124534406863E-3</v>
      </c>
      <c r="AF57" s="20">
        <v>1.8562051735899848E-2</v>
      </c>
      <c r="AG57" s="19">
        <v>0</v>
      </c>
      <c r="AH57" s="19">
        <v>0</v>
      </c>
      <c r="AI57" s="19">
        <v>0</v>
      </c>
      <c r="AJ57" s="19">
        <v>515</v>
      </c>
      <c r="AK57" s="19">
        <v>8054</v>
      </c>
      <c r="AL57" s="20">
        <v>0</v>
      </c>
      <c r="AM57" s="20">
        <v>0</v>
      </c>
      <c r="AN57" s="20">
        <v>0</v>
      </c>
      <c r="AO57" s="20">
        <v>1</v>
      </c>
      <c r="AP57" s="20">
        <v>1</v>
      </c>
      <c r="AQ57" s="37"/>
    </row>
    <row r="58" spans="1:55" s="19" customFormat="1" ht="12.75" x14ac:dyDescent="0.2">
      <c r="A58" s="18" t="s">
        <v>43</v>
      </c>
      <c r="B58" s="19">
        <v>183388</v>
      </c>
      <c r="C58" s="19">
        <v>182832</v>
      </c>
      <c r="D58" s="19">
        <v>184325</v>
      </c>
      <c r="E58" s="19">
        <v>183893</v>
      </c>
      <c r="F58" s="19">
        <v>184499</v>
      </c>
      <c r="G58" s="20">
        <v>0.4294780820698732</v>
      </c>
      <c r="H58" s="20">
        <v>0.42643529370604905</v>
      </c>
      <c r="I58" s="20">
        <v>0.42408757612639453</v>
      </c>
      <c r="J58" s="20">
        <v>0.4238181499714217</v>
      </c>
      <c r="K58" s="20">
        <v>0.42360879917160499</v>
      </c>
      <c r="L58" s="19">
        <v>147420</v>
      </c>
      <c r="M58" s="19">
        <v>147782</v>
      </c>
      <c r="N58" s="19">
        <v>148431</v>
      </c>
      <c r="O58" s="19">
        <v>149183</v>
      </c>
      <c r="P58" s="19">
        <v>150970</v>
      </c>
      <c r="Q58" s="20">
        <v>0.80386939167230131</v>
      </c>
      <c r="R58" s="20">
        <v>0.80829395291852635</v>
      </c>
      <c r="S58" s="20">
        <v>0.80526786925267868</v>
      </c>
      <c r="T58" s="20">
        <v>0.811248932803315</v>
      </c>
      <c r="U58" s="20">
        <v>0.81827001772367325</v>
      </c>
      <c r="W58" s="19">
        <v>178282</v>
      </c>
      <c r="X58" s="19">
        <v>177166</v>
      </c>
      <c r="Y58" s="19">
        <v>180724</v>
      </c>
      <c r="Z58" s="19">
        <v>182263</v>
      </c>
      <c r="AA58" s="19">
        <v>183893</v>
      </c>
      <c r="AB58" s="20">
        <v>0.4372904387326863</v>
      </c>
      <c r="AC58" s="20">
        <v>0.42880412815281138</v>
      </c>
      <c r="AD58" s="20">
        <v>0.43208737190920438</v>
      </c>
      <c r="AE58" s="20">
        <v>0.42858788893487337</v>
      </c>
      <c r="AF58" s="20">
        <v>0.4238181499714217</v>
      </c>
      <c r="AG58" s="19">
        <v>121953</v>
      </c>
      <c r="AH58" s="19">
        <v>127819</v>
      </c>
      <c r="AI58" s="19">
        <v>136473</v>
      </c>
      <c r="AJ58" s="19">
        <v>144849</v>
      </c>
      <c r="AK58" s="19">
        <v>149183</v>
      </c>
      <c r="AL58" s="20">
        <v>0.68404550094793637</v>
      </c>
      <c r="AM58" s="20">
        <v>0.7214646151067361</v>
      </c>
      <c r="AN58" s="20">
        <v>0.75514596843806026</v>
      </c>
      <c r="AO58" s="20">
        <v>0.79472520478648989</v>
      </c>
      <c r="AP58" s="20">
        <v>0.811248932803315</v>
      </c>
      <c r="AQ58" s="37"/>
    </row>
    <row r="59" spans="1:55" s="19" customFormat="1" ht="12.75" x14ac:dyDescent="0.2">
      <c r="A59" s="18" t="s">
        <v>52</v>
      </c>
      <c r="B59" s="19">
        <v>2220</v>
      </c>
      <c r="C59" s="19">
        <v>2316</v>
      </c>
      <c r="D59" s="19">
        <v>2336</v>
      </c>
      <c r="E59" s="19">
        <v>2285</v>
      </c>
      <c r="F59" s="19">
        <v>2408</v>
      </c>
      <c r="G59" s="20">
        <v>5.1990388803799517E-3</v>
      </c>
      <c r="H59" s="20">
        <v>5.4018122660322567E-3</v>
      </c>
      <c r="I59" s="20">
        <v>5.3745752221958914E-3</v>
      </c>
      <c r="J59" s="20">
        <v>5.2662389143942325E-3</v>
      </c>
      <c r="K59" s="20">
        <v>5.5287561905767767E-3</v>
      </c>
      <c r="L59" s="19">
        <v>2220</v>
      </c>
      <c r="M59" s="19">
        <v>2316</v>
      </c>
      <c r="N59" s="19">
        <v>2336</v>
      </c>
      <c r="O59" s="19">
        <v>2285</v>
      </c>
      <c r="P59" s="19">
        <v>2408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W59" s="19">
        <v>0</v>
      </c>
      <c r="X59" s="19">
        <v>0</v>
      </c>
      <c r="Y59" s="19">
        <v>0</v>
      </c>
      <c r="Z59" s="19">
        <v>1853</v>
      </c>
      <c r="AA59" s="19">
        <v>2285</v>
      </c>
      <c r="AB59" s="20">
        <v>0</v>
      </c>
      <c r="AC59" s="20">
        <v>0</v>
      </c>
      <c r="AD59" s="20">
        <v>0</v>
      </c>
      <c r="AE59" s="20">
        <v>4.357293351894353E-3</v>
      </c>
      <c r="AF59" s="20">
        <v>5.2662389143942325E-3</v>
      </c>
      <c r="AG59" s="19">
        <v>0</v>
      </c>
      <c r="AH59" s="19">
        <v>0</v>
      </c>
      <c r="AI59" s="19">
        <v>0</v>
      </c>
      <c r="AJ59" s="19">
        <v>1853</v>
      </c>
      <c r="AK59" s="19">
        <v>2285</v>
      </c>
      <c r="AL59" s="20">
        <v>0</v>
      </c>
      <c r="AM59" s="20">
        <v>0</v>
      </c>
      <c r="AN59" s="20">
        <v>0</v>
      </c>
      <c r="AO59" s="20">
        <v>1</v>
      </c>
      <c r="AP59" s="20">
        <v>1</v>
      </c>
      <c r="AQ59" s="37"/>
    </row>
    <row r="60" spans="1:55" s="19" customFormat="1" ht="12.75" x14ac:dyDescent="0.2">
      <c r="A60" s="18" t="s">
        <v>54</v>
      </c>
      <c r="B60" s="19">
        <v>666</v>
      </c>
      <c r="C60" s="19">
        <v>788</v>
      </c>
      <c r="D60" s="19">
        <v>957</v>
      </c>
      <c r="E60" s="19">
        <v>932</v>
      </c>
      <c r="F60" s="19">
        <v>14</v>
      </c>
      <c r="G60" s="20">
        <v>1.5597116641139855E-3</v>
      </c>
      <c r="H60" s="20">
        <v>1.8379223081318732E-3</v>
      </c>
      <c r="I60" s="20">
        <v>2.2018272635451488E-3</v>
      </c>
      <c r="J60" s="20">
        <v>2.1479801611446062E-3</v>
      </c>
      <c r="K60" s="20">
        <v>3.2143931340562655E-5</v>
      </c>
      <c r="L60" s="19">
        <v>666</v>
      </c>
      <c r="M60" s="19">
        <v>788</v>
      </c>
      <c r="N60" s="19">
        <v>923</v>
      </c>
      <c r="O60" s="19">
        <v>924</v>
      </c>
      <c r="P60" s="19">
        <v>6</v>
      </c>
      <c r="Q60" s="20">
        <v>1</v>
      </c>
      <c r="R60" s="20">
        <v>1</v>
      </c>
      <c r="S60" s="20">
        <v>0.96447230929989547</v>
      </c>
      <c r="T60" s="20">
        <v>0.99141630901287559</v>
      </c>
      <c r="U60" s="20">
        <v>0.42857142857142855</v>
      </c>
      <c r="W60" s="19">
        <v>0</v>
      </c>
      <c r="X60" s="19">
        <v>183</v>
      </c>
      <c r="Y60" s="19">
        <v>185</v>
      </c>
      <c r="Z60" s="19">
        <v>676</v>
      </c>
      <c r="AA60" s="19">
        <v>932</v>
      </c>
      <c r="AB60" s="20">
        <v>0</v>
      </c>
      <c r="AC60" s="20">
        <v>4.4292446322637797E-4</v>
      </c>
      <c r="AD60" s="20">
        <v>4.4231072687193071E-4</v>
      </c>
      <c r="AE60" s="20">
        <v>1.5896008126716581E-3</v>
      </c>
      <c r="AF60" s="20">
        <v>2.1479801611446062E-3</v>
      </c>
      <c r="AG60" s="19">
        <v>0</v>
      </c>
      <c r="AH60" s="19">
        <v>183</v>
      </c>
      <c r="AI60" s="19">
        <v>0</v>
      </c>
      <c r="AJ60" s="19">
        <v>676</v>
      </c>
      <c r="AK60" s="19">
        <v>924</v>
      </c>
      <c r="AL60" s="20">
        <v>0</v>
      </c>
      <c r="AM60" s="20">
        <v>1</v>
      </c>
      <c r="AN60" s="20">
        <v>0</v>
      </c>
      <c r="AO60" s="20">
        <v>1</v>
      </c>
      <c r="AP60" s="20">
        <v>0.99141630901287559</v>
      </c>
      <c r="AQ60" s="37"/>
    </row>
    <row r="61" spans="1:55" s="19" customFormat="1" ht="12.75" x14ac:dyDescent="0.2">
      <c r="A61" s="18" t="s">
        <v>55</v>
      </c>
      <c r="B61" s="19">
        <v>40197</v>
      </c>
      <c r="C61" s="19">
        <v>40867</v>
      </c>
      <c r="D61" s="19">
        <v>41830</v>
      </c>
      <c r="E61" s="19">
        <v>43884</v>
      </c>
      <c r="F61" s="19">
        <v>45412</v>
      </c>
      <c r="G61" s="20">
        <v>9.4137732375960764E-2</v>
      </c>
      <c r="H61" s="20">
        <v>9.5317729652823938E-2</v>
      </c>
      <c r="I61" s="20">
        <v>9.6240788332386182E-2</v>
      </c>
      <c r="J61" s="20">
        <v>0.10113944355329388</v>
      </c>
      <c r="K61" s="20">
        <v>0.10426572928840223</v>
      </c>
      <c r="L61" s="19">
        <v>39867</v>
      </c>
      <c r="M61" s="19">
        <v>40557</v>
      </c>
      <c r="N61" s="19">
        <v>41495</v>
      </c>
      <c r="O61" s="19">
        <v>43507</v>
      </c>
      <c r="P61" s="19">
        <v>45050</v>
      </c>
      <c r="Q61" s="20">
        <v>0.99179043212180018</v>
      </c>
      <c r="R61" s="20">
        <v>0.99241441750067294</v>
      </c>
      <c r="S61" s="20">
        <v>0.99199139373655276</v>
      </c>
      <c r="T61" s="20">
        <v>0.99140916962902192</v>
      </c>
      <c r="U61" s="20">
        <v>0.99202853871223462</v>
      </c>
      <c r="W61" s="19">
        <v>33653</v>
      </c>
      <c r="X61" s="19">
        <v>34774</v>
      </c>
      <c r="Y61" s="19">
        <v>36982</v>
      </c>
      <c r="Z61" s="19">
        <v>39645</v>
      </c>
      <c r="AA61" s="19">
        <v>43884</v>
      </c>
      <c r="AB61" s="20">
        <v>8.2544144303244818E-2</v>
      </c>
      <c r="AC61" s="20">
        <v>8.4165329422044091E-2</v>
      </c>
      <c r="AD61" s="20">
        <v>8.8419109736095902E-2</v>
      </c>
      <c r="AE61" s="20">
        <v>9.322444411001167E-2</v>
      </c>
      <c r="AF61" s="20">
        <v>0.10113944355329388</v>
      </c>
      <c r="AG61" s="19">
        <v>33141</v>
      </c>
      <c r="AH61" s="19">
        <v>34340</v>
      </c>
      <c r="AI61" s="19">
        <v>36545</v>
      </c>
      <c r="AJ61" s="19">
        <v>39285</v>
      </c>
      <c r="AK61" s="19">
        <v>43507</v>
      </c>
      <c r="AL61" s="20">
        <v>0.98478590318842307</v>
      </c>
      <c r="AM61" s="20">
        <v>0.98751941105423591</v>
      </c>
      <c r="AN61" s="20">
        <v>0.98818344059272079</v>
      </c>
      <c r="AO61" s="20">
        <v>0.99091940976163451</v>
      </c>
      <c r="AP61" s="20">
        <v>0.99140916962902192</v>
      </c>
      <c r="AQ61" s="37"/>
    </row>
    <row r="62" spans="1:55" s="21" customFormat="1" ht="12.75" x14ac:dyDescent="0.2">
      <c r="A62" s="29" t="s">
        <v>71</v>
      </c>
      <c r="B62" s="27">
        <v>427002</v>
      </c>
      <c r="C62" s="27">
        <v>428745</v>
      </c>
      <c r="D62" s="27">
        <v>434639</v>
      </c>
      <c r="E62" s="27">
        <v>433896</v>
      </c>
      <c r="F62" s="27">
        <v>435541</v>
      </c>
      <c r="G62" s="22">
        <v>1</v>
      </c>
      <c r="H62" s="22">
        <v>1</v>
      </c>
      <c r="I62" s="22">
        <v>1</v>
      </c>
      <c r="J62" s="22">
        <v>1</v>
      </c>
      <c r="K62" s="22">
        <v>1</v>
      </c>
      <c r="L62" s="27">
        <v>380713</v>
      </c>
      <c r="M62" s="27">
        <v>382945</v>
      </c>
      <c r="N62" s="27">
        <v>387105</v>
      </c>
      <c r="O62" s="27">
        <v>388433</v>
      </c>
      <c r="P62" s="27">
        <v>391766</v>
      </c>
      <c r="Q62" s="22">
        <v>0.89159535552526681</v>
      </c>
      <c r="R62" s="22">
        <v>0.89317659681162465</v>
      </c>
      <c r="S62" s="22">
        <v>0.89063567696410129</v>
      </c>
      <c r="T62" s="22">
        <v>0.89522143555137634</v>
      </c>
      <c r="U62" s="22">
        <v>0.89949281468334785</v>
      </c>
      <c r="W62" s="27">
        <v>407697</v>
      </c>
      <c r="X62" s="27">
        <v>413163</v>
      </c>
      <c r="Y62" s="27">
        <v>418258</v>
      </c>
      <c r="Z62" s="27">
        <v>425264</v>
      </c>
      <c r="AA62" s="27">
        <v>433896</v>
      </c>
      <c r="AB62" s="22">
        <v>1</v>
      </c>
      <c r="AC62" s="22">
        <v>1</v>
      </c>
      <c r="AD62" s="22">
        <v>1</v>
      </c>
      <c r="AE62" s="22">
        <v>1</v>
      </c>
      <c r="AF62" s="22">
        <v>1</v>
      </c>
      <c r="AG62" s="27">
        <v>341646</v>
      </c>
      <c r="AH62" s="27">
        <v>353035</v>
      </c>
      <c r="AI62" s="27">
        <v>363556</v>
      </c>
      <c r="AJ62" s="27">
        <v>377457</v>
      </c>
      <c r="AK62" s="27">
        <v>388433</v>
      </c>
      <c r="AL62" s="22">
        <v>0.83798997785119833</v>
      </c>
      <c r="AM62" s="22">
        <v>0.85446905942690898</v>
      </c>
      <c r="AN62" s="22">
        <v>0.86921469523595485</v>
      </c>
      <c r="AO62" s="22">
        <v>0.88758277211332259</v>
      </c>
      <c r="AP62" s="22">
        <v>0.89522143555137634</v>
      </c>
      <c r="AQ62" s="37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</row>
    <row r="63" spans="1:55" s="19" customFormat="1" ht="12.75" x14ac:dyDescent="0.2">
      <c r="A63" s="18"/>
      <c r="AB63" s="20"/>
      <c r="AC63" s="20"/>
      <c r="AD63" s="20"/>
      <c r="AE63" s="20"/>
      <c r="AF63" s="20"/>
      <c r="AL63" s="20"/>
      <c r="AM63" s="20"/>
      <c r="AN63" s="20"/>
      <c r="AO63" s="20"/>
      <c r="AP63" s="20"/>
      <c r="AQ63" s="37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</row>
    <row r="64" spans="1:55" s="19" customFormat="1" ht="12.75" x14ac:dyDescent="0.2">
      <c r="A64" s="18"/>
      <c r="AB64" s="20"/>
      <c r="AC64" s="20"/>
      <c r="AD64" s="20"/>
      <c r="AE64" s="20"/>
      <c r="AF64" s="20"/>
      <c r="AL64" s="20"/>
      <c r="AM64" s="20"/>
      <c r="AN64" s="20"/>
      <c r="AO64" s="20"/>
      <c r="AP64" s="20"/>
      <c r="AQ64" s="37"/>
    </row>
    <row r="65" spans="1:55" s="19" customFormat="1" ht="12.75" x14ac:dyDescent="0.2">
      <c r="A65" s="2" t="s">
        <v>74</v>
      </c>
      <c r="AB65" s="20"/>
      <c r="AC65" s="20"/>
      <c r="AD65" s="20"/>
      <c r="AE65" s="20"/>
      <c r="AF65" s="20"/>
      <c r="AL65" s="20"/>
      <c r="AM65" s="20"/>
      <c r="AN65" s="20"/>
      <c r="AO65" s="20"/>
      <c r="AP65" s="20"/>
      <c r="AQ65" s="37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</row>
    <row r="66" spans="1:55" s="21" customFormat="1" ht="12.75" x14ac:dyDescent="0.2">
      <c r="A66" s="1" t="s">
        <v>75</v>
      </c>
      <c r="AB66" s="22"/>
      <c r="AC66" s="22"/>
      <c r="AD66" s="22"/>
      <c r="AE66" s="22"/>
      <c r="AF66" s="22"/>
      <c r="AL66" s="22"/>
      <c r="AM66" s="22"/>
      <c r="AN66" s="22"/>
      <c r="AO66" s="22"/>
      <c r="AP66" s="22"/>
      <c r="AQ66" s="38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</row>
    <row r="67" spans="1:55" s="19" customFormat="1" ht="12.75" x14ac:dyDescent="0.2">
      <c r="A67" s="9" t="s">
        <v>9</v>
      </c>
      <c r="B67" s="9" t="s">
        <v>10</v>
      </c>
      <c r="C67" s="9" t="s">
        <v>11</v>
      </c>
      <c r="D67" s="9" t="s">
        <v>12</v>
      </c>
      <c r="E67" s="9" t="s">
        <v>164</v>
      </c>
      <c r="F67" s="9" t="s">
        <v>195</v>
      </c>
      <c r="G67" s="9" t="s">
        <v>10</v>
      </c>
      <c r="H67" s="9" t="s">
        <v>11</v>
      </c>
      <c r="I67" s="9" t="s">
        <v>12</v>
      </c>
      <c r="J67" s="9" t="s">
        <v>164</v>
      </c>
      <c r="K67" s="9" t="s">
        <v>195</v>
      </c>
      <c r="L67" s="9" t="s">
        <v>10</v>
      </c>
      <c r="M67" s="9" t="s">
        <v>11</v>
      </c>
      <c r="N67" s="9" t="s">
        <v>12</v>
      </c>
      <c r="O67" s="9" t="s">
        <v>164</v>
      </c>
      <c r="P67" s="9" t="s">
        <v>195</v>
      </c>
      <c r="Q67" s="9" t="s">
        <v>10</v>
      </c>
      <c r="R67" s="9" t="s">
        <v>11</v>
      </c>
      <c r="S67" s="9" t="s">
        <v>12</v>
      </c>
      <c r="T67" s="9" t="s">
        <v>164</v>
      </c>
      <c r="U67" s="9" t="s">
        <v>195</v>
      </c>
      <c r="V67" s="9"/>
      <c r="W67" s="9" t="s">
        <v>13</v>
      </c>
      <c r="X67" s="9" t="s">
        <v>14</v>
      </c>
      <c r="Y67" s="9" t="s">
        <v>15</v>
      </c>
      <c r="Z67" s="9" t="s">
        <v>16</v>
      </c>
      <c r="AA67" s="9" t="s">
        <v>165</v>
      </c>
      <c r="AB67" s="9" t="s">
        <v>13</v>
      </c>
      <c r="AC67" s="9" t="s">
        <v>14</v>
      </c>
      <c r="AD67" s="9" t="s">
        <v>15</v>
      </c>
      <c r="AE67" s="9" t="s">
        <v>16</v>
      </c>
      <c r="AF67" s="9" t="s">
        <v>165</v>
      </c>
      <c r="AG67" s="9" t="s">
        <v>13</v>
      </c>
      <c r="AH67" s="9" t="s">
        <v>14</v>
      </c>
      <c r="AI67" s="9" t="s">
        <v>15</v>
      </c>
      <c r="AJ67" s="9" t="s">
        <v>16</v>
      </c>
      <c r="AK67" s="9" t="s">
        <v>165</v>
      </c>
      <c r="AL67" s="9" t="s">
        <v>13</v>
      </c>
      <c r="AM67" s="9" t="s">
        <v>14</v>
      </c>
      <c r="AN67" s="9" t="s">
        <v>15</v>
      </c>
      <c r="AO67" s="9" t="s">
        <v>16</v>
      </c>
      <c r="AP67" s="9" t="s">
        <v>165</v>
      </c>
      <c r="AQ67" s="37"/>
    </row>
    <row r="68" spans="1:55" s="19" customFormat="1" ht="12.75" x14ac:dyDescent="0.2">
      <c r="A68" s="18" t="s">
        <v>19</v>
      </c>
      <c r="B68" s="19">
        <v>822446</v>
      </c>
      <c r="C68" s="19">
        <v>817586</v>
      </c>
      <c r="D68" s="19">
        <v>828162</v>
      </c>
      <c r="E68" s="19">
        <v>822787</v>
      </c>
      <c r="F68" s="19">
        <v>818916</v>
      </c>
      <c r="G68" s="20">
        <v>0.3918523660622612</v>
      </c>
      <c r="H68" s="20">
        <v>0.38696177740418791</v>
      </c>
      <c r="I68" s="20">
        <v>0.38159663265376648</v>
      </c>
      <c r="J68" s="20">
        <v>0.38205670297686684</v>
      </c>
      <c r="K68" s="20">
        <v>0.37709738767653789</v>
      </c>
      <c r="L68" s="19">
        <v>681369</v>
      </c>
      <c r="M68" s="19">
        <v>679172</v>
      </c>
      <c r="N68" s="19">
        <v>683885</v>
      </c>
      <c r="O68" s="19">
        <v>686189</v>
      </c>
      <c r="P68" s="19">
        <v>687815</v>
      </c>
      <c r="Q68" s="20">
        <v>0.82846654977956002</v>
      </c>
      <c r="R68" s="20">
        <v>0.83070404825914335</v>
      </c>
      <c r="S68" s="20">
        <v>0.82578650070879855</v>
      </c>
      <c r="T68" s="20">
        <v>0.83398133417275677</v>
      </c>
      <c r="U68" s="20">
        <v>0.83990909934596469</v>
      </c>
      <c r="W68" s="19">
        <v>787421</v>
      </c>
      <c r="X68" s="19">
        <v>852939</v>
      </c>
      <c r="Y68" s="19">
        <v>840132</v>
      </c>
      <c r="Z68" s="19">
        <v>826589</v>
      </c>
      <c r="AA68" s="19">
        <v>822787</v>
      </c>
      <c r="AB68" s="20">
        <v>0.45065943097322442</v>
      </c>
      <c r="AC68" s="20">
        <v>0.43363113501026196</v>
      </c>
      <c r="AD68" s="20">
        <v>0.41613827885502686</v>
      </c>
      <c r="AE68" s="20">
        <v>0.39702481990510857</v>
      </c>
      <c r="AF68" s="20">
        <v>0.38205670297686684</v>
      </c>
      <c r="AG68" s="19">
        <v>580752</v>
      </c>
      <c r="AH68" s="19">
        <v>645068</v>
      </c>
      <c r="AI68" s="19">
        <v>663291</v>
      </c>
      <c r="AJ68" s="19">
        <v>679741</v>
      </c>
      <c r="AK68" s="19">
        <v>686189</v>
      </c>
      <c r="AL68" s="20">
        <v>0.73753684496603467</v>
      </c>
      <c r="AM68" s="20">
        <v>0.7562885505294048</v>
      </c>
      <c r="AN68" s="20">
        <v>0.78950807730213823</v>
      </c>
      <c r="AO68" s="20">
        <v>0.82234459931114501</v>
      </c>
      <c r="AP68" s="20">
        <v>0.83398133417275677</v>
      </c>
      <c r="AQ68" s="37"/>
    </row>
    <row r="69" spans="1:55" s="19" customFormat="1" ht="12.75" x14ac:dyDescent="0.2">
      <c r="A69" s="18" t="s">
        <v>43</v>
      </c>
      <c r="B69" s="19">
        <v>567501</v>
      </c>
      <c r="C69" s="19">
        <v>569150</v>
      </c>
      <c r="D69" s="19">
        <v>581722</v>
      </c>
      <c r="E69" s="19">
        <v>587158</v>
      </c>
      <c r="F69" s="19">
        <v>590315</v>
      </c>
      <c r="G69" s="20">
        <v>0.27038445027722102</v>
      </c>
      <c r="H69" s="20">
        <v>0.26937752800267317</v>
      </c>
      <c r="I69" s="20">
        <v>0.26804315621896968</v>
      </c>
      <c r="J69" s="20">
        <v>0.27264364848556327</v>
      </c>
      <c r="K69" s="20">
        <v>0.27183037626114948</v>
      </c>
      <c r="L69" s="19">
        <v>483936</v>
      </c>
      <c r="M69" s="19">
        <v>487344</v>
      </c>
      <c r="N69" s="19">
        <v>491071</v>
      </c>
      <c r="O69" s="19">
        <v>499104</v>
      </c>
      <c r="P69" s="19">
        <v>505128</v>
      </c>
      <c r="Q69" s="20">
        <v>0.85274915815126318</v>
      </c>
      <c r="R69" s="20">
        <v>0.85626636211894935</v>
      </c>
      <c r="S69" s="20">
        <v>0.84416783274485063</v>
      </c>
      <c r="T69" s="20">
        <v>0.85003355144611847</v>
      </c>
      <c r="U69" s="20">
        <v>0.85569229987379625</v>
      </c>
      <c r="W69" s="19">
        <v>423959</v>
      </c>
      <c r="X69" s="19">
        <v>534102</v>
      </c>
      <c r="Y69" s="19">
        <v>547775</v>
      </c>
      <c r="Z69" s="19">
        <v>565486</v>
      </c>
      <c r="AA69" s="19">
        <v>587158</v>
      </c>
      <c r="AB69" s="20">
        <v>0.24264163858466722</v>
      </c>
      <c r="AC69" s="20">
        <v>0.27153554529837531</v>
      </c>
      <c r="AD69" s="20">
        <v>0.27132658403657084</v>
      </c>
      <c r="AE69" s="20">
        <v>0.27161258776593955</v>
      </c>
      <c r="AF69" s="20">
        <v>0.27264364848556327</v>
      </c>
      <c r="AG69" s="19">
        <v>330601</v>
      </c>
      <c r="AH69" s="19">
        <v>421355</v>
      </c>
      <c r="AI69" s="19">
        <v>446462</v>
      </c>
      <c r="AJ69" s="19">
        <v>479420</v>
      </c>
      <c r="AK69" s="19">
        <v>499104</v>
      </c>
      <c r="AL69" s="20">
        <v>0.7797947443031048</v>
      </c>
      <c r="AM69" s="20">
        <v>0.788903617661046</v>
      </c>
      <c r="AN69" s="20">
        <v>0.81504632376431929</v>
      </c>
      <c r="AO69" s="20">
        <v>0.84780171392395209</v>
      </c>
      <c r="AP69" s="20">
        <v>0.85003355144611847</v>
      </c>
      <c r="AQ69" s="37"/>
    </row>
    <row r="70" spans="1:55" s="19" customFormat="1" ht="12.75" x14ac:dyDescent="0.2">
      <c r="A70" s="18" t="s">
        <v>30</v>
      </c>
      <c r="B70" s="19">
        <v>408111</v>
      </c>
      <c r="C70" s="19">
        <v>415840</v>
      </c>
      <c r="D70" s="19">
        <v>440350</v>
      </c>
      <c r="E70" s="19">
        <v>415262</v>
      </c>
      <c r="F70" s="19">
        <v>419942</v>
      </c>
      <c r="G70" s="20">
        <v>0.19444347831472886</v>
      </c>
      <c r="H70" s="20">
        <v>0.19681621935277452</v>
      </c>
      <c r="I70" s="20">
        <v>0.20290242390871119</v>
      </c>
      <c r="J70" s="20">
        <v>0.19282466858564812</v>
      </c>
      <c r="K70" s="20">
        <v>0.19337640389937513</v>
      </c>
      <c r="L70" s="19">
        <v>386229</v>
      </c>
      <c r="M70" s="19">
        <v>395237</v>
      </c>
      <c r="N70" s="19">
        <v>418759</v>
      </c>
      <c r="O70" s="19">
        <v>396956</v>
      </c>
      <c r="P70" s="19">
        <v>401185</v>
      </c>
      <c r="Q70" s="20">
        <v>0.94638223424509504</v>
      </c>
      <c r="R70" s="20">
        <v>0.9504545017314352</v>
      </c>
      <c r="S70" s="20">
        <v>0.95096854774611106</v>
      </c>
      <c r="T70" s="20">
        <v>0.95591698734774677</v>
      </c>
      <c r="U70" s="20">
        <v>0.95533430807111464</v>
      </c>
      <c r="W70" s="19">
        <v>336204</v>
      </c>
      <c r="X70" s="19">
        <v>362616</v>
      </c>
      <c r="Y70" s="19">
        <v>392698</v>
      </c>
      <c r="Z70" s="19">
        <v>400342</v>
      </c>
      <c r="AA70" s="19">
        <v>415262</v>
      </c>
      <c r="AB70" s="20">
        <v>0.19241740229295631</v>
      </c>
      <c r="AC70" s="20">
        <v>0.18435267663089758</v>
      </c>
      <c r="AD70" s="20">
        <v>0.19451308821686511</v>
      </c>
      <c r="AE70" s="20">
        <v>0.19229110289448684</v>
      </c>
      <c r="AF70" s="20">
        <v>0.19282466858564812</v>
      </c>
      <c r="AG70" s="19">
        <v>300097</v>
      </c>
      <c r="AH70" s="19">
        <v>335103</v>
      </c>
      <c r="AI70" s="19">
        <v>367036</v>
      </c>
      <c r="AJ70" s="19">
        <v>378260</v>
      </c>
      <c r="AK70" s="19">
        <v>396956</v>
      </c>
      <c r="AL70" s="20">
        <v>0.89260389525407191</v>
      </c>
      <c r="AM70" s="20">
        <v>0.92412634853398634</v>
      </c>
      <c r="AN70" s="20">
        <v>0.93465207360363434</v>
      </c>
      <c r="AO70" s="20">
        <v>0.94484215995323995</v>
      </c>
      <c r="AP70" s="20">
        <v>0.95591698734774677</v>
      </c>
      <c r="AQ70" s="37"/>
    </row>
    <row r="71" spans="1:55" s="19" customFormat="1" ht="12.75" x14ac:dyDescent="0.2">
      <c r="A71" s="18" t="s">
        <v>76</v>
      </c>
      <c r="B71" s="19">
        <v>300809</v>
      </c>
      <c r="C71" s="19">
        <v>310258</v>
      </c>
      <c r="D71" s="19">
        <v>320021</v>
      </c>
      <c r="E71" s="19">
        <v>328366</v>
      </c>
      <c r="F71" s="19">
        <v>342457</v>
      </c>
      <c r="G71" s="20">
        <v>0.14331970534578894</v>
      </c>
      <c r="H71" s="20">
        <v>0.14684447524036437</v>
      </c>
      <c r="I71" s="20">
        <v>0.14745778721855266</v>
      </c>
      <c r="J71" s="20">
        <v>0.15247497995192175</v>
      </c>
      <c r="K71" s="20">
        <v>0.1576958321629375</v>
      </c>
      <c r="L71" s="19">
        <v>218249</v>
      </c>
      <c r="M71" s="19">
        <v>231291</v>
      </c>
      <c r="N71" s="19">
        <v>229183</v>
      </c>
      <c r="O71" s="19">
        <v>244482</v>
      </c>
      <c r="P71" s="19">
        <v>264420</v>
      </c>
      <c r="Q71" s="20">
        <v>0.7255401267914191</v>
      </c>
      <c r="R71" s="20">
        <v>0.74547956861708642</v>
      </c>
      <c r="S71" s="20">
        <v>0.71614987766427829</v>
      </c>
      <c r="T71" s="20">
        <v>0.74454115225084205</v>
      </c>
      <c r="U71" s="20">
        <v>0.77212613554402454</v>
      </c>
      <c r="W71" s="19">
        <v>199680</v>
      </c>
      <c r="X71" s="19">
        <v>217312</v>
      </c>
      <c r="Y71" s="19">
        <v>238272</v>
      </c>
      <c r="Z71" s="19">
        <v>289541</v>
      </c>
      <c r="AA71" s="19">
        <v>328366</v>
      </c>
      <c r="AB71" s="20">
        <v>0.11428152814915205</v>
      </c>
      <c r="AC71" s="20">
        <v>0.11048064306046511</v>
      </c>
      <c r="AD71" s="20">
        <v>0.11802204889153722</v>
      </c>
      <c r="AE71" s="20">
        <v>0.13907148943446507</v>
      </c>
      <c r="AF71" s="20">
        <v>0.15247497995192175</v>
      </c>
      <c r="AG71" s="19">
        <v>98161</v>
      </c>
      <c r="AH71" s="19">
        <v>108814</v>
      </c>
      <c r="AI71" s="19">
        <v>122941</v>
      </c>
      <c r="AJ71" s="19">
        <v>197367</v>
      </c>
      <c r="AK71" s="19">
        <v>244482</v>
      </c>
      <c r="AL71" s="20">
        <v>0.49159154647435899</v>
      </c>
      <c r="AM71" s="20">
        <v>0.50072706523339716</v>
      </c>
      <c r="AN71" s="20">
        <v>0.51596914450711795</v>
      </c>
      <c r="AO71" s="20">
        <v>0.68165475701196032</v>
      </c>
      <c r="AP71" s="20">
        <v>0.74454115225084205</v>
      </c>
      <c r="AQ71" s="37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</row>
    <row r="72" spans="1:55" s="21" customFormat="1" ht="12.75" x14ac:dyDescent="0.2">
      <c r="A72" s="29" t="s">
        <v>77</v>
      </c>
      <c r="B72" s="21">
        <v>2098867</v>
      </c>
      <c r="C72" s="21">
        <v>2112834</v>
      </c>
      <c r="D72" s="21">
        <v>2170255</v>
      </c>
      <c r="E72" s="21">
        <v>2153573</v>
      </c>
      <c r="F72" s="21">
        <v>2171630</v>
      </c>
      <c r="G72" s="22">
        <v>1</v>
      </c>
      <c r="H72" s="22">
        <v>1</v>
      </c>
      <c r="I72" s="22">
        <v>1</v>
      </c>
      <c r="J72" s="22">
        <v>1</v>
      </c>
      <c r="K72" s="22">
        <v>1</v>
      </c>
      <c r="L72" s="21">
        <v>1769783</v>
      </c>
      <c r="M72" s="21">
        <v>1793044</v>
      </c>
      <c r="N72" s="21">
        <v>1822898</v>
      </c>
      <c r="O72" s="21">
        <v>1826731</v>
      </c>
      <c r="P72" s="21">
        <v>1858548</v>
      </c>
      <c r="Q72" s="22">
        <v>0.8432087407158243</v>
      </c>
      <c r="R72" s="22">
        <v>0.84864404870425225</v>
      </c>
      <c r="S72" s="22">
        <v>0.83994645790471623</v>
      </c>
      <c r="T72" s="22">
        <v>0.8482326812232508</v>
      </c>
      <c r="U72" s="22">
        <v>0.85583087358343735</v>
      </c>
      <c r="W72" s="21">
        <v>1747264</v>
      </c>
      <c r="X72" s="21">
        <v>1966969</v>
      </c>
      <c r="Y72" s="21">
        <v>2018877</v>
      </c>
      <c r="Z72" s="21">
        <v>2081958</v>
      </c>
      <c r="AA72" s="21">
        <v>2153573</v>
      </c>
      <c r="AB72" s="22">
        <v>1</v>
      </c>
      <c r="AC72" s="22">
        <v>1</v>
      </c>
      <c r="AD72" s="22">
        <v>1</v>
      </c>
      <c r="AE72" s="22">
        <v>1</v>
      </c>
      <c r="AF72" s="22">
        <v>1</v>
      </c>
      <c r="AG72" s="21">
        <v>1309611</v>
      </c>
      <c r="AH72" s="21">
        <v>1510340</v>
      </c>
      <c r="AI72" s="21">
        <v>1599730</v>
      </c>
      <c r="AJ72" s="21">
        <v>1734788</v>
      </c>
      <c r="AK72" s="21">
        <v>1826731</v>
      </c>
      <c r="AL72" s="22">
        <v>0.74952096534925461</v>
      </c>
      <c r="AM72" s="22">
        <v>0.76785145063292815</v>
      </c>
      <c r="AN72" s="22">
        <v>0.79238606413367429</v>
      </c>
      <c r="AO72" s="22">
        <v>0.83324831720908876</v>
      </c>
      <c r="AP72" s="22">
        <v>0.8482326812232508</v>
      </c>
      <c r="AQ72" s="37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</row>
    <row r="73" spans="1:55" s="19" customFormat="1" ht="12.75" x14ac:dyDescent="0.2">
      <c r="A73" s="18"/>
      <c r="AB73" s="20"/>
      <c r="AC73" s="20"/>
      <c r="AD73" s="20"/>
      <c r="AE73" s="20"/>
      <c r="AF73" s="20"/>
      <c r="AL73" s="20"/>
      <c r="AM73" s="20"/>
      <c r="AN73" s="20"/>
      <c r="AO73" s="20"/>
      <c r="AP73" s="20"/>
      <c r="AQ73" s="37"/>
    </row>
    <row r="74" spans="1:55" s="19" customFormat="1" ht="12.75" x14ac:dyDescent="0.2">
      <c r="A74" s="9" t="s">
        <v>64</v>
      </c>
      <c r="B74" s="9" t="s">
        <v>10</v>
      </c>
      <c r="C74" s="9" t="s">
        <v>11</v>
      </c>
      <c r="D74" s="9" t="s">
        <v>12</v>
      </c>
      <c r="E74" s="9" t="s">
        <v>164</v>
      </c>
      <c r="F74" s="9" t="s">
        <v>195</v>
      </c>
      <c r="G74" s="9" t="s">
        <v>10</v>
      </c>
      <c r="H74" s="9" t="s">
        <v>11</v>
      </c>
      <c r="I74" s="9" t="s">
        <v>12</v>
      </c>
      <c r="J74" s="9" t="s">
        <v>164</v>
      </c>
      <c r="K74" s="9" t="s">
        <v>195</v>
      </c>
      <c r="L74" s="9" t="s">
        <v>10</v>
      </c>
      <c r="M74" s="9" t="s">
        <v>11</v>
      </c>
      <c r="N74" s="9" t="s">
        <v>12</v>
      </c>
      <c r="O74" s="9" t="s">
        <v>164</v>
      </c>
      <c r="P74" s="9" t="s">
        <v>195</v>
      </c>
      <c r="Q74" s="9" t="s">
        <v>10</v>
      </c>
      <c r="R74" s="9" t="s">
        <v>11</v>
      </c>
      <c r="S74" s="9" t="s">
        <v>12</v>
      </c>
      <c r="T74" s="9" t="s">
        <v>164</v>
      </c>
      <c r="U74" s="9" t="s">
        <v>195</v>
      </c>
      <c r="V74" s="9"/>
      <c r="W74" s="9" t="s">
        <v>13</v>
      </c>
      <c r="X74" s="9" t="s">
        <v>14</v>
      </c>
      <c r="Y74" s="9" t="s">
        <v>15</v>
      </c>
      <c r="Z74" s="9" t="s">
        <v>16</v>
      </c>
      <c r="AA74" s="9" t="s">
        <v>165</v>
      </c>
      <c r="AB74" s="9" t="s">
        <v>13</v>
      </c>
      <c r="AC74" s="9" t="s">
        <v>14</v>
      </c>
      <c r="AD74" s="9" t="s">
        <v>15</v>
      </c>
      <c r="AE74" s="9" t="s">
        <v>16</v>
      </c>
      <c r="AF74" s="9" t="s">
        <v>165</v>
      </c>
      <c r="AG74" s="9" t="s">
        <v>13</v>
      </c>
      <c r="AH74" s="9" t="s">
        <v>14</v>
      </c>
      <c r="AI74" s="9" t="s">
        <v>15</v>
      </c>
      <c r="AJ74" s="9" t="s">
        <v>16</v>
      </c>
      <c r="AK74" s="9" t="s">
        <v>165</v>
      </c>
      <c r="AL74" s="9" t="s">
        <v>13</v>
      </c>
      <c r="AM74" s="9" t="s">
        <v>14</v>
      </c>
      <c r="AN74" s="9" t="s">
        <v>15</v>
      </c>
      <c r="AO74" s="9" t="s">
        <v>16</v>
      </c>
      <c r="AP74" s="9" t="s">
        <v>165</v>
      </c>
      <c r="AQ74" s="37"/>
    </row>
    <row r="75" spans="1:55" s="19" customFormat="1" ht="12.75" x14ac:dyDescent="0.2">
      <c r="A75" s="18" t="s">
        <v>18</v>
      </c>
      <c r="B75" s="19">
        <v>107062</v>
      </c>
      <c r="C75" s="19">
        <v>105122</v>
      </c>
      <c r="D75" s="19">
        <v>104009</v>
      </c>
      <c r="E75" s="19">
        <v>102351</v>
      </c>
      <c r="F75" s="19">
        <v>101880</v>
      </c>
      <c r="G75" s="20">
        <v>0.87605659157672511</v>
      </c>
      <c r="H75" s="20">
        <v>0.85755773639085353</v>
      </c>
      <c r="I75" s="20">
        <v>0.83755969109606143</v>
      </c>
      <c r="J75" s="20">
        <v>0.82464649720017724</v>
      </c>
      <c r="K75" s="20">
        <v>0.81774181896987652</v>
      </c>
      <c r="L75" s="19">
        <v>44357</v>
      </c>
      <c r="M75" s="19">
        <v>45538</v>
      </c>
      <c r="N75" s="19">
        <v>37383</v>
      </c>
      <c r="O75" s="19">
        <v>42089</v>
      </c>
      <c r="P75" s="19">
        <v>46480</v>
      </c>
      <c r="Q75" s="20">
        <v>0.41431133361977174</v>
      </c>
      <c r="R75" s="20">
        <v>0.43319191035178173</v>
      </c>
      <c r="S75" s="20">
        <v>0.35942081935217146</v>
      </c>
      <c r="T75" s="20">
        <v>0.41122216685718754</v>
      </c>
      <c r="U75" s="20">
        <v>0.45622300745975658</v>
      </c>
      <c r="W75" s="19">
        <v>110268</v>
      </c>
      <c r="X75" s="19">
        <v>109282</v>
      </c>
      <c r="Y75" s="19">
        <v>107016</v>
      </c>
      <c r="Z75" s="19">
        <v>108488</v>
      </c>
      <c r="AA75" s="19">
        <v>102351</v>
      </c>
      <c r="AB75" s="20">
        <v>0.94621404544518428</v>
      </c>
      <c r="AC75" s="20">
        <v>0.92725020363833832</v>
      </c>
      <c r="AD75" s="20">
        <v>0.91076671687900523</v>
      </c>
      <c r="AE75" s="20">
        <v>0.89256742303325487</v>
      </c>
      <c r="AF75" s="20">
        <v>0.82464649720017724</v>
      </c>
      <c r="AG75" s="19">
        <v>25744</v>
      </c>
      <c r="AH75" s="19">
        <v>22957</v>
      </c>
      <c r="AI75" s="19">
        <v>15511</v>
      </c>
      <c r="AJ75" s="19">
        <v>36134</v>
      </c>
      <c r="AK75" s="19">
        <v>42089</v>
      </c>
      <c r="AL75" s="20">
        <v>0.23346755178292886</v>
      </c>
      <c r="AM75" s="20">
        <v>0.21007119196207977</v>
      </c>
      <c r="AN75" s="20">
        <v>0.14494094341033117</v>
      </c>
      <c r="AO75" s="20">
        <v>0.33306909519946909</v>
      </c>
      <c r="AP75" s="20">
        <v>0.41122216685718754</v>
      </c>
      <c r="AQ75" s="37"/>
    </row>
    <row r="76" spans="1:55" s="19" customFormat="1" ht="12.75" x14ac:dyDescent="0.2">
      <c r="A76" s="18" t="s">
        <v>43</v>
      </c>
      <c r="B76" s="19">
        <v>10142</v>
      </c>
      <c r="C76" s="19">
        <v>12337</v>
      </c>
      <c r="D76" s="19">
        <v>14483</v>
      </c>
      <c r="E76" s="19">
        <v>16295</v>
      </c>
      <c r="F76" s="19">
        <v>17396</v>
      </c>
      <c r="G76" s="20">
        <v>8.2988977898518113E-2</v>
      </c>
      <c r="H76" s="20">
        <v>0.10064201398236297</v>
      </c>
      <c r="I76" s="20">
        <v>0.11662814762322739</v>
      </c>
      <c r="J76" s="20">
        <v>0.13128952987149015</v>
      </c>
      <c r="K76" s="20">
        <v>0.1396293353239102</v>
      </c>
      <c r="L76" s="19">
        <v>9863</v>
      </c>
      <c r="M76" s="19">
        <v>12042</v>
      </c>
      <c r="N76" s="19">
        <v>13960</v>
      </c>
      <c r="O76" s="19">
        <v>15714</v>
      </c>
      <c r="P76" s="19">
        <v>16779</v>
      </c>
      <c r="Q76" s="20">
        <v>0.97249063301124039</v>
      </c>
      <c r="R76" s="20">
        <v>0.9760881899975683</v>
      </c>
      <c r="S76" s="20">
        <v>0.96388869709314373</v>
      </c>
      <c r="T76" s="20">
        <v>0.96434489107088062</v>
      </c>
      <c r="U76" s="20">
        <v>0.96453207633938831</v>
      </c>
      <c r="W76" s="19">
        <v>2081</v>
      </c>
      <c r="X76" s="19">
        <v>4393</v>
      </c>
      <c r="Y76" s="19">
        <v>6161</v>
      </c>
      <c r="Z76" s="19">
        <v>8141</v>
      </c>
      <c r="AA76" s="19">
        <v>16295</v>
      </c>
      <c r="AB76" s="20">
        <v>1.7857142857142856E-2</v>
      </c>
      <c r="AC76" s="20">
        <v>3.7274300841705132E-2</v>
      </c>
      <c r="AD76" s="20">
        <v>5.2433596309818642E-2</v>
      </c>
      <c r="AE76" s="20">
        <v>6.6978757013805471E-2</v>
      </c>
      <c r="AF76" s="20">
        <v>0.13128952987149015</v>
      </c>
      <c r="AG76" s="19">
        <v>2057</v>
      </c>
      <c r="AH76" s="19">
        <v>4329</v>
      </c>
      <c r="AI76" s="19">
        <v>5984</v>
      </c>
      <c r="AJ76" s="19">
        <v>7862</v>
      </c>
      <c r="AK76" s="19">
        <v>15714</v>
      </c>
      <c r="AL76" s="20">
        <v>0.98846708313310905</v>
      </c>
      <c r="AM76" s="20">
        <v>0.98543136808559073</v>
      </c>
      <c r="AN76" s="20">
        <v>0.97127089758156149</v>
      </c>
      <c r="AO76" s="20">
        <v>0.96572902591819187</v>
      </c>
      <c r="AP76" s="20">
        <v>0.96434489107088062</v>
      </c>
      <c r="AQ76" s="37"/>
    </row>
    <row r="77" spans="1:55" s="19" customFormat="1" ht="12.75" x14ac:dyDescent="0.2">
      <c r="A77" s="18" t="s">
        <v>30</v>
      </c>
      <c r="B77" s="19">
        <v>5005</v>
      </c>
      <c r="C77" s="19">
        <v>5124</v>
      </c>
      <c r="D77" s="19">
        <v>5689</v>
      </c>
      <c r="E77" s="19">
        <v>5469</v>
      </c>
      <c r="F77" s="19">
        <v>5311</v>
      </c>
      <c r="G77" s="20">
        <v>4.0954430524756766E-2</v>
      </c>
      <c r="H77" s="20">
        <v>4.1800249626783484E-2</v>
      </c>
      <c r="I77" s="20">
        <v>4.5812161280711222E-2</v>
      </c>
      <c r="J77" s="20">
        <v>4.4063972928332598E-2</v>
      </c>
      <c r="K77" s="20">
        <v>4.2628845706213329E-2</v>
      </c>
      <c r="L77" s="19">
        <v>4775</v>
      </c>
      <c r="M77" s="19">
        <v>4897</v>
      </c>
      <c r="N77" s="19">
        <v>5448</v>
      </c>
      <c r="O77" s="19">
        <v>5253</v>
      </c>
      <c r="P77" s="19">
        <v>5104</v>
      </c>
      <c r="Q77" s="20">
        <v>0.95404595404595405</v>
      </c>
      <c r="R77" s="20">
        <v>0.95569867291178767</v>
      </c>
      <c r="S77" s="20">
        <v>0.95763754614167695</v>
      </c>
      <c r="T77" s="20">
        <v>0.96050466264399337</v>
      </c>
      <c r="U77" s="20">
        <v>0.96102428921107141</v>
      </c>
      <c r="W77" s="19">
        <v>4187</v>
      </c>
      <c r="X77" s="19">
        <v>4181</v>
      </c>
      <c r="Y77" s="19">
        <v>4324</v>
      </c>
      <c r="Z77" s="19">
        <v>4917</v>
      </c>
      <c r="AA77" s="19">
        <v>5469</v>
      </c>
      <c r="AB77" s="20">
        <v>3.592881169767282E-2</v>
      </c>
      <c r="AC77" s="20">
        <v>3.547549551995656E-2</v>
      </c>
      <c r="AD77" s="20">
        <v>3.6799686811176076E-2</v>
      </c>
      <c r="AE77" s="20">
        <v>4.0453819952939625E-2</v>
      </c>
      <c r="AF77" s="20">
        <v>4.4063972928332598E-2</v>
      </c>
      <c r="AG77" s="19">
        <v>3784</v>
      </c>
      <c r="AH77" s="19">
        <v>3846</v>
      </c>
      <c r="AI77" s="19">
        <v>4038</v>
      </c>
      <c r="AJ77" s="19">
        <v>4664</v>
      </c>
      <c r="AK77" s="19">
        <v>5253</v>
      </c>
      <c r="AL77" s="20">
        <v>0.90374970145689038</v>
      </c>
      <c r="AM77" s="20">
        <v>0.91987562784022958</v>
      </c>
      <c r="AN77" s="20">
        <v>0.93385753931544868</v>
      </c>
      <c r="AO77" s="20">
        <v>0.94854586129753915</v>
      </c>
      <c r="AP77" s="20">
        <v>0.96050466264399337</v>
      </c>
      <c r="AQ77" s="37"/>
    </row>
    <row r="78" spans="1:55" s="21" customFormat="1" ht="12.75" x14ac:dyDescent="0.2">
      <c r="A78" s="29" t="s">
        <v>77</v>
      </c>
      <c r="B78" s="21">
        <v>122209</v>
      </c>
      <c r="C78" s="21">
        <v>122583</v>
      </c>
      <c r="D78" s="21">
        <v>124181</v>
      </c>
      <c r="E78" s="21">
        <v>124115</v>
      </c>
      <c r="F78" s="21">
        <v>124587</v>
      </c>
      <c r="G78" s="22">
        <v>1</v>
      </c>
      <c r="H78" s="22">
        <v>1</v>
      </c>
      <c r="I78" s="22">
        <v>1</v>
      </c>
      <c r="J78" s="22">
        <v>1</v>
      </c>
      <c r="K78" s="22">
        <v>1</v>
      </c>
      <c r="L78" s="21">
        <v>58995</v>
      </c>
      <c r="M78" s="21">
        <v>62477</v>
      </c>
      <c r="N78" s="21">
        <v>56791</v>
      </c>
      <c r="O78" s="21">
        <v>63056</v>
      </c>
      <c r="P78" s="21">
        <v>68363</v>
      </c>
      <c r="Q78" s="22">
        <v>0.48273858717443069</v>
      </c>
      <c r="R78" s="22">
        <v>0.50967099842555652</v>
      </c>
      <c r="S78" s="22">
        <v>0.4573243893993445</v>
      </c>
      <c r="T78" s="22">
        <v>0.50804495830479801</v>
      </c>
      <c r="U78" s="22">
        <v>0.54871696083861077</v>
      </c>
      <c r="W78" s="21">
        <v>116536</v>
      </c>
      <c r="X78" s="21">
        <v>117856</v>
      </c>
      <c r="Y78" s="21">
        <v>117501</v>
      </c>
      <c r="Z78" s="21">
        <v>121546</v>
      </c>
      <c r="AA78" s="21">
        <v>124115</v>
      </c>
      <c r="AB78" s="22">
        <v>1</v>
      </c>
      <c r="AC78" s="22">
        <v>1</v>
      </c>
      <c r="AD78" s="22">
        <v>1</v>
      </c>
      <c r="AE78" s="22">
        <v>1</v>
      </c>
      <c r="AF78" s="22">
        <v>1</v>
      </c>
      <c r="AG78" s="21">
        <v>31585</v>
      </c>
      <c r="AH78" s="21">
        <v>31132</v>
      </c>
      <c r="AI78" s="21">
        <v>25533</v>
      </c>
      <c r="AJ78" s="21">
        <v>48660</v>
      </c>
      <c r="AK78" s="21">
        <v>63056</v>
      </c>
      <c r="AL78" s="22">
        <v>0.27103212741127203</v>
      </c>
      <c r="AM78" s="22">
        <v>0.2641528645126256</v>
      </c>
      <c r="AN78" s="22">
        <v>0.21730027829550386</v>
      </c>
      <c r="AO78" s="22">
        <v>0.40034225725239825</v>
      </c>
      <c r="AP78" s="22">
        <v>0.50804495830479801</v>
      </c>
      <c r="AQ78" s="37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</row>
    <row r="79" spans="1:55" s="19" customFormat="1" ht="12.75" x14ac:dyDescent="0.2">
      <c r="A79" s="18"/>
      <c r="AB79" s="20"/>
      <c r="AC79" s="20"/>
      <c r="AD79" s="20"/>
      <c r="AE79" s="20"/>
      <c r="AF79" s="20"/>
      <c r="AL79" s="20"/>
      <c r="AM79" s="20"/>
      <c r="AN79" s="20"/>
      <c r="AO79" s="20"/>
      <c r="AP79" s="20"/>
      <c r="AQ79" s="37"/>
    </row>
    <row r="80" spans="1:55" s="19" customFormat="1" ht="12.75" x14ac:dyDescent="0.2">
      <c r="A80" s="9" t="s">
        <v>66</v>
      </c>
      <c r="B80" s="9" t="s">
        <v>10</v>
      </c>
      <c r="C80" s="9" t="s">
        <v>11</v>
      </c>
      <c r="D80" s="9" t="s">
        <v>12</v>
      </c>
      <c r="E80" s="9" t="s">
        <v>164</v>
      </c>
      <c r="F80" s="9" t="s">
        <v>195</v>
      </c>
      <c r="G80" s="9" t="s">
        <v>10</v>
      </c>
      <c r="H80" s="9" t="s">
        <v>11</v>
      </c>
      <c r="I80" s="9" t="s">
        <v>12</v>
      </c>
      <c r="J80" s="9" t="s">
        <v>164</v>
      </c>
      <c r="K80" s="9" t="s">
        <v>195</v>
      </c>
      <c r="L80" s="9" t="s">
        <v>10</v>
      </c>
      <c r="M80" s="9" t="s">
        <v>11</v>
      </c>
      <c r="N80" s="9" t="s">
        <v>12</v>
      </c>
      <c r="O80" s="9" t="s">
        <v>164</v>
      </c>
      <c r="P80" s="9" t="s">
        <v>195</v>
      </c>
      <c r="Q80" s="9" t="s">
        <v>10</v>
      </c>
      <c r="R80" s="9" t="s">
        <v>11</v>
      </c>
      <c r="S80" s="9" t="s">
        <v>12</v>
      </c>
      <c r="T80" s="9" t="s">
        <v>164</v>
      </c>
      <c r="U80" s="9" t="s">
        <v>195</v>
      </c>
      <c r="V80" s="9"/>
      <c r="W80" s="9" t="s">
        <v>13</v>
      </c>
      <c r="X80" s="9" t="s">
        <v>14</v>
      </c>
      <c r="Y80" s="9" t="s">
        <v>15</v>
      </c>
      <c r="Z80" s="9" t="s">
        <v>16</v>
      </c>
      <c r="AA80" s="9" t="s">
        <v>165</v>
      </c>
      <c r="AB80" s="9" t="s">
        <v>13</v>
      </c>
      <c r="AC80" s="9" t="s">
        <v>14</v>
      </c>
      <c r="AD80" s="9" t="s">
        <v>15</v>
      </c>
      <c r="AE80" s="9" t="s">
        <v>16</v>
      </c>
      <c r="AF80" s="9" t="s">
        <v>165</v>
      </c>
      <c r="AG80" s="9" t="s">
        <v>13</v>
      </c>
      <c r="AH80" s="9" t="s">
        <v>14</v>
      </c>
      <c r="AI80" s="9" t="s">
        <v>15</v>
      </c>
      <c r="AJ80" s="9" t="s">
        <v>16</v>
      </c>
      <c r="AK80" s="9" t="s">
        <v>165</v>
      </c>
      <c r="AL80" s="9" t="s">
        <v>13</v>
      </c>
      <c r="AM80" s="9" t="s">
        <v>14</v>
      </c>
      <c r="AN80" s="9" t="s">
        <v>15</v>
      </c>
      <c r="AO80" s="9" t="s">
        <v>16</v>
      </c>
      <c r="AP80" s="9" t="s">
        <v>165</v>
      </c>
      <c r="AQ80" s="37"/>
    </row>
    <row r="81" spans="1:55" s="19" customFormat="1" ht="12.75" x14ac:dyDescent="0.2">
      <c r="A81" s="18" t="s">
        <v>43</v>
      </c>
      <c r="B81" s="19">
        <v>271002</v>
      </c>
      <c r="C81" s="19">
        <v>270994</v>
      </c>
      <c r="D81" s="19">
        <v>277944</v>
      </c>
      <c r="E81" s="19">
        <v>282170</v>
      </c>
      <c r="F81" s="19">
        <v>284271</v>
      </c>
      <c r="G81" s="20">
        <v>0.19941206985993429</v>
      </c>
      <c r="H81" s="20">
        <v>0.19783775338941537</v>
      </c>
      <c r="I81" s="20">
        <v>0.19636232616136748</v>
      </c>
      <c r="J81" s="20">
        <v>0.20161307609094845</v>
      </c>
      <c r="K81" s="20">
        <v>0.20072701236471788</v>
      </c>
      <c r="L81" s="19">
        <v>247908</v>
      </c>
      <c r="M81" s="19">
        <v>248281</v>
      </c>
      <c r="N81" s="19">
        <v>249334</v>
      </c>
      <c r="O81" s="19">
        <v>254328</v>
      </c>
      <c r="P81" s="19">
        <v>257276</v>
      </c>
      <c r="Q81" s="20">
        <v>0.91478291673124179</v>
      </c>
      <c r="R81" s="20">
        <v>0.91618633622884638</v>
      </c>
      <c r="S81" s="20">
        <v>0.89706559594738511</v>
      </c>
      <c r="T81" s="20">
        <v>0.901328986072226</v>
      </c>
      <c r="U81" s="20">
        <v>0.90503779843881371</v>
      </c>
      <c r="W81" s="19">
        <v>243596</v>
      </c>
      <c r="X81" s="19">
        <v>254034</v>
      </c>
      <c r="Y81" s="19">
        <v>260017</v>
      </c>
      <c r="Z81" s="19">
        <v>271960</v>
      </c>
      <c r="AA81" s="19">
        <v>282170</v>
      </c>
      <c r="AB81" s="20">
        <v>0.19917401930122786</v>
      </c>
      <c r="AC81" s="20">
        <v>0.20206427965771392</v>
      </c>
      <c r="AD81" s="20">
        <v>0.20054575730767954</v>
      </c>
      <c r="AE81" s="20">
        <v>0.20212169813143707</v>
      </c>
      <c r="AF81" s="20">
        <v>0.20161307609094845</v>
      </c>
      <c r="AG81" s="19">
        <v>206591</v>
      </c>
      <c r="AH81" s="19">
        <v>221620</v>
      </c>
      <c r="AI81" s="19">
        <v>231896</v>
      </c>
      <c r="AJ81" s="19">
        <v>248399</v>
      </c>
      <c r="AK81" s="19">
        <v>254328</v>
      </c>
      <c r="AL81" s="20">
        <v>0.84808863856549366</v>
      </c>
      <c r="AM81" s="20">
        <v>0.87240290669752862</v>
      </c>
      <c r="AN81" s="20">
        <v>0.89184937907906026</v>
      </c>
      <c r="AO81" s="20">
        <v>0.91336593616708339</v>
      </c>
      <c r="AP81" s="20">
        <v>0.901328986072226</v>
      </c>
      <c r="AQ81" s="37"/>
    </row>
    <row r="82" spans="1:55" s="19" customFormat="1" ht="12.75" x14ac:dyDescent="0.2">
      <c r="A82" s="18" t="s">
        <v>19</v>
      </c>
      <c r="B82" s="19">
        <v>617877</v>
      </c>
      <c r="C82" s="19">
        <v>612891</v>
      </c>
      <c r="D82" s="19">
        <v>621721</v>
      </c>
      <c r="E82" s="19">
        <v>617175</v>
      </c>
      <c r="F82" s="19">
        <v>614073</v>
      </c>
      <c r="G82" s="20">
        <v>0.45465395638720973</v>
      </c>
      <c r="H82" s="20">
        <v>0.4474378713646508</v>
      </c>
      <c r="I82" s="20">
        <v>0.43923445652135518</v>
      </c>
      <c r="J82" s="20">
        <v>0.44097724859634657</v>
      </c>
      <c r="K82" s="20">
        <v>0.43360398585799959</v>
      </c>
      <c r="L82" s="19">
        <v>498552</v>
      </c>
      <c r="M82" s="19">
        <v>496318</v>
      </c>
      <c r="N82" s="19">
        <v>499866</v>
      </c>
      <c r="O82" s="19">
        <v>501528</v>
      </c>
      <c r="P82" s="19">
        <v>502217</v>
      </c>
      <c r="Q82" s="20">
        <v>0.80687903903204039</v>
      </c>
      <c r="R82" s="20">
        <v>0.80979815334211136</v>
      </c>
      <c r="S82" s="20">
        <v>0.80400372514359331</v>
      </c>
      <c r="T82" s="20">
        <v>0.81261878721594361</v>
      </c>
      <c r="U82" s="20">
        <v>0.8178457610088703</v>
      </c>
      <c r="W82" s="19">
        <v>659869</v>
      </c>
      <c r="X82" s="19">
        <v>649432</v>
      </c>
      <c r="Y82" s="19">
        <v>634247</v>
      </c>
      <c r="Z82" s="19">
        <v>621820</v>
      </c>
      <c r="AA82" s="19">
        <v>617175</v>
      </c>
      <c r="AB82" s="20">
        <v>0.53953579263322027</v>
      </c>
      <c r="AC82" s="20">
        <v>0.516572621250181</v>
      </c>
      <c r="AD82" s="20">
        <v>0.48918164941186087</v>
      </c>
      <c r="AE82" s="20">
        <v>0.46213897018712385</v>
      </c>
      <c r="AF82" s="20">
        <v>0.44097724859634657</v>
      </c>
      <c r="AG82" s="19">
        <v>461027</v>
      </c>
      <c r="AH82" s="19">
        <v>470557</v>
      </c>
      <c r="AI82" s="19">
        <v>484914</v>
      </c>
      <c r="AJ82" s="19">
        <v>497241</v>
      </c>
      <c r="AK82" s="19">
        <v>501528</v>
      </c>
      <c r="AL82" s="20">
        <v>0.69866443187966099</v>
      </c>
      <c r="AM82" s="20">
        <v>0.72456700624545756</v>
      </c>
      <c r="AN82" s="20">
        <v>0.76455071919930251</v>
      </c>
      <c r="AO82" s="20">
        <v>0.7996542407770737</v>
      </c>
      <c r="AP82" s="20">
        <v>0.81261878721594361</v>
      </c>
      <c r="AQ82" s="37"/>
    </row>
    <row r="83" spans="1:55" s="19" customFormat="1" ht="12.75" x14ac:dyDescent="0.2">
      <c r="A83" s="18" t="s">
        <v>30</v>
      </c>
      <c r="B83" s="19">
        <v>354560</v>
      </c>
      <c r="C83" s="19">
        <v>363255</v>
      </c>
      <c r="D83" s="19">
        <v>386133</v>
      </c>
      <c r="E83" s="19">
        <v>364333</v>
      </c>
      <c r="F83" s="19">
        <v>370732</v>
      </c>
      <c r="G83" s="20">
        <v>0.26089675902590498</v>
      </c>
      <c r="H83" s="20">
        <v>0.26519241425076601</v>
      </c>
      <c r="I83" s="20">
        <v>0.27279586566958564</v>
      </c>
      <c r="J83" s="20">
        <v>0.26031929989525293</v>
      </c>
      <c r="K83" s="20">
        <v>0.2617781157697992</v>
      </c>
      <c r="L83" s="19">
        <v>333615</v>
      </c>
      <c r="M83" s="19">
        <v>343604</v>
      </c>
      <c r="N83" s="19">
        <v>365574</v>
      </c>
      <c r="O83" s="19">
        <v>346975</v>
      </c>
      <c r="P83" s="19">
        <v>352983</v>
      </c>
      <c r="Q83" s="20">
        <v>0.94092678249097472</v>
      </c>
      <c r="R83" s="20">
        <v>0.94590301578780744</v>
      </c>
      <c r="S83" s="20">
        <v>0.94675668746260999</v>
      </c>
      <c r="T83" s="20">
        <v>0.95235677251305806</v>
      </c>
      <c r="U83" s="20">
        <v>0.95212444569122712</v>
      </c>
      <c r="W83" s="19">
        <v>278434</v>
      </c>
      <c r="X83" s="19">
        <v>303541</v>
      </c>
      <c r="Y83" s="19">
        <v>333394</v>
      </c>
      <c r="Z83" s="19">
        <v>345017</v>
      </c>
      <c r="AA83" s="19">
        <v>364333</v>
      </c>
      <c r="AB83" s="20">
        <v>0.22765898820226144</v>
      </c>
      <c r="AC83" s="20">
        <v>0.24144324583159002</v>
      </c>
      <c r="AD83" s="20">
        <v>0.25713992628111437</v>
      </c>
      <c r="AE83" s="20">
        <v>0.25641793618257841</v>
      </c>
      <c r="AF83" s="20">
        <v>0.26031929989525293</v>
      </c>
      <c r="AG83" s="19">
        <v>243544</v>
      </c>
      <c r="AH83" s="19">
        <v>277137</v>
      </c>
      <c r="AI83" s="19">
        <v>308810</v>
      </c>
      <c r="AJ83" s="19">
        <v>323883</v>
      </c>
      <c r="AK83" s="19">
        <v>346975</v>
      </c>
      <c r="AL83" s="20">
        <v>0.87469202755410613</v>
      </c>
      <c r="AM83" s="20">
        <v>0.91301339851947516</v>
      </c>
      <c r="AN83" s="20">
        <v>0.92626142042148329</v>
      </c>
      <c r="AO83" s="20">
        <v>0.93874504734549313</v>
      </c>
      <c r="AP83" s="20">
        <v>0.95235677251305806</v>
      </c>
      <c r="AQ83" s="37"/>
    </row>
    <row r="84" spans="1:55" s="19" customFormat="1" ht="12.75" x14ac:dyDescent="0.2">
      <c r="A84" s="18" t="s">
        <v>76</v>
      </c>
      <c r="B84" s="19">
        <v>115566</v>
      </c>
      <c r="C84" s="19">
        <v>122639</v>
      </c>
      <c r="D84" s="19">
        <v>129667</v>
      </c>
      <c r="E84" s="19">
        <v>135884</v>
      </c>
      <c r="F84" s="19">
        <v>147131</v>
      </c>
      <c r="G84" s="20">
        <v>8.5037214726950971E-2</v>
      </c>
      <c r="H84" s="20">
        <v>8.9531960995167831E-2</v>
      </c>
      <c r="I84" s="20">
        <v>9.1607351647691751E-2</v>
      </c>
      <c r="J84" s="20">
        <v>9.7090375417452038E-2</v>
      </c>
      <c r="K84" s="20">
        <v>0.10389088600748336</v>
      </c>
      <c r="L84" s="19">
        <v>105359</v>
      </c>
      <c r="M84" s="19">
        <v>112990</v>
      </c>
      <c r="N84" s="19">
        <v>116159</v>
      </c>
      <c r="O84" s="19">
        <v>122460</v>
      </c>
      <c r="P84" s="19">
        <v>134095</v>
      </c>
      <c r="Q84" s="20">
        <v>0.91167817524185313</v>
      </c>
      <c r="R84" s="20">
        <v>0.92132192858715412</v>
      </c>
      <c r="S84" s="20">
        <v>0.895825460602929</v>
      </c>
      <c r="T84" s="20">
        <v>0.90120985546495536</v>
      </c>
      <c r="U84" s="20">
        <v>0.91139868552514425</v>
      </c>
      <c r="W84" s="19">
        <v>41132</v>
      </c>
      <c r="X84" s="19">
        <v>50187</v>
      </c>
      <c r="Y84" s="19">
        <v>68889</v>
      </c>
      <c r="Z84" s="19">
        <v>106729</v>
      </c>
      <c r="AA84" s="19">
        <v>135884</v>
      </c>
      <c r="AB84" s="20">
        <v>3.3631199863290467E-2</v>
      </c>
      <c r="AC84" s="20">
        <v>3.9919853260515087E-2</v>
      </c>
      <c r="AD84" s="20">
        <v>5.3132666999345185E-2</v>
      </c>
      <c r="AE84" s="20">
        <v>7.9321395498860664E-2</v>
      </c>
      <c r="AF84" s="20">
        <v>9.7090375417452038E-2</v>
      </c>
      <c r="AG84" s="19">
        <v>25218</v>
      </c>
      <c r="AH84" s="19">
        <v>34813</v>
      </c>
      <c r="AI84" s="19">
        <v>53999</v>
      </c>
      <c r="AJ84" s="19">
        <v>96404</v>
      </c>
      <c r="AK84" s="19">
        <v>122460</v>
      </c>
      <c r="AL84" s="20">
        <v>0.61309929009044051</v>
      </c>
      <c r="AM84" s="20">
        <v>0.6936656903182099</v>
      </c>
      <c r="AN84" s="20">
        <v>0.78385518733034298</v>
      </c>
      <c r="AO84" s="20">
        <v>0.90325965763756799</v>
      </c>
      <c r="AP84" s="20">
        <v>0.90120985546495536</v>
      </c>
      <c r="AQ84" s="37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</row>
    <row r="85" spans="1:55" s="21" customFormat="1" ht="12.75" x14ac:dyDescent="0.2">
      <c r="A85" s="29" t="s">
        <v>77</v>
      </c>
      <c r="B85" s="21">
        <v>1359005</v>
      </c>
      <c r="C85" s="21">
        <v>1369779</v>
      </c>
      <c r="D85" s="21">
        <v>1415465</v>
      </c>
      <c r="E85" s="21">
        <v>1399562</v>
      </c>
      <c r="F85" s="21">
        <v>1416207</v>
      </c>
      <c r="G85" s="22">
        <v>1</v>
      </c>
      <c r="H85" s="22">
        <v>1</v>
      </c>
      <c r="I85" s="22">
        <v>1</v>
      </c>
      <c r="J85" s="22">
        <v>1</v>
      </c>
      <c r="K85" s="22">
        <v>1</v>
      </c>
      <c r="L85" s="21">
        <v>1185434</v>
      </c>
      <c r="M85" s="21">
        <v>1201193</v>
      </c>
      <c r="N85" s="21">
        <v>1230933</v>
      </c>
      <c r="O85" s="21">
        <v>1225291</v>
      </c>
      <c r="P85" s="21">
        <v>1246571</v>
      </c>
      <c r="Q85" s="22">
        <v>0.87228082310219612</v>
      </c>
      <c r="R85" s="22">
        <v>0.8769246717901209</v>
      </c>
      <c r="S85" s="22">
        <v>0.86963153451339315</v>
      </c>
      <c r="T85" s="22">
        <v>0.87548175786424609</v>
      </c>
      <c r="U85" s="22">
        <v>0.88021807546495678</v>
      </c>
      <c r="W85" s="21">
        <v>1223031</v>
      </c>
      <c r="X85" s="21">
        <v>1257194</v>
      </c>
      <c r="Y85" s="21">
        <v>1296547</v>
      </c>
      <c r="Z85" s="21">
        <v>1345526</v>
      </c>
      <c r="AA85" s="21">
        <v>1399562</v>
      </c>
      <c r="AB85" s="22">
        <v>1</v>
      </c>
      <c r="AC85" s="22">
        <v>1</v>
      </c>
      <c r="AD85" s="22">
        <v>1</v>
      </c>
      <c r="AE85" s="22">
        <v>1</v>
      </c>
      <c r="AF85" s="22">
        <v>1</v>
      </c>
      <c r="AG85" s="21">
        <v>936380</v>
      </c>
      <c r="AH85" s="21">
        <v>1004127</v>
      </c>
      <c r="AI85" s="21">
        <v>1079619</v>
      </c>
      <c r="AJ85" s="21">
        <v>1165927</v>
      </c>
      <c r="AK85" s="21">
        <v>1225291</v>
      </c>
      <c r="AL85" s="22">
        <v>0.76562245764825254</v>
      </c>
      <c r="AM85" s="22">
        <v>0.7987048935963742</v>
      </c>
      <c r="AN85" s="22">
        <v>0.83268790101708612</v>
      </c>
      <c r="AO85" s="22">
        <v>0.86652134555556715</v>
      </c>
      <c r="AP85" s="22">
        <v>0.87548175786424609</v>
      </c>
      <c r="AQ85" s="37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</row>
    <row r="86" spans="1:55" s="19" customFormat="1" ht="12.75" x14ac:dyDescent="0.2">
      <c r="A86" s="18"/>
      <c r="AB86" s="20"/>
      <c r="AC86" s="20"/>
      <c r="AD86" s="20"/>
      <c r="AE86" s="20"/>
      <c r="AF86" s="20"/>
      <c r="AL86" s="20"/>
      <c r="AM86" s="20"/>
      <c r="AN86" s="20"/>
      <c r="AO86" s="20"/>
      <c r="AP86" s="20"/>
      <c r="AQ86" s="37"/>
    </row>
    <row r="87" spans="1:55" s="19" customFormat="1" ht="12.75" x14ac:dyDescent="0.2">
      <c r="A87" s="9" t="s">
        <v>68</v>
      </c>
      <c r="B87" s="9" t="s">
        <v>10</v>
      </c>
      <c r="C87" s="9" t="s">
        <v>11</v>
      </c>
      <c r="D87" s="9" t="s">
        <v>12</v>
      </c>
      <c r="E87" s="9" t="s">
        <v>164</v>
      </c>
      <c r="F87" s="9" t="s">
        <v>195</v>
      </c>
      <c r="G87" s="9" t="s">
        <v>10</v>
      </c>
      <c r="H87" s="9" t="s">
        <v>11</v>
      </c>
      <c r="I87" s="9" t="s">
        <v>12</v>
      </c>
      <c r="J87" s="9" t="s">
        <v>164</v>
      </c>
      <c r="K87" s="9" t="s">
        <v>195</v>
      </c>
      <c r="L87" s="9" t="s">
        <v>10</v>
      </c>
      <c r="M87" s="9" t="s">
        <v>11</v>
      </c>
      <c r="N87" s="9" t="s">
        <v>12</v>
      </c>
      <c r="O87" s="9" t="s">
        <v>164</v>
      </c>
      <c r="P87" s="9" t="s">
        <v>195</v>
      </c>
      <c r="Q87" s="9" t="s">
        <v>10</v>
      </c>
      <c r="R87" s="9" t="s">
        <v>11</v>
      </c>
      <c r="S87" s="9" t="s">
        <v>12</v>
      </c>
      <c r="T87" s="9" t="s">
        <v>164</v>
      </c>
      <c r="U87" s="9" t="s">
        <v>195</v>
      </c>
      <c r="V87" s="9"/>
      <c r="W87" s="9" t="s">
        <v>13</v>
      </c>
      <c r="X87" s="9" t="s">
        <v>14</v>
      </c>
      <c r="Y87" s="9" t="s">
        <v>15</v>
      </c>
      <c r="Z87" s="9" t="s">
        <v>16</v>
      </c>
      <c r="AA87" s="9" t="s">
        <v>165</v>
      </c>
      <c r="AB87" s="9" t="s">
        <v>13</v>
      </c>
      <c r="AC87" s="9" t="s">
        <v>14</v>
      </c>
      <c r="AD87" s="9" t="s">
        <v>15</v>
      </c>
      <c r="AE87" s="9" t="s">
        <v>16</v>
      </c>
      <c r="AF87" s="9" t="s">
        <v>165</v>
      </c>
      <c r="AG87" s="9" t="s">
        <v>13</v>
      </c>
      <c r="AH87" s="9" t="s">
        <v>14</v>
      </c>
      <c r="AI87" s="9" t="s">
        <v>15</v>
      </c>
      <c r="AJ87" s="9" t="s">
        <v>16</v>
      </c>
      <c r="AK87" s="9" t="s">
        <v>165</v>
      </c>
      <c r="AL87" s="9" t="s">
        <v>13</v>
      </c>
      <c r="AM87" s="9" t="s">
        <v>14</v>
      </c>
      <c r="AN87" s="9" t="s">
        <v>15</v>
      </c>
      <c r="AO87" s="9" t="s">
        <v>16</v>
      </c>
      <c r="AP87" s="9" t="s">
        <v>165</v>
      </c>
      <c r="AQ87" s="37"/>
    </row>
    <row r="88" spans="1:55" s="19" customFormat="1" ht="12.75" x14ac:dyDescent="0.2">
      <c r="A88" s="18" t="s">
        <v>43</v>
      </c>
      <c r="B88" s="19">
        <v>102969</v>
      </c>
      <c r="C88" s="19">
        <v>102987</v>
      </c>
      <c r="D88" s="19">
        <v>104970</v>
      </c>
      <c r="E88" s="19">
        <v>104800</v>
      </c>
      <c r="F88" s="19">
        <v>104149</v>
      </c>
      <c r="G88" s="20">
        <v>0.54009158095158172</v>
      </c>
      <c r="H88" s="20">
        <v>0.53715439140027221</v>
      </c>
      <c r="I88" s="20">
        <v>0.53564321069551457</v>
      </c>
      <c r="J88" s="20">
        <v>0.53469387755102038</v>
      </c>
      <c r="K88" s="20">
        <v>0.53329066284339077</v>
      </c>
      <c r="L88" s="19">
        <v>78745</v>
      </c>
      <c r="M88" s="19">
        <v>79239</v>
      </c>
      <c r="N88" s="19">
        <v>79346</v>
      </c>
      <c r="O88" s="19">
        <v>79879</v>
      </c>
      <c r="P88" s="19">
        <v>80103</v>
      </c>
      <c r="Q88" s="20">
        <v>0.76474472899610557</v>
      </c>
      <c r="R88" s="20">
        <v>0.76940778933263421</v>
      </c>
      <c r="S88" s="20">
        <v>0.75589215966466605</v>
      </c>
      <c r="T88" s="20">
        <v>0.76220419847328247</v>
      </c>
      <c r="U88" s="20">
        <v>0.76911924262354892</v>
      </c>
      <c r="W88" s="19">
        <v>0</v>
      </c>
      <c r="X88" s="19">
        <v>98509</v>
      </c>
      <c r="Y88" s="19">
        <v>100873</v>
      </c>
      <c r="Z88" s="19">
        <v>103122</v>
      </c>
      <c r="AA88" s="19">
        <v>104800</v>
      </c>
      <c r="AB88" s="20">
        <v>0</v>
      </c>
      <c r="AC88" s="20">
        <v>0.55108080288214101</v>
      </c>
      <c r="AD88" s="20">
        <v>0.54066816386255101</v>
      </c>
      <c r="AE88" s="20">
        <v>0.54382930250709305</v>
      </c>
      <c r="AF88" s="20">
        <v>0.53469387755102038</v>
      </c>
      <c r="AG88" s="19">
        <v>0</v>
      </c>
      <c r="AH88" s="19">
        <v>67587</v>
      </c>
      <c r="AI88" s="19">
        <v>72109</v>
      </c>
      <c r="AJ88" s="19">
        <v>78310</v>
      </c>
      <c r="AK88" s="19">
        <v>79879</v>
      </c>
      <c r="AL88" s="20">
        <v>0</v>
      </c>
      <c r="AM88" s="20">
        <v>0.68609974723121747</v>
      </c>
      <c r="AN88" s="20">
        <v>0.71484936504317309</v>
      </c>
      <c r="AO88" s="20">
        <v>0.75939178836717669</v>
      </c>
      <c r="AP88" s="20">
        <v>0.76220419847328247</v>
      </c>
      <c r="AQ88" s="37"/>
    </row>
    <row r="89" spans="1:55" s="19" customFormat="1" ht="12.75" x14ac:dyDescent="0.2">
      <c r="A89" s="18" t="s">
        <v>19</v>
      </c>
      <c r="B89" s="19">
        <v>78431</v>
      </c>
      <c r="C89" s="19">
        <v>78873</v>
      </c>
      <c r="D89" s="19">
        <v>79879</v>
      </c>
      <c r="E89" s="19">
        <v>79873</v>
      </c>
      <c r="F89" s="19">
        <v>79920</v>
      </c>
      <c r="G89" s="20">
        <v>0.41138520123156974</v>
      </c>
      <c r="H89" s="20">
        <v>0.41138180850897371</v>
      </c>
      <c r="I89" s="20">
        <v>0.4076083073939889</v>
      </c>
      <c r="J89" s="20">
        <v>0.40751530612244896</v>
      </c>
      <c r="K89" s="20">
        <v>0.40922706674518039</v>
      </c>
      <c r="L89" s="19">
        <v>65392</v>
      </c>
      <c r="M89" s="19">
        <v>66087</v>
      </c>
      <c r="N89" s="19">
        <v>66948</v>
      </c>
      <c r="O89" s="19">
        <v>67784</v>
      </c>
      <c r="P89" s="19">
        <v>68828</v>
      </c>
      <c r="Q89" s="20">
        <v>0.83375196032181154</v>
      </c>
      <c r="R89" s="20">
        <v>0.83789129359856984</v>
      </c>
      <c r="S89" s="20">
        <v>0.838117652950087</v>
      </c>
      <c r="T89" s="20">
        <v>0.84864722747361432</v>
      </c>
      <c r="U89" s="20">
        <v>0.86121121121121125</v>
      </c>
      <c r="W89" s="19">
        <v>0</v>
      </c>
      <c r="X89" s="19">
        <v>74648</v>
      </c>
      <c r="Y89" s="19">
        <v>77559</v>
      </c>
      <c r="Z89" s="19">
        <v>78024</v>
      </c>
      <c r="AA89" s="19">
        <v>79873</v>
      </c>
      <c r="AB89" s="20">
        <v>0</v>
      </c>
      <c r="AC89" s="20">
        <v>0.41759717156347198</v>
      </c>
      <c r="AD89" s="20">
        <v>0.41570769304983091</v>
      </c>
      <c r="AE89" s="20">
        <v>0.41147124278828406</v>
      </c>
      <c r="AF89" s="20">
        <v>0.40751530612244896</v>
      </c>
      <c r="AG89" s="19">
        <v>0</v>
      </c>
      <c r="AH89" s="19">
        <v>54459</v>
      </c>
      <c r="AI89" s="19">
        <v>58913</v>
      </c>
      <c r="AJ89" s="19">
        <v>64434</v>
      </c>
      <c r="AK89" s="19">
        <v>67784</v>
      </c>
      <c r="AL89" s="20">
        <v>0</v>
      </c>
      <c r="AM89" s="20">
        <v>0.72954399314114238</v>
      </c>
      <c r="AN89" s="20">
        <v>0.75958947381993058</v>
      </c>
      <c r="AO89" s="20">
        <v>0.82582282374653948</v>
      </c>
      <c r="AP89" s="20">
        <v>0.84864722747361432</v>
      </c>
      <c r="AQ89" s="37"/>
    </row>
    <row r="90" spans="1:55" s="19" customFormat="1" ht="12.75" x14ac:dyDescent="0.2">
      <c r="A90" s="18" t="s">
        <v>76</v>
      </c>
      <c r="B90" s="19">
        <v>9251</v>
      </c>
      <c r="C90" s="19">
        <v>9867</v>
      </c>
      <c r="D90" s="19">
        <v>11121</v>
      </c>
      <c r="E90" s="19">
        <v>11327</v>
      </c>
      <c r="F90" s="19">
        <v>11226</v>
      </c>
      <c r="G90" s="20">
        <v>4.8523217816848589E-2</v>
      </c>
      <c r="H90" s="20">
        <v>5.146380009075404E-2</v>
      </c>
      <c r="I90" s="20">
        <v>5.6748481910496508E-2</v>
      </c>
      <c r="J90" s="20">
        <v>5.779081632653061E-2</v>
      </c>
      <c r="K90" s="20">
        <v>5.7482270411428865E-2</v>
      </c>
      <c r="L90" s="19">
        <v>504</v>
      </c>
      <c r="M90" s="19">
        <v>1103</v>
      </c>
      <c r="N90" s="19">
        <v>1775</v>
      </c>
      <c r="O90" s="19">
        <v>2288</v>
      </c>
      <c r="P90" s="19">
        <v>2917</v>
      </c>
      <c r="Q90" s="20">
        <v>5.4480596692249486E-2</v>
      </c>
      <c r="R90" s="20">
        <v>0.11178676396067701</v>
      </c>
      <c r="S90" s="20">
        <v>0.15960794892545635</v>
      </c>
      <c r="T90" s="20">
        <v>0.20199523262999911</v>
      </c>
      <c r="U90" s="20">
        <v>0.25984322109388919</v>
      </c>
      <c r="W90" s="19">
        <v>0</v>
      </c>
      <c r="X90" s="19">
        <v>5599</v>
      </c>
      <c r="Y90" s="19">
        <v>8139</v>
      </c>
      <c r="Z90" s="19">
        <v>8476</v>
      </c>
      <c r="AA90" s="19">
        <v>11327</v>
      </c>
      <c r="AB90" s="20">
        <v>0</v>
      </c>
      <c r="AC90" s="20">
        <v>3.1322025554386984E-2</v>
      </c>
      <c r="AD90" s="20">
        <v>4.3624143087618118E-2</v>
      </c>
      <c r="AE90" s="20">
        <v>4.469945470462288E-2</v>
      </c>
      <c r="AF90" s="20">
        <v>5.779081632653061E-2</v>
      </c>
      <c r="AG90" s="19">
        <v>0</v>
      </c>
      <c r="AH90" s="19">
        <v>0</v>
      </c>
      <c r="AI90" s="19">
        <v>0</v>
      </c>
      <c r="AJ90" s="19">
        <v>0</v>
      </c>
      <c r="AK90" s="19">
        <v>2288</v>
      </c>
      <c r="AL90" s="20">
        <v>0</v>
      </c>
      <c r="AM90" s="20">
        <v>0</v>
      </c>
      <c r="AN90" s="20">
        <v>0</v>
      </c>
      <c r="AO90" s="20">
        <v>0</v>
      </c>
      <c r="AP90" s="20">
        <v>0.20199523262999911</v>
      </c>
      <c r="AQ90" s="37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</row>
    <row r="91" spans="1:55" s="21" customFormat="1" ht="12.75" x14ac:dyDescent="0.2">
      <c r="A91" s="29" t="s">
        <v>77</v>
      </c>
      <c r="B91" s="21">
        <v>190651</v>
      </c>
      <c r="C91" s="21">
        <v>191727</v>
      </c>
      <c r="D91" s="21">
        <v>195970</v>
      </c>
      <c r="E91" s="21">
        <v>196000</v>
      </c>
      <c r="F91" s="21">
        <v>195295</v>
      </c>
      <c r="G91" s="22">
        <v>1</v>
      </c>
      <c r="H91" s="22">
        <v>1</v>
      </c>
      <c r="I91" s="22">
        <v>1</v>
      </c>
      <c r="J91" s="22">
        <v>1</v>
      </c>
      <c r="K91" s="22">
        <v>1</v>
      </c>
      <c r="L91" s="21">
        <v>144641</v>
      </c>
      <c r="M91" s="21">
        <v>146429</v>
      </c>
      <c r="N91" s="21">
        <v>148069</v>
      </c>
      <c r="O91" s="21">
        <v>149951</v>
      </c>
      <c r="P91" s="21">
        <v>151848</v>
      </c>
      <c r="Q91" s="22">
        <v>0.75866898154218965</v>
      </c>
      <c r="R91" s="22">
        <v>0.76373698018536773</v>
      </c>
      <c r="S91" s="22">
        <v>0.75556973006072359</v>
      </c>
      <c r="T91" s="22">
        <v>0.76505612244897958</v>
      </c>
      <c r="U91" s="22">
        <v>0.77753142681584275</v>
      </c>
      <c r="W91" s="21">
        <v>0</v>
      </c>
      <c r="X91" s="21">
        <v>178756</v>
      </c>
      <c r="Y91" s="21">
        <v>186571</v>
      </c>
      <c r="Z91" s="21">
        <v>189622</v>
      </c>
      <c r="AA91" s="21">
        <v>196000</v>
      </c>
      <c r="AB91" s="22">
        <v>0</v>
      </c>
      <c r="AC91" s="22">
        <v>1</v>
      </c>
      <c r="AD91" s="22">
        <v>1</v>
      </c>
      <c r="AE91" s="22">
        <v>1</v>
      </c>
      <c r="AF91" s="22">
        <v>1</v>
      </c>
      <c r="AG91" s="21">
        <v>0</v>
      </c>
      <c r="AH91" s="21">
        <v>122046</v>
      </c>
      <c r="AI91" s="21">
        <v>131022</v>
      </c>
      <c r="AJ91" s="21">
        <v>142744</v>
      </c>
      <c r="AK91" s="21">
        <v>149951</v>
      </c>
      <c r="AL91" s="22">
        <v>0</v>
      </c>
      <c r="AM91" s="22">
        <v>0.68275190762827542</v>
      </c>
      <c r="AN91" s="22">
        <v>0.70226348146282114</v>
      </c>
      <c r="AO91" s="22">
        <v>0.75278185020725441</v>
      </c>
      <c r="AP91" s="22">
        <v>0.76505612244897958</v>
      </c>
      <c r="AQ91" s="37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</row>
    <row r="92" spans="1:55" s="19" customFormat="1" ht="12.75" x14ac:dyDescent="0.2">
      <c r="A92" s="18"/>
      <c r="AB92" s="20"/>
      <c r="AC92" s="20"/>
      <c r="AD92" s="20"/>
      <c r="AE92" s="20"/>
      <c r="AF92" s="20"/>
      <c r="AL92" s="20"/>
      <c r="AM92" s="20"/>
      <c r="AN92" s="20"/>
      <c r="AO92" s="20"/>
      <c r="AP92" s="20"/>
      <c r="AQ92" s="37"/>
    </row>
    <row r="93" spans="1:55" s="19" customFormat="1" ht="12.75" x14ac:dyDescent="0.2">
      <c r="A93" s="9" t="s">
        <v>70</v>
      </c>
      <c r="B93" s="9" t="s">
        <v>10</v>
      </c>
      <c r="C93" s="9" t="s">
        <v>11</v>
      </c>
      <c r="D93" s="9" t="s">
        <v>12</v>
      </c>
      <c r="E93" s="9" t="s">
        <v>164</v>
      </c>
      <c r="F93" s="9" t="s">
        <v>195</v>
      </c>
      <c r="G93" s="9" t="s">
        <v>10</v>
      </c>
      <c r="H93" s="9" t="s">
        <v>11</v>
      </c>
      <c r="I93" s="9" t="s">
        <v>12</v>
      </c>
      <c r="J93" s="9" t="s">
        <v>164</v>
      </c>
      <c r="K93" s="9" t="s">
        <v>195</v>
      </c>
      <c r="L93" s="9" t="s">
        <v>10</v>
      </c>
      <c r="M93" s="9" t="s">
        <v>11</v>
      </c>
      <c r="N93" s="9" t="s">
        <v>12</v>
      </c>
      <c r="O93" s="9" t="s">
        <v>164</v>
      </c>
      <c r="P93" s="9" t="s">
        <v>195</v>
      </c>
      <c r="Q93" s="9" t="s">
        <v>10</v>
      </c>
      <c r="R93" s="9" t="s">
        <v>11</v>
      </c>
      <c r="S93" s="9" t="s">
        <v>12</v>
      </c>
      <c r="T93" s="9" t="s">
        <v>164</v>
      </c>
      <c r="U93" s="9" t="s">
        <v>195</v>
      </c>
      <c r="V93" s="9"/>
      <c r="W93" s="9" t="s">
        <v>13</v>
      </c>
      <c r="X93" s="9" t="s">
        <v>14</v>
      </c>
      <c r="Y93" s="9" t="s">
        <v>15</v>
      </c>
      <c r="Z93" s="9" t="s">
        <v>16</v>
      </c>
      <c r="AA93" s="9" t="s">
        <v>165</v>
      </c>
      <c r="AB93" s="9" t="s">
        <v>13</v>
      </c>
      <c r="AC93" s="9" t="s">
        <v>14</v>
      </c>
      <c r="AD93" s="9" t="s">
        <v>15</v>
      </c>
      <c r="AE93" s="9" t="s">
        <v>16</v>
      </c>
      <c r="AF93" s="9" t="s">
        <v>165</v>
      </c>
      <c r="AG93" s="9" t="s">
        <v>13</v>
      </c>
      <c r="AH93" s="9" t="s">
        <v>14</v>
      </c>
      <c r="AI93" s="9" t="s">
        <v>15</v>
      </c>
      <c r="AJ93" s="9" t="s">
        <v>16</v>
      </c>
      <c r="AK93" s="9" t="s">
        <v>165</v>
      </c>
      <c r="AL93" s="9" t="s">
        <v>13</v>
      </c>
      <c r="AM93" s="9" t="s">
        <v>14</v>
      </c>
      <c r="AN93" s="9" t="s">
        <v>15</v>
      </c>
      <c r="AO93" s="9" t="s">
        <v>16</v>
      </c>
      <c r="AP93" s="9" t="s">
        <v>165</v>
      </c>
      <c r="AQ93" s="37"/>
    </row>
    <row r="94" spans="1:55" s="19" customFormat="1" ht="12.75" x14ac:dyDescent="0.2">
      <c r="A94" s="18" t="s">
        <v>19</v>
      </c>
      <c r="B94" s="19">
        <v>126138</v>
      </c>
      <c r="C94" s="19">
        <v>125822</v>
      </c>
      <c r="D94" s="19">
        <v>126562</v>
      </c>
      <c r="E94" s="19">
        <v>125739</v>
      </c>
      <c r="F94" s="19">
        <v>124923</v>
      </c>
      <c r="G94" s="20">
        <v>0.29540376860061546</v>
      </c>
      <c r="H94" s="20">
        <v>0.29346581301239666</v>
      </c>
      <c r="I94" s="20">
        <v>0.2911887796539197</v>
      </c>
      <c r="J94" s="20">
        <v>0.28979064107528069</v>
      </c>
      <c r="K94" s="20">
        <v>0.28682259534693633</v>
      </c>
      <c r="L94" s="19">
        <v>117425</v>
      </c>
      <c r="M94" s="19">
        <v>116767</v>
      </c>
      <c r="N94" s="19">
        <v>117071</v>
      </c>
      <c r="O94" s="19">
        <v>116877</v>
      </c>
      <c r="P94" s="19">
        <v>116770</v>
      </c>
      <c r="Q94" s="20">
        <v>0.93092486007388731</v>
      </c>
      <c r="R94" s="20">
        <v>0.92803325332612741</v>
      </c>
      <c r="S94" s="20">
        <v>0.92500908645565016</v>
      </c>
      <c r="T94" s="20">
        <v>0.9295206737766325</v>
      </c>
      <c r="U94" s="20">
        <v>0.93473579725110667</v>
      </c>
      <c r="W94" s="19">
        <v>127552</v>
      </c>
      <c r="X94" s="19">
        <v>128859</v>
      </c>
      <c r="Y94" s="19">
        <v>128326</v>
      </c>
      <c r="Z94" s="19">
        <v>126745</v>
      </c>
      <c r="AA94" s="19">
        <v>125739</v>
      </c>
      <c r="AB94" s="20">
        <v>0.31285979538726066</v>
      </c>
      <c r="AC94" s="20">
        <v>0.31188417162233789</v>
      </c>
      <c r="AD94" s="20">
        <v>0.30681062884631016</v>
      </c>
      <c r="AE94" s="20">
        <v>0.29803839497347528</v>
      </c>
      <c r="AF94" s="20">
        <v>0.28979064107528069</v>
      </c>
      <c r="AG94" s="19">
        <v>119725</v>
      </c>
      <c r="AH94" s="19">
        <v>120052</v>
      </c>
      <c r="AI94" s="19">
        <v>119464</v>
      </c>
      <c r="AJ94" s="19">
        <v>118066</v>
      </c>
      <c r="AK94" s="19">
        <v>116877</v>
      </c>
      <c r="AL94" s="20">
        <v>0.9386367912694431</v>
      </c>
      <c r="AM94" s="20">
        <v>0.93165397837946906</v>
      </c>
      <c r="AN94" s="20">
        <v>0.93094150834593148</v>
      </c>
      <c r="AO94" s="20">
        <v>0.93152392599313583</v>
      </c>
      <c r="AP94" s="20">
        <v>0.9295206737766325</v>
      </c>
      <c r="AQ94" s="37"/>
    </row>
    <row r="95" spans="1:55" s="19" customFormat="1" ht="12.75" x14ac:dyDescent="0.2">
      <c r="A95" s="18" t="s">
        <v>43</v>
      </c>
      <c r="B95" s="19">
        <v>183388</v>
      </c>
      <c r="C95" s="19">
        <v>182832</v>
      </c>
      <c r="D95" s="19">
        <v>184325</v>
      </c>
      <c r="E95" s="19">
        <v>183893</v>
      </c>
      <c r="F95" s="19">
        <v>184499</v>
      </c>
      <c r="G95" s="20">
        <v>0.4294780820698732</v>
      </c>
      <c r="H95" s="20">
        <v>0.42643529370604905</v>
      </c>
      <c r="I95" s="20">
        <v>0.42408757612639453</v>
      </c>
      <c r="J95" s="20">
        <v>0.4238181499714217</v>
      </c>
      <c r="K95" s="20">
        <v>0.42360879917160499</v>
      </c>
      <c r="L95" s="19">
        <v>147420</v>
      </c>
      <c r="M95" s="19">
        <v>147782</v>
      </c>
      <c r="N95" s="19">
        <v>148431</v>
      </c>
      <c r="O95" s="19">
        <v>149183</v>
      </c>
      <c r="P95" s="19">
        <v>150970</v>
      </c>
      <c r="Q95" s="20">
        <v>0.80386939167230131</v>
      </c>
      <c r="R95" s="20">
        <v>0.80829395291852635</v>
      </c>
      <c r="S95" s="20">
        <v>0.80526786925267868</v>
      </c>
      <c r="T95" s="20">
        <v>0.811248932803315</v>
      </c>
      <c r="U95" s="20">
        <v>0.81827001772367325</v>
      </c>
      <c r="W95" s="19">
        <v>178282</v>
      </c>
      <c r="X95" s="19">
        <v>177166</v>
      </c>
      <c r="Y95" s="19">
        <v>180724</v>
      </c>
      <c r="Z95" s="19">
        <v>182263</v>
      </c>
      <c r="AA95" s="19">
        <v>183893</v>
      </c>
      <c r="AB95" s="20">
        <v>0.4372904387326863</v>
      </c>
      <c r="AC95" s="20">
        <v>0.42880412815281138</v>
      </c>
      <c r="AD95" s="20">
        <v>0.43208737190920438</v>
      </c>
      <c r="AE95" s="20">
        <v>0.42858788893487337</v>
      </c>
      <c r="AF95" s="20">
        <v>0.4238181499714217</v>
      </c>
      <c r="AG95" s="19">
        <v>121953</v>
      </c>
      <c r="AH95" s="19">
        <v>127819</v>
      </c>
      <c r="AI95" s="19">
        <v>136473</v>
      </c>
      <c r="AJ95" s="19">
        <v>144849</v>
      </c>
      <c r="AK95" s="19">
        <v>149183</v>
      </c>
      <c r="AL95" s="20">
        <v>0.68404550094793637</v>
      </c>
      <c r="AM95" s="20">
        <v>0.7214646151067361</v>
      </c>
      <c r="AN95" s="20">
        <v>0.75514596843806026</v>
      </c>
      <c r="AO95" s="20">
        <v>0.79472520478648989</v>
      </c>
      <c r="AP95" s="20">
        <v>0.811248932803315</v>
      </c>
      <c r="AQ95" s="37"/>
    </row>
    <row r="96" spans="1:55" s="19" customFormat="1" ht="12.75" x14ac:dyDescent="0.2">
      <c r="A96" s="18" t="s">
        <v>30</v>
      </c>
      <c r="B96" s="19">
        <v>48546</v>
      </c>
      <c r="C96" s="19">
        <v>47461</v>
      </c>
      <c r="D96" s="19">
        <v>48528</v>
      </c>
      <c r="E96" s="19">
        <v>45460</v>
      </c>
      <c r="F96" s="19">
        <v>43899</v>
      </c>
      <c r="G96" s="20">
        <v>0.11369033400311943</v>
      </c>
      <c r="H96" s="20">
        <v>0.1106975008454909</v>
      </c>
      <c r="I96" s="20">
        <v>0.11165127841726122</v>
      </c>
      <c r="J96" s="20">
        <v>0.10477165034939248</v>
      </c>
      <c r="K96" s="20">
        <v>0.10079188870852572</v>
      </c>
      <c r="L96" s="19">
        <v>47839</v>
      </c>
      <c r="M96" s="19">
        <v>46736</v>
      </c>
      <c r="N96" s="19">
        <v>47737</v>
      </c>
      <c r="O96" s="19">
        <v>44728</v>
      </c>
      <c r="P96" s="19">
        <v>43098</v>
      </c>
      <c r="Q96" s="20">
        <v>0.98543649322292259</v>
      </c>
      <c r="R96" s="20">
        <v>0.98472429995153921</v>
      </c>
      <c r="S96" s="20">
        <v>0.98370013188262451</v>
      </c>
      <c r="T96" s="20">
        <v>0.98389793224813027</v>
      </c>
      <c r="U96" s="20">
        <v>0.98175357069637126</v>
      </c>
      <c r="W96" s="19">
        <v>53583</v>
      </c>
      <c r="X96" s="19">
        <v>54894</v>
      </c>
      <c r="Y96" s="19">
        <v>54980</v>
      </c>
      <c r="Z96" s="19">
        <v>50408</v>
      </c>
      <c r="AA96" s="19">
        <v>45460</v>
      </c>
      <c r="AB96" s="20">
        <v>0.13142848733250428</v>
      </c>
      <c r="AC96" s="20">
        <v>0.13286281685436499</v>
      </c>
      <c r="AD96" s="20">
        <v>0.13144996628875</v>
      </c>
      <c r="AE96" s="20">
        <v>0.11853342864667595</v>
      </c>
      <c r="AF96" s="20">
        <v>0.10477165034939248</v>
      </c>
      <c r="AG96" s="19">
        <v>52769</v>
      </c>
      <c r="AH96" s="19">
        <v>54120</v>
      </c>
      <c r="AI96" s="19">
        <v>54188</v>
      </c>
      <c r="AJ96" s="19">
        <v>49713</v>
      </c>
      <c r="AK96" s="19">
        <v>44728</v>
      </c>
      <c r="AL96" s="20">
        <v>0.98480861467256409</v>
      </c>
      <c r="AM96" s="20">
        <v>0.98590009837140669</v>
      </c>
      <c r="AN96" s="20">
        <v>0.9855947617315387</v>
      </c>
      <c r="AO96" s="20">
        <v>0.98621250595143628</v>
      </c>
      <c r="AP96" s="20">
        <v>0.98389793224813027</v>
      </c>
      <c r="AQ96" s="37"/>
    </row>
    <row r="97" spans="1:55" s="19" customFormat="1" ht="12.75" x14ac:dyDescent="0.2">
      <c r="A97" s="18" t="s">
        <v>76</v>
      </c>
      <c r="B97" s="19">
        <v>68930</v>
      </c>
      <c r="C97" s="19">
        <v>72630</v>
      </c>
      <c r="D97" s="19">
        <v>75224</v>
      </c>
      <c r="E97" s="19">
        <v>78804</v>
      </c>
      <c r="F97" s="19">
        <v>82220</v>
      </c>
      <c r="G97" s="20">
        <v>0.16142781532639192</v>
      </c>
      <c r="H97" s="20">
        <v>0.16940139243606339</v>
      </c>
      <c r="I97" s="20">
        <v>0.17307236580242455</v>
      </c>
      <c r="J97" s="20">
        <v>0.18161955860390508</v>
      </c>
      <c r="K97" s="20">
        <v>0.18877671677293298</v>
      </c>
      <c r="L97" s="19">
        <v>68029</v>
      </c>
      <c r="M97" s="19">
        <v>71660</v>
      </c>
      <c r="N97" s="19">
        <v>73866</v>
      </c>
      <c r="O97" s="19">
        <v>77645</v>
      </c>
      <c r="P97" s="19">
        <v>80928</v>
      </c>
      <c r="Q97" s="20">
        <v>0.98692876831568255</v>
      </c>
      <c r="R97" s="20">
        <v>0.98664463720225803</v>
      </c>
      <c r="S97" s="20">
        <v>0.98194725087737955</v>
      </c>
      <c r="T97" s="20">
        <v>0.9852926247398609</v>
      </c>
      <c r="U97" s="20">
        <v>0.98428606178545364</v>
      </c>
      <c r="W97" s="19">
        <v>48280</v>
      </c>
      <c r="X97" s="19">
        <v>52244</v>
      </c>
      <c r="Y97" s="19">
        <v>54228</v>
      </c>
      <c r="Z97" s="19">
        <v>65848</v>
      </c>
      <c r="AA97" s="19">
        <v>78804</v>
      </c>
      <c r="AB97" s="20">
        <v>0.11842127854754879</v>
      </c>
      <c r="AC97" s="20">
        <v>0.12644888337048574</v>
      </c>
      <c r="AD97" s="20">
        <v>0.12965203295573546</v>
      </c>
      <c r="AE97" s="20">
        <v>0.15484028744497536</v>
      </c>
      <c r="AF97" s="20">
        <v>0.18161955860390508</v>
      </c>
      <c r="AG97" s="19">
        <v>47199</v>
      </c>
      <c r="AH97" s="19">
        <v>51044</v>
      </c>
      <c r="AI97" s="19">
        <v>53431</v>
      </c>
      <c r="AJ97" s="19">
        <v>64829</v>
      </c>
      <c r="AK97" s="19">
        <v>77645</v>
      </c>
      <c r="AL97" s="20">
        <v>0.9776097763048881</v>
      </c>
      <c r="AM97" s="20">
        <v>0.97703085521782407</v>
      </c>
      <c r="AN97" s="20">
        <v>0.98530279560374712</v>
      </c>
      <c r="AO97" s="20">
        <v>0.98452496658972177</v>
      </c>
      <c r="AP97" s="20">
        <v>0.9852926247398609</v>
      </c>
      <c r="AQ97" s="37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</row>
    <row r="98" spans="1:55" s="21" customFormat="1" ht="12.75" x14ac:dyDescent="0.2">
      <c r="A98" s="29" t="s">
        <v>77</v>
      </c>
      <c r="B98" s="21">
        <v>427002</v>
      </c>
      <c r="C98" s="21">
        <v>428745</v>
      </c>
      <c r="D98" s="21">
        <v>434639</v>
      </c>
      <c r="E98" s="21">
        <v>433896</v>
      </c>
      <c r="F98" s="21">
        <v>435541</v>
      </c>
      <c r="G98" s="22">
        <v>1</v>
      </c>
      <c r="H98" s="22">
        <v>1</v>
      </c>
      <c r="I98" s="22">
        <v>1</v>
      </c>
      <c r="J98" s="22">
        <v>1</v>
      </c>
      <c r="K98" s="22">
        <v>1</v>
      </c>
      <c r="L98" s="21">
        <v>380713</v>
      </c>
      <c r="M98" s="21">
        <v>382945</v>
      </c>
      <c r="N98" s="21">
        <v>387105</v>
      </c>
      <c r="O98" s="21">
        <v>388433</v>
      </c>
      <c r="P98" s="21">
        <v>391766</v>
      </c>
      <c r="Q98" s="22">
        <v>0.89159535552526681</v>
      </c>
      <c r="R98" s="22">
        <v>0.89317659681162465</v>
      </c>
      <c r="S98" s="22">
        <v>0.89063567696410129</v>
      </c>
      <c r="T98" s="22">
        <v>0.89522143555137634</v>
      </c>
      <c r="U98" s="22">
        <v>0.89949281468334785</v>
      </c>
      <c r="W98" s="21">
        <v>407697</v>
      </c>
      <c r="X98" s="21">
        <v>413163</v>
      </c>
      <c r="Y98" s="21">
        <v>418258</v>
      </c>
      <c r="Z98" s="21">
        <v>425264</v>
      </c>
      <c r="AA98" s="21">
        <v>433896</v>
      </c>
      <c r="AB98" s="22">
        <v>1</v>
      </c>
      <c r="AC98" s="22">
        <v>1</v>
      </c>
      <c r="AD98" s="22">
        <v>1</v>
      </c>
      <c r="AE98" s="22">
        <v>1</v>
      </c>
      <c r="AF98" s="22">
        <v>1</v>
      </c>
      <c r="AG98" s="21">
        <v>341646</v>
      </c>
      <c r="AH98" s="21">
        <v>353035</v>
      </c>
      <c r="AI98" s="21">
        <v>363556</v>
      </c>
      <c r="AJ98" s="21">
        <v>377457</v>
      </c>
      <c r="AK98" s="21">
        <v>388433</v>
      </c>
      <c r="AL98" s="22">
        <v>0.83798997785119833</v>
      </c>
      <c r="AM98" s="22">
        <v>0.85446905942690898</v>
      </c>
      <c r="AN98" s="22">
        <v>0.86921469523595485</v>
      </c>
      <c r="AO98" s="22">
        <v>0.88758277211332259</v>
      </c>
      <c r="AP98" s="22">
        <v>0.89522143555137634</v>
      </c>
      <c r="AQ98" s="37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</row>
    <row r="99" spans="1:55" s="21" customFormat="1" ht="12.75" x14ac:dyDescent="0.2">
      <c r="A99" s="29"/>
      <c r="G99" s="22"/>
      <c r="H99" s="22"/>
      <c r="I99" s="22"/>
      <c r="J99" s="22"/>
      <c r="K99" s="22"/>
      <c r="Q99" s="22"/>
      <c r="R99" s="22"/>
      <c r="S99" s="22"/>
      <c r="T99" s="22"/>
      <c r="U99" s="22"/>
      <c r="AB99" s="22"/>
      <c r="AC99" s="22"/>
      <c r="AD99" s="22"/>
      <c r="AE99" s="22"/>
      <c r="AF99" s="22"/>
      <c r="AL99" s="22"/>
      <c r="AM99" s="22"/>
      <c r="AN99" s="22"/>
      <c r="AO99" s="22"/>
      <c r="AP99" s="22"/>
      <c r="AQ99" s="19"/>
      <c r="AR99" s="19"/>
      <c r="AS99" s="19"/>
      <c r="AT99" s="19"/>
      <c r="AU99" s="19"/>
      <c r="AV99" s="19"/>
      <c r="AW99" s="19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18" priority="1"/>
  </conditionalFormatting>
  <dataValidations count="1">
    <dataValidation type="list" allowBlank="1" showInputMessage="1" showErrorMessage="1" sqref="A68:A70 A94:A96 A88:A89 A81:A83 A75:A77">
      <formula1>$A$16:$A$79</formula1>
    </dataValidation>
  </dataValidations>
  <hyperlinks>
    <hyperlink ref="AA1" location="Contents!A1" display="Back to Contents"/>
    <hyperlink ref="B1" location="Contents!A1" display="Back to Content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95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AU70" sqref="AU70"/>
    </sheetView>
  </sheetViews>
  <sheetFormatPr defaultColWidth="8.7109375" defaultRowHeight="12.75" x14ac:dyDescent="0.2"/>
  <cols>
    <col min="1" max="1" width="25.42578125" style="19" customWidth="1"/>
    <col min="2" max="27" width="12.5703125" style="19" customWidth="1"/>
    <col min="28" max="32" width="12.5703125" style="20" customWidth="1"/>
    <col min="33" max="37" width="12.5703125" style="19" customWidth="1"/>
    <col min="38" max="42" width="12.5703125" style="20" customWidth="1"/>
    <col min="43" max="16384" width="8.7109375" style="19"/>
  </cols>
  <sheetData>
    <row r="1" spans="1:50" x14ac:dyDescent="0.2">
      <c r="A1" s="1" t="s">
        <v>0</v>
      </c>
      <c r="B1" s="58" t="s">
        <v>153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5" t="s">
        <v>1</v>
      </c>
      <c r="X1" s="6"/>
      <c r="Y1" s="6"/>
      <c r="Z1" s="6"/>
      <c r="AA1" s="7"/>
      <c r="AB1" s="8"/>
      <c r="AC1" s="8"/>
      <c r="AD1" s="8"/>
      <c r="AE1" s="8"/>
      <c r="AF1" s="8"/>
      <c r="AG1" s="6"/>
      <c r="AH1" s="3"/>
      <c r="AI1" s="8"/>
      <c r="AJ1" s="8"/>
      <c r="AK1" s="8"/>
      <c r="AL1" s="8"/>
      <c r="AM1" s="106"/>
      <c r="AN1" s="106"/>
      <c r="AO1" s="106"/>
      <c r="AP1" s="106"/>
    </row>
    <row r="2" spans="1:50" ht="16.5" customHeight="1" x14ac:dyDescent="0.2">
      <c r="A2" s="1" t="s">
        <v>185</v>
      </c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5"/>
      <c r="X2" s="6"/>
      <c r="Y2" s="6"/>
      <c r="Z2" s="6"/>
      <c r="AA2" s="7"/>
      <c r="AB2" s="8"/>
      <c r="AC2" s="8"/>
      <c r="AD2" s="8"/>
      <c r="AE2" s="8"/>
      <c r="AF2" s="8"/>
      <c r="AG2" s="6"/>
      <c r="AH2" s="3"/>
      <c r="AI2" s="8"/>
      <c r="AJ2" s="8"/>
      <c r="AK2" s="8"/>
      <c r="AL2" s="8"/>
      <c r="AM2" s="106"/>
      <c r="AN2" s="106"/>
      <c r="AO2" s="106"/>
      <c r="AP2" s="106"/>
    </row>
    <row r="3" spans="1:50" ht="16.5" customHeight="1" x14ac:dyDescent="0.2">
      <c r="A3" s="1"/>
      <c r="B3" s="2"/>
      <c r="C3" s="2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5"/>
      <c r="X3" s="6"/>
      <c r="Y3" s="6"/>
      <c r="Z3" s="6"/>
      <c r="AA3" s="7"/>
      <c r="AB3" s="8"/>
      <c r="AC3" s="8"/>
      <c r="AD3" s="8"/>
      <c r="AE3" s="8"/>
      <c r="AF3" s="8"/>
      <c r="AG3" s="6"/>
      <c r="AH3" s="3"/>
      <c r="AI3" s="8"/>
      <c r="AJ3" s="8"/>
      <c r="AK3" s="8"/>
      <c r="AL3" s="8"/>
      <c r="AM3" s="106"/>
      <c r="AN3" s="106"/>
      <c r="AO3" s="106"/>
      <c r="AP3" s="106"/>
    </row>
    <row r="4" spans="1:50" x14ac:dyDescent="0.2">
      <c r="A4" s="9" t="s">
        <v>194</v>
      </c>
      <c r="B4" s="10" t="s">
        <v>92</v>
      </c>
      <c r="C4" s="10" t="s">
        <v>78</v>
      </c>
      <c r="D4" s="4"/>
      <c r="E4" s="11"/>
      <c r="F4" s="12"/>
      <c r="G4" s="12"/>
      <c r="H4" s="4"/>
      <c r="I4" s="4"/>
      <c r="J4" s="4"/>
      <c r="K4" s="4"/>
      <c r="L4" s="4"/>
      <c r="M4" s="4"/>
      <c r="N4" s="4"/>
      <c r="O4" s="12"/>
      <c r="P4" s="12"/>
      <c r="Q4" s="12"/>
      <c r="R4" s="12"/>
      <c r="S4" s="12"/>
      <c r="T4" s="12"/>
      <c r="U4" s="12"/>
      <c r="V4" s="12"/>
      <c r="W4" s="13" t="s">
        <v>167</v>
      </c>
      <c r="X4" s="13"/>
      <c r="Y4" s="13" t="s">
        <v>92</v>
      </c>
      <c r="Z4" s="13" t="s">
        <v>78</v>
      </c>
      <c r="AA4" s="14"/>
      <c r="AB4" s="16"/>
      <c r="AC4" s="16"/>
      <c r="AD4" s="16"/>
      <c r="AE4" s="16"/>
      <c r="AF4" s="16"/>
      <c r="AG4" s="15"/>
      <c r="AH4" s="12"/>
      <c r="AI4" s="16"/>
      <c r="AJ4" s="16"/>
      <c r="AK4" s="16"/>
      <c r="AL4" s="16"/>
      <c r="AM4" s="106"/>
      <c r="AN4" s="106"/>
      <c r="AO4" s="106"/>
      <c r="AP4" s="106"/>
      <c r="AQ4" s="37"/>
    </row>
    <row r="5" spans="1:50" x14ac:dyDescent="0.2">
      <c r="A5" s="1" t="s">
        <v>4</v>
      </c>
      <c r="B5" s="166" t="s">
        <v>5</v>
      </c>
      <c r="C5" s="166"/>
      <c r="D5" s="166"/>
      <c r="E5" s="166"/>
      <c r="F5" s="166"/>
      <c r="G5" s="166" t="s">
        <v>6</v>
      </c>
      <c r="H5" s="166"/>
      <c r="I5" s="166"/>
      <c r="J5" s="166"/>
      <c r="K5" s="166"/>
      <c r="L5" s="166" t="s">
        <v>7</v>
      </c>
      <c r="M5" s="166"/>
      <c r="N5" s="166"/>
      <c r="O5" s="166"/>
      <c r="P5" s="166"/>
      <c r="Q5" s="166" t="s">
        <v>8</v>
      </c>
      <c r="R5" s="166"/>
      <c r="S5" s="166"/>
      <c r="T5" s="166"/>
      <c r="U5" s="166"/>
      <c r="V5" s="100"/>
      <c r="W5" s="168" t="s">
        <v>5</v>
      </c>
      <c r="X5" s="168"/>
      <c r="Y5" s="168"/>
      <c r="Z5" s="168"/>
      <c r="AA5" s="168"/>
      <c r="AB5" s="167" t="s">
        <v>6</v>
      </c>
      <c r="AC5" s="167"/>
      <c r="AD5" s="167"/>
      <c r="AE5" s="167"/>
      <c r="AF5" s="167"/>
      <c r="AG5" s="168" t="s">
        <v>7</v>
      </c>
      <c r="AH5" s="168"/>
      <c r="AI5" s="168"/>
      <c r="AJ5" s="168"/>
      <c r="AK5" s="168"/>
      <c r="AL5" s="167" t="s">
        <v>8</v>
      </c>
      <c r="AM5" s="167"/>
      <c r="AN5" s="167"/>
      <c r="AO5" s="167"/>
      <c r="AP5" s="167"/>
      <c r="AQ5" s="37"/>
    </row>
    <row r="6" spans="1:50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164</v>
      </c>
      <c r="F6" s="10" t="s">
        <v>195</v>
      </c>
      <c r="G6" s="10" t="s">
        <v>10</v>
      </c>
      <c r="H6" s="10" t="s">
        <v>11</v>
      </c>
      <c r="I6" s="10" t="s">
        <v>12</v>
      </c>
      <c r="J6" s="10" t="s">
        <v>164</v>
      </c>
      <c r="K6" s="10" t="s">
        <v>195</v>
      </c>
      <c r="L6" s="10" t="s">
        <v>10</v>
      </c>
      <c r="M6" s="10" t="s">
        <v>11</v>
      </c>
      <c r="N6" s="10" t="s">
        <v>12</v>
      </c>
      <c r="O6" s="10" t="s">
        <v>164</v>
      </c>
      <c r="P6" s="10" t="s">
        <v>195</v>
      </c>
      <c r="Q6" s="10" t="s">
        <v>10</v>
      </c>
      <c r="R6" s="10" t="s">
        <v>11</v>
      </c>
      <c r="S6" s="10" t="s">
        <v>12</v>
      </c>
      <c r="T6" s="10" t="s">
        <v>164</v>
      </c>
      <c r="U6" s="10" t="s">
        <v>195</v>
      </c>
      <c r="V6" s="10"/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165</v>
      </c>
      <c r="AB6" s="17" t="s">
        <v>13</v>
      </c>
      <c r="AC6" s="17" t="s">
        <v>14</v>
      </c>
      <c r="AD6" s="17" t="s">
        <v>15</v>
      </c>
      <c r="AE6" s="17" t="s">
        <v>16</v>
      </c>
      <c r="AF6" s="17" t="s">
        <v>165</v>
      </c>
      <c r="AG6" s="13" t="s">
        <v>13</v>
      </c>
      <c r="AH6" s="13" t="s">
        <v>14</v>
      </c>
      <c r="AI6" s="13" t="s">
        <v>15</v>
      </c>
      <c r="AJ6" s="13" t="s">
        <v>16</v>
      </c>
      <c r="AK6" s="13" t="s">
        <v>165</v>
      </c>
      <c r="AL6" s="13" t="s">
        <v>13</v>
      </c>
      <c r="AM6" s="13" t="s">
        <v>14</v>
      </c>
      <c r="AN6" s="13" t="s">
        <v>15</v>
      </c>
      <c r="AO6" s="13" t="s">
        <v>16</v>
      </c>
      <c r="AP6" s="13" t="s">
        <v>165</v>
      </c>
      <c r="AQ6" s="37"/>
      <c r="AU6" s="19" t="s">
        <v>168</v>
      </c>
      <c r="AV6" s="19" t="s">
        <v>168</v>
      </c>
      <c r="AW6" s="19" t="s">
        <v>168</v>
      </c>
      <c r="AX6" s="19" t="s">
        <v>168</v>
      </c>
    </row>
    <row r="7" spans="1:50" x14ac:dyDescent="0.2">
      <c r="A7" s="18" t="s">
        <v>18</v>
      </c>
      <c r="B7" s="19">
        <v>2229</v>
      </c>
      <c r="C7" s="19">
        <v>2425</v>
      </c>
      <c r="D7" s="19">
        <v>2407</v>
      </c>
      <c r="E7" s="19">
        <v>2366</v>
      </c>
      <c r="F7" s="19">
        <v>2333</v>
      </c>
      <c r="G7" s="20">
        <v>2.9879356568364612E-2</v>
      </c>
      <c r="H7" s="20">
        <v>3.1856756259688396E-2</v>
      </c>
      <c r="I7" s="20">
        <v>3.0064200244810272E-2</v>
      </c>
      <c r="J7" s="20">
        <v>2.9735198381279141E-2</v>
      </c>
      <c r="K7" s="20">
        <v>2.8602604026187382E-2</v>
      </c>
      <c r="L7" s="19">
        <v>399</v>
      </c>
      <c r="M7" s="19">
        <v>431</v>
      </c>
      <c r="N7" s="19">
        <v>366</v>
      </c>
      <c r="O7" s="19">
        <v>414</v>
      </c>
      <c r="P7" s="19">
        <v>441</v>
      </c>
      <c r="Q7" s="20">
        <v>0.17900403768506057</v>
      </c>
      <c r="R7" s="20">
        <v>0.17773195876288661</v>
      </c>
      <c r="S7" s="20">
        <v>0.15205650186954717</v>
      </c>
      <c r="T7" s="20">
        <v>0.17497886728655959</v>
      </c>
      <c r="U7" s="20">
        <v>0.18902700385769394</v>
      </c>
      <c r="W7" s="19">
        <v>2838</v>
      </c>
      <c r="X7" s="19">
        <v>2659</v>
      </c>
      <c r="Y7" s="19">
        <v>2590</v>
      </c>
      <c r="Z7" s="19">
        <v>2446</v>
      </c>
      <c r="AA7" s="19">
        <v>2366</v>
      </c>
      <c r="AB7" s="20">
        <v>5.6050401911796652E-2</v>
      </c>
      <c r="AC7" s="20">
        <v>4.1388434897657408E-2</v>
      </c>
      <c r="AD7" s="20">
        <v>3.8104485736564123E-2</v>
      </c>
      <c r="AE7" s="20">
        <v>3.3320619006102878E-2</v>
      </c>
      <c r="AF7" s="20">
        <v>2.9735198381279141E-2</v>
      </c>
      <c r="AG7" s="19">
        <v>821</v>
      </c>
      <c r="AH7" s="19">
        <v>846</v>
      </c>
      <c r="AI7" s="19">
        <v>154</v>
      </c>
      <c r="AJ7" s="19">
        <v>393</v>
      </c>
      <c r="AK7" s="19">
        <v>414</v>
      </c>
      <c r="AL7" s="20">
        <v>0.28928823114869628</v>
      </c>
      <c r="AM7" s="20">
        <v>0.31816472358029335</v>
      </c>
      <c r="AN7" s="20">
        <v>5.9459459459459463E-2</v>
      </c>
      <c r="AO7" s="20">
        <v>0.16067048242027801</v>
      </c>
      <c r="AP7" s="20">
        <v>0.17497886728655959</v>
      </c>
      <c r="AQ7" s="37"/>
      <c r="AU7" s="19" t="s">
        <v>168</v>
      </c>
      <c r="AV7" s="19" t="s">
        <v>168</v>
      </c>
      <c r="AW7" s="19" t="s">
        <v>168</v>
      </c>
      <c r="AX7" s="19" t="s">
        <v>168</v>
      </c>
    </row>
    <row r="8" spans="1:50" x14ac:dyDescent="0.2">
      <c r="A8" s="18" t="s">
        <v>19</v>
      </c>
      <c r="B8" s="19">
        <v>23054</v>
      </c>
      <c r="C8" s="19">
        <v>22935</v>
      </c>
      <c r="D8" s="19">
        <v>23424</v>
      </c>
      <c r="E8" s="19">
        <v>22782</v>
      </c>
      <c r="F8" s="19">
        <v>22493</v>
      </c>
      <c r="G8" s="20">
        <v>0.30903485254691687</v>
      </c>
      <c r="H8" s="20">
        <v>0.3012926617797746</v>
      </c>
      <c r="I8" s="20">
        <v>0.2925732557268117</v>
      </c>
      <c r="J8" s="20">
        <v>0.28631753572371149</v>
      </c>
      <c r="K8" s="20">
        <v>0.2757644116421058</v>
      </c>
      <c r="L8" s="19">
        <v>17179</v>
      </c>
      <c r="M8" s="19">
        <v>17252</v>
      </c>
      <c r="N8" s="19">
        <v>17280</v>
      </c>
      <c r="O8" s="19">
        <v>17009</v>
      </c>
      <c r="P8" s="19">
        <v>17003</v>
      </c>
      <c r="Q8" s="20">
        <v>0.74516352910557826</v>
      </c>
      <c r="R8" s="20">
        <v>0.75221277523435792</v>
      </c>
      <c r="S8" s="20">
        <v>0.73770491803278693</v>
      </c>
      <c r="T8" s="20">
        <v>0.74659819155473617</v>
      </c>
      <c r="U8" s="20">
        <v>0.75592406526474898</v>
      </c>
      <c r="W8" s="19">
        <v>23434</v>
      </c>
      <c r="X8" s="19">
        <v>26403</v>
      </c>
      <c r="Y8" s="19">
        <v>23974</v>
      </c>
      <c r="Z8" s="19">
        <v>23099</v>
      </c>
      <c r="AA8" s="19">
        <v>22782</v>
      </c>
      <c r="AB8" s="20">
        <v>0.46282069006379239</v>
      </c>
      <c r="AC8" s="20">
        <v>0.41097361662386178</v>
      </c>
      <c r="AD8" s="20">
        <v>0.35270924364802636</v>
      </c>
      <c r="AE8" s="20">
        <v>0.31466597646033129</v>
      </c>
      <c r="AF8" s="20">
        <v>0.28631753572371149</v>
      </c>
      <c r="AG8" s="19">
        <v>16820</v>
      </c>
      <c r="AH8" s="19">
        <v>18189</v>
      </c>
      <c r="AI8" s="19">
        <v>16865</v>
      </c>
      <c r="AJ8" s="19">
        <v>17021</v>
      </c>
      <c r="AK8" s="19">
        <v>17009</v>
      </c>
      <c r="AL8" s="20">
        <v>0.71776051890415637</v>
      </c>
      <c r="AM8" s="20">
        <v>0.68889898875127831</v>
      </c>
      <c r="AN8" s="20">
        <v>0.70347042629515311</v>
      </c>
      <c r="AO8" s="20">
        <v>0.73687172604874673</v>
      </c>
      <c r="AP8" s="20">
        <v>0.74659819155473617</v>
      </c>
      <c r="AQ8" s="37"/>
      <c r="AU8" s="19" t="s">
        <v>168</v>
      </c>
      <c r="AV8" s="19" t="s">
        <v>168</v>
      </c>
      <c r="AW8" s="19" t="s">
        <v>168</v>
      </c>
      <c r="AX8" s="19" t="s">
        <v>168</v>
      </c>
    </row>
    <row r="9" spans="1:50" x14ac:dyDescent="0.2">
      <c r="A9" s="18" t="s">
        <v>20</v>
      </c>
      <c r="B9" s="19">
        <v>68</v>
      </c>
      <c r="C9" s="19">
        <v>83</v>
      </c>
      <c r="D9" s="19">
        <v>108</v>
      </c>
      <c r="E9" s="19">
        <v>109</v>
      </c>
      <c r="F9" s="19">
        <v>126</v>
      </c>
      <c r="G9" s="20">
        <v>9.1152815013404831E-4</v>
      </c>
      <c r="H9" s="20">
        <v>1.0903549565171697E-3</v>
      </c>
      <c r="I9" s="20">
        <v>1.3489545602158328E-3</v>
      </c>
      <c r="J9" s="20">
        <v>1.3698802297377119E-3</v>
      </c>
      <c r="K9" s="20">
        <v>1.5447612975994899E-3</v>
      </c>
      <c r="L9" s="19">
        <v>44</v>
      </c>
      <c r="M9" s="19">
        <v>59</v>
      </c>
      <c r="N9" s="19">
        <v>63</v>
      </c>
      <c r="O9" s="19">
        <v>60</v>
      </c>
      <c r="P9" s="19">
        <v>77</v>
      </c>
      <c r="Q9" s="20">
        <v>0.6470588235294118</v>
      </c>
      <c r="R9" s="20">
        <v>0.71084337349397586</v>
      </c>
      <c r="S9" s="20">
        <v>0.58333333333333337</v>
      </c>
      <c r="T9" s="20">
        <v>0.55045871559633031</v>
      </c>
      <c r="U9" s="20">
        <v>0.61111111111111116</v>
      </c>
      <c r="W9" s="19">
        <v>0</v>
      </c>
      <c r="X9" s="19">
        <v>0</v>
      </c>
      <c r="Y9" s="19">
        <v>2</v>
      </c>
      <c r="Z9" s="19">
        <v>41</v>
      </c>
      <c r="AA9" s="19">
        <v>109</v>
      </c>
      <c r="AB9" s="20">
        <v>0</v>
      </c>
      <c r="AC9" s="20">
        <v>0</v>
      </c>
      <c r="AD9" s="20">
        <v>2.9424313310088124E-5</v>
      </c>
      <c r="AE9" s="20">
        <v>5.5852223190932864E-4</v>
      </c>
      <c r="AF9" s="20">
        <v>1.3698802297377119E-3</v>
      </c>
      <c r="AG9" s="19">
        <v>0</v>
      </c>
      <c r="AH9" s="19">
        <v>0</v>
      </c>
      <c r="AI9" s="19">
        <v>2</v>
      </c>
      <c r="AJ9" s="19">
        <v>15</v>
      </c>
      <c r="AK9" s="19">
        <v>60</v>
      </c>
      <c r="AL9" s="20">
        <v>0</v>
      </c>
      <c r="AM9" s="20">
        <v>0</v>
      </c>
      <c r="AN9" s="20">
        <v>1</v>
      </c>
      <c r="AO9" s="20">
        <v>0.36585365853658536</v>
      </c>
      <c r="AP9" s="20">
        <v>0.55045871559633031</v>
      </c>
      <c r="AQ9" s="37"/>
      <c r="AU9" s="19" t="s">
        <v>168</v>
      </c>
      <c r="AV9" s="19" t="s">
        <v>168</v>
      </c>
      <c r="AW9" s="19" t="s">
        <v>168</v>
      </c>
      <c r="AX9" s="19" t="s">
        <v>168</v>
      </c>
    </row>
    <row r="10" spans="1:50" x14ac:dyDescent="0.2">
      <c r="A10" s="18" t="s">
        <v>21</v>
      </c>
      <c r="B10" s="19">
        <v>241</v>
      </c>
      <c r="C10" s="19">
        <v>278</v>
      </c>
      <c r="D10" s="19">
        <v>343</v>
      </c>
      <c r="E10" s="19">
        <v>363</v>
      </c>
      <c r="F10" s="19">
        <v>356</v>
      </c>
      <c r="G10" s="20">
        <v>3.2305630026809654E-3</v>
      </c>
      <c r="H10" s="20">
        <v>3.6520322639972676E-3</v>
      </c>
      <c r="I10" s="20">
        <v>4.2841797606854685E-3</v>
      </c>
      <c r="J10" s="20">
        <v>4.5620781962824718E-3</v>
      </c>
      <c r="K10" s="20">
        <v>4.36456366623348E-3</v>
      </c>
      <c r="L10" s="19">
        <v>235</v>
      </c>
      <c r="M10" s="19">
        <v>248</v>
      </c>
      <c r="N10" s="19">
        <v>282</v>
      </c>
      <c r="O10" s="19">
        <v>296</v>
      </c>
      <c r="P10" s="19">
        <v>301</v>
      </c>
      <c r="Q10" s="20">
        <v>0.975103734439834</v>
      </c>
      <c r="R10" s="20">
        <v>0.8920863309352518</v>
      </c>
      <c r="S10" s="20">
        <v>0.82215743440233235</v>
      </c>
      <c r="T10" s="20">
        <v>0.81542699724517909</v>
      </c>
      <c r="U10" s="20">
        <v>0.8455056179775281</v>
      </c>
      <c r="W10" s="19">
        <v>0</v>
      </c>
      <c r="X10" s="19">
        <v>0</v>
      </c>
      <c r="Y10" s="19">
        <v>115</v>
      </c>
      <c r="Z10" s="19">
        <v>166</v>
      </c>
      <c r="AA10" s="19">
        <v>363</v>
      </c>
      <c r="AB10" s="20">
        <v>0</v>
      </c>
      <c r="AC10" s="20">
        <v>0</v>
      </c>
      <c r="AD10" s="20">
        <v>1.6918980153300671E-3</v>
      </c>
      <c r="AE10" s="20">
        <v>2.2613339145597208E-3</v>
      </c>
      <c r="AF10" s="20">
        <v>4.5620781962824718E-3</v>
      </c>
      <c r="AG10" s="19">
        <v>0</v>
      </c>
      <c r="AH10" s="19">
        <v>0</v>
      </c>
      <c r="AI10" s="19">
        <v>114</v>
      </c>
      <c r="AJ10" s="19">
        <v>164</v>
      </c>
      <c r="AK10" s="19">
        <v>296</v>
      </c>
      <c r="AL10" s="20">
        <v>0</v>
      </c>
      <c r="AM10" s="20">
        <v>0</v>
      </c>
      <c r="AN10" s="20">
        <v>0.99130434782608701</v>
      </c>
      <c r="AO10" s="20">
        <v>0.98795180722891562</v>
      </c>
      <c r="AP10" s="20">
        <v>0.81542699724517909</v>
      </c>
      <c r="AQ10" s="37"/>
      <c r="AU10" s="19" t="s">
        <v>168</v>
      </c>
      <c r="AV10" s="19" t="s">
        <v>168</v>
      </c>
      <c r="AW10" s="19" t="s">
        <v>168</v>
      </c>
      <c r="AX10" s="19" t="s">
        <v>168</v>
      </c>
    </row>
    <row r="11" spans="1:50" x14ac:dyDescent="0.2">
      <c r="A11" s="18" t="s">
        <v>25</v>
      </c>
      <c r="B11" s="19">
        <v>2212</v>
      </c>
      <c r="C11" s="19">
        <v>2308</v>
      </c>
      <c r="D11" s="19">
        <v>2487</v>
      </c>
      <c r="E11" s="19">
        <v>2600</v>
      </c>
      <c r="F11" s="19">
        <v>2594</v>
      </c>
      <c r="G11" s="20">
        <v>2.9651474530831098E-2</v>
      </c>
      <c r="H11" s="20">
        <v>3.0319749875200336E-2</v>
      </c>
      <c r="I11" s="20">
        <v>3.1063425844970148E-2</v>
      </c>
      <c r="J11" s="20">
        <v>3.2676042177229823E-2</v>
      </c>
      <c r="K11" s="20">
        <v>3.1802466714072039E-2</v>
      </c>
      <c r="L11" s="19">
        <v>2100</v>
      </c>
      <c r="M11" s="19">
        <v>2194</v>
      </c>
      <c r="N11" s="19">
        <v>2274</v>
      </c>
      <c r="O11" s="19">
        <v>2371</v>
      </c>
      <c r="P11" s="19">
        <v>2374</v>
      </c>
      <c r="Q11" s="20">
        <v>0.94936708860759489</v>
      </c>
      <c r="R11" s="20">
        <v>0.9506065857885615</v>
      </c>
      <c r="S11" s="20">
        <v>0.91435464414957779</v>
      </c>
      <c r="T11" s="20">
        <v>0.91192307692307695</v>
      </c>
      <c r="U11" s="20">
        <v>0.91518889745566689</v>
      </c>
      <c r="W11" s="19">
        <v>642</v>
      </c>
      <c r="X11" s="19">
        <v>968</v>
      </c>
      <c r="Y11" s="19">
        <v>1697</v>
      </c>
      <c r="Z11" s="19">
        <v>2165</v>
      </c>
      <c r="AA11" s="19">
        <v>2600</v>
      </c>
      <c r="AB11" s="20">
        <v>1.2679477810913831E-2</v>
      </c>
      <c r="AC11" s="20">
        <v>1.5067320414040002E-2</v>
      </c>
      <c r="AD11" s="20">
        <v>2.4966529843609774E-2</v>
      </c>
      <c r="AE11" s="20">
        <v>2.9492698343504795E-2</v>
      </c>
      <c r="AF11" s="20">
        <v>3.2676042177229823E-2</v>
      </c>
      <c r="AG11" s="19">
        <v>642</v>
      </c>
      <c r="AH11" s="19">
        <v>934</v>
      </c>
      <c r="AI11" s="19">
        <v>1630</v>
      </c>
      <c r="AJ11" s="19">
        <v>2067</v>
      </c>
      <c r="AK11" s="19">
        <v>2371</v>
      </c>
      <c r="AL11" s="20">
        <v>1</v>
      </c>
      <c r="AM11" s="20">
        <v>0.96487603305785119</v>
      </c>
      <c r="AN11" s="20">
        <v>0.96051856216853271</v>
      </c>
      <c r="AO11" s="20">
        <v>0.95473441108545032</v>
      </c>
      <c r="AP11" s="20">
        <v>0.91192307692307695</v>
      </c>
      <c r="AQ11" s="37"/>
      <c r="AU11" s="19" t="s">
        <v>168</v>
      </c>
      <c r="AV11" s="19" t="s">
        <v>168</v>
      </c>
      <c r="AW11" s="19" t="s">
        <v>168</v>
      </c>
      <c r="AX11" s="19" t="s">
        <v>168</v>
      </c>
    </row>
    <row r="12" spans="1:50" x14ac:dyDescent="0.2">
      <c r="A12" s="18" t="s">
        <v>30</v>
      </c>
      <c r="B12" s="19">
        <v>6646</v>
      </c>
      <c r="C12" s="19">
        <v>7333</v>
      </c>
      <c r="D12" s="19">
        <v>8440</v>
      </c>
      <c r="E12" s="19">
        <v>7071</v>
      </c>
      <c r="F12" s="19">
        <v>7459</v>
      </c>
      <c r="G12" s="20">
        <v>8.9088471849865958E-2</v>
      </c>
      <c r="H12" s="20">
        <v>9.6332203567956701E-2</v>
      </c>
      <c r="I12" s="20">
        <v>0.10541830081686693</v>
      </c>
      <c r="J12" s="20">
        <v>8.8866267013535422E-2</v>
      </c>
      <c r="K12" s="20">
        <v>9.1447416815830129E-2</v>
      </c>
      <c r="L12" s="19">
        <v>5293</v>
      </c>
      <c r="M12" s="19">
        <v>5406</v>
      </c>
      <c r="N12" s="19">
        <v>6298</v>
      </c>
      <c r="O12" s="19">
        <v>5298</v>
      </c>
      <c r="P12" s="19">
        <v>5807</v>
      </c>
      <c r="Q12" s="20">
        <v>0.79641889858561543</v>
      </c>
      <c r="R12" s="20">
        <v>0.7372153279694531</v>
      </c>
      <c r="S12" s="20">
        <v>0.74620853080568716</v>
      </c>
      <c r="T12" s="20">
        <v>0.74925753075944002</v>
      </c>
      <c r="U12" s="20">
        <v>0.77852259015953884</v>
      </c>
      <c r="W12" s="19">
        <v>5092</v>
      </c>
      <c r="X12" s="19">
        <v>5115</v>
      </c>
      <c r="Y12" s="19">
        <v>6036</v>
      </c>
      <c r="Z12" s="19">
        <v>6175</v>
      </c>
      <c r="AA12" s="19">
        <v>7071</v>
      </c>
      <c r="AB12" s="20">
        <v>0.10056682400805798</v>
      </c>
      <c r="AC12" s="20">
        <v>7.9617090824188649E-2</v>
      </c>
      <c r="AD12" s="20">
        <v>8.880257756984597E-2</v>
      </c>
      <c r="AE12" s="20">
        <v>8.4118897122929387E-2</v>
      </c>
      <c r="AF12" s="20">
        <v>8.8866267013535422E-2</v>
      </c>
      <c r="AG12" s="19">
        <v>3671</v>
      </c>
      <c r="AH12" s="19">
        <v>3916</v>
      </c>
      <c r="AI12" s="19">
        <v>4776</v>
      </c>
      <c r="AJ12" s="19">
        <v>4925</v>
      </c>
      <c r="AK12" s="19">
        <v>5298</v>
      </c>
      <c r="AL12" s="20">
        <v>0.72093479968578167</v>
      </c>
      <c r="AM12" s="20">
        <v>0.7655913978494624</v>
      </c>
      <c r="AN12" s="20">
        <v>0.79125248508946322</v>
      </c>
      <c r="AO12" s="20">
        <v>0.79757085020242913</v>
      </c>
      <c r="AP12" s="20">
        <v>0.74925753075944002</v>
      </c>
      <c r="AQ12" s="37"/>
      <c r="AU12" s="19" t="s">
        <v>168</v>
      </c>
      <c r="AV12" s="19" t="s">
        <v>168</v>
      </c>
      <c r="AW12" s="19" t="s">
        <v>168</v>
      </c>
      <c r="AX12" s="19" t="s">
        <v>168</v>
      </c>
    </row>
    <row r="13" spans="1:50" x14ac:dyDescent="0.2">
      <c r="A13" s="18" t="s">
        <v>37</v>
      </c>
      <c r="B13" s="19">
        <v>9</v>
      </c>
      <c r="C13" s="19">
        <v>15</v>
      </c>
      <c r="D13" s="19">
        <v>34</v>
      </c>
      <c r="E13" s="19">
        <v>23</v>
      </c>
      <c r="F13" s="19">
        <v>27</v>
      </c>
      <c r="G13" s="20">
        <v>1.2064343163538874E-4</v>
      </c>
      <c r="H13" s="20">
        <v>1.9705210057539214E-4</v>
      </c>
      <c r="I13" s="20">
        <v>4.2467088006794732E-4</v>
      </c>
      <c r="J13" s="20">
        <v>2.8905729618318692E-4</v>
      </c>
      <c r="K13" s="20">
        <v>3.3102027805703357E-4</v>
      </c>
      <c r="L13" s="19">
        <v>6</v>
      </c>
      <c r="M13" s="19">
        <v>12</v>
      </c>
      <c r="N13" s="19">
        <v>31</v>
      </c>
      <c r="O13" s="19">
        <v>23</v>
      </c>
      <c r="P13" s="19">
        <v>27</v>
      </c>
      <c r="Q13" s="20">
        <v>0.66666666666666663</v>
      </c>
      <c r="R13" s="20">
        <v>0.8</v>
      </c>
      <c r="S13" s="20">
        <v>0.91176470588235292</v>
      </c>
      <c r="T13" s="20">
        <v>1</v>
      </c>
      <c r="U13" s="20">
        <v>1</v>
      </c>
      <c r="W13" s="19">
        <v>19</v>
      </c>
      <c r="X13" s="19">
        <v>11</v>
      </c>
      <c r="Y13" s="19">
        <v>7</v>
      </c>
      <c r="Z13" s="19">
        <v>5</v>
      </c>
      <c r="AA13" s="19">
        <v>23</v>
      </c>
      <c r="AB13" s="20">
        <v>3.7524934331364918E-4</v>
      </c>
      <c r="AC13" s="20">
        <v>1.7121955015954549E-4</v>
      </c>
      <c r="AD13" s="20">
        <v>1.0298509658530844E-4</v>
      </c>
      <c r="AE13" s="20">
        <v>6.8112467306015689E-5</v>
      </c>
      <c r="AF13" s="20">
        <v>2.8905729618318692E-4</v>
      </c>
      <c r="AG13" s="19">
        <v>13</v>
      </c>
      <c r="AH13" s="19">
        <v>7</v>
      </c>
      <c r="AI13" s="19">
        <v>4</v>
      </c>
      <c r="AJ13" s="19">
        <v>2</v>
      </c>
      <c r="AK13" s="19">
        <v>23</v>
      </c>
      <c r="AL13" s="20">
        <v>0.68421052631578949</v>
      </c>
      <c r="AM13" s="20">
        <v>0.63636363636363635</v>
      </c>
      <c r="AN13" s="20">
        <v>0.5714285714285714</v>
      </c>
      <c r="AO13" s="20">
        <v>0.4</v>
      </c>
      <c r="AP13" s="20">
        <v>1</v>
      </c>
      <c r="AQ13" s="37"/>
      <c r="AU13" s="19" t="s">
        <v>168</v>
      </c>
      <c r="AV13" s="19" t="s">
        <v>168</v>
      </c>
      <c r="AW13" s="19" t="s">
        <v>168</v>
      </c>
      <c r="AX13" s="19" t="s">
        <v>168</v>
      </c>
    </row>
    <row r="14" spans="1:50" x14ac:dyDescent="0.2">
      <c r="A14" s="18" t="s">
        <v>43</v>
      </c>
      <c r="B14" s="19">
        <v>39805</v>
      </c>
      <c r="C14" s="19">
        <v>40409</v>
      </c>
      <c r="D14" s="19">
        <v>42481</v>
      </c>
      <c r="E14" s="19">
        <v>43900</v>
      </c>
      <c r="F14" s="19">
        <v>44566</v>
      </c>
      <c r="G14" s="20">
        <v>0.53357908847184987</v>
      </c>
      <c r="H14" s="20">
        <v>0.53084522214340135</v>
      </c>
      <c r="I14" s="20">
        <v>0.53060128400489626</v>
      </c>
      <c r="J14" s="20">
        <v>0.5517224044539959</v>
      </c>
      <c r="K14" s="20">
        <v>0.54637961895887988</v>
      </c>
      <c r="L14" s="19">
        <v>31191</v>
      </c>
      <c r="M14" s="19">
        <v>31573</v>
      </c>
      <c r="N14" s="19">
        <v>32267</v>
      </c>
      <c r="O14" s="19">
        <v>33449</v>
      </c>
      <c r="P14" s="19">
        <v>34261</v>
      </c>
      <c r="Q14" s="20">
        <v>0.78359502575053386</v>
      </c>
      <c r="R14" s="20">
        <v>0.78133584102551412</v>
      </c>
      <c r="S14" s="20">
        <v>0.75956309879710926</v>
      </c>
      <c r="T14" s="20">
        <v>0.76193621867881545</v>
      </c>
      <c r="U14" s="20">
        <v>0.76876991428443209</v>
      </c>
      <c r="W14" s="19">
        <v>18515</v>
      </c>
      <c r="X14" s="19">
        <v>28984</v>
      </c>
      <c r="Y14" s="19">
        <v>33239</v>
      </c>
      <c r="Z14" s="19">
        <v>38950</v>
      </c>
      <c r="AA14" s="19">
        <v>43900</v>
      </c>
      <c r="AB14" s="20">
        <v>0.36567061007643237</v>
      </c>
      <c r="AC14" s="20">
        <v>0.4511479492567515</v>
      </c>
      <c r="AD14" s="20">
        <v>0.4890173750570096</v>
      </c>
      <c r="AE14" s="20">
        <v>0.53059612031386227</v>
      </c>
      <c r="AF14" s="20">
        <v>0.5517224044539959</v>
      </c>
      <c r="AG14" s="19">
        <v>13070</v>
      </c>
      <c r="AH14" s="19">
        <v>20384</v>
      </c>
      <c r="AI14" s="19">
        <v>24774</v>
      </c>
      <c r="AJ14" s="19">
        <v>30632</v>
      </c>
      <c r="AK14" s="19">
        <v>33449</v>
      </c>
      <c r="AL14" s="20">
        <v>0.70591412368349982</v>
      </c>
      <c r="AM14" s="20">
        <v>0.70328457079768147</v>
      </c>
      <c r="AN14" s="20">
        <v>0.74532928186768554</v>
      </c>
      <c r="AO14" s="20">
        <v>0.78644415917843391</v>
      </c>
      <c r="AP14" s="20">
        <v>0.76193621867881545</v>
      </c>
      <c r="AQ14" s="37"/>
      <c r="AU14" s="19" t="s">
        <v>168</v>
      </c>
      <c r="AV14" s="19" t="s">
        <v>168</v>
      </c>
      <c r="AW14" s="19" t="s">
        <v>168</v>
      </c>
      <c r="AX14" s="19" t="s">
        <v>168</v>
      </c>
    </row>
    <row r="15" spans="1:50" x14ac:dyDescent="0.2">
      <c r="A15" s="18" t="s">
        <v>52</v>
      </c>
      <c r="B15" s="19">
        <v>30</v>
      </c>
      <c r="C15" s="19">
        <v>33</v>
      </c>
      <c r="D15" s="19">
        <v>44</v>
      </c>
      <c r="E15" s="19">
        <v>56</v>
      </c>
      <c r="F15" s="19">
        <v>72</v>
      </c>
      <c r="G15" s="20">
        <v>4.0214477211796245E-4</v>
      </c>
      <c r="H15" s="20">
        <v>4.3351462126586267E-4</v>
      </c>
      <c r="I15" s="20">
        <v>5.4957408008793189E-4</v>
      </c>
      <c r="J15" s="20">
        <v>7.0379167766341166E-4</v>
      </c>
      <c r="K15" s="20">
        <v>8.827207414854229E-4</v>
      </c>
      <c r="L15" s="19">
        <v>29</v>
      </c>
      <c r="M15" s="19">
        <v>32</v>
      </c>
      <c r="N15" s="19">
        <v>43</v>
      </c>
      <c r="O15" s="19">
        <v>53</v>
      </c>
      <c r="P15" s="19">
        <v>68</v>
      </c>
      <c r="Q15" s="20">
        <v>0.96666666666666667</v>
      </c>
      <c r="R15" s="20">
        <v>0.96969696969696972</v>
      </c>
      <c r="S15" s="20">
        <v>0.97727272727272729</v>
      </c>
      <c r="T15" s="20">
        <v>0.9464285714285714</v>
      </c>
      <c r="U15" s="20">
        <v>0.94444444444444442</v>
      </c>
      <c r="W15" s="19">
        <v>0</v>
      </c>
      <c r="X15" s="19">
        <v>4</v>
      </c>
      <c r="Y15" s="19">
        <v>14</v>
      </c>
      <c r="Z15" s="19">
        <v>30</v>
      </c>
      <c r="AA15" s="19">
        <v>56</v>
      </c>
      <c r="AB15" s="20">
        <v>0</v>
      </c>
      <c r="AC15" s="20">
        <v>6.2261654603471084E-5</v>
      </c>
      <c r="AD15" s="20">
        <v>2.0597019317061688E-4</v>
      </c>
      <c r="AE15" s="20">
        <v>4.0867480383609413E-4</v>
      </c>
      <c r="AF15" s="20">
        <v>7.0379167766341166E-4</v>
      </c>
      <c r="AG15" s="19">
        <v>0</v>
      </c>
      <c r="AH15" s="19">
        <v>4</v>
      </c>
      <c r="AI15" s="19">
        <v>14</v>
      </c>
      <c r="AJ15" s="19">
        <v>29</v>
      </c>
      <c r="AK15" s="19">
        <v>53</v>
      </c>
      <c r="AL15" s="20">
        <v>0</v>
      </c>
      <c r="AM15" s="20">
        <v>1</v>
      </c>
      <c r="AN15" s="20">
        <v>1</v>
      </c>
      <c r="AO15" s="20">
        <v>0.96666666666666667</v>
      </c>
      <c r="AP15" s="20">
        <v>0.9464285714285714</v>
      </c>
      <c r="AQ15" s="37"/>
    </row>
    <row r="16" spans="1:50" x14ac:dyDescent="0.2">
      <c r="A16" s="18" t="s">
        <v>54</v>
      </c>
      <c r="B16" s="19">
        <v>4</v>
      </c>
      <c r="C16" s="19">
        <v>8</v>
      </c>
      <c r="D16" s="19">
        <v>6</v>
      </c>
      <c r="E16" s="19">
        <v>6</v>
      </c>
      <c r="F16" s="19">
        <v>1215</v>
      </c>
      <c r="G16" s="20">
        <v>5.3619302949061659E-5</v>
      </c>
      <c r="H16" s="20">
        <v>1.0509445364020914E-4</v>
      </c>
      <c r="I16" s="20">
        <v>7.4941920011990703E-5</v>
      </c>
      <c r="J16" s="20">
        <v>7.5406251178222674E-5</v>
      </c>
      <c r="K16" s="20">
        <v>1.4895912512566511E-2</v>
      </c>
      <c r="L16" s="19">
        <v>4</v>
      </c>
      <c r="M16" s="19">
        <v>8</v>
      </c>
      <c r="N16" s="19">
        <v>6</v>
      </c>
      <c r="O16" s="19">
        <v>6</v>
      </c>
      <c r="P16" s="19">
        <v>1215</v>
      </c>
      <c r="Q16" s="20">
        <v>1</v>
      </c>
      <c r="R16" s="20">
        <v>1</v>
      </c>
      <c r="S16" s="20">
        <v>1</v>
      </c>
      <c r="T16" s="20">
        <v>1</v>
      </c>
      <c r="U16" s="20">
        <v>1</v>
      </c>
      <c r="W16" s="19">
        <v>0</v>
      </c>
      <c r="X16" s="19">
        <v>3</v>
      </c>
      <c r="Y16" s="19">
        <v>3</v>
      </c>
      <c r="Z16" s="19">
        <v>3</v>
      </c>
      <c r="AA16" s="19">
        <v>6</v>
      </c>
      <c r="AB16" s="20">
        <v>0</v>
      </c>
      <c r="AC16" s="20">
        <v>4.6696240952603317E-5</v>
      </c>
      <c r="AD16" s="20">
        <v>4.4136469965132192E-5</v>
      </c>
      <c r="AE16" s="20">
        <v>4.0867480383609417E-5</v>
      </c>
      <c r="AF16" s="20">
        <v>7.5406251178222674E-5</v>
      </c>
      <c r="AG16" s="19">
        <v>0</v>
      </c>
      <c r="AH16" s="19">
        <v>3</v>
      </c>
      <c r="AI16" s="19">
        <v>0</v>
      </c>
      <c r="AJ16" s="19">
        <v>3</v>
      </c>
      <c r="AK16" s="19">
        <v>6</v>
      </c>
      <c r="AL16" s="20">
        <v>0</v>
      </c>
      <c r="AM16" s="20">
        <v>1</v>
      </c>
      <c r="AN16" s="20">
        <v>0</v>
      </c>
      <c r="AO16" s="20">
        <v>1</v>
      </c>
      <c r="AP16" s="20">
        <v>1</v>
      </c>
      <c r="AQ16" s="37"/>
    </row>
    <row r="17" spans="1:55" x14ac:dyDescent="0.2">
      <c r="A17" s="18" t="s">
        <v>55</v>
      </c>
      <c r="B17" s="19">
        <v>301</v>
      </c>
      <c r="C17" s="19">
        <v>293</v>
      </c>
      <c r="D17" s="19">
        <v>286</v>
      </c>
      <c r="E17" s="19">
        <v>288</v>
      </c>
      <c r="F17" s="19">
        <v>320</v>
      </c>
      <c r="G17" s="20">
        <v>4.0348525469168905E-3</v>
      </c>
      <c r="H17" s="20">
        <v>3.8490843645726598E-3</v>
      </c>
      <c r="I17" s="20">
        <v>3.5722315205715571E-3</v>
      </c>
      <c r="J17" s="20">
        <v>3.6195000565546883E-3</v>
      </c>
      <c r="K17" s="20">
        <v>3.9232032954907682E-3</v>
      </c>
      <c r="L17" s="19">
        <v>297</v>
      </c>
      <c r="M17" s="19">
        <v>289</v>
      </c>
      <c r="N17" s="19">
        <v>281</v>
      </c>
      <c r="O17" s="19">
        <v>282</v>
      </c>
      <c r="P17" s="19">
        <v>316</v>
      </c>
      <c r="Q17" s="20">
        <v>0.98671096345514953</v>
      </c>
      <c r="R17" s="20">
        <v>0.98634812286689422</v>
      </c>
      <c r="S17" s="20">
        <v>0.9825174825174825</v>
      </c>
      <c r="T17" s="20">
        <v>0.97916666666666663</v>
      </c>
      <c r="U17" s="20">
        <v>0.98750000000000004</v>
      </c>
      <c r="W17" s="19">
        <v>93</v>
      </c>
      <c r="X17" s="19">
        <v>98</v>
      </c>
      <c r="Y17" s="19">
        <v>293</v>
      </c>
      <c r="Z17" s="19">
        <v>328</v>
      </c>
      <c r="AA17" s="19">
        <v>288</v>
      </c>
      <c r="AB17" s="20">
        <v>1.8367467856931251E-3</v>
      </c>
      <c r="AC17" s="20">
        <v>1.5254105377850416E-3</v>
      </c>
      <c r="AD17" s="20">
        <v>4.3106618999279103E-3</v>
      </c>
      <c r="AE17" s="20">
        <v>4.4681778552746292E-3</v>
      </c>
      <c r="AF17" s="20">
        <v>3.6195000565546883E-3</v>
      </c>
      <c r="AG17" s="19">
        <v>89</v>
      </c>
      <c r="AH17" s="19">
        <v>92</v>
      </c>
      <c r="AI17" s="19">
        <v>288</v>
      </c>
      <c r="AJ17" s="19">
        <v>324</v>
      </c>
      <c r="AK17" s="19">
        <v>282</v>
      </c>
      <c r="AL17" s="20">
        <v>0.956989247311828</v>
      </c>
      <c r="AM17" s="20">
        <v>0.93877551020408168</v>
      </c>
      <c r="AN17" s="20">
        <v>0.98293515358361772</v>
      </c>
      <c r="AO17" s="20">
        <v>0.98780487804878048</v>
      </c>
      <c r="AP17" s="20">
        <v>0.97916666666666663</v>
      </c>
      <c r="AQ17" s="37"/>
    </row>
    <row r="18" spans="1:55" x14ac:dyDescent="0.2">
      <c r="A18" s="18" t="s">
        <v>61</v>
      </c>
      <c r="B18" s="19">
        <v>1</v>
      </c>
      <c r="C18" s="19">
        <v>2</v>
      </c>
      <c r="D18" s="19">
        <v>2</v>
      </c>
      <c r="E18" s="19">
        <v>5</v>
      </c>
      <c r="F18" s="19">
        <v>5</v>
      </c>
      <c r="G18" s="20">
        <v>1.3404825737265415E-5</v>
      </c>
      <c r="H18" s="20">
        <v>2.6273613410052286E-5</v>
      </c>
      <c r="I18" s="20">
        <v>2.4980640003996903E-5</v>
      </c>
      <c r="J18" s="20">
        <v>6.283854264851889E-5</v>
      </c>
      <c r="K18" s="20">
        <v>6.1300051492043254E-5</v>
      </c>
      <c r="L18" s="19">
        <v>0</v>
      </c>
      <c r="M18" s="19">
        <v>2</v>
      </c>
      <c r="N18" s="19">
        <v>2</v>
      </c>
      <c r="O18" s="19">
        <v>5</v>
      </c>
      <c r="P18" s="19">
        <v>5</v>
      </c>
      <c r="Q18" s="20">
        <v>0</v>
      </c>
      <c r="R18" s="20">
        <v>1</v>
      </c>
      <c r="S18" s="20">
        <v>1</v>
      </c>
      <c r="T18" s="20">
        <v>1</v>
      </c>
      <c r="U18" s="20">
        <v>1</v>
      </c>
      <c r="W18" s="19">
        <v>0</v>
      </c>
      <c r="X18" s="19">
        <v>0</v>
      </c>
      <c r="Y18" s="19">
        <v>1</v>
      </c>
      <c r="Z18" s="19">
        <v>0</v>
      </c>
      <c r="AA18" s="19">
        <v>5</v>
      </c>
      <c r="AB18" s="20">
        <v>0</v>
      </c>
      <c r="AC18" s="20">
        <v>0</v>
      </c>
      <c r="AD18" s="20">
        <v>1.4712156655044062E-5</v>
      </c>
      <c r="AE18" s="20">
        <v>0</v>
      </c>
      <c r="AF18" s="20">
        <v>6.283854264851889E-5</v>
      </c>
      <c r="AG18" s="19">
        <v>0</v>
      </c>
      <c r="AH18" s="19">
        <v>0</v>
      </c>
      <c r="AI18" s="19">
        <v>1</v>
      </c>
      <c r="AJ18" s="19">
        <v>0</v>
      </c>
      <c r="AK18" s="19">
        <v>5</v>
      </c>
      <c r="AL18" s="20">
        <v>0</v>
      </c>
      <c r="AM18" s="20">
        <v>0</v>
      </c>
      <c r="AN18" s="20">
        <v>1</v>
      </c>
      <c r="AO18" s="20">
        <v>0</v>
      </c>
      <c r="AP18" s="20">
        <v>1</v>
      </c>
      <c r="AQ18" s="37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</row>
    <row r="19" spans="1:55" s="21" customFormat="1" x14ac:dyDescent="0.2">
      <c r="A19" s="1" t="s">
        <v>62</v>
      </c>
      <c r="B19" s="21">
        <v>74600</v>
      </c>
      <c r="C19" s="21">
        <v>76122</v>
      </c>
      <c r="D19" s="21">
        <v>80062</v>
      </c>
      <c r="E19" s="21">
        <v>79569</v>
      </c>
      <c r="F19" s="21">
        <v>81566</v>
      </c>
      <c r="G19" s="22">
        <v>1</v>
      </c>
      <c r="H19" s="22">
        <v>1</v>
      </c>
      <c r="I19" s="22">
        <v>1</v>
      </c>
      <c r="J19" s="22">
        <v>1</v>
      </c>
      <c r="K19" s="22">
        <v>1</v>
      </c>
      <c r="L19" s="21">
        <v>56777</v>
      </c>
      <c r="M19" s="21">
        <v>57506</v>
      </c>
      <c r="N19" s="21">
        <v>59193</v>
      </c>
      <c r="O19" s="21">
        <v>59266</v>
      </c>
      <c r="P19" s="21">
        <v>61895</v>
      </c>
      <c r="Q19" s="22">
        <v>0.7610857908847185</v>
      </c>
      <c r="R19" s="22">
        <v>0.75544520637923329</v>
      </c>
      <c r="S19" s="22">
        <v>0.73933951187829428</v>
      </c>
      <c r="T19" s="22">
        <v>0.74483781372142421</v>
      </c>
      <c r="U19" s="22">
        <v>0.75883333742000347</v>
      </c>
      <c r="W19" s="21">
        <v>50633</v>
      </c>
      <c r="X19" s="21">
        <v>64245</v>
      </c>
      <c r="Y19" s="21">
        <v>67971</v>
      </c>
      <c r="Z19" s="21">
        <v>73408</v>
      </c>
      <c r="AA19" s="21">
        <v>79569</v>
      </c>
      <c r="AB19" s="22">
        <v>1</v>
      </c>
      <c r="AC19" s="22">
        <v>1</v>
      </c>
      <c r="AD19" s="22">
        <v>1</v>
      </c>
      <c r="AE19" s="22">
        <v>1</v>
      </c>
      <c r="AF19" s="22">
        <v>1</v>
      </c>
      <c r="AG19" s="21">
        <v>35126</v>
      </c>
      <c r="AH19" s="21">
        <v>44375</v>
      </c>
      <c r="AI19" s="21">
        <v>48622</v>
      </c>
      <c r="AJ19" s="21">
        <v>55575</v>
      </c>
      <c r="AK19" s="21">
        <v>59266</v>
      </c>
      <c r="AL19" s="22">
        <v>0.69373728595974959</v>
      </c>
      <c r="AM19" s="22">
        <v>0.69071523075725738</v>
      </c>
      <c r="AN19" s="22">
        <v>0.71533448088155238</v>
      </c>
      <c r="AO19" s="22">
        <v>0.7570700741063644</v>
      </c>
      <c r="AP19" s="22">
        <v>0.74483781372142421</v>
      </c>
      <c r="AQ19" s="37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</row>
    <row r="20" spans="1:55" x14ac:dyDescent="0.2">
      <c r="A20" s="23"/>
      <c r="AB20" s="19"/>
      <c r="AC20" s="19"/>
      <c r="AD20" s="19"/>
      <c r="AE20" s="19"/>
      <c r="AF20" s="19"/>
      <c r="AL20" s="19"/>
      <c r="AM20" s="19"/>
      <c r="AN20" s="19"/>
      <c r="AO20" s="19"/>
      <c r="AP20" s="19"/>
      <c r="AQ20" s="37"/>
    </row>
    <row r="21" spans="1:55" x14ac:dyDescent="0.2">
      <c r="A21" s="1" t="s">
        <v>63</v>
      </c>
      <c r="AB21" s="19"/>
      <c r="AC21" s="19"/>
      <c r="AD21" s="19"/>
      <c r="AE21" s="19"/>
      <c r="AF21" s="19"/>
      <c r="AL21" s="19"/>
      <c r="AM21" s="19"/>
      <c r="AN21" s="19"/>
      <c r="AO21" s="19"/>
      <c r="AP21" s="19"/>
      <c r="AQ21" s="37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</row>
    <row r="22" spans="1:55" s="25" customFormat="1" x14ac:dyDescent="0.2">
      <c r="A22" s="24" t="s">
        <v>64</v>
      </c>
      <c r="B22" s="25" t="s">
        <v>10</v>
      </c>
      <c r="C22" s="25" t="s">
        <v>11</v>
      </c>
      <c r="D22" s="25" t="s">
        <v>12</v>
      </c>
      <c r="E22" s="25" t="s">
        <v>164</v>
      </c>
      <c r="F22" s="25" t="s">
        <v>195</v>
      </c>
      <c r="G22" s="25" t="s">
        <v>10</v>
      </c>
      <c r="H22" s="25" t="s">
        <v>11</v>
      </c>
      <c r="I22" s="25" t="s">
        <v>12</v>
      </c>
      <c r="J22" s="25" t="s">
        <v>164</v>
      </c>
      <c r="K22" s="25" t="s">
        <v>195</v>
      </c>
      <c r="L22" s="25" t="s">
        <v>10</v>
      </c>
      <c r="M22" s="25" t="s">
        <v>11</v>
      </c>
      <c r="N22" s="25" t="s">
        <v>12</v>
      </c>
      <c r="O22" s="25" t="s">
        <v>164</v>
      </c>
      <c r="P22" s="25" t="s">
        <v>195</v>
      </c>
      <c r="Q22" s="25" t="s">
        <v>10</v>
      </c>
      <c r="R22" s="25" t="s">
        <v>11</v>
      </c>
      <c r="S22" s="25" t="s">
        <v>12</v>
      </c>
      <c r="T22" s="25" t="s">
        <v>164</v>
      </c>
      <c r="U22" s="25" t="s">
        <v>195</v>
      </c>
      <c r="W22" s="25" t="s">
        <v>13</v>
      </c>
      <c r="X22" s="25" t="s">
        <v>14</v>
      </c>
      <c r="Y22" s="25" t="s">
        <v>15</v>
      </c>
      <c r="Z22" s="25" t="s">
        <v>16</v>
      </c>
      <c r="AA22" s="25" t="s">
        <v>165</v>
      </c>
      <c r="AB22" s="25" t="s">
        <v>13</v>
      </c>
      <c r="AC22" s="25" t="s">
        <v>14</v>
      </c>
      <c r="AD22" s="25" t="s">
        <v>15</v>
      </c>
      <c r="AE22" s="25" t="s">
        <v>16</v>
      </c>
      <c r="AF22" s="25" t="s">
        <v>165</v>
      </c>
      <c r="AG22" s="25" t="s">
        <v>13</v>
      </c>
      <c r="AH22" s="25" t="s">
        <v>14</v>
      </c>
      <c r="AI22" s="25" t="s">
        <v>15</v>
      </c>
      <c r="AJ22" s="25" t="s">
        <v>16</v>
      </c>
      <c r="AK22" s="25" t="s">
        <v>165</v>
      </c>
      <c r="AL22" s="25" t="s">
        <v>13</v>
      </c>
      <c r="AM22" s="25" t="s">
        <v>14</v>
      </c>
      <c r="AN22" s="25" t="s">
        <v>15</v>
      </c>
      <c r="AO22" s="25" t="s">
        <v>16</v>
      </c>
      <c r="AP22" s="25" t="s">
        <v>165</v>
      </c>
      <c r="AQ22" s="37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</row>
    <row r="23" spans="1:55" x14ac:dyDescent="0.2">
      <c r="A23" s="18" t="s">
        <v>18</v>
      </c>
      <c r="B23" s="19">
        <v>1813</v>
      </c>
      <c r="C23" s="19">
        <v>1808</v>
      </c>
      <c r="D23" s="19">
        <v>1808</v>
      </c>
      <c r="E23" s="19">
        <v>1773</v>
      </c>
      <c r="F23" s="19">
        <v>1755</v>
      </c>
      <c r="G23" s="20">
        <v>0.69945987654320985</v>
      </c>
      <c r="H23" s="20">
        <v>0.70023237800154914</v>
      </c>
      <c r="I23" s="20">
        <v>0.6796992481203008</v>
      </c>
      <c r="J23" s="20">
        <v>0.64708029197080297</v>
      </c>
      <c r="K23" s="20">
        <v>0.63426093241778103</v>
      </c>
      <c r="L23" s="19">
        <v>329</v>
      </c>
      <c r="M23" s="19">
        <v>357</v>
      </c>
      <c r="N23" s="19">
        <v>309</v>
      </c>
      <c r="O23" s="19">
        <v>355</v>
      </c>
      <c r="P23" s="19">
        <v>378</v>
      </c>
      <c r="Q23" s="20">
        <v>0.18146718146718147</v>
      </c>
      <c r="R23" s="20">
        <v>0.19745575221238937</v>
      </c>
      <c r="S23" s="20">
        <v>0.1709070796460177</v>
      </c>
      <c r="T23" s="20">
        <v>0.20022560631697686</v>
      </c>
      <c r="U23" s="20">
        <v>0.2153846153846154</v>
      </c>
      <c r="W23" s="19">
        <v>2068</v>
      </c>
      <c r="X23" s="19">
        <v>1976</v>
      </c>
      <c r="Y23" s="19">
        <v>1928</v>
      </c>
      <c r="Z23" s="19">
        <v>1826</v>
      </c>
      <c r="AA23" s="19">
        <v>1773</v>
      </c>
      <c r="AB23" s="20">
        <v>0.83792544570502436</v>
      </c>
      <c r="AC23" s="20">
        <v>0.77157360406091369</v>
      </c>
      <c r="AD23" s="20">
        <v>0.72590361445783136</v>
      </c>
      <c r="AE23" s="20">
        <v>0.71579772638181105</v>
      </c>
      <c r="AF23" s="20">
        <v>0.64708029197080297</v>
      </c>
      <c r="AG23" s="19">
        <v>576</v>
      </c>
      <c r="AH23" s="19">
        <v>628</v>
      </c>
      <c r="AI23" s="19">
        <v>114</v>
      </c>
      <c r="AJ23" s="19">
        <v>322</v>
      </c>
      <c r="AK23" s="19">
        <v>355</v>
      </c>
      <c r="AL23" s="20">
        <v>0.27852998065764023</v>
      </c>
      <c r="AM23" s="20">
        <v>0.31781376518218624</v>
      </c>
      <c r="AN23" s="20">
        <v>5.9128630705394189E-2</v>
      </c>
      <c r="AO23" s="20">
        <v>0.17634173055859803</v>
      </c>
      <c r="AP23" s="20">
        <v>0.20022560631697686</v>
      </c>
      <c r="AQ23" s="37"/>
    </row>
    <row r="24" spans="1:55" x14ac:dyDescent="0.2">
      <c r="A24" s="18" t="s">
        <v>30</v>
      </c>
      <c r="B24" s="19">
        <v>73</v>
      </c>
      <c r="C24" s="19">
        <v>72</v>
      </c>
      <c r="D24" s="19">
        <v>79</v>
      </c>
      <c r="E24" s="19">
        <v>73</v>
      </c>
      <c r="F24" s="19">
        <v>81</v>
      </c>
      <c r="G24" s="20">
        <v>2.816358024691358E-2</v>
      </c>
      <c r="H24" s="20">
        <v>2.7885360185902403E-2</v>
      </c>
      <c r="I24" s="20">
        <v>2.9699248120300753E-2</v>
      </c>
      <c r="J24" s="20">
        <v>2.6642335766423358E-2</v>
      </c>
      <c r="K24" s="20">
        <v>2.9273581496205278E-2</v>
      </c>
      <c r="L24" s="19">
        <v>68</v>
      </c>
      <c r="M24" s="19">
        <v>67</v>
      </c>
      <c r="N24" s="19">
        <v>74</v>
      </c>
      <c r="O24" s="19">
        <v>69</v>
      </c>
      <c r="P24" s="19">
        <v>77</v>
      </c>
      <c r="Q24" s="20">
        <v>0.93150684931506844</v>
      </c>
      <c r="R24" s="20">
        <v>0.93055555555555558</v>
      </c>
      <c r="S24" s="20">
        <v>0.93670886075949367</v>
      </c>
      <c r="T24" s="20">
        <v>0.9452054794520548</v>
      </c>
      <c r="U24" s="20">
        <v>0.95061728395061729</v>
      </c>
      <c r="W24" s="19">
        <v>72</v>
      </c>
      <c r="X24" s="19">
        <v>60</v>
      </c>
      <c r="Y24" s="19">
        <v>82</v>
      </c>
      <c r="Z24" s="19">
        <v>73</v>
      </c>
      <c r="AA24" s="19">
        <v>73</v>
      </c>
      <c r="AB24" s="20">
        <v>2.9173419773095625E-2</v>
      </c>
      <c r="AC24" s="20">
        <v>2.3428348301444749E-2</v>
      </c>
      <c r="AD24" s="20">
        <v>3.0873493975903613E-2</v>
      </c>
      <c r="AE24" s="20">
        <v>2.8616228929831438E-2</v>
      </c>
      <c r="AF24" s="20">
        <v>2.6642335766423358E-2</v>
      </c>
      <c r="AG24" s="19">
        <v>68</v>
      </c>
      <c r="AH24" s="19">
        <v>56</v>
      </c>
      <c r="AI24" s="19">
        <v>76</v>
      </c>
      <c r="AJ24" s="19">
        <v>67</v>
      </c>
      <c r="AK24" s="19">
        <v>69</v>
      </c>
      <c r="AL24" s="20">
        <v>0.94444444444444442</v>
      </c>
      <c r="AM24" s="20">
        <v>0.93333333333333335</v>
      </c>
      <c r="AN24" s="20">
        <v>0.92682926829268297</v>
      </c>
      <c r="AO24" s="20">
        <v>0.9178082191780822</v>
      </c>
      <c r="AP24" s="20">
        <v>0.9452054794520548</v>
      </c>
      <c r="AQ24" s="37"/>
    </row>
    <row r="25" spans="1:55" x14ac:dyDescent="0.2">
      <c r="A25" s="18" t="s">
        <v>43</v>
      </c>
      <c r="B25" s="19">
        <v>706</v>
      </c>
      <c r="C25" s="19">
        <v>702</v>
      </c>
      <c r="D25" s="19">
        <v>773</v>
      </c>
      <c r="E25" s="19">
        <v>894</v>
      </c>
      <c r="F25" s="19">
        <v>931</v>
      </c>
      <c r="G25" s="20">
        <v>0.27237654320987653</v>
      </c>
      <c r="H25" s="20">
        <v>0.27188226181254843</v>
      </c>
      <c r="I25" s="20">
        <v>0.29060150375939847</v>
      </c>
      <c r="J25" s="20">
        <v>0.3262773722627737</v>
      </c>
      <c r="K25" s="20">
        <v>0.33646548608601373</v>
      </c>
      <c r="L25" s="19">
        <v>675</v>
      </c>
      <c r="M25" s="19">
        <v>662</v>
      </c>
      <c r="N25" s="19">
        <v>701</v>
      </c>
      <c r="O25" s="19">
        <v>789</v>
      </c>
      <c r="P25" s="19">
        <v>827</v>
      </c>
      <c r="Q25" s="20">
        <v>0.9560906515580736</v>
      </c>
      <c r="R25" s="20">
        <v>0.94301994301994307</v>
      </c>
      <c r="S25" s="20">
        <v>0.90685640362225095</v>
      </c>
      <c r="T25" s="20">
        <v>0.8825503355704698</v>
      </c>
      <c r="U25" s="20">
        <v>0.88829215896885072</v>
      </c>
      <c r="W25" s="19">
        <v>328</v>
      </c>
      <c r="X25" s="19">
        <v>525</v>
      </c>
      <c r="Y25" s="19">
        <v>646</v>
      </c>
      <c r="Z25" s="19">
        <v>652</v>
      </c>
      <c r="AA25" s="19">
        <v>894</v>
      </c>
      <c r="AB25" s="20">
        <v>0.13290113452188007</v>
      </c>
      <c r="AC25" s="20">
        <v>0.20499804763764154</v>
      </c>
      <c r="AD25" s="20">
        <v>0.24322289156626506</v>
      </c>
      <c r="AE25" s="20">
        <v>0.25558604468835749</v>
      </c>
      <c r="AF25" s="20">
        <v>0.3262773722627737</v>
      </c>
      <c r="AG25" s="19">
        <v>322</v>
      </c>
      <c r="AH25" s="19">
        <v>513</v>
      </c>
      <c r="AI25" s="19">
        <v>619</v>
      </c>
      <c r="AJ25" s="19">
        <v>615</v>
      </c>
      <c r="AK25" s="19">
        <v>789</v>
      </c>
      <c r="AL25" s="20">
        <v>0.98170731707317072</v>
      </c>
      <c r="AM25" s="20">
        <v>0.97714285714285709</v>
      </c>
      <c r="AN25" s="20">
        <v>0.95820433436532504</v>
      </c>
      <c r="AO25" s="20">
        <v>0.94325153374233128</v>
      </c>
      <c r="AP25" s="20">
        <v>0.8825503355704698</v>
      </c>
      <c r="AQ25" s="37"/>
    </row>
    <row r="26" spans="1:55" s="27" customFormat="1" x14ac:dyDescent="0.2">
      <c r="A26" s="26" t="s">
        <v>65</v>
      </c>
      <c r="B26" s="27">
        <v>2592</v>
      </c>
      <c r="C26" s="27">
        <v>2582</v>
      </c>
      <c r="D26" s="27">
        <v>2660</v>
      </c>
      <c r="E26" s="27">
        <v>2740</v>
      </c>
      <c r="F26" s="27">
        <v>2767</v>
      </c>
      <c r="G26" s="22">
        <v>1</v>
      </c>
      <c r="H26" s="22">
        <v>1</v>
      </c>
      <c r="I26" s="22">
        <v>1</v>
      </c>
      <c r="J26" s="22">
        <v>1</v>
      </c>
      <c r="K26" s="22">
        <v>1</v>
      </c>
      <c r="L26" s="27">
        <v>1072</v>
      </c>
      <c r="M26" s="27">
        <v>1086</v>
      </c>
      <c r="N26" s="27">
        <v>1084</v>
      </c>
      <c r="O26" s="27">
        <v>1213</v>
      </c>
      <c r="P26" s="27">
        <v>1282</v>
      </c>
      <c r="Q26" s="22">
        <v>0.41358024691358025</v>
      </c>
      <c r="R26" s="22">
        <v>0.42060418280402789</v>
      </c>
      <c r="S26" s="22">
        <v>0.40751879699248122</v>
      </c>
      <c r="T26" s="22">
        <v>0.44270072992700732</v>
      </c>
      <c r="U26" s="22">
        <v>0.4633176725695699</v>
      </c>
      <c r="W26" s="27">
        <v>2468</v>
      </c>
      <c r="X26" s="27">
        <v>2561</v>
      </c>
      <c r="Y26" s="27">
        <v>2656</v>
      </c>
      <c r="Z26" s="27">
        <v>2551</v>
      </c>
      <c r="AA26" s="27">
        <v>2740</v>
      </c>
      <c r="AB26" s="22">
        <v>1</v>
      </c>
      <c r="AC26" s="22">
        <v>1</v>
      </c>
      <c r="AD26" s="22">
        <v>1</v>
      </c>
      <c r="AE26" s="22">
        <v>1</v>
      </c>
      <c r="AF26" s="22">
        <v>1</v>
      </c>
      <c r="AG26" s="27">
        <v>966</v>
      </c>
      <c r="AH26" s="27">
        <v>1197</v>
      </c>
      <c r="AI26" s="27">
        <v>809</v>
      </c>
      <c r="AJ26" s="27">
        <v>1004</v>
      </c>
      <c r="AK26" s="27">
        <v>1213</v>
      </c>
      <c r="AL26" s="22">
        <v>0.39141004862236628</v>
      </c>
      <c r="AM26" s="22">
        <v>0.46739554861382271</v>
      </c>
      <c r="AN26" s="22">
        <v>0.30459337349397592</v>
      </c>
      <c r="AO26" s="22">
        <v>0.39357114856918857</v>
      </c>
      <c r="AP26" s="22">
        <v>0.44270072992700732</v>
      </c>
      <c r="AQ26" s="37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</row>
    <row r="27" spans="1:55" x14ac:dyDescent="0.2">
      <c r="A27" s="18"/>
      <c r="AQ27" s="37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</row>
    <row r="28" spans="1:55" s="25" customFormat="1" x14ac:dyDescent="0.2">
      <c r="A28" s="28" t="s">
        <v>66</v>
      </c>
      <c r="B28" s="25" t="s">
        <v>10</v>
      </c>
      <c r="C28" s="25" t="s">
        <v>11</v>
      </c>
      <c r="D28" s="25" t="s">
        <v>12</v>
      </c>
      <c r="E28" s="25" t="s">
        <v>164</v>
      </c>
      <c r="F28" s="25" t="s">
        <v>195</v>
      </c>
      <c r="G28" s="25" t="s">
        <v>10</v>
      </c>
      <c r="H28" s="25" t="s">
        <v>11</v>
      </c>
      <c r="I28" s="25" t="s">
        <v>12</v>
      </c>
      <c r="J28" s="25" t="s">
        <v>164</v>
      </c>
      <c r="K28" s="25" t="s">
        <v>195</v>
      </c>
      <c r="L28" s="25" t="s">
        <v>10</v>
      </c>
      <c r="M28" s="25" t="s">
        <v>11</v>
      </c>
      <c r="N28" s="25" t="s">
        <v>12</v>
      </c>
      <c r="O28" s="25" t="s">
        <v>164</v>
      </c>
      <c r="P28" s="25" t="s">
        <v>195</v>
      </c>
      <c r="Q28" s="25" t="s">
        <v>10</v>
      </c>
      <c r="R28" s="25" t="s">
        <v>11</v>
      </c>
      <c r="S28" s="25" t="s">
        <v>12</v>
      </c>
      <c r="T28" s="25" t="s">
        <v>164</v>
      </c>
      <c r="U28" s="25" t="s">
        <v>195</v>
      </c>
      <c r="W28" s="25" t="s">
        <v>13</v>
      </c>
      <c r="X28" s="25" t="s">
        <v>14</v>
      </c>
      <c r="Y28" s="25" t="s">
        <v>15</v>
      </c>
      <c r="Z28" s="25" t="s">
        <v>16</v>
      </c>
      <c r="AA28" s="25" t="s">
        <v>165</v>
      </c>
      <c r="AB28" s="25" t="s">
        <v>13</v>
      </c>
      <c r="AC28" s="25" t="s">
        <v>14</v>
      </c>
      <c r="AD28" s="25" t="s">
        <v>15</v>
      </c>
      <c r="AE28" s="25" t="s">
        <v>16</v>
      </c>
      <c r="AF28" s="25" t="s">
        <v>165</v>
      </c>
      <c r="AG28" s="25" t="s">
        <v>13</v>
      </c>
      <c r="AH28" s="25" t="s">
        <v>14</v>
      </c>
      <c r="AI28" s="25" t="s">
        <v>15</v>
      </c>
      <c r="AJ28" s="25" t="s">
        <v>16</v>
      </c>
      <c r="AK28" s="25" t="s">
        <v>165</v>
      </c>
      <c r="AL28" s="25" t="s">
        <v>13</v>
      </c>
      <c r="AM28" s="25" t="s">
        <v>14</v>
      </c>
      <c r="AN28" s="25" t="s">
        <v>15</v>
      </c>
      <c r="AO28" s="25" t="s">
        <v>16</v>
      </c>
      <c r="AP28" s="25" t="s">
        <v>165</v>
      </c>
      <c r="AQ28" s="37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</row>
    <row r="29" spans="1:55" x14ac:dyDescent="0.2">
      <c r="A29" s="18" t="s">
        <v>18</v>
      </c>
      <c r="B29" s="19">
        <v>416</v>
      </c>
      <c r="C29" s="19">
        <v>617</v>
      </c>
      <c r="D29" s="19">
        <v>599</v>
      </c>
      <c r="E29" s="19">
        <v>593</v>
      </c>
      <c r="F29" s="19">
        <v>578</v>
      </c>
      <c r="G29" s="20">
        <v>8.9928446356384705E-3</v>
      </c>
      <c r="H29" s="20">
        <v>1.3035303065514547E-2</v>
      </c>
      <c r="I29" s="20">
        <v>1.1875024780936522E-2</v>
      </c>
      <c r="J29" s="20">
        <v>1.1949622166246851E-2</v>
      </c>
      <c r="K29" s="20">
        <v>1.1483976078361248E-2</v>
      </c>
      <c r="L29" s="19">
        <v>70</v>
      </c>
      <c r="M29" s="19">
        <v>74</v>
      </c>
      <c r="N29" s="19">
        <v>57</v>
      </c>
      <c r="O29" s="19">
        <v>59</v>
      </c>
      <c r="P29" s="19">
        <v>63</v>
      </c>
      <c r="Q29" s="20">
        <v>0.16826923076923078</v>
      </c>
      <c r="R29" s="20">
        <v>0.11993517017828201</v>
      </c>
      <c r="S29" s="20">
        <v>9.515859766277128E-2</v>
      </c>
      <c r="T29" s="20">
        <v>9.949409780775717E-2</v>
      </c>
      <c r="U29" s="20">
        <v>0.10899653979238755</v>
      </c>
      <c r="W29" s="19">
        <v>770</v>
      </c>
      <c r="X29" s="19">
        <v>683</v>
      </c>
      <c r="Y29" s="19">
        <v>662</v>
      </c>
      <c r="Z29" s="19">
        <v>620</v>
      </c>
      <c r="AA29" s="19">
        <v>593</v>
      </c>
      <c r="AB29" s="20">
        <v>1.9645864162882075E-2</v>
      </c>
      <c r="AC29" s="20">
        <v>1.7176772376329755E-2</v>
      </c>
      <c r="AD29" s="20">
        <v>1.5830125062770511E-2</v>
      </c>
      <c r="AE29" s="20">
        <v>1.3688045038083674E-2</v>
      </c>
      <c r="AF29" s="20">
        <v>1.1949622166246851E-2</v>
      </c>
      <c r="AG29" s="19">
        <v>245</v>
      </c>
      <c r="AH29" s="19">
        <v>218</v>
      </c>
      <c r="AI29" s="19">
        <v>40</v>
      </c>
      <c r="AJ29" s="19">
        <v>71</v>
      </c>
      <c r="AK29" s="19">
        <v>59</v>
      </c>
      <c r="AL29" s="20">
        <v>0.31818181818181818</v>
      </c>
      <c r="AM29" s="20">
        <v>0.31918008784773061</v>
      </c>
      <c r="AN29" s="20">
        <v>6.0422960725075532E-2</v>
      </c>
      <c r="AO29" s="20">
        <v>0.11451612903225807</v>
      </c>
      <c r="AP29" s="20">
        <v>9.949409780775717E-2</v>
      </c>
      <c r="AQ29" s="37"/>
    </row>
    <row r="30" spans="1:55" x14ac:dyDescent="0.2">
      <c r="A30" s="18" t="s">
        <v>19</v>
      </c>
      <c r="B30" s="19">
        <v>17697</v>
      </c>
      <c r="C30" s="19">
        <v>17540</v>
      </c>
      <c r="D30" s="19">
        <v>18004</v>
      </c>
      <c r="E30" s="19">
        <v>17401</v>
      </c>
      <c r="F30" s="19">
        <v>17172</v>
      </c>
      <c r="G30" s="20">
        <v>0.38256339306945675</v>
      </c>
      <c r="H30" s="20">
        <v>0.37056598990133732</v>
      </c>
      <c r="I30" s="20">
        <v>0.356924784901471</v>
      </c>
      <c r="J30" s="20">
        <v>0.35064987405541564</v>
      </c>
      <c r="K30" s="20">
        <v>0.34118137926923764</v>
      </c>
      <c r="L30" s="19">
        <v>13429</v>
      </c>
      <c r="M30" s="19">
        <v>13483</v>
      </c>
      <c r="N30" s="19">
        <v>13467</v>
      </c>
      <c r="O30" s="19">
        <v>13169</v>
      </c>
      <c r="P30" s="19">
        <v>13117</v>
      </c>
      <c r="Q30" s="20">
        <v>0.75882918008702038</v>
      </c>
      <c r="R30" s="20">
        <v>0.76870011402508553</v>
      </c>
      <c r="S30" s="20">
        <v>0.74800044434570101</v>
      </c>
      <c r="T30" s="20">
        <v>0.75679558646054823</v>
      </c>
      <c r="U30" s="20">
        <v>0.76385977172140695</v>
      </c>
      <c r="W30" s="19">
        <v>20856</v>
      </c>
      <c r="X30" s="19">
        <v>20126</v>
      </c>
      <c r="Y30" s="19">
        <v>18368</v>
      </c>
      <c r="Z30" s="19">
        <v>17796</v>
      </c>
      <c r="AA30" s="19">
        <v>17401</v>
      </c>
      <c r="AB30" s="20">
        <v>0.53212226361177728</v>
      </c>
      <c r="AC30" s="20">
        <v>0.50614893242461589</v>
      </c>
      <c r="AD30" s="20">
        <v>0.4392261890528229</v>
      </c>
      <c r="AE30" s="20">
        <v>0.39289104757699528</v>
      </c>
      <c r="AF30" s="20">
        <v>0.35064987405541564</v>
      </c>
      <c r="AG30" s="19">
        <v>14452</v>
      </c>
      <c r="AH30" s="19">
        <v>14014</v>
      </c>
      <c r="AI30" s="19">
        <v>13085</v>
      </c>
      <c r="AJ30" s="19">
        <v>13358</v>
      </c>
      <c r="AK30" s="19">
        <v>13169</v>
      </c>
      <c r="AL30" s="20">
        <v>0.6929420790180284</v>
      </c>
      <c r="AM30" s="20">
        <v>0.6963132266719666</v>
      </c>
      <c r="AN30" s="20">
        <v>0.71238022648083621</v>
      </c>
      <c r="AO30" s="20">
        <v>0.75061811643065857</v>
      </c>
      <c r="AP30" s="20">
        <v>0.75679558646054823</v>
      </c>
      <c r="AQ30" s="37"/>
    </row>
    <row r="31" spans="1:55" x14ac:dyDescent="0.2">
      <c r="A31" s="18" t="s">
        <v>20</v>
      </c>
      <c r="B31" s="19">
        <v>58</v>
      </c>
      <c r="C31" s="19">
        <v>71</v>
      </c>
      <c r="D31" s="19">
        <v>95</v>
      </c>
      <c r="E31" s="19">
        <v>96</v>
      </c>
      <c r="F31" s="19">
        <v>112</v>
      </c>
      <c r="G31" s="20">
        <v>1.2538100693919021E-3</v>
      </c>
      <c r="H31" s="20">
        <v>1.5000105634546722E-3</v>
      </c>
      <c r="I31" s="20">
        <v>1.8833511756076286E-3</v>
      </c>
      <c r="J31" s="20">
        <v>1.9345088161209069E-3</v>
      </c>
      <c r="K31" s="20">
        <v>2.2252687210665397E-3</v>
      </c>
      <c r="L31" s="19">
        <v>40</v>
      </c>
      <c r="M31" s="19">
        <v>53</v>
      </c>
      <c r="N31" s="19">
        <v>60</v>
      </c>
      <c r="O31" s="19">
        <v>56</v>
      </c>
      <c r="P31" s="19">
        <v>73</v>
      </c>
      <c r="Q31" s="20">
        <v>0.68965517241379315</v>
      </c>
      <c r="R31" s="20">
        <v>0.74647887323943662</v>
      </c>
      <c r="S31" s="20">
        <v>0.63157894736842102</v>
      </c>
      <c r="T31" s="20">
        <v>0.58333333333333337</v>
      </c>
      <c r="U31" s="20">
        <v>0.6517857142857143</v>
      </c>
      <c r="W31" s="19">
        <v>0</v>
      </c>
      <c r="X31" s="19">
        <v>0</v>
      </c>
      <c r="Y31" s="19">
        <v>0</v>
      </c>
      <c r="Z31" s="19">
        <v>32</v>
      </c>
      <c r="AA31" s="19">
        <v>96</v>
      </c>
      <c r="AB31" s="20">
        <v>0</v>
      </c>
      <c r="AC31" s="20">
        <v>0</v>
      </c>
      <c r="AD31" s="20">
        <v>0</v>
      </c>
      <c r="AE31" s="20">
        <v>7.0647974390109284E-4</v>
      </c>
      <c r="AF31" s="20">
        <v>1.9345088161209069E-3</v>
      </c>
      <c r="AG31" s="19">
        <v>0</v>
      </c>
      <c r="AH31" s="19">
        <v>0</v>
      </c>
      <c r="AI31" s="19">
        <v>0</v>
      </c>
      <c r="AJ31" s="19">
        <v>14</v>
      </c>
      <c r="AK31" s="19">
        <v>56</v>
      </c>
      <c r="AL31" s="20">
        <v>0</v>
      </c>
      <c r="AM31" s="20">
        <v>0</v>
      </c>
      <c r="AN31" s="20">
        <v>0</v>
      </c>
      <c r="AO31" s="20">
        <v>0.4375</v>
      </c>
      <c r="AP31" s="20">
        <v>0.58333333333333337</v>
      </c>
      <c r="AQ31" s="37"/>
    </row>
    <row r="32" spans="1:55" x14ac:dyDescent="0.2">
      <c r="A32" s="18" t="s">
        <v>21</v>
      </c>
      <c r="B32" s="19">
        <v>241</v>
      </c>
      <c r="C32" s="19">
        <v>278</v>
      </c>
      <c r="D32" s="19">
        <v>343</v>
      </c>
      <c r="E32" s="19">
        <v>363</v>
      </c>
      <c r="F32" s="19">
        <v>356</v>
      </c>
      <c r="G32" s="20">
        <v>5.2097970124732485E-3</v>
      </c>
      <c r="H32" s="20">
        <v>5.8732807977520968E-3</v>
      </c>
      <c r="I32" s="20">
        <v>6.7998889814043853E-3</v>
      </c>
      <c r="J32" s="20">
        <v>7.3148614609571784E-3</v>
      </c>
      <c r="K32" s="20">
        <v>7.0731755776757867E-3</v>
      </c>
      <c r="L32" s="19">
        <v>235</v>
      </c>
      <c r="M32" s="19">
        <v>248</v>
      </c>
      <c r="N32" s="19">
        <v>282</v>
      </c>
      <c r="O32" s="19">
        <v>296</v>
      </c>
      <c r="P32" s="19">
        <v>301</v>
      </c>
      <c r="Q32" s="20">
        <v>0.975103734439834</v>
      </c>
      <c r="R32" s="20">
        <v>0.8920863309352518</v>
      </c>
      <c r="S32" s="20">
        <v>0.82215743440233235</v>
      </c>
      <c r="T32" s="20">
        <v>0.81542699724517909</v>
      </c>
      <c r="U32" s="20">
        <v>0.8455056179775281</v>
      </c>
      <c r="W32" s="19">
        <v>0</v>
      </c>
      <c r="X32" s="19">
        <v>0</v>
      </c>
      <c r="Y32" s="19">
        <v>115</v>
      </c>
      <c r="Z32" s="19">
        <v>166</v>
      </c>
      <c r="AA32" s="19">
        <v>363</v>
      </c>
      <c r="AB32" s="20">
        <v>0</v>
      </c>
      <c r="AC32" s="20">
        <v>0</v>
      </c>
      <c r="AD32" s="20">
        <v>2.7499461967048469E-3</v>
      </c>
      <c r="AE32" s="20">
        <v>3.664863671486919E-3</v>
      </c>
      <c r="AF32" s="20">
        <v>7.3148614609571784E-3</v>
      </c>
      <c r="AG32" s="19">
        <v>0</v>
      </c>
      <c r="AH32" s="19">
        <v>0</v>
      </c>
      <c r="AI32" s="19">
        <v>114</v>
      </c>
      <c r="AJ32" s="19">
        <v>164</v>
      </c>
      <c r="AK32" s="19">
        <v>296</v>
      </c>
      <c r="AL32" s="20">
        <v>0</v>
      </c>
      <c r="AM32" s="20">
        <v>0</v>
      </c>
      <c r="AN32" s="20">
        <v>0.99130434782608701</v>
      </c>
      <c r="AO32" s="20">
        <v>0.98795180722891562</v>
      </c>
      <c r="AP32" s="20">
        <v>0.81542699724517909</v>
      </c>
      <c r="AQ32" s="37"/>
    </row>
    <row r="33" spans="1:55" x14ac:dyDescent="0.2">
      <c r="A33" s="18" t="s">
        <v>25</v>
      </c>
      <c r="B33" s="19">
        <v>2212</v>
      </c>
      <c r="C33" s="19">
        <v>2308</v>
      </c>
      <c r="D33" s="19">
        <v>2487</v>
      </c>
      <c r="E33" s="19">
        <v>2600</v>
      </c>
      <c r="F33" s="19">
        <v>2594</v>
      </c>
      <c r="G33" s="20">
        <v>4.7817721956808404E-2</v>
      </c>
      <c r="H33" s="20">
        <v>4.8760906766949066E-2</v>
      </c>
      <c r="I33" s="20">
        <v>4.9304151302486027E-2</v>
      </c>
      <c r="J33" s="20">
        <v>5.2392947103274558E-2</v>
      </c>
      <c r="K33" s="20">
        <v>5.153881305755896E-2</v>
      </c>
      <c r="L33" s="19">
        <v>2100</v>
      </c>
      <c r="M33" s="19">
        <v>2194</v>
      </c>
      <c r="N33" s="19">
        <v>2274</v>
      </c>
      <c r="O33" s="19">
        <v>2371</v>
      </c>
      <c r="P33" s="19">
        <v>2374</v>
      </c>
      <c r="Q33" s="20">
        <v>0.94936708860759489</v>
      </c>
      <c r="R33" s="20">
        <v>0.9506065857885615</v>
      </c>
      <c r="S33" s="20">
        <v>0.91435464414957779</v>
      </c>
      <c r="T33" s="20">
        <v>0.91192307692307695</v>
      </c>
      <c r="U33" s="20">
        <v>0.91518889745566689</v>
      </c>
      <c r="W33" s="19">
        <v>642</v>
      </c>
      <c r="X33" s="19">
        <v>968</v>
      </c>
      <c r="Y33" s="19">
        <v>1697</v>
      </c>
      <c r="Z33" s="19">
        <v>2165</v>
      </c>
      <c r="AA33" s="19">
        <v>2600</v>
      </c>
      <c r="AB33" s="20">
        <v>1.6380058172169209E-2</v>
      </c>
      <c r="AC33" s="20">
        <v>2.4344239619747E-2</v>
      </c>
      <c r="AD33" s="20">
        <v>4.0579640833114133E-2</v>
      </c>
      <c r="AE33" s="20">
        <v>4.7797770173308315E-2</v>
      </c>
      <c r="AF33" s="20">
        <v>5.2392947103274558E-2</v>
      </c>
      <c r="AG33" s="19">
        <v>642</v>
      </c>
      <c r="AH33" s="19">
        <v>934</v>
      </c>
      <c r="AI33" s="19">
        <v>1630</v>
      </c>
      <c r="AJ33" s="19">
        <v>2067</v>
      </c>
      <c r="AK33" s="19">
        <v>2371</v>
      </c>
      <c r="AL33" s="20">
        <v>1</v>
      </c>
      <c r="AM33" s="20">
        <v>0.96487603305785119</v>
      </c>
      <c r="AN33" s="20">
        <v>0.96051856216853271</v>
      </c>
      <c r="AO33" s="20">
        <v>0.95473441108545032</v>
      </c>
      <c r="AP33" s="20">
        <v>0.91192307692307695</v>
      </c>
      <c r="AQ33" s="37"/>
    </row>
    <row r="34" spans="1:55" x14ac:dyDescent="0.2">
      <c r="A34" s="18" t="s">
        <v>30</v>
      </c>
      <c r="B34" s="19">
        <v>6027</v>
      </c>
      <c r="C34" s="19">
        <v>6713</v>
      </c>
      <c r="D34" s="19">
        <v>7767</v>
      </c>
      <c r="E34" s="19">
        <v>6459</v>
      </c>
      <c r="F34" s="19">
        <v>6826</v>
      </c>
      <c r="G34" s="20">
        <v>0.13028816014181024</v>
      </c>
      <c r="H34" s="20">
        <v>0.14182494242917204</v>
      </c>
      <c r="I34" s="20">
        <v>0.15397882716783634</v>
      </c>
      <c r="J34" s="20">
        <v>0.13015617128463475</v>
      </c>
      <c r="K34" s="20">
        <v>0.13562218116071606</v>
      </c>
      <c r="L34" s="19">
        <v>4732</v>
      </c>
      <c r="M34" s="19">
        <v>4842</v>
      </c>
      <c r="N34" s="19">
        <v>5689</v>
      </c>
      <c r="O34" s="19">
        <v>4741</v>
      </c>
      <c r="P34" s="19">
        <v>5227</v>
      </c>
      <c r="Q34" s="20">
        <v>0.78513356562137049</v>
      </c>
      <c r="R34" s="20">
        <v>0.72128705496797263</v>
      </c>
      <c r="S34" s="20">
        <v>0.73245783442770696</v>
      </c>
      <c r="T34" s="20">
        <v>0.73401455333642984</v>
      </c>
      <c r="U34" s="20">
        <v>0.76574860826252567</v>
      </c>
      <c r="W34" s="19">
        <v>4498</v>
      </c>
      <c r="X34" s="19">
        <v>4544</v>
      </c>
      <c r="Y34" s="19">
        <v>5398</v>
      </c>
      <c r="Z34" s="19">
        <v>5546</v>
      </c>
      <c r="AA34" s="19">
        <v>6459</v>
      </c>
      <c r="AB34" s="20">
        <v>0.11476246364239424</v>
      </c>
      <c r="AC34" s="20">
        <v>0.11427709176872973</v>
      </c>
      <c r="AD34" s="20">
        <v>0.12908008321576317</v>
      </c>
      <c r="AE34" s="20">
        <v>0.12244177061485816</v>
      </c>
      <c r="AF34" s="20">
        <v>0.13015617128463475</v>
      </c>
      <c r="AG34" s="19">
        <v>3126</v>
      </c>
      <c r="AH34" s="19">
        <v>3395</v>
      </c>
      <c r="AI34" s="19">
        <v>4197</v>
      </c>
      <c r="AJ34" s="19">
        <v>4352</v>
      </c>
      <c r="AK34" s="19">
        <v>4741</v>
      </c>
      <c r="AL34" s="20">
        <v>0.69497554468652734</v>
      </c>
      <c r="AM34" s="20">
        <v>0.74713908450704225</v>
      </c>
      <c r="AN34" s="20">
        <v>0.77751018895887369</v>
      </c>
      <c r="AO34" s="20">
        <v>0.78470970068517854</v>
      </c>
      <c r="AP34" s="20">
        <v>0.73401455333642984</v>
      </c>
      <c r="AQ34" s="37"/>
    </row>
    <row r="35" spans="1:55" x14ac:dyDescent="0.2">
      <c r="A35" s="18" t="s">
        <v>37</v>
      </c>
      <c r="B35" s="19">
        <v>5</v>
      </c>
      <c r="C35" s="19">
        <v>5</v>
      </c>
      <c r="D35" s="19">
        <v>21</v>
      </c>
      <c r="E35" s="19">
        <v>0</v>
      </c>
      <c r="F35" s="19">
        <v>0</v>
      </c>
      <c r="G35" s="20">
        <v>1.0808707494757776E-4</v>
      </c>
      <c r="H35" s="20">
        <v>1.0563454672216002E-4</v>
      </c>
      <c r="I35" s="20">
        <v>4.1631973355537054E-4</v>
      </c>
      <c r="J35" s="20">
        <v>0</v>
      </c>
      <c r="K35" s="20">
        <v>0</v>
      </c>
      <c r="L35" s="19">
        <v>2</v>
      </c>
      <c r="M35" s="19">
        <v>2</v>
      </c>
      <c r="N35" s="19">
        <v>18</v>
      </c>
      <c r="O35" s="19">
        <v>0</v>
      </c>
      <c r="P35" s="19">
        <v>0</v>
      </c>
      <c r="Q35" s="20">
        <v>0.4</v>
      </c>
      <c r="R35" s="20">
        <v>0.4</v>
      </c>
      <c r="S35" s="20">
        <v>0.8571428571428571</v>
      </c>
      <c r="T35" s="20">
        <v>0</v>
      </c>
      <c r="U35" s="20">
        <v>0</v>
      </c>
      <c r="W35" s="19">
        <v>19</v>
      </c>
      <c r="X35" s="19">
        <v>11</v>
      </c>
      <c r="Y35" s="19">
        <v>7</v>
      </c>
      <c r="Z35" s="19">
        <v>5</v>
      </c>
      <c r="AA35" s="19">
        <v>0</v>
      </c>
      <c r="AB35" s="20">
        <v>4.847680767464408E-4</v>
      </c>
      <c r="AC35" s="20">
        <v>2.7663908658803413E-4</v>
      </c>
      <c r="AD35" s="20">
        <v>1.6738802936464286E-4</v>
      </c>
      <c r="AE35" s="20">
        <v>1.1038745998454576E-4</v>
      </c>
      <c r="AF35" s="20">
        <v>0</v>
      </c>
      <c r="AG35" s="19">
        <v>13</v>
      </c>
      <c r="AH35" s="19">
        <v>7</v>
      </c>
      <c r="AI35" s="19">
        <v>4</v>
      </c>
      <c r="AJ35" s="19">
        <v>2</v>
      </c>
      <c r="AK35" s="19">
        <v>0</v>
      </c>
      <c r="AL35" s="20">
        <v>0.68421052631578949</v>
      </c>
      <c r="AM35" s="20">
        <v>0.63636363636363635</v>
      </c>
      <c r="AN35" s="20">
        <v>0.5714285714285714</v>
      </c>
      <c r="AO35" s="20">
        <v>0.4</v>
      </c>
      <c r="AP35" s="20">
        <v>0</v>
      </c>
      <c r="AQ35" s="37"/>
    </row>
    <row r="36" spans="1:55" x14ac:dyDescent="0.2">
      <c r="A36" s="18" t="s">
        <v>43</v>
      </c>
      <c r="B36" s="19">
        <v>19470</v>
      </c>
      <c r="C36" s="19">
        <v>19672</v>
      </c>
      <c r="D36" s="19">
        <v>20992</v>
      </c>
      <c r="E36" s="19">
        <v>21970</v>
      </c>
      <c r="F36" s="19">
        <v>22529</v>
      </c>
      <c r="G36" s="20">
        <v>0.42089106984586783</v>
      </c>
      <c r="H36" s="20">
        <v>0.41560856062366636</v>
      </c>
      <c r="I36" s="20">
        <v>0.41616113556163514</v>
      </c>
      <c r="J36" s="20">
        <v>0.44272040302267002</v>
      </c>
      <c r="K36" s="20">
        <v>0.44761677693667917</v>
      </c>
      <c r="L36" s="19">
        <v>17029</v>
      </c>
      <c r="M36" s="19">
        <v>16985</v>
      </c>
      <c r="N36" s="19">
        <v>17361</v>
      </c>
      <c r="O36" s="19">
        <v>18043</v>
      </c>
      <c r="P36" s="19">
        <v>18677</v>
      </c>
      <c r="Q36" s="20">
        <v>0.87462763225475093</v>
      </c>
      <c r="R36" s="20">
        <v>0.86340992273281825</v>
      </c>
      <c r="S36" s="20">
        <v>0.82702934451219512</v>
      </c>
      <c r="T36" s="20">
        <v>0.82125625853436501</v>
      </c>
      <c r="U36" s="20">
        <v>0.82902037374051218</v>
      </c>
      <c r="W36" s="19">
        <v>12409</v>
      </c>
      <c r="X36" s="19">
        <v>13427</v>
      </c>
      <c r="Y36" s="19">
        <v>15454</v>
      </c>
      <c r="Z36" s="19">
        <v>18829</v>
      </c>
      <c r="AA36" s="19">
        <v>21970</v>
      </c>
      <c r="AB36" s="20">
        <v>0.31660458233403072</v>
      </c>
      <c r="AC36" s="20">
        <v>0.33767572869250306</v>
      </c>
      <c r="AD36" s="20">
        <v>0.36954494368588442</v>
      </c>
      <c r="AE36" s="20">
        <v>0.41569709680980238</v>
      </c>
      <c r="AF36" s="20">
        <v>0.44272040302267002</v>
      </c>
      <c r="AG36" s="19">
        <v>10336</v>
      </c>
      <c r="AH36" s="19">
        <v>11447</v>
      </c>
      <c r="AI36" s="19">
        <v>13558</v>
      </c>
      <c r="AJ36" s="19">
        <v>16724</v>
      </c>
      <c r="AK36" s="19">
        <v>18043</v>
      </c>
      <c r="AL36" s="20">
        <v>0.83294383109033765</v>
      </c>
      <c r="AM36" s="20">
        <v>0.85253593505622993</v>
      </c>
      <c r="AN36" s="20">
        <v>0.87731331694059789</v>
      </c>
      <c r="AO36" s="20">
        <v>0.88820436560624572</v>
      </c>
      <c r="AP36" s="20">
        <v>0.82125625853436501</v>
      </c>
      <c r="AQ36" s="37"/>
    </row>
    <row r="37" spans="1:55" x14ac:dyDescent="0.2">
      <c r="A37" s="18" t="s">
        <v>52</v>
      </c>
      <c r="B37" s="19">
        <v>29</v>
      </c>
      <c r="C37" s="19">
        <v>31</v>
      </c>
      <c r="D37" s="19">
        <v>41</v>
      </c>
      <c r="E37" s="19">
        <v>47</v>
      </c>
      <c r="F37" s="19">
        <v>61</v>
      </c>
      <c r="G37" s="20">
        <v>6.2690503469595106E-4</v>
      </c>
      <c r="H37" s="20">
        <v>6.5493418967739209E-4</v>
      </c>
      <c r="I37" s="20">
        <v>8.1281471789381864E-4</v>
      </c>
      <c r="J37" s="20">
        <v>9.4710327455919399E-4</v>
      </c>
      <c r="K37" s="20">
        <v>1.2119767141523117E-3</v>
      </c>
      <c r="L37" s="19">
        <v>28</v>
      </c>
      <c r="M37" s="19">
        <v>30</v>
      </c>
      <c r="N37" s="19">
        <v>40</v>
      </c>
      <c r="O37" s="19">
        <v>44</v>
      </c>
      <c r="P37" s="19">
        <v>57</v>
      </c>
      <c r="Q37" s="20">
        <v>0.96551724137931039</v>
      </c>
      <c r="R37" s="20">
        <v>0.967741935483871</v>
      </c>
      <c r="S37" s="20">
        <v>0.97560975609756095</v>
      </c>
      <c r="T37" s="20">
        <v>0.93617021276595747</v>
      </c>
      <c r="U37" s="20">
        <v>0.93442622950819676</v>
      </c>
      <c r="W37" s="19">
        <v>0</v>
      </c>
      <c r="X37" s="19">
        <v>4</v>
      </c>
      <c r="Y37" s="19">
        <v>14</v>
      </c>
      <c r="Z37" s="19">
        <v>29</v>
      </c>
      <c r="AA37" s="19">
        <v>47</v>
      </c>
      <c r="AB37" s="20">
        <v>0</v>
      </c>
      <c r="AC37" s="20">
        <v>1.0059603148655785E-4</v>
      </c>
      <c r="AD37" s="20">
        <v>3.3477605872928571E-4</v>
      </c>
      <c r="AE37" s="20">
        <v>6.4024726791036537E-4</v>
      </c>
      <c r="AF37" s="20">
        <v>9.4710327455919399E-4</v>
      </c>
      <c r="AG37" s="19">
        <v>0</v>
      </c>
      <c r="AH37" s="19">
        <v>4</v>
      </c>
      <c r="AI37" s="19">
        <v>14</v>
      </c>
      <c r="AJ37" s="19">
        <v>28</v>
      </c>
      <c r="AK37" s="19">
        <v>44</v>
      </c>
      <c r="AL37" s="20">
        <v>0</v>
      </c>
      <c r="AM37" s="20">
        <v>1</v>
      </c>
      <c r="AN37" s="20">
        <v>1</v>
      </c>
      <c r="AO37" s="20">
        <v>0.96551724137931039</v>
      </c>
      <c r="AP37" s="20">
        <v>0.93617021276595747</v>
      </c>
      <c r="AQ37" s="37"/>
    </row>
    <row r="38" spans="1:55" x14ac:dyDescent="0.2">
      <c r="A38" s="18" t="s">
        <v>55</v>
      </c>
      <c r="B38" s="19">
        <v>104</v>
      </c>
      <c r="C38" s="19">
        <v>98</v>
      </c>
      <c r="D38" s="19">
        <v>93</v>
      </c>
      <c r="E38" s="19">
        <v>93</v>
      </c>
      <c r="F38" s="19">
        <v>101</v>
      </c>
      <c r="G38" s="20">
        <v>2.2482111589096176E-3</v>
      </c>
      <c r="H38" s="20">
        <v>2.0704371157543363E-3</v>
      </c>
      <c r="I38" s="20">
        <v>1.8437016771737837E-3</v>
      </c>
      <c r="J38" s="20">
        <v>1.8740554156171285E-3</v>
      </c>
      <c r="K38" s="20">
        <v>2.0067155431046473E-3</v>
      </c>
      <c r="L38" s="19">
        <v>104</v>
      </c>
      <c r="M38" s="19">
        <v>98</v>
      </c>
      <c r="N38" s="19">
        <v>92</v>
      </c>
      <c r="O38" s="19">
        <v>91</v>
      </c>
      <c r="P38" s="19">
        <v>100</v>
      </c>
      <c r="Q38" s="20">
        <v>1</v>
      </c>
      <c r="R38" s="20">
        <v>1</v>
      </c>
      <c r="S38" s="20">
        <v>0.989247311827957</v>
      </c>
      <c r="T38" s="20">
        <v>0.978494623655914</v>
      </c>
      <c r="U38" s="20">
        <v>0.99009900990099009</v>
      </c>
      <c r="W38" s="19">
        <v>0</v>
      </c>
      <c r="X38" s="19">
        <v>0</v>
      </c>
      <c r="Y38" s="19">
        <v>104</v>
      </c>
      <c r="Z38" s="19">
        <v>107</v>
      </c>
      <c r="AA38" s="19">
        <v>93</v>
      </c>
      <c r="AB38" s="20">
        <v>0</v>
      </c>
      <c r="AC38" s="20">
        <v>0</v>
      </c>
      <c r="AD38" s="20">
        <v>2.4869078648461227E-3</v>
      </c>
      <c r="AE38" s="20">
        <v>2.3622916436692792E-3</v>
      </c>
      <c r="AF38" s="20">
        <v>1.8740554156171285E-3</v>
      </c>
      <c r="AG38" s="19">
        <v>0</v>
      </c>
      <c r="AH38" s="19">
        <v>0</v>
      </c>
      <c r="AI38" s="19">
        <v>104</v>
      </c>
      <c r="AJ38" s="19">
        <v>107</v>
      </c>
      <c r="AK38" s="19">
        <v>91</v>
      </c>
      <c r="AL38" s="20">
        <v>0</v>
      </c>
      <c r="AM38" s="20">
        <v>0</v>
      </c>
      <c r="AN38" s="20">
        <v>1</v>
      </c>
      <c r="AO38" s="20">
        <v>1</v>
      </c>
      <c r="AP38" s="20">
        <v>0.978494623655914</v>
      </c>
      <c r="AQ38" s="37"/>
    </row>
    <row r="39" spans="1:55" x14ac:dyDescent="0.2">
      <c r="A39" s="18" t="s">
        <v>61</v>
      </c>
      <c r="B39" s="19">
        <v>0</v>
      </c>
      <c r="C39" s="19">
        <v>0</v>
      </c>
      <c r="D39" s="19">
        <v>0</v>
      </c>
      <c r="E39" s="19">
        <v>3</v>
      </c>
      <c r="F39" s="19">
        <v>2</v>
      </c>
      <c r="G39" s="20">
        <v>0</v>
      </c>
      <c r="H39" s="20">
        <v>0</v>
      </c>
      <c r="I39" s="20">
        <v>0</v>
      </c>
      <c r="J39" s="20">
        <v>6.0453400503778341E-5</v>
      </c>
      <c r="K39" s="20">
        <v>3.9736941447616778E-5</v>
      </c>
      <c r="L39" s="19">
        <v>0</v>
      </c>
      <c r="M39" s="19">
        <v>0</v>
      </c>
      <c r="N39" s="19">
        <v>0</v>
      </c>
      <c r="O39" s="19">
        <v>3</v>
      </c>
      <c r="P39" s="19">
        <v>2</v>
      </c>
      <c r="Q39" s="20">
        <v>0</v>
      </c>
      <c r="R39" s="20">
        <v>0</v>
      </c>
      <c r="S39" s="20">
        <v>0</v>
      </c>
      <c r="T39" s="20">
        <v>1</v>
      </c>
      <c r="U39" s="20">
        <v>1</v>
      </c>
      <c r="W39" s="19">
        <v>0</v>
      </c>
      <c r="X39" s="19">
        <v>0</v>
      </c>
      <c r="Y39" s="19">
        <v>0</v>
      </c>
      <c r="Z39" s="19">
        <v>0</v>
      </c>
      <c r="AA39" s="19">
        <v>3</v>
      </c>
      <c r="AB39" s="20">
        <v>0</v>
      </c>
      <c r="AC39" s="20">
        <v>0</v>
      </c>
      <c r="AD39" s="20">
        <v>0</v>
      </c>
      <c r="AE39" s="20">
        <v>0</v>
      </c>
      <c r="AF39" s="20">
        <v>6.0453400503778341E-5</v>
      </c>
      <c r="AG39" s="19">
        <v>0</v>
      </c>
      <c r="AH39" s="19">
        <v>0</v>
      </c>
      <c r="AI39" s="19">
        <v>0</v>
      </c>
      <c r="AJ39" s="19">
        <v>0</v>
      </c>
      <c r="AK39" s="19">
        <v>3</v>
      </c>
      <c r="AL39" s="20">
        <v>0</v>
      </c>
      <c r="AM39" s="20">
        <v>0</v>
      </c>
      <c r="AN39" s="20">
        <v>0</v>
      </c>
      <c r="AO39" s="20">
        <v>0</v>
      </c>
      <c r="AP39" s="20">
        <v>1</v>
      </c>
      <c r="AQ39" s="37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</row>
    <row r="40" spans="1:55" s="21" customFormat="1" x14ac:dyDescent="0.2">
      <c r="A40" s="29" t="s">
        <v>67</v>
      </c>
      <c r="B40" s="27">
        <v>46259</v>
      </c>
      <c r="C40" s="27">
        <v>47333</v>
      </c>
      <c r="D40" s="27">
        <v>50442</v>
      </c>
      <c r="E40" s="27">
        <v>49625</v>
      </c>
      <c r="F40" s="27">
        <v>50331</v>
      </c>
      <c r="G40" s="22">
        <v>1</v>
      </c>
      <c r="H40" s="22">
        <v>1</v>
      </c>
      <c r="I40" s="22">
        <v>1</v>
      </c>
      <c r="J40" s="22">
        <v>1</v>
      </c>
      <c r="K40" s="22">
        <v>1</v>
      </c>
      <c r="L40" s="27">
        <v>37769</v>
      </c>
      <c r="M40" s="27">
        <v>38009</v>
      </c>
      <c r="N40" s="27">
        <v>39340</v>
      </c>
      <c r="O40" s="27">
        <v>38873</v>
      </c>
      <c r="P40" s="27">
        <v>39991</v>
      </c>
      <c r="Q40" s="22">
        <v>0.81646814673901291</v>
      </c>
      <c r="R40" s="22">
        <v>0.80301269727251601</v>
      </c>
      <c r="S40" s="22">
        <v>0.77990563419372749</v>
      </c>
      <c r="T40" s="22">
        <v>0.78333501259445848</v>
      </c>
      <c r="U40" s="22">
        <v>0.79456001271582122</v>
      </c>
      <c r="W40" s="27">
        <v>39194</v>
      </c>
      <c r="X40" s="27">
        <v>39763</v>
      </c>
      <c r="Y40" s="27">
        <v>41819</v>
      </c>
      <c r="Z40" s="27">
        <v>45295</v>
      </c>
      <c r="AA40" s="27">
        <v>49625</v>
      </c>
      <c r="AB40" s="22">
        <v>1</v>
      </c>
      <c r="AC40" s="22">
        <v>1</v>
      </c>
      <c r="AD40" s="22">
        <v>1</v>
      </c>
      <c r="AE40" s="22">
        <v>1</v>
      </c>
      <c r="AF40" s="22">
        <v>1</v>
      </c>
      <c r="AG40" s="27">
        <v>28814</v>
      </c>
      <c r="AH40" s="27">
        <v>30019</v>
      </c>
      <c r="AI40" s="27">
        <v>32746</v>
      </c>
      <c r="AJ40" s="27">
        <v>36887</v>
      </c>
      <c r="AK40" s="27">
        <v>38873</v>
      </c>
      <c r="AL40" s="22">
        <v>0.73516354544062867</v>
      </c>
      <c r="AM40" s="22">
        <v>0.75494806729874508</v>
      </c>
      <c r="AN40" s="22">
        <v>0.78304120136779931</v>
      </c>
      <c r="AO40" s="22">
        <v>0.81437244728998781</v>
      </c>
      <c r="AP40" s="22">
        <v>0.78333501259445848</v>
      </c>
      <c r="AQ40" s="37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</row>
    <row r="41" spans="1:55" x14ac:dyDescent="0.2">
      <c r="A41" s="18"/>
      <c r="AB41" s="19"/>
      <c r="AC41" s="19"/>
      <c r="AD41" s="19"/>
      <c r="AE41" s="19"/>
      <c r="AF41" s="19"/>
      <c r="AL41" s="19"/>
      <c r="AM41" s="19"/>
      <c r="AN41" s="19"/>
      <c r="AO41" s="19"/>
      <c r="AP41" s="19"/>
      <c r="AQ41" s="37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</row>
    <row r="42" spans="1:55" s="25" customFormat="1" x14ac:dyDescent="0.2">
      <c r="A42" s="28" t="s">
        <v>68</v>
      </c>
      <c r="B42" s="25" t="s">
        <v>10</v>
      </c>
      <c r="C42" s="25" t="s">
        <v>11</v>
      </c>
      <c r="D42" s="25" t="s">
        <v>12</v>
      </c>
      <c r="E42" s="25" t="s">
        <v>164</v>
      </c>
      <c r="F42" s="25" t="s">
        <v>195</v>
      </c>
      <c r="G42" s="25" t="s">
        <v>10</v>
      </c>
      <c r="H42" s="25" t="s">
        <v>11</v>
      </c>
      <c r="I42" s="25" t="s">
        <v>12</v>
      </c>
      <c r="J42" s="25" t="s">
        <v>164</v>
      </c>
      <c r="K42" s="25" t="s">
        <v>195</v>
      </c>
      <c r="L42" s="25" t="s">
        <v>10</v>
      </c>
      <c r="M42" s="25" t="s">
        <v>11</v>
      </c>
      <c r="N42" s="25" t="s">
        <v>12</v>
      </c>
      <c r="O42" s="25" t="s">
        <v>164</v>
      </c>
      <c r="P42" s="25" t="s">
        <v>195</v>
      </c>
      <c r="Q42" s="25" t="s">
        <v>10</v>
      </c>
      <c r="R42" s="25" t="s">
        <v>11</v>
      </c>
      <c r="S42" s="25" t="s">
        <v>12</v>
      </c>
      <c r="T42" s="25" t="s">
        <v>164</v>
      </c>
      <c r="U42" s="25" t="s">
        <v>195</v>
      </c>
      <c r="W42" s="25" t="s">
        <v>13</v>
      </c>
      <c r="X42" s="25" t="s">
        <v>14</v>
      </c>
      <c r="Y42" s="25" t="s">
        <v>15</v>
      </c>
      <c r="Z42" s="25" t="s">
        <v>16</v>
      </c>
      <c r="AA42" s="25" t="s">
        <v>165</v>
      </c>
      <c r="AB42" s="25" t="s">
        <v>13</v>
      </c>
      <c r="AC42" s="25" t="s">
        <v>14</v>
      </c>
      <c r="AD42" s="25" t="s">
        <v>15</v>
      </c>
      <c r="AE42" s="25" t="s">
        <v>16</v>
      </c>
      <c r="AF42" s="25" t="s">
        <v>165</v>
      </c>
      <c r="AG42" s="25" t="s">
        <v>13</v>
      </c>
      <c r="AH42" s="25" t="s">
        <v>14</v>
      </c>
      <c r="AI42" s="25" t="s">
        <v>15</v>
      </c>
      <c r="AJ42" s="25" t="s">
        <v>16</v>
      </c>
      <c r="AK42" s="25" t="s">
        <v>165</v>
      </c>
      <c r="AL42" s="25" t="s">
        <v>13</v>
      </c>
      <c r="AM42" s="25" t="s">
        <v>14</v>
      </c>
      <c r="AN42" s="25" t="s">
        <v>15</v>
      </c>
      <c r="AO42" s="25" t="s">
        <v>16</v>
      </c>
      <c r="AP42" s="25" t="s">
        <v>165</v>
      </c>
      <c r="AQ42" s="37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</row>
    <row r="43" spans="1:55" x14ac:dyDescent="0.2">
      <c r="A43" s="18" t="s">
        <v>19</v>
      </c>
      <c r="B43" s="19">
        <v>2977</v>
      </c>
      <c r="C43" s="19">
        <v>2988</v>
      </c>
      <c r="D43" s="19">
        <v>2990</v>
      </c>
      <c r="E43" s="19">
        <v>2949</v>
      </c>
      <c r="F43" s="19">
        <v>2919</v>
      </c>
      <c r="G43" s="20">
        <v>0.18496427461944703</v>
      </c>
      <c r="H43" s="20">
        <v>0.18084977605616753</v>
      </c>
      <c r="I43" s="20">
        <v>0.17477203647416414</v>
      </c>
      <c r="J43" s="20">
        <v>0.16958997067111392</v>
      </c>
      <c r="K43" s="20">
        <v>0.16647655982662257</v>
      </c>
      <c r="L43" s="19">
        <v>1679</v>
      </c>
      <c r="M43" s="19">
        <v>1677</v>
      </c>
      <c r="N43" s="19">
        <v>1708</v>
      </c>
      <c r="O43" s="19">
        <v>1743</v>
      </c>
      <c r="P43" s="19">
        <v>1809</v>
      </c>
      <c r="Q43" s="20">
        <v>0.56399059455828016</v>
      </c>
      <c r="R43" s="20">
        <v>0.5612449799196787</v>
      </c>
      <c r="S43" s="20">
        <v>0.57123745819397997</v>
      </c>
      <c r="T43" s="20">
        <v>0.59104781281790442</v>
      </c>
      <c r="U43" s="20">
        <v>0.61973278520041108</v>
      </c>
      <c r="W43" s="19">
        <v>0</v>
      </c>
      <c r="X43" s="19">
        <v>3325</v>
      </c>
      <c r="Y43" s="19">
        <v>2880</v>
      </c>
      <c r="Z43" s="19">
        <v>2976</v>
      </c>
      <c r="AA43" s="19">
        <v>2949</v>
      </c>
      <c r="AB43" s="20">
        <v>0</v>
      </c>
      <c r="AC43" s="20">
        <v>0.26899118194320848</v>
      </c>
      <c r="AD43" s="20">
        <v>0.20654044750430292</v>
      </c>
      <c r="AE43" s="20">
        <v>0.18888042650418888</v>
      </c>
      <c r="AF43" s="20">
        <v>0.16958997067111392</v>
      </c>
      <c r="AG43" s="19">
        <v>0</v>
      </c>
      <c r="AH43" s="19">
        <v>1480</v>
      </c>
      <c r="AI43" s="19">
        <v>1314</v>
      </c>
      <c r="AJ43" s="19">
        <v>1643</v>
      </c>
      <c r="AK43" s="19">
        <v>1743</v>
      </c>
      <c r="AL43" s="20">
        <v>0</v>
      </c>
      <c r="AM43" s="20">
        <v>0.44511278195488724</v>
      </c>
      <c r="AN43" s="20">
        <v>0.45624999999999999</v>
      </c>
      <c r="AO43" s="20">
        <v>0.55208333333333337</v>
      </c>
      <c r="AP43" s="20">
        <v>0.59104781281790442</v>
      </c>
      <c r="AQ43" s="37"/>
    </row>
    <row r="44" spans="1:55" x14ac:dyDescent="0.2">
      <c r="A44" s="18" t="s">
        <v>43</v>
      </c>
      <c r="B44" s="19">
        <v>13118</v>
      </c>
      <c r="C44" s="19">
        <v>13534</v>
      </c>
      <c r="D44" s="19">
        <v>14118</v>
      </c>
      <c r="E44" s="19">
        <v>14438</v>
      </c>
      <c r="F44" s="19">
        <v>14521</v>
      </c>
      <c r="G44" s="20">
        <v>0.81503572538055302</v>
      </c>
      <c r="H44" s="20">
        <v>0.81915022394383241</v>
      </c>
      <c r="I44" s="20">
        <v>0.82522796352583583</v>
      </c>
      <c r="J44" s="20">
        <v>0.83029501408936679</v>
      </c>
      <c r="K44" s="20">
        <v>0.8281624272841337</v>
      </c>
      <c r="L44" s="19">
        <v>9438</v>
      </c>
      <c r="M44" s="19">
        <v>9833</v>
      </c>
      <c r="N44" s="19">
        <v>10058</v>
      </c>
      <c r="O44" s="19">
        <v>10389</v>
      </c>
      <c r="P44" s="19">
        <v>10518</v>
      </c>
      <c r="Q44" s="20">
        <v>0.71946943131574936</v>
      </c>
      <c r="R44" s="20">
        <v>0.72654056450421156</v>
      </c>
      <c r="S44" s="20">
        <v>0.71242385607026493</v>
      </c>
      <c r="T44" s="20">
        <v>0.71955949577503808</v>
      </c>
      <c r="U44" s="20">
        <v>0.72433028028372703</v>
      </c>
      <c r="W44" s="19">
        <v>0</v>
      </c>
      <c r="X44" s="19">
        <v>9036</v>
      </c>
      <c r="Y44" s="19">
        <v>11064</v>
      </c>
      <c r="Z44" s="19">
        <v>12780</v>
      </c>
      <c r="AA44" s="19">
        <v>14438</v>
      </c>
      <c r="AB44" s="20">
        <v>0</v>
      </c>
      <c r="AC44" s="20">
        <v>0.73100881805679152</v>
      </c>
      <c r="AD44" s="20">
        <v>0.79345955249569711</v>
      </c>
      <c r="AE44" s="20">
        <v>0.8111195734958111</v>
      </c>
      <c r="AF44" s="20">
        <v>0.83029501408936679</v>
      </c>
      <c r="AG44" s="19">
        <v>0</v>
      </c>
      <c r="AH44" s="19">
        <v>5579</v>
      </c>
      <c r="AI44" s="19">
        <v>7349</v>
      </c>
      <c r="AJ44" s="19">
        <v>9090</v>
      </c>
      <c r="AK44" s="19">
        <v>10389</v>
      </c>
      <c r="AL44" s="20">
        <v>0</v>
      </c>
      <c r="AM44" s="20">
        <v>0.61741921204072603</v>
      </c>
      <c r="AN44" s="20">
        <v>0.66422631959508316</v>
      </c>
      <c r="AO44" s="20">
        <v>0.71126760563380287</v>
      </c>
      <c r="AP44" s="20">
        <v>0.71955949577503808</v>
      </c>
      <c r="AQ44" s="37"/>
    </row>
    <row r="45" spans="1:55" x14ac:dyDescent="0.2">
      <c r="A45" s="18" t="s">
        <v>52</v>
      </c>
      <c r="B45" s="19">
        <v>0</v>
      </c>
      <c r="C45" s="19">
        <v>0</v>
      </c>
      <c r="D45" s="19">
        <v>0</v>
      </c>
      <c r="E45" s="19">
        <v>2</v>
      </c>
      <c r="F45" s="19">
        <v>4</v>
      </c>
      <c r="G45" s="20">
        <v>0</v>
      </c>
      <c r="H45" s="20">
        <v>0</v>
      </c>
      <c r="I45" s="20">
        <v>0</v>
      </c>
      <c r="J45" s="20">
        <v>1.150152395192363E-4</v>
      </c>
      <c r="K45" s="20">
        <v>2.2812820805292574E-4</v>
      </c>
      <c r="L45" s="19">
        <v>0</v>
      </c>
      <c r="M45" s="19">
        <v>0</v>
      </c>
      <c r="N45" s="19">
        <v>0</v>
      </c>
      <c r="O45" s="19">
        <v>2</v>
      </c>
      <c r="P45" s="19">
        <v>4</v>
      </c>
      <c r="Q45" s="20">
        <v>0</v>
      </c>
      <c r="R45" s="20">
        <v>0</v>
      </c>
      <c r="S45" s="20">
        <v>0</v>
      </c>
      <c r="T45" s="20">
        <v>1</v>
      </c>
      <c r="U45" s="20">
        <v>1</v>
      </c>
      <c r="W45" s="19">
        <v>0</v>
      </c>
      <c r="X45" s="19">
        <v>0</v>
      </c>
      <c r="Y45" s="19">
        <v>0</v>
      </c>
      <c r="Z45" s="19">
        <v>0</v>
      </c>
      <c r="AA45" s="19">
        <v>2</v>
      </c>
      <c r="AB45" s="20">
        <v>0</v>
      </c>
      <c r="AC45" s="20">
        <v>0</v>
      </c>
      <c r="AD45" s="20">
        <v>0</v>
      </c>
      <c r="AE45" s="20">
        <v>0</v>
      </c>
      <c r="AF45" s="20">
        <v>1.150152395192363E-4</v>
      </c>
      <c r="AG45" s="19">
        <v>0</v>
      </c>
      <c r="AH45" s="19">
        <v>0</v>
      </c>
      <c r="AI45" s="19">
        <v>0</v>
      </c>
      <c r="AJ45" s="19">
        <v>0</v>
      </c>
      <c r="AK45" s="19">
        <v>2</v>
      </c>
      <c r="AL45" s="20">
        <v>0</v>
      </c>
      <c r="AM45" s="20">
        <v>0</v>
      </c>
      <c r="AN45" s="20">
        <v>0</v>
      </c>
      <c r="AO45" s="20">
        <v>0</v>
      </c>
      <c r="AP45" s="20">
        <v>1</v>
      </c>
      <c r="AQ45" s="37"/>
    </row>
    <row r="46" spans="1:55" x14ac:dyDescent="0.2">
      <c r="A46" s="18" t="s">
        <v>54</v>
      </c>
      <c r="B46" s="19">
        <v>0</v>
      </c>
      <c r="C46" s="19">
        <v>0</v>
      </c>
      <c r="D46" s="19">
        <v>0</v>
      </c>
      <c r="E46" s="19">
        <v>0</v>
      </c>
      <c r="F46" s="19">
        <v>90</v>
      </c>
      <c r="G46" s="20">
        <v>0</v>
      </c>
      <c r="H46" s="20">
        <v>0</v>
      </c>
      <c r="I46" s="20">
        <v>0</v>
      </c>
      <c r="J46" s="20">
        <v>0</v>
      </c>
      <c r="K46" s="20">
        <v>5.1328846811908293E-3</v>
      </c>
      <c r="L46" s="19">
        <v>0</v>
      </c>
      <c r="M46" s="19">
        <v>0</v>
      </c>
      <c r="N46" s="19">
        <v>0</v>
      </c>
      <c r="O46" s="19">
        <v>0</v>
      </c>
      <c r="P46" s="19">
        <v>90</v>
      </c>
      <c r="Q46" s="20">
        <v>0</v>
      </c>
      <c r="R46" s="20">
        <v>0</v>
      </c>
      <c r="S46" s="20">
        <v>0</v>
      </c>
      <c r="T46" s="20">
        <v>0</v>
      </c>
      <c r="U46" s="20">
        <v>1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37"/>
    </row>
    <row r="47" spans="1:55" s="21" customFormat="1" x14ac:dyDescent="0.2">
      <c r="A47" s="29" t="s">
        <v>69</v>
      </c>
      <c r="B47" s="27">
        <v>16095</v>
      </c>
      <c r="C47" s="27">
        <v>16522</v>
      </c>
      <c r="D47" s="27">
        <v>17108</v>
      </c>
      <c r="E47" s="27">
        <v>17389</v>
      </c>
      <c r="F47" s="27">
        <v>17534</v>
      </c>
      <c r="G47" s="22">
        <v>1</v>
      </c>
      <c r="H47" s="22">
        <v>1</v>
      </c>
      <c r="I47" s="22">
        <v>1</v>
      </c>
      <c r="J47" s="22">
        <v>1</v>
      </c>
      <c r="K47" s="22">
        <v>1</v>
      </c>
      <c r="L47" s="27">
        <v>11117</v>
      </c>
      <c r="M47" s="27">
        <v>11510</v>
      </c>
      <c r="N47" s="27">
        <v>11766</v>
      </c>
      <c r="O47" s="27">
        <v>12134</v>
      </c>
      <c r="P47" s="27">
        <v>12421</v>
      </c>
      <c r="Q47" s="22">
        <v>0.69071140105622864</v>
      </c>
      <c r="R47" s="22">
        <v>0.69664689504902555</v>
      </c>
      <c r="S47" s="22">
        <v>0.68774842179097495</v>
      </c>
      <c r="T47" s="22">
        <v>0.6977974581632066</v>
      </c>
      <c r="U47" s="22">
        <v>0.70839511805634769</v>
      </c>
      <c r="W47" s="27">
        <v>0</v>
      </c>
      <c r="X47" s="27">
        <v>12361</v>
      </c>
      <c r="Y47" s="27">
        <v>13944</v>
      </c>
      <c r="Z47" s="27">
        <v>15756</v>
      </c>
      <c r="AA47" s="27">
        <v>17389</v>
      </c>
      <c r="AB47" s="22">
        <v>0</v>
      </c>
      <c r="AC47" s="22">
        <v>1</v>
      </c>
      <c r="AD47" s="22">
        <v>1</v>
      </c>
      <c r="AE47" s="22">
        <v>1</v>
      </c>
      <c r="AF47" s="22">
        <v>1</v>
      </c>
      <c r="AG47" s="27">
        <v>0</v>
      </c>
      <c r="AH47" s="27">
        <v>7059</v>
      </c>
      <c r="AI47" s="27">
        <v>8663</v>
      </c>
      <c r="AJ47" s="27">
        <v>10733</v>
      </c>
      <c r="AK47" s="27">
        <v>12134</v>
      </c>
      <c r="AL47" s="22">
        <v>0</v>
      </c>
      <c r="AM47" s="22">
        <v>0.57107030175552143</v>
      </c>
      <c r="AN47" s="22">
        <v>0.62127079747561675</v>
      </c>
      <c r="AO47" s="22">
        <v>0.68120081238893115</v>
      </c>
      <c r="AP47" s="22">
        <v>0.6977974581632066</v>
      </c>
      <c r="AQ47" s="37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</row>
    <row r="48" spans="1:55" x14ac:dyDescent="0.2">
      <c r="A48" s="18"/>
      <c r="AB48" s="19"/>
      <c r="AC48" s="19"/>
      <c r="AD48" s="19"/>
      <c r="AE48" s="19"/>
      <c r="AF48" s="19"/>
      <c r="AL48" s="19"/>
      <c r="AM48" s="19"/>
      <c r="AN48" s="19"/>
      <c r="AO48" s="19"/>
      <c r="AP48" s="19"/>
      <c r="AQ48" s="37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</row>
    <row r="49" spans="1:55" s="25" customFormat="1" x14ac:dyDescent="0.2">
      <c r="A49" s="28" t="s">
        <v>70</v>
      </c>
      <c r="B49" s="25" t="s">
        <v>10</v>
      </c>
      <c r="C49" s="25" t="s">
        <v>11</v>
      </c>
      <c r="D49" s="25" t="s">
        <v>12</v>
      </c>
      <c r="E49" s="25" t="s">
        <v>164</v>
      </c>
      <c r="F49" s="25" t="s">
        <v>195</v>
      </c>
      <c r="G49" s="25" t="s">
        <v>10</v>
      </c>
      <c r="H49" s="25" t="s">
        <v>11</v>
      </c>
      <c r="I49" s="25" t="s">
        <v>12</v>
      </c>
      <c r="J49" s="25" t="s">
        <v>164</v>
      </c>
      <c r="K49" s="25" t="s">
        <v>195</v>
      </c>
      <c r="L49" s="25" t="s">
        <v>10</v>
      </c>
      <c r="M49" s="25" t="s">
        <v>11</v>
      </c>
      <c r="N49" s="25" t="s">
        <v>12</v>
      </c>
      <c r="O49" s="25" t="s">
        <v>164</v>
      </c>
      <c r="P49" s="25" t="s">
        <v>195</v>
      </c>
      <c r="Q49" s="25" t="s">
        <v>10</v>
      </c>
      <c r="R49" s="25" t="s">
        <v>11</v>
      </c>
      <c r="S49" s="25" t="s">
        <v>12</v>
      </c>
      <c r="T49" s="25" t="s">
        <v>164</v>
      </c>
      <c r="U49" s="25" t="s">
        <v>195</v>
      </c>
      <c r="W49" s="25" t="s">
        <v>13</v>
      </c>
      <c r="X49" s="25" t="s">
        <v>14</v>
      </c>
      <c r="Y49" s="25" t="s">
        <v>15</v>
      </c>
      <c r="Z49" s="25" t="s">
        <v>16</v>
      </c>
      <c r="AA49" s="25" t="s">
        <v>165</v>
      </c>
      <c r="AB49" s="25" t="s">
        <v>13</v>
      </c>
      <c r="AC49" s="25" t="s">
        <v>14</v>
      </c>
      <c r="AD49" s="25" t="s">
        <v>15</v>
      </c>
      <c r="AE49" s="25" t="s">
        <v>16</v>
      </c>
      <c r="AF49" s="25" t="s">
        <v>165</v>
      </c>
      <c r="AG49" s="25" t="s">
        <v>13</v>
      </c>
      <c r="AH49" s="25" t="s">
        <v>14</v>
      </c>
      <c r="AI49" s="25" t="s">
        <v>15</v>
      </c>
      <c r="AJ49" s="25" t="s">
        <v>16</v>
      </c>
      <c r="AK49" s="25" t="s">
        <v>165</v>
      </c>
      <c r="AL49" s="25" t="s">
        <v>13</v>
      </c>
      <c r="AM49" s="25" t="s">
        <v>14</v>
      </c>
      <c r="AN49" s="25" t="s">
        <v>15</v>
      </c>
      <c r="AO49" s="25" t="s">
        <v>16</v>
      </c>
      <c r="AP49" s="25" t="s">
        <v>165</v>
      </c>
      <c r="AQ49" s="37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</row>
    <row r="50" spans="1:55" x14ac:dyDescent="0.2">
      <c r="A50" s="18" t="s">
        <v>19</v>
      </c>
      <c r="B50" s="19">
        <v>2380</v>
      </c>
      <c r="C50" s="19">
        <v>2407</v>
      </c>
      <c r="D50" s="19">
        <v>2430</v>
      </c>
      <c r="E50" s="19">
        <v>2432</v>
      </c>
      <c r="F50" s="19">
        <v>2402</v>
      </c>
      <c r="G50" s="20">
        <v>0.24652993577791588</v>
      </c>
      <c r="H50" s="20">
        <v>0.24852865255549819</v>
      </c>
      <c r="I50" s="20">
        <v>0.24665042630937881</v>
      </c>
      <c r="J50" s="20">
        <v>0.2477840040753948</v>
      </c>
      <c r="K50" s="20">
        <v>0.21968172672398026</v>
      </c>
      <c r="L50" s="19">
        <v>2071</v>
      </c>
      <c r="M50" s="19">
        <v>2092</v>
      </c>
      <c r="N50" s="19">
        <v>2105</v>
      </c>
      <c r="O50" s="19">
        <v>2097</v>
      </c>
      <c r="P50" s="19">
        <v>2077</v>
      </c>
      <c r="Q50" s="20">
        <v>0.87016806722689077</v>
      </c>
      <c r="R50" s="20">
        <v>0.8691316992106356</v>
      </c>
      <c r="S50" s="20">
        <v>0.86625514403292181</v>
      </c>
      <c r="T50" s="20">
        <v>0.86225328947368418</v>
      </c>
      <c r="U50" s="20">
        <v>0.86469608659450459</v>
      </c>
      <c r="W50" s="19">
        <v>2578</v>
      </c>
      <c r="X50" s="19">
        <v>2952</v>
      </c>
      <c r="Y50" s="19">
        <v>2726</v>
      </c>
      <c r="Z50" s="19">
        <v>2327</v>
      </c>
      <c r="AA50" s="19">
        <v>2432</v>
      </c>
      <c r="AB50" s="20">
        <v>0.28737041578419353</v>
      </c>
      <c r="AC50" s="20">
        <v>0.30878661087866111</v>
      </c>
      <c r="AD50" s="20">
        <v>0.28538525963149081</v>
      </c>
      <c r="AE50" s="20">
        <v>0.2373036916173771</v>
      </c>
      <c r="AF50" s="20">
        <v>0.2477840040753948</v>
      </c>
      <c r="AG50" s="19">
        <v>2368</v>
      </c>
      <c r="AH50" s="19">
        <v>2695</v>
      </c>
      <c r="AI50" s="19">
        <v>2466</v>
      </c>
      <c r="AJ50" s="19">
        <v>2020</v>
      </c>
      <c r="AK50" s="19">
        <v>2097</v>
      </c>
      <c r="AL50" s="20">
        <v>0.91854150504266874</v>
      </c>
      <c r="AM50" s="20">
        <v>0.91294037940379402</v>
      </c>
      <c r="AN50" s="20">
        <v>0.90462215700660309</v>
      </c>
      <c r="AO50" s="20">
        <v>0.86807047700902451</v>
      </c>
      <c r="AP50" s="20">
        <v>0.86225328947368418</v>
      </c>
      <c r="AQ50" s="37"/>
    </row>
    <row r="51" spans="1:55" x14ac:dyDescent="0.2">
      <c r="A51" s="18" t="s">
        <v>20</v>
      </c>
      <c r="B51" s="19">
        <v>10</v>
      </c>
      <c r="C51" s="19">
        <v>12</v>
      </c>
      <c r="D51" s="19">
        <v>13</v>
      </c>
      <c r="E51" s="19">
        <v>13</v>
      </c>
      <c r="F51" s="19">
        <v>14</v>
      </c>
      <c r="G51" s="20">
        <v>1.0358400662937642E-3</v>
      </c>
      <c r="H51" s="20">
        <v>1.2390294269488901E-3</v>
      </c>
      <c r="I51" s="20">
        <v>1.3195290296386521E-3</v>
      </c>
      <c r="J51" s="20">
        <v>1.3245033112582781E-3</v>
      </c>
      <c r="K51" s="20">
        <v>1.2804097311139564E-3</v>
      </c>
      <c r="L51" s="19">
        <v>4</v>
      </c>
      <c r="M51" s="19">
        <v>6</v>
      </c>
      <c r="N51" s="19">
        <v>3</v>
      </c>
      <c r="O51" s="19">
        <v>4</v>
      </c>
      <c r="P51" s="19">
        <v>4</v>
      </c>
      <c r="Q51" s="20">
        <v>0.4</v>
      </c>
      <c r="R51" s="20">
        <v>0.5</v>
      </c>
      <c r="S51" s="20">
        <v>0.23076923076923078</v>
      </c>
      <c r="T51" s="20">
        <v>0.30769230769230771</v>
      </c>
      <c r="U51" s="20">
        <v>0.2857142857142857</v>
      </c>
      <c r="W51" s="19">
        <v>0</v>
      </c>
      <c r="X51" s="19">
        <v>0</v>
      </c>
      <c r="Y51" s="19">
        <v>2</v>
      </c>
      <c r="Z51" s="19">
        <v>9</v>
      </c>
      <c r="AA51" s="19">
        <v>13</v>
      </c>
      <c r="AB51" s="20">
        <v>0</v>
      </c>
      <c r="AC51" s="20">
        <v>0</v>
      </c>
      <c r="AD51" s="20">
        <v>2.0938023450586265E-4</v>
      </c>
      <c r="AE51" s="20">
        <v>9.17805425249847E-4</v>
      </c>
      <c r="AF51" s="20">
        <v>1.3245033112582781E-3</v>
      </c>
      <c r="AG51" s="19">
        <v>0</v>
      </c>
      <c r="AH51" s="19">
        <v>0</v>
      </c>
      <c r="AI51" s="19">
        <v>2</v>
      </c>
      <c r="AJ51" s="19">
        <v>1</v>
      </c>
      <c r="AK51" s="19">
        <v>4</v>
      </c>
      <c r="AL51" s="20">
        <v>0</v>
      </c>
      <c r="AM51" s="20">
        <v>0</v>
      </c>
      <c r="AN51" s="20">
        <v>1</v>
      </c>
      <c r="AO51" s="20">
        <v>0.1111111111111111</v>
      </c>
      <c r="AP51" s="20">
        <v>0.30769230769230771</v>
      </c>
      <c r="AQ51" s="37"/>
    </row>
    <row r="52" spans="1:55" x14ac:dyDescent="0.2">
      <c r="A52" s="18" t="s">
        <v>30</v>
      </c>
      <c r="B52" s="19">
        <v>546</v>
      </c>
      <c r="C52" s="19">
        <v>548</v>
      </c>
      <c r="D52" s="19">
        <v>594</v>
      </c>
      <c r="E52" s="19">
        <v>539</v>
      </c>
      <c r="F52" s="19">
        <v>552</v>
      </c>
      <c r="G52" s="20">
        <v>5.6556867619639531E-2</v>
      </c>
      <c r="H52" s="20">
        <v>5.6582343830665981E-2</v>
      </c>
      <c r="I52" s="20">
        <v>6.0292326431181487E-2</v>
      </c>
      <c r="J52" s="20">
        <v>5.4915944982170145E-2</v>
      </c>
      <c r="K52" s="20">
        <v>5.0484726541064569E-2</v>
      </c>
      <c r="L52" s="19">
        <v>493</v>
      </c>
      <c r="M52" s="19">
        <v>497</v>
      </c>
      <c r="N52" s="19">
        <v>535</v>
      </c>
      <c r="O52" s="19">
        <v>488</v>
      </c>
      <c r="P52" s="19">
        <v>503</v>
      </c>
      <c r="Q52" s="20">
        <v>0.90293040293040294</v>
      </c>
      <c r="R52" s="20">
        <v>0.90693430656934304</v>
      </c>
      <c r="S52" s="20">
        <v>0.90067340067340063</v>
      </c>
      <c r="T52" s="20">
        <v>0.90538033395176254</v>
      </c>
      <c r="U52" s="20">
        <v>0.91123188405797106</v>
      </c>
      <c r="W52" s="19">
        <v>522</v>
      </c>
      <c r="X52" s="19">
        <v>511</v>
      </c>
      <c r="Y52" s="19">
        <v>556</v>
      </c>
      <c r="Z52" s="19">
        <v>556</v>
      </c>
      <c r="AA52" s="19">
        <v>539</v>
      </c>
      <c r="AB52" s="20">
        <v>5.8187493033106677E-2</v>
      </c>
      <c r="AC52" s="20">
        <v>5.3451882845188287E-2</v>
      </c>
      <c r="AD52" s="20">
        <v>5.8207705192629813E-2</v>
      </c>
      <c r="AE52" s="20">
        <v>5.669997960432388E-2</v>
      </c>
      <c r="AF52" s="20">
        <v>5.4915944982170145E-2</v>
      </c>
      <c r="AG52" s="19">
        <v>477</v>
      </c>
      <c r="AH52" s="19">
        <v>465</v>
      </c>
      <c r="AI52" s="19">
        <v>503</v>
      </c>
      <c r="AJ52" s="19">
        <v>506</v>
      </c>
      <c r="AK52" s="19">
        <v>488</v>
      </c>
      <c r="AL52" s="20">
        <v>0.91379310344827591</v>
      </c>
      <c r="AM52" s="20">
        <v>0.90998043052837574</v>
      </c>
      <c r="AN52" s="20">
        <v>0.90467625899280579</v>
      </c>
      <c r="AO52" s="20">
        <v>0.91007194244604317</v>
      </c>
      <c r="AP52" s="20">
        <v>0.90538033395176254</v>
      </c>
      <c r="AQ52" s="37"/>
    </row>
    <row r="53" spans="1:55" x14ac:dyDescent="0.2">
      <c r="A53" s="18" t="s">
        <v>37</v>
      </c>
      <c r="B53" s="19">
        <v>4</v>
      </c>
      <c r="C53" s="19">
        <v>10</v>
      </c>
      <c r="D53" s="19">
        <v>13</v>
      </c>
      <c r="E53" s="19">
        <v>23</v>
      </c>
      <c r="F53" s="19">
        <v>27</v>
      </c>
      <c r="G53" s="20">
        <v>4.1433602651750571E-4</v>
      </c>
      <c r="H53" s="20">
        <v>1.0325245224574084E-3</v>
      </c>
      <c r="I53" s="20">
        <v>1.3195290296386521E-3</v>
      </c>
      <c r="J53" s="20">
        <v>2.3433520122261844E-3</v>
      </c>
      <c r="K53" s="20">
        <v>2.4693616242912018E-3</v>
      </c>
      <c r="L53" s="19">
        <v>4</v>
      </c>
      <c r="M53" s="19">
        <v>10</v>
      </c>
      <c r="N53" s="19">
        <v>13</v>
      </c>
      <c r="O53" s="19">
        <v>23</v>
      </c>
      <c r="P53" s="19">
        <v>27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W53" s="19">
        <v>0</v>
      </c>
      <c r="X53" s="19">
        <v>0</v>
      </c>
      <c r="Y53" s="19">
        <v>0</v>
      </c>
      <c r="Z53" s="19">
        <v>0</v>
      </c>
      <c r="AA53" s="19">
        <v>23</v>
      </c>
      <c r="AB53" s="20">
        <v>0</v>
      </c>
      <c r="AC53" s="20">
        <v>0</v>
      </c>
      <c r="AD53" s="20">
        <v>0</v>
      </c>
      <c r="AE53" s="20">
        <v>0</v>
      </c>
      <c r="AF53" s="20">
        <v>2.3433520122261844E-3</v>
      </c>
      <c r="AG53" s="19">
        <v>0</v>
      </c>
      <c r="AH53" s="19">
        <v>0</v>
      </c>
      <c r="AI53" s="19">
        <v>0</v>
      </c>
      <c r="AJ53" s="19">
        <v>0</v>
      </c>
      <c r="AK53" s="19">
        <v>23</v>
      </c>
      <c r="AL53" s="20">
        <v>0</v>
      </c>
      <c r="AM53" s="20">
        <v>0</v>
      </c>
      <c r="AN53" s="20">
        <v>0</v>
      </c>
      <c r="AO53" s="20">
        <v>0</v>
      </c>
      <c r="AP53" s="20">
        <v>1</v>
      </c>
      <c r="AQ53" s="37"/>
    </row>
    <row r="54" spans="1:55" x14ac:dyDescent="0.2">
      <c r="A54" s="18" t="s">
        <v>43</v>
      </c>
      <c r="B54" s="19">
        <v>6511</v>
      </c>
      <c r="C54" s="19">
        <v>6501</v>
      </c>
      <c r="D54" s="19">
        <v>6598</v>
      </c>
      <c r="E54" s="19">
        <v>6598</v>
      </c>
      <c r="F54" s="19">
        <v>6585</v>
      </c>
      <c r="G54" s="20">
        <v>0.67443546716386993</v>
      </c>
      <c r="H54" s="20">
        <v>0.67124419204956121</v>
      </c>
      <c r="I54" s="20">
        <v>0.66971173365814052</v>
      </c>
      <c r="J54" s="20">
        <v>0.67223637289862459</v>
      </c>
      <c r="K54" s="20">
        <v>0.60224986281324311</v>
      </c>
      <c r="L54" s="19">
        <v>4049</v>
      </c>
      <c r="M54" s="19">
        <v>4093</v>
      </c>
      <c r="N54" s="19">
        <v>4147</v>
      </c>
      <c r="O54" s="19">
        <v>4228</v>
      </c>
      <c r="P54" s="19">
        <v>4239</v>
      </c>
      <c r="Q54" s="20">
        <v>0.6218706803870373</v>
      </c>
      <c r="R54" s="20">
        <v>0.62959544685433011</v>
      </c>
      <c r="S54" s="20">
        <v>0.62852379508942102</v>
      </c>
      <c r="T54" s="20">
        <v>0.6408002424977266</v>
      </c>
      <c r="U54" s="20">
        <v>0.64373576309794989</v>
      </c>
      <c r="W54" s="19">
        <v>5778</v>
      </c>
      <c r="X54" s="19">
        <v>5996</v>
      </c>
      <c r="Y54" s="19">
        <v>6075</v>
      </c>
      <c r="Z54" s="19">
        <v>6689</v>
      </c>
      <c r="AA54" s="19">
        <v>6598</v>
      </c>
      <c r="AB54" s="20">
        <v>0.64407535391818083</v>
      </c>
      <c r="AC54" s="20">
        <v>0.62719665271966529</v>
      </c>
      <c r="AD54" s="20">
        <v>0.63599246231155782</v>
      </c>
      <c r="AE54" s="20">
        <v>0.68213338772180299</v>
      </c>
      <c r="AF54" s="20">
        <v>0.67223637289862459</v>
      </c>
      <c r="AG54" s="19">
        <v>2412</v>
      </c>
      <c r="AH54" s="19">
        <v>2845</v>
      </c>
      <c r="AI54" s="19">
        <v>3248</v>
      </c>
      <c r="AJ54" s="19">
        <v>4203</v>
      </c>
      <c r="AK54" s="19">
        <v>4228</v>
      </c>
      <c r="AL54" s="20">
        <v>0.4174454828660436</v>
      </c>
      <c r="AM54" s="20">
        <v>0.4744829886591061</v>
      </c>
      <c r="AN54" s="20">
        <v>0.53465020576131683</v>
      </c>
      <c r="AO54" s="20">
        <v>0.62834504410225744</v>
      </c>
      <c r="AP54" s="20">
        <v>0.6408002424977266</v>
      </c>
      <c r="AQ54" s="37"/>
    </row>
    <row r="55" spans="1:55" x14ac:dyDescent="0.2">
      <c r="A55" s="18" t="s">
        <v>52</v>
      </c>
      <c r="B55" s="19">
        <v>1</v>
      </c>
      <c r="C55" s="19">
        <v>2</v>
      </c>
      <c r="D55" s="19">
        <v>3</v>
      </c>
      <c r="E55" s="19">
        <v>7</v>
      </c>
      <c r="F55" s="19">
        <v>7</v>
      </c>
      <c r="G55" s="20">
        <v>1.0358400662937643E-4</v>
      </c>
      <c r="H55" s="20">
        <v>2.0650490449148167E-4</v>
      </c>
      <c r="I55" s="20">
        <v>3.0450669914738123E-4</v>
      </c>
      <c r="J55" s="20">
        <v>7.1319409067753439E-4</v>
      </c>
      <c r="K55" s="20">
        <v>6.4020486555697821E-4</v>
      </c>
      <c r="L55" s="19">
        <v>1</v>
      </c>
      <c r="M55" s="19">
        <v>2</v>
      </c>
      <c r="N55" s="19">
        <v>3</v>
      </c>
      <c r="O55" s="19">
        <v>7</v>
      </c>
      <c r="P55" s="19">
        <v>7</v>
      </c>
      <c r="Q55" s="20">
        <v>1</v>
      </c>
      <c r="R55" s="20">
        <v>1</v>
      </c>
      <c r="S55" s="20">
        <v>1</v>
      </c>
      <c r="T55" s="20">
        <v>1</v>
      </c>
      <c r="U55" s="20">
        <v>1</v>
      </c>
      <c r="W55" s="19">
        <v>0</v>
      </c>
      <c r="X55" s="19">
        <v>0</v>
      </c>
      <c r="Y55" s="19">
        <v>0</v>
      </c>
      <c r="Z55" s="19">
        <v>1</v>
      </c>
      <c r="AA55" s="19">
        <v>7</v>
      </c>
      <c r="AB55" s="20">
        <v>0</v>
      </c>
      <c r="AC55" s="20">
        <v>0</v>
      </c>
      <c r="AD55" s="20">
        <v>0</v>
      </c>
      <c r="AE55" s="20">
        <v>1.0197838058331633E-4</v>
      </c>
      <c r="AF55" s="20">
        <v>7.1319409067753439E-4</v>
      </c>
      <c r="AG55" s="19">
        <v>0</v>
      </c>
      <c r="AH55" s="19">
        <v>0</v>
      </c>
      <c r="AI55" s="19">
        <v>0</v>
      </c>
      <c r="AJ55" s="19">
        <v>1</v>
      </c>
      <c r="AK55" s="19">
        <v>7</v>
      </c>
      <c r="AL55" s="20">
        <v>0</v>
      </c>
      <c r="AM55" s="20">
        <v>0</v>
      </c>
      <c r="AN55" s="20">
        <v>0</v>
      </c>
      <c r="AO55" s="20">
        <v>1</v>
      </c>
      <c r="AP55" s="20">
        <v>1</v>
      </c>
      <c r="AQ55" s="37"/>
    </row>
    <row r="56" spans="1:55" x14ac:dyDescent="0.2">
      <c r="A56" s="18" t="s">
        <v>54</v>
      </c>
      <c r="B56" s="19">
        <v>4</v>
      </c>
      <c r="C56" s="19">
        <v>8</v>
      </c>
      <c r="D56" s="19">
        <v>6</v>
      </c>
      <c r="E56" s="19">
        <v>6</v>
      </c>
      <c r="F56" s="19">
        <v>1125</v>
      </c>
      <c r="G56" s="20">
        <v>4.1433602651750571E-4</v>
      </c>
      <c r="H56" s="20">
        <v>8.2601961796592669E-4</v>
      </c>
      <c r="I56" s="20">
        <v>6.0901339829476245E-4</v>
      </c>
      <c r="J56" s="20">
        <v>6.1130922058074376E-4</v>
      </c>
      <c r="K56" s="20">
        <v>0.10289006767880007</v>
      </c>
      <c r="L56" s="19">
        <v>4</v>
      </c>
      <c r="M56" s="19">
        <v>8</v>
      </c>
      <c r="N56" s="19">
        <v>6</v>
      </c>
      <c r="O56" s="19">
        <v>6</v>
      </c>
      <c r="P56" s="19">
        <v>1125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W56" s="19">
        <v>0</v>
      </c>
      <c r="X56" s="19">
        <v>3</v>
      </c>
      <c r="Y56" s="19">
        <v>3</v>
      </c>
      <c r="Z56" s="19">
        <v>3</v>
      </c>
      <c r="AA56" s="19">
        <v>6</v>
      </c>
      <c r="AB56" s="20">
        <v>0</v>
      </c>
      <c r="AC56" s="20">
        <v>3.1380753138075313E-4</v>
      </c>
      <c r="AD56" s="20">
        <v>3.1407035175879397E-4</v>
      </c>
      <c r="AE56" s="20">
        <v>3.0593514174994904E-4</v>
      </c>
      <c r="AF56" s="20">
        <v>6.1130922058074376E-4</v>
      </c>
      <c r="AG56" s="19">
        <v>0</v>
      </c>
      <c r="AH56" s="19">
        <v>3</v>
      </c>
      <c r="AI56" s="19">
        <v>0</v>
      </c>
      <c r="AJ56" s="19">
        <v>3</v>
      </c>
      <c r="AK56" s="19">
        <v>6</v>
      </c>
      <c r="AL56" s="20">
        <v>0</v>
      </c>
      <c r="AM56" s="20">
        <v>1</v>
      </c>
      <c r="AN56" s="20">
        <v>0</v>
      </c>
      <c r="AO56" s="20">
        <v>1</v>
      </c>
      <c r="AP56" s="20">
        <v>1</v>
      </c>
      <c r="AQ56" s="37"/>
    </row>
    <row r="57" spans="1:55" x14ac:dyDescent="0.2">
      <c r="A57" s="18" t="s">
        <v>55</v>
      </c>
      <c r="B57" s="19">
        <v>197</v>
      </c>
      <c r="C57" s="19">
        <v>195</v>
      </c>
      <c r="D57" s="19">
        <v>193</v>
      </c>
      <c r="E57" s="19">
        <v>195</v>
      </c>
      <c r="F57" s="19">
        <v>219</v>
      </c>
      <c r="G57" s="20">
        <v>2.0406049305987155E-2</v>
      </c>
      <c r="H57" s="20">
        <v>2.0134228187919462E-2</v>
      </c>
      <c r="I57" s="20">
        <v>1.9589930978481527E-2</v>
      </c>
      <c r="J57" s="20">
        <v>1.9867549668874173E-2</v>
      </c>
      <c r="K57" s="20">
        <v>2.0029266508139746E-2</v>
      </c>
      <c r="L57" s="19">
        <v>193</v>
      </c>
      <c r="M57" s="19">
        <v>191</v>
      </c>
      <c r="N57" s="19">
        <v>189</v>
      </c>
      <c r="O57" s="19">
        <v>191</v>
      </c>
      <c r="P57" s="19">
        <v>216</v>
      </c>
      <c r="Q57" s="20">
        <v>0.97969543147208127</v>
      </c>
      <c r="R57" s="20">
        <v>0.97948717948717945</v>
      </c>
      <c r="S57" s="20">
        <v>0.97927461139896377</v>
      </c>
      <c r="T57" s="20">
        <v>0.97948717948717945</v>
      </c>
      <c r="U57" s="20">
        <v>0.98630136986301364</v>
      </c>
      <c r="W57" s="19">
        <v>93</v>
      </c>
      <c r="X57" s="19">
        <v>98</v>
      </c>
      <c r="Y57" s="19">
        <v>189</v>
      </c>
      <c r="Z57" s="19">
        <v>221</v>
      </c>
      <c r="AA57" s="19">
        <v>195</v>
      </c>
      <c r="AB57" s="20">
        <v>1.0366737264519007E-2</v>
      </c>
      <c r="AC57" s="20">
        <v>1.0251046025104602E-2</v>
      </c>
      <c r="AD57" s="20">
        <v>1.9786432160804019E-2</v>
      </c>
      <c r="AE57" s="20">
        <v>2.2537222108912909E-2</v>
      </c>
      <c r="AF57" s="20">
        <v>1.9867549668874173E-2</v>
      </c>
      <c r="AG57" s="19">
        <v>89</v>
      </c>
      <c r="AH57" s="19">
        <v>92</v>
      </c>
      <c r="AI57" s="19">
        <v>184</v>
      </c>
      <c r="AJ57" s="19">
        <v>217</v>
      </c>
      <c r="AK57" s="19">
        <v>191</v>
      </c>
      <c r="AL57" s="20">
        <v>0.956989247311828</v>
      </c>
      <c r="AM57" s="20">
        <v>0.93877551020408168</v>
      </c>
      <c r="AN57" s="20">
        <v>0.97354497354497349</v>
      </c>
      <c r="AO57" s="20">
        <v>0.98190045248868774</v>
      </c>
      <c r="AP57" s="20">
        <v>0.97948717948717945</v>
      </c>
      <c r="AQ57" s="37"/>
    </row>
    <row r="58" spans="1:55" x14ac:dyDescent="0.2">
      <c r="A58" s="18" t="s">
        <v>61</v>
      </c>
      <c r="B58" s="19">
        <v>1</v>
      </c>
      <c r="C58" s="19">
        <v>2</v>
      </c>
      <c r="D58" s="19">
        <v>2</v>
      </c>
      <c r="E58" s="19">
        <v>2</v>
      </c>
      <c r="F58" s="19">
        <v>3</v>
      </c>
      <c r="G58" s="20">
        <v>1.0358400662937643E-4</v>
      </c>
      <c r="H58" s="20">
        <v>2.0650490449148167E-4</v>
      </c>
      <c r="I58" s="20">
        <v>2.0300446609825416E-4</v>
      </c>
      <c r="J58" s="20">
        <v>2.0376974019358125E-4</v>
      </c>
      <c r="K58" s="20">
        <v>2.743735138101335E-4</v>
      </c>
      <c r="L58" s="19">
        <v>0</v>
      </c>
      <c r="M58" s="19">
        <v>2</v>
      </c>
      <c r="N58" s="19">
        <v>2</v>
      </c>
      <c r="O58" s="19">
        <v>2</v>
      </c>
      <c r="P58" s="19">
        <v>3</v>
      </c>
      <c r="Q58" s="20">
        <v>0</v>
      </c>
      <c r="R58" s="20">
        <v>1</v>
      </c>
      <c r="S58" s="20">
        <v>1</v>
      </c>
      <c r="T58" s="20">
        <v>1</v>
      </c>
      <c r="U58" s="20">
        <v>1</v>
      </c>
      <c r="W58" s="19">
        <v>0</v>
      </c>
      <c r="X58" s="19">
        <v>0</v>
      </c>
      <c r="Y58" s="19">
        <v>1</v>
      </c>
      <c r="Z58" s="19">
        <v>0</v>
      </c>
      <c r="AA58" s="19">
        <v>2</v>
      </c>
      <c r="AB58" s="20">
        <v>0</v>
      </c>
      <c r="AC58" s="20">
        <v>0</v>
      </c>
      <c r="AD58" s="20">
        <v>1.0469011725293132E-4</v>
      </c>
      <c r="AE58" s="20">
        <v>0</v>
      </c>
      <c r="AF58" s="20">
        <v>2.0376974019358125E-4</v>
      </c>
      <c r="AG58" s="19">
        <v>0</v>
      </c>
      <c r="AH58" s="19">
        <v>0</v>
      </c>
      <c r="AI58" s="19">
        <v>1</v>
      </c>
      <c r="AJ58" s="19">
        <v>0</v>
      </c>
      <c r="AK58" s="19">
        <v>2</v>
      </c>
      <c r="AL58" s="20">
        <v>0</v>
      </c>
      <c r="AM58" s="20">
        <v>0</v>
      </c>
      <c r="AN58" s="20">
        <v>1</v>
      </c>
      <c r="AO58" s="20">
        <v>0</v>
      </c>
      <c r="AP58" s="20">
        <v>1</v>
      </c>
      <c r="AQ58" s="37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</row>
    <row r="59" spans="1:55" s="21" customFormat="1" x14ac:dyDescent="0.2">
      <c r="A59" s="29" t="s">
        <v>71</v>
      </c>
      <c r="B59" s="27">
        <v>9654</v>
      </c>
      <c r="C59" s="27">
        <v>9685</v>
      </c>
      <c r="D59" s="27">
        <v>9852</v>
      </c>
      <c r="E59" s="27">
        <v>9815</v>
      </c>
      <c r="F59" s="27">
        <v>10934</v>
      </c>
      <c r="G59" s="22">
        <v>1</v>
      </c>
      <c r="H59" s="22">
        <v>1</v>
      </c>
      <c r="I59" s="22">
        <v>1</v>
      </c>
      <c r="J59" s="22">
        <v>1</v>
      </c>
      <c r="K59" s="22">
        <v>1</v>
      </c>
      <c r="L59" s="27">
        <v>6819</v>
      </c>
      <c r="M59" s="27">
        <v>6901</v>
      </c>
      <c r="N59" s="27">
        <v>7003</v>
      </c>
      <c r="O59" s="27">
        <v>7046</v>
      </c>
      <c r="P59" s="27">
        <v>8201</v>
      </c>
      <c r="Q59" s="22">
        <v>0.70633934120571784</v>
      </c>
      <c r="R59" s="22">
        <v>0.71254517294785746</v>
      </c>
      <c r="S59" s="22">
        <v>0.7108201380430369</v>
      </c>
      <c r="T59" s="22">
        <v>0.71788079470198674</v>
      </c>
      <c r="U59" s="22">
        <v>0.75004572891896837</v>
      </c>
      <c r="W59" s="27">
        <v>8971</v>
      </c>
      <c r="X59" s="27">
        <v>9560</v>
      </c>
      <c r="Y59" s="27">
        <v>9552</v>
      </c>
      <c r="Z59" s="27">
        <v>9806</v>
      </c>
      <c r="AA59" s="27">
        <v>9815</v>
      </c>
      <c r="AB59" s="22">
        <v>1</v>
      </c>
      <c r="AC59" s="22">
        <v>1</v>
      </c>
      <c r="AD59" s="22">
        <v>1</v>
      </c>
      <c r="AE59" s="22">
        <v>1</v>
      </c>
      <c r="AF59" s="22">
        <v>1</v>
      </c>
      <c r="AG59" s="27">
        <v>5346</v>
      </c>
      <c r="AH59" s="27">
        <v>6100</v>
      </c>
      <c r="AI59" s="27">
        <v>6404</v>
      </c>
      <c r="AJ59" s="27">
        <v>6951</v>
      </c>
      <c r="AK59" s="27">
        <v>7046</v>
      </c>
      <c r="AL59" s="22">
        <v>0.59592018727009255</v>
      </c>
      <c r="AM59" s="22">
        <v>0.63807531380753135</v>
      </c>
      <c r="AN59" s="22">
        <v>0.6704355108877722</v>
      </c>
      <c r="AO59" s="22">
        <v>0.70885172343463188</v>
      </c>
      <c r="AP59" s="22">
        <v>0.71788079470198674</v>
      </c>
      <c r="AQ59" s="37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</row>
    <row r="60" spans="1:55" s="25" customFormat="1" x14ac:dyDescent="0.2">
      <c r="A60" s="28"/>
      <c r="AQ60" s="37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</row>
    <row r="61" spans="1:55" x14ac:dyDescent="0.2">
      <c r="A61" s="18"/>
      <c r="AQ61" s="37"/>
    </row>
    <row r="62" spans="1:55" x14ac:dyDescent="0.2">
      <c r="A62" s="2" t="s">
        <v>74</v>
      </c>
      <c r="AQ62" s="37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</row>
    <row r="63" spans="1:55" s="21" customFormat="1" x14ac:dyDescent="0.2">
      <c r="A63" s="1" t="s">
        <v>75</v>
      </c>
      <c r="AB63" s="22"/>
      <c r="AC63" s="22"/>
      <c r="AD63" s="22"/>
      <c r="AE63" s="22"/>
      <c r="AF63" s="22"/>
      <c r="AL63" s="22"/>
      <c r="AM63" s="22"/>
      <c r="AN63" s="22"/>
      <c r="AO63" s="22"/>
      <c r="AP63" s="22"/>
      <c r="AQ63" s="38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</row>
    <row r="64" spans="1:55" x14ac:dyDescent="0.2">
      <c r="A64" s="9" t="s">
        <v>9</v>
      </c>
      <c r="B64" s="9" t="s">
        <v>10</v>
      </c>
      <c r="C64" s="9" t="s">
        <v>11</v>
      </c>
      <c r="D64" s="9" t="s">
        <v>12</v>
      </c>
      <c r="E64" s="9" t="s">
        <v>164</v>
      </c>
      <c r="F64" s="9" t="s">
        <v>195</v>
      </c>
      <c r="G64" s="9" t="s">
        <v>10</v>
      </c>
      <c r="H64" s="9" t="s">
        <v>11</v>
      </c>
      <c r="I64" s="9" t="s">
        <v>12</v>
      </c>
      <c r="J64" s="9" t="s">
        <v>164</v>
      </c>
      <c r="K64" s="9" t="s">
        <v>195</v>
      </c>
      <c r="L64" s="9" t="s">
        <v>10</v>
      </c>
      <c r="M64" s="9" t="s">
        <v>11</v>
      </c>
      <c r="N64" s="9" t="s">
        <v>12</v>
      </c>
      <c r="O64" s="9" t="s">
        <v>164</v>
      </c>
      <c r="P64" s="9" t="s">
        <v>195</v>
      </c>
      <c r="Q64" s="9" t="s">
        <v>10</v>
      </c>
      <c r="R64" s="9" t="s">
        <v>11</v>
      </c>
      <c r="S64" s="9" t="s">
        <v>12</v>
      </c>
      <c r="T64" s="9" t="s">
        <v>164</v>
      </c>
      <c r="U64" s="9" t="s">
        <v>195</v>
      </c>
      <c r="V64" s="9"/>
      <c r="W64" s="9" t="s">
        <v>13</v>
      </c>
      <c r="X64" s="9" t="s">
        <v>14</v>
      </c>
      <c r="Y64" s="9" t="s">
        <v>15</v>
      </c>
      <c r="Z64" s="9" t="s">
        <v>16</v>
      </c>
      <c r="AA64" s="9" t="s">
        <v>165</v>
      </c>
      <c r="AB64" s="9" t="s">
        <v>13</v>
      </c>
      <c r="AC64" s="9" t="s">
        <v>14</v>
      </c>
      <c r="AD64" s="9" t="s">
        <v>15</v>
      </c>
      <c r="AE64" s="9" t="s">
        <v>16</v>
      </c>
      <c r="AF64" s="9" t="s">
        <v>165</v>
      </c>
      <c r="AG64" s="9" t="s">
        <v>13</v>
      </c>
      <c r="AH64" s="9" t="s">
        <v>14</v>
      </c>
      <c r="AI64" s="9" t="s">
        <v>15</v>
      </c>
      <c r="AJ64" s="9" t="s">
        <v>16</v>
      </c>
      <c r="AK64" s="9" t="s">
        <v>165</v>
      </c>
      <c r="AL64" s="9" t="s">
        <v>13</v>
      </c>
      <c r="AM64" s="9" t="s">
        <v>14</v>
      </c>
      <c r="AN64" s="9" t="s">
        <v>15</v>
      </c>
      <c r="AO64" s="9" t="s">
        <v>16</v>
      </c>
      <c r="AP64" s="9" t="s">
        <v>165</v>
      </c>
      <c r="AQ64" s="37"/>
    </row>
    <row r="65" spans="1:55" x14ac:dyDescent="0.2">
      <c r="A65" s="18" t="s">
        <v>19</v>
      </c>
      <c r="B65" s="19">
        <v>23054</v>
      </c>
      <c r="C65" s="19">
        <v>22935</v>
      </c>
      <c r="D65" s="19">
        <v>23424</v>
      </c>
      <c r="E65" s="19">
        <v>22782</v>
      </c>
      <c r="F65" s="19">
        <v>22493</v>
      </c>
      <c r="G65" s="20">
        <v>0.30903485254691687</v>
      </c>
      <c r="H65" s="20">
        <v>0.3012926617797746</v>
      </c>
      <c r="I65" s="20">
        <v>0.2925732557268117</v>
      </c>
      <c r="J65" s="20">
        <v>0.28631753572371149</v>
      </c>
      <c r="K65" s="20">
        <v>0.2757644116421058</v>
      </c>
      <c r="L65" s="19">
        <v>17179</v>
      </c>
      <c r="M65" s="19">
        <v>17252</v>
      </c>
      <c r="N65" s="19">
        <v>17280</v>
      </c>
      <c r="O65" s="19">
        <v>17009</v>
      </c>
      <c r="P65" s="19">
        <v>17003</v>
      </c>
      <c r="Q65" s="20">
        <v>0.74516352910557826</v>
      </c>
      <c r="R65" s="20">
        <v>0.75221277523435792</v>
      </c>
      <c r="S65" s="20">
        <v>0.73770491803278693</v>
      </c>
      <c r="T65" s="20">
        <v>0.74659819155473617</v>
      </c>
      <c r="U65" s="20">
        <v>0.75592406526474898</v>
      </c>
      <c r="W65" s="19">
        <v>23434</v>
      </c>
      <c r="X65" s="19">
        <v>26403</v>
      </c>
      <c r="Y65" s="19">
        <v>23974</v>
      </c>
      <c r="Z65" s="19">
        <v>23099</v>
      </c>
      <c r="AA65" s="19">
        <v>22782</v>
      </c>
      <c r="AB65" s="20">
        <v>0.46282069006379239</v>
      </c>
      <c r="AC65" s="20">
        <v>0.41097361662386178</v>
      </c>
      <c r="AD65" s="20">
        <v>0.35270924364802636</v>
      </c>
      <c r="AE65" s="20">
        <v>0.31466597646033129</v>
      </c>
      <c r="AF65" s="20">
        <v>0.28631753572371149</v>
      </c>
      <c r="AG65" s="19">
        <v>16820</v>
      </c>
      <c r="AH65" s="19">
        <v>18189</v>
      </c>
      <c r="AI65" s="19">
        <v>16865</v>
      </c>
      <c r="AJ65" s="19">
        <v>17021</v>
      </c>
      <c r="AK65" s="19">
        <v>17009</v>
      </c>
      <c r="AL65" s="20">
        <v>0.71776051890415637</v>
      </c>
      <c r="AM65" s="20">
        <v>0.68889898875127831</v>
      </c>
      <c r="AN65" s="20">
        <v>0.70347042629515311</v>
      </c>
      <c r="AO65" s="20">
        <v>0.73687172604874673</v>
      </c>
      <c r="AP65" s="20">
        <v>0.74659819155473617</v>
      </c>
      <c r="AQ65" s="37"/>
    </row>
    <row r="66" spans="1:55" x14ac:dyDescent="0.2">
      <c r="A66" s="18" t="s">
        <v>43</v>
      </c>
      <c r="B66" s="19">
        <v>39805</v>
      </c>
      <c r="C66" s="19">
        <v>40409</v>
      </c>
      <c r="D66" s="19">
        <v>42481</v>
      </c>
      <c r="E66" s="19">
        <v>43900</v>
      </c>
      <c r="F66" s="19">
        <v>44566</v>
      </c>
      <c r="G66" s="20">
        <v>0.53357908847184987</v>
      </c>
      <c r="H66" s="20">
        <v>0.53084522214340135</v>
      </c>
      <c r="I66" s="20">
        <v>0.53060128400489626</v>
      </c>
      <c r="J66" s="20">
        <v>0.5517224044539959</v>
      </c>
      <c r="K66" s="20">
        <v>0.54637961895887988</v>
      </c>
      <c r="L66" s="19">
        <v>31191</v>
      </c>
      <c r="M66" s="19">
        <v>31573</v>
      </c>
      <c r="N66" s="19">
        <v>32267</v>
      </c>
      <c r="O66" s="19">
        <v>33449</v>
      </c>
      <c r="P66" s="19">
        <v>34261</v>
      </c>
      <c r="Q66" s="20">
        <v>0.78359502575053386</v>
      </c>
      <c r="R66" s="20">
        <v>0.78133584102551412</v>
      </c>
      <c r="S66" s="20">
        <v>0.75956309879710926</v>
      </c>
      <c r="T66" s="20">
        <v>0.76193621867881545</v>
      </c>
      <c r="U66" s="20">
        <v>0.76876991428443209</v>
      </c>
      <c r="W66" s="19">
        <v>18515</v>
      </c>
      <c r="X66" s="19">
        <v>28984</v>
      </c>
      <c r="Y66" s="19">
        <v>33239</v>
      </c>
      <c r="Z66" s="19">
        <v>38950</v>
      </c>
      <c r="AA66" s="19">
        <v>43900</v>
      </c>
      <c r="AB66" s="20">
        <v>0.36567061007643237</v>
      </c>
      <c r="AC66" s="20">
        <v>0.4511479492567515</v>
      </c>
      <c r="AD66" s="20">
        <v>0.4890173750570096</v>
      </c>
      <c r="AE66" s="20">
        <v>0.53059612031386227</v>
      </c>
      <c r="AF66" s="20">
        <v>0.5517224044539959</v>
      </c>
      <c r="AG66" s="19">
        <v>13070</v>
      </c>
      <c r="AH66" s="19">
        <v>20384</v>
      </c>
      <c r="AI66" s="19">
        <v>24774</v>
      </c>
      <c r="AJ66" s="19">
        <v>30632</v>
      </c>
      <c r="AK66" s="19">
        <v>33449</v>
      </c>
      <c r="AL66" s="20">
        <v>0.70591412368349982</v>
      </c>
      <c r="AM66" s="20">
        <v>0.70328457079768147</v>
      </c>
      <c r="AN66" s="20">
        <v>0.74532928186768554</v>
      </c>
      <c r="AO66" s="20">
        <v>0.78644415917843391</v>
      </c>
      <c r="AP66" s="20">
        <v>0.76193621867881545</v>
      </c>
      <c r="AQ66" s="37"/>
    </row>
    <row r="67" spans="1:55" x14ac:dyDescent="0.2">
      <c r="A67" s="18" t="s">
        <v>30</v>
      </c>
      <c r="B67" s="19">
        <v>6646</v>
      </c>
      <c r="C67" s="19">
        <v>7333</v>
      </c>
      <c r="D67" s="19">
        <v>8440</v>
      </c>
      <c r="E67" s="19">
        <v>7071</v>
      </c>
      <c r="F67" s="19">
        <v>7459</v>
      </c>
      <c r="G67" s="20">
        <v>8.9088471849865958E-2</v>
      </c>
      <c r="H67" s="20">
        <v>9.6332203567956701E-2</v>
      </c>
      <c r="I67" s="20">
        <v>0.10541830081686693</v>
      </c>
      <c r="J67" s="20">
        <v>8.8866267013535422E-2</v>
      </c>
      <c r="K67" s="20">
        <v>9.1447416815830129E-2</v>
      </c>
      <c r="L67" s="19">
        <v>5293</v>
      </c>
      <c r="M67" s="19">
        <v>5406</v>
      </c>
      <c r="N67" s="19">
        <v>6298</v>
      </c>
      <c r="O67" s="19">
        <v>5298</v>
      </c>
      <c r="P67" s="19">
        <v>5807</v>
      </c>
      <c r="Q67" s="20">
        <v>0.79641889858561543</v>
      </c>
      <c r="R67" s="20">
        <v>0.7372153279694531</v>
      </c>
      <c r="S67" s="20">
        <v>0.74620853080568716</v>
      </c>
      <c r="T67" s="20">
        <v>0.74925753075944002</v>
      </c>
      <c r="U67" s="20">
        <v>0.77852259015953884</v>
      </c>
      <c r="W67" s="19">
        <v>5092</v>
      </c>
      <c r="X67" s="19">
        <v>5115</v>
      </c>
      <c r="Y67" s="19">
        <v>6036</v>
      </c>
      <c r="Z67" s="19">
        <v>6175</v>
      </c>
      <c r="AA67" s="19">
        <v>7071</v>
      </c>
      <c r="AB67" s="20">
        <v>0.10056682400805798</v>
      </c>
      <c r="AC67" s="20">
        <v>7.9617090824188649E-2</v>
      </c>
      <c r="AD67" s="20">
        <v>8.880257756984597E-2</v>
      </c>
      <c r="AE67" s="20">
        <v>8.4118897122929387E-2</v>
      </c>
      <c r="AF67" s="20">
        <v>8.8866267013535422E-2</v>
      </c>
      <c r="AG67" s="19">
        <v>3671</v>
      </c>
      <c r="AH67" s="19">
        <v>3916</v>
      </c>
      <c r="AI67" s="19">
        <v>4776</v>
      </c>
      <c r="AJ67" s="19">
        <v>4925</v>
      </c>
      <c r="AK67" s="19">
        <v>5298</v>
      </c>
      <c r="AL67" s="20">
        <v>0.72093479968578167</v>
      </c>
      <c r="AM67" s="20">
        <v>0.7655913978494624</v>
      </c>
      <c r="AN67" s="20">
        <v>0.79125248508946322</v>
      </c>
      <c r="AO67" s="20">
        <v>0.79757085020242913</v>
      </c>
      <c r="AP67" s="20">
        <v>0.74925753075944002</v>
      </c>
      <c r="AQ67" s="37"/>
    </row>
    <row r="68" spans="1:55" x14ac:dyDescent="0.2">
      <c r="A68" s="18" t="s">
        <v>76</v>
      </c>
      <c r="B68" s="19">
        <v>5095</v>
      </c>
      <c r="C68" s="19">
        <v>5445</v>
      </c>
      <c r="D68" s="19">
        <v>5717</v>
      </c>
      <c r="E68" s="19">
        <v>5816</v>
      </c>
      <c r="F68" s="19">
        <v>7048</v>
      </c>
      <c r="G68" s="20">
        <v>6.8297587131367299E-2</v>
      </c>
      <c r="H68" s="20">
        <v>7.1529912508867338E-2</v>
      </c>
      <c r="I68" s="20">
        <v>7.1407159451425145E-2</v>
      </c>
      <c r="J68" s="20">
        <v>7.3093792808757177E-2</v>
      </c>
      <c r="K68" s="20">
        <v>8.6408552583184167E-2</v>
      </c>
      <c r="L68" s="19">
        <v>3114</v>
      </c>
      <c r="M68" s="19">
        <v>3275</v>
      </c>
      <c r="N68" s="19">
        <v>3348</v>
      </c>
      <c r="O68" s="19">
        <v>3510</v>
      </c>
      <c r="P68" s="19">
        <v>4824</v>
      </c>
      <c r="Q68" s="20">
        <v>0.61118743866535818</v>
      </c>
      <c r="R68" s="20">
        <v>0.6014692378328742</v>
      </c>
      <c r="S68" s="20">
        <v>0.58562182963092535</v>
      </c>
      <c r="T68" s="20">
        <v>0.60350756533700134</v>
      </c>
      <c r="U68" s="20">
        <v>0.68444948921679905</v>
      </c>
      <c r="W68" s="19">
        <v>3592</v>
      </c>
      <c r="X68" s="19">
        <v>3743</v>
      </c>
      <c r="Y68" s="19">
        <v>4722</v>
      </c>
      <c r="Z68" s="19">
        <v>5184</v>
      </c>
      <c r="AA68" s="19">
        <v>5816</v>
      </c>
      <c r="AB68" s="20">
        <v>7.0941875851717254E-2</v>
      </c>
      <c r="AC68" s="20">
        <v>5.8261343295198068E-2</v>
      </c>
      <c r="AD68" s="20">
        <v>6.947080372511806E-2</v>
      </c>
      <c r="AE68" s="20">
        <v>7.0619006102877066E-2</v>
      </c>
      <c r="AF68" s="20">
        <v>7.3093792808757177E-2</v>
      </c>
      <c r="AG68" s="19">
        <v>1565</v>
      </c>
      <c r="AH68" s="19">
        <v>1886</v>
      </c>
      <c r="AI68" s="19">
        <v>2207</v>
      </c>
      <c r="AJ68" s="19">
        <v>2997</v>
      </c>
      <c r="AK68" s="19">
        <v>3510</v>
      </c>
      <c r="AL68" s="20">
        <v>0.4356904231625835</v>
      </c>
      <c r="AM68" s="20">
        <v>0.50387389794282667</v>
      </c>
      <c r="AN68" s="20">
        <v>0.46738670055061415</v>
      </c>
      <c r="AO68" s="20">
        <v>0.578125</v>
      </c>
      <c r="AP68" s="20">
        <v>0.60350756533700134</v>
      </c>
      <c r="AQ68" s="37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</row>
    <row r="69" spans="1:55" s="21" customFormat="1" x14ac:dyDescent="0.2">
      <c r="A69" s="29" t="s">
        <v>77</v>
      </c>
      <c r="B69" s="21">
        <v>74600</v>
      </c>
      <c r="C69" s="21">
        <v>76122</v>
      </c>
      <c r="D69" s="21">
        <v>80062</v>
      </c>
      <c r="E69" s="21">
        <v>79569</v>
      </c>
      <c r="F69" s="21">
        <v>81566</v>
      </c>
      <c r="G69" s="22">
        <v>1</v>
      </c>
      <c r="H69" s="22">
        <v>1</v>
      </c>
      <c r="I69" s="22">
        <v>1</v>
      </c>
      <c r="J69" s="22">
        <v>1</v>
      </c>
      <c r="K69" s="22">
        <v>1</v>
      </c>
      <c r="L69" s="21">
        <v>56777</v>
      </c>
      <c r="M69" s="21">
        <v>57506</v>
      </c>
      <c r="N69" s="21">
        <v>59193</v>
      </c>
      <c r="O69" s="21">
        <v>59266</v>
      </c>
      <c r="P69" s="21">
        <v>61895</v>
      </c>
      <c r="Q69" s="22">
        <v>0.7610857908847185</v>
      </c>
      <c r="R69" s="22">
        <v>0.75544520637923329</v>
      </c>
      <c r="S69" s="22">
        <v>0.73933951187829428</v>
      </c>
      <c r="T69" s="22">
        <v>0.74483781372142421</v>
      </c>
      <c r="U69" s="22">
        <v>0.75883333742000347</v>
      </c>
      <c r="W69" s="21">
        <v>50633</v>
      </c>
      <c r="X69" s="21">
        <v>64245</v>
      </c>
      <c r="Y69" s="21">
        <v>67971</v>
      </c>
      <c r="Z69" s="21">
        <v>73408</v>
      </c>
      <c r="AA69" s="21">
        <v>79569</v>
      </c>
      <c r="AB69" s="22">
        <v>1</v>
      </c>
      <c r="AC69" s="22">
        <v>1</v>
      </c>
      <c r="AD69" s="22">
        <v>1</v>
      </c>
      <c r="AE69" s="22">
        <v>1</v>
      </c>
      <c r="AF69" s="22">
        <v>1</v>
      </c>
      <c r="AG69" s="21">
        <v>35126</v>
      </c>
      <c r="AH69" s="21">
        <v>44375</v>
      </c>
      <c r="AI69" s="21">
        <v>48622</v>
      </c>
      <c r="AJ69" s="21">
        <v>55575</v>
      </c>
      <c r="AK69" s="21">
        <v>59266</v>
      </c>
      <c r="AL69" s="22">
        <v>0.69373728595974959</v>
      </c>
      <c r="AM69" s="22">
        <v>0.69071523075725738</v>
      </c>
      <c r="AN69" s="22">
        <v>0.71533448088155238</v>
      </c>
      <c r="AO69" s="22">
        <v>0.7570700741063644</v>
      </c>
      <c r="AP69" s="22">
        <v>0.74483781372142421</v>
      </c>
      <c r="AQ69" s="37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</row>
    <row r="70" spans="1:55" x14ac:dyDescent="0.2">
      <c r="A70" s="18"/>
      <c r="AQ70" s="37"/>
    </row>
    <row r="71" spans="1:55" x14ac:dyDescent="0.2">
      <c r="A71" s="9" t="s">
        <v>64</v>
      </c>
      <c r="B71" s="9" t="s">
        <v>10</v>
      </c>
      <c r="C71" s="9" t="s">
        <v>11</v>
      </c>
      <c r="D71" s="9" t="s">
        <v>12</v>
      </c>
      <c r="E71" s="9" t="s">
        <v>164</v>
      </c>
      <c r="F71" s="9" t="s">
        <v>195</v>
      </c>
      <c r="G71" s="9" t="s">
        <v>10</v>
      </c>
      <c r="H71" s="9" t="s">
        <v>11</v>
      </c>
      <c r="I71" s="9" t="s">
        <v>12</v>
      </c>
      <c r="J71" s="9" t="s">
        <v>164</v>
      </c>
      <c r="K71" s="9" t="s">
        <v>195</v>
      </c>
      <c r="L71" s="9" t="s">
        <v>10</v>
      </c>
      <c r="M71" s="9" t="s">
        <v>11</v>
      </c>
      <c r="N71" s="9" t="s">
        <v>12</v>
      </c>
      <c r="O71" s="9" t="s">
        <v>164</v>
      </c>
      <c r="P71" s="9" t="s">
        <v>195</v>
      </c>
      <c r="Q71" s="9" t="s">
        <v>10</v>
      </c>
      <c r="R71" s="9" t="s">
        <v>11</v>
      </c>
      <c r="S71" s="9" t="s">
        <v>12</v>
      </c>
      <c r="T71" s="9" t="s">
        <v>164</v>
      </c>
      <c r="U71" s="9" t="s">
        <v>195</v>
      </c>
      <c r="V71" s="9"/>
      <c r="W71" s="9" t="s">
        <v>13</v>
      </c>
      <c r="X71" s="9" t="s">
        <v>14</v>
      </c>
      <c r="Y71" s="9" t="s">
        <v>15</v>
      </c>
      <c r="Z71" s="9" t="s">
        <v>16</v>
      </c>
      <c r="AA71" s="9" t="s">
        <v>165</v>
      </c>
      <c r="AB71" s="9" t="s">
        <v>13</v>
      </c>
      <c r="AC71" s="9" t="s">
        <v>14</v>
      </c>
      <c r="AD71" s="9" t="s">
        <v>15</v>
      </c>
      <c r="AE71" s="9" t="s">
        <v>16</v>
      </c>
      <c r="AF71" s="9" t="s">
        <v>165</v>
      </c>
      <c r="AG71" s="9" t="s">
        <v>13</v>
      </c>
      <c r="AH71" s="9" t="s">
        <v>14</v>
      </c>
      <c r="AI71" s="9" t="s">
        <v>15</v>
      </c>
      <c r="AJ71" s="9" t="s">
        <v>16</v>
      </c>
      <c r="AK71" s="9" t="s">
        <v>165</v>
      </c>
      <c r="AL71" s="9" t="s">
        <v>13</v>
      </c>
      <c r="AM71" s="9" t="s">
        <v>14</v>
      </c>
      <c r="AN71" s="9" t="s">
        <v>15</v>
      </c>
      <c r="AO71" s="9" t="s">
        <v>16</v>
      </c>
      <c r="AP71" s="9" t="s">
        <v>165</v>
      </c>
      <c r="AQ71" s="37"/>
    </row>
    <row r="72" spans="1:55" x14ac:dyDescent="0.2">
      <c r="A72" s="18" t="s">
        <v>18</v>
      </c>
      <c r="B72" s="19">
        <v>1813</v>
      </c>
      <c r="C72" s="19">
        <v>1808</v>
      </c>
      <c r="D72" s="19">
        <v>1808</v>
      </c>
      <c r="E72" s="19">
        <v>1773</v>
      </c>
      <c r="F72" s="19">
        <v>1755</v>
      </c>
      <c r="G72" s="20">
        <v>0.69945987654320985</v>
      </c>
      <c r="H72" s="20">
        <v>0.70023237800154914</v>
      </c>
      <c r="I72" s="20">
        <v>0.6796992481203008</v>
      </c>
      <c r="J72" s="20">
        <v>0.64708029197080297</v>
      </c>
      <c r="K72" s="20">
        <v>0.63426093241778103</v>
      </c>
      <c r="L72" s="19">
        <v>329</v>
      </c>
      <c r="M72" s="19">
        <v>357</v>
      </c>
      <c r="N72" s="19">
        <v>309</v>
      </c>
      <c r="O72" s="19">
        <v>355</v>
      </c>
      <c r="P72" s="19">
        <v>378</v>
      </c>
      <c r="Q72" s="20">
        <v>0.18146718146718147</v>
      </c>
      <c r="R72" s="20">
        <v>0.19745575221238937</v>
      </c>
      <c r="S72" s="20">
        <v>0.1709070796460177</v>
      </c>
      <c r="T72" s="20">
        <v>0.20022560631697686</v>
      </c>
      <c r="U72" s="20">
        <v>0.2153846153846154</v>
      </c>
      <c r="W72" s="19">
        <v>2068</v>
      </c>
      <c r="X72" s="19">
        <v>1976</v>
      </c>
      <c r="Y72" s="19">
        <v>1928</v>
      </c>
      <c r="Z72" s="19">
        <v>1826</v>
      </c>
      <c r="AA72" s="19">
        <v>1773</v>
      </c>
      <c r="AB72" s="20">
        <v>0.83792544570502436</v>
      </c>
      <c r="AC72" s="20">
        <v>0.77157360406091369</v>
      </c>
      <c r="AD72" s="20">
        <v>0.72590361445783136</v>
      </c>
      <c r="AE72" s="20">
        <v>0.71579772638181105</v>
      </c>
      <c r="AF72" s="20">
        <v>0.64708029197080297</v>
      </c>
      <c r="AG72" s="19">
        <v>576</v>
      </c>
      <c r="AH72" s="19">
        <v>628</v>
      </c>
      <c r="AI72" s="19">
        <v>114</v>
      </c>
      <c r="AJ72" s="19">
        <v>322</v>
      </c>
      <c r="AK72" s="19">
        <v>355</v>
      </c>
      <c r="AL72" s="20">
        <v>0.27852998065764023</v>
      </c>
      <c r="AM72" s="20">
        <v>0.31781376518218624</v>
      </c>
      <c r="AN72" s="20">
        <v>5.9128630705394189E-2</v>
      </c>
      <c r="AO72" s="20">
        <v>0.17634173055859803</v>
      </c>
      <c r="AP72" s="20">
        <v>0.20022560631697686</v>
      </c>
      <c r="AQ72" s="37"/>
    </row>
    <row r="73" spans="1:55" x14ac:dyDescent="0.2">
      <c r="A73" s="18" t="s">
        <v>43</v>
      </c>
      <c r="B73" s="19">
        <v>706</v>
      </c>
      <c r="C73" s="19">
        <v>702</v>
      </c>
      <c r="D73" s="19">
        <v>773</v>
      </c>
      <c r="E73" s="19">
        <v>894</v>
      </c>
      <c r="F73" s="19">
        <v>931</v>
      </c>
      <c r="G73" s="20">
        <v>0.27237654320987653</v>
      </c>
      <c r="H73" s="20">
        <v>0.27188226181254843</v>
      </c>
      <c r="I73" s="20">
        <v>0.29060150375939847</v>
      </c>
      <c r="J73" s="20">
        <v>0.3262773722627737</v>
      </c>
      <c r="K73" s="20">
        <v>0.33646548608601373</v>
      </c>
      <c r="L73" s="19">
        <v>675</v>
      </c>
      <c r="M73" s="19">
        <v>662</v>
      </c>
      <c r="N73" s="19">
        <v>701</v>
      </c>
      <c r="O73" s="19">
        <v>789</v>
      </c>
      <c r="P73" s="19">
        <v>827</v>
      </c>
      <c r="Q73" s="20">
        <v>0.9560906515580736</v>
      </c>
      <c r="R73" s="20">
        <v>0.94301994301994307</v>
      </c>
      <c r="S73" s="20">
        <v>0.90685640362225095</v>
      </c>
      <c r="T73" s="20">
        <v>0.8825503355704698</v>
      </c>
      <c r="U73" s="20">
        <v>0.88829215896885072</v>
      </c>
      <c r="W73" s="19">
        <v>328</v>
      </c>
      <c r="X73" s="19">
        <v>525</v>
      </c>
      <c r="Y73" s="19">
        <v>646</v>
      </c>
      <c r="Z73" s="19">
        <v>652</v>
      </c>
      <c r="AA73" s="19">
        <v>894</v>
      </c>
      <c r="AB73" s="20">
        <v>0.13290113452188007</v>
      </c>
      <c r="AC73" s="20">
        <v>0.20499804763764154</v>
      </c>
      <c r="AD73" s="20">
        <v>0.24322289156626506</v>
      </c>
      <c r="AE73" s="20">
        <v>0.25558604468835749</v>
      </c>
      <c r="AF73" s="20">
        <v>0.3262773722627737</v>
      </c>
      <c r="AG73" s="19">
        <v>322</v>
      </c>
      <c r="AH73" s="19">
        <v>513</v>
      </c>
      <c r="AI73" s="19">
        <v>619</v>
      </c>
      <c r="AJ73" s="19">
        <v>615</v>
      </c>
      <c r="AK73" s="19">
        <v>789</v>
      </c>
      <c r="AL73" s="20">
        <v>0.98170731707317072</v>
      </c>
      <c r="AM73" s="20">
        <v>0.97714285714285709</v>
      </c>
      <c r="AN73" s="20">
        <v>0.95820433436532504</v>
      </c>
      <c r="AO73" s="20">
        <v>0.94325153374233128</v>
      </c>
      <c r="AP73" s="20">
        <v>0.8825503355704698</v>
      </c>
      <c r="AQ73" s="37"/>
    </row>
    <row r="74" spans="1:55" x14ac:dyDescent="0.2">
      <c r="A74" s="18" t="s">
        <v>30</v>
      </c>
      <c r="B74" s="19">
        <v>73</v>
      </c>
      <c r="C74" s="19">
        <v>72</v>
      </c>
      <c r="D74" s="19">
        <v>79</v>
      </c>
      <c r="E74" s="19">
        <v>73</v>
      </c>
      <c r="F74" s="19">
        <v>81</v>
      </c>
      <c r="G74" s="20">
        <v>2.816358024691358E-2</v>
      </c>
      <c r="H74" s="20">
        <v>2.7885360185902403E-2</v>
      </c>
      <c r="I74" s="20">
        <v>2.9699248120300753E-2</v>
      </c>
      <c r="J74" s="20">
        <v>2.6642335766423358E-2</v>
      </c>
      <c r="K74" s="20">
        <v>2.9273581496205278E-2</v>
      </c>
      <c r="L74" s="19">
        <v>68</v>
      </c>
      <c r="M74" s="19">
        <v>67</v>
      </c>
      <c r="N74" s="19">
        <v>74</v>
      </c>
      <c r="O74" s="19">
        <v>69</v>
      </c>
      <c r="P74" s="19">
        <v>77</v>
      </c>
      <c r="Q74" s="20">
        <v>0.93150684931506844</v>
      </c>
      <c r="R74" s="20">
        <v>0.93055555555555558</v>
      </c>
      <c r="S74" s="20">
        <v>0.93670886075949367</v>
      </c>
      <c r="T74" s="20">
        <v>0.9452054794520548</v>
      </c>
      <c r="U74" s="20">
        <v>0.95061728395061729</v>
      </c>
      <c r="W74" s="19">
        <v>72</v>
      </c>
      <c r="X74" s="19">
        <v>60</v>
      </c>
      <c r="Y74" s="19">
        <v>82</v>
      </c>
      <c r="Z74" s="19">
        <v>73</v>
      </c>
      <c r="AA74" s="19">
        <v>73</v>
      </c>
      <c r="AB74" s="20">
        <v>2.9173419773095625E-2</v>
      </c>
      <c r="AC74" s="20">
        <v>2.3428348301444749E-2</v>
      </c>
      <c r="AD74" s="20">
        <v>3.0873493975903613E-2</v>
      </c>
      <c r="AE74" s="20">
        <v>2.8616228929831438E-2</v>
      </c>
      <c r="AF74" s="20">
        <v>2.6642335766423358E-2</v>
      </c>
      <c r="AG74" s="19">
        <v>68</v>
      </c>
      <c r="AH74" s="19">
        <v>56</v>
      </c>
      <c r="AI74" s="19">
        <v>76</v>
      </c>
      <c r="AJ74" s="19">
        <v>67</v>
      </c>
      <c r="AK74" s="19">
        <v>69</v>
      </c>
      <c r="AL74" s="20">
        <v>0.94444444444444442</v>
      </c>
      <c r="AM74" s="20">
        <v>0.93333333333333335</v>
      </c>
      <c r="AN74" s="20">
        <v>0.92682926829268297</v>
      </c>
      <c r="AO74" s="20">
        <v>0.9178082191780822</v>
      </c>
      <c r="AP74" s="20">
        <v>0.9452054794520548</v>
      </c>
      <c r="AQ74" s="37"/>
    </row>
    <row r="75" spans="1:55" s="21" customFormat="1" x14ac:dyDescent="0.2">
      <c r="A75" s="29" t="s">
        <v>77</v>
      </c>
      <c r="B75" s="21">
        <v>2592</v>
      </c>
      <c r="C75" s="21">
        <v>2582</v>
      </c>
      <c r="D75" s="21">
        <v>2660</v>
      </c>
      <c r="E75" s="21">
        <v>2740</v>
      </c>
      <c r="F75" s="21">
        <v>2767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1">
        <v>1072</v>
      </c>
      <c r="M75" s="21">
        <v>1086</v>
      </c>
      <c r="N75" s="21">
        <v>1084</v>
      </c>
      <c r="O75" s="21">
        <v>1213</v>
      </c>
      <c r="P75" s="21">
        <v>1282</v>
      </c>
      <c r="Q75" s="22">
        <v>0.41358024691358025</v>
      </c>
      <c r="R75" s="22">
        <v>0.42060418280402789</v>
      </c>
      <c r="S75" s="22">
        <v>0.40751879699248122</v>
      </c>
      <c r="T75" s="22">
        <v>0.44270072992700732</v>
      </c>
      <c r="U75" s="22">
        <v>0.4633176725695699</v>
      </c>
      <c r="W75" s="21">
        <v>2468</v>
      </c>
      <c r="X75" s="21">
        <v>2561</v>
      </c>
      <c r="Y75" s="21">
        <v>2656</v>
      </c>
      <c r="Z75" s="21">
        <v>2551</v>
      </c>
      <c r="AA75" s="21">
        <v>2740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1">
        <v>966</v>
      </c>
      <c r="AH75" s="21">
        <v>1197</v>
      </c>
      <c r="AI75" s="21">
        <v>809</v>
      </c>
      <c r="AJ75" s="21">
        <v>1004</v>
      </c>
      <c r="AK75" s="21">
        <v>1213</v>
      </c>
      <c r="AL75" s="22">
        <v>0.39141004862236628</v>
      </c>
      <c r="AM75" s="22">
        <v>0.46739554861382271</v>
      </c>
      <c r="AN75" s="22">
        <v>0.30459337349397592</v>
      </c>
      <c r="AO75" s="22">
        <v>0.39357114856918857</v>
      </c>
      <c r="AP75" s="22">
        <v>0.44270072992700732</v>
      </c>
      <c r="AQ75" s="37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</row>
    <row r="76" spans="1:55" x14ac:dyDescent="0.2">
      <c r="A76" s="18"/>
      <c r="AQ76" s="37"/>
    </row>
    <row r="77" spans="1:55" x14ac:dyDescent="0.2">
      <c r="A77" s="9" t="s">
        <v>66</v>
      </c>
      <c r="B77" s="9" t="s">
        <v>10</v>
      </c>
      <c r="C77" s="9" t="s">
        <v>11</v>
      </c>
      <c r="D77" s="9" t="s">
        <v>12</v>
      </c>
      <c r="E77" s="9" t="s">
        <v>164</v>
      </c>
      <c r="F77" s="9" t="s">
        <v>195</v>
      </c>
      <c r="G77" s="9" t="s">
        <v>10</v>
      </c>
      <c r="H77" s="9" t="s">
        <v>11</v>
      </c>
      <c r="I77" s="9" t="s">
        <v>12</v>
      </c>
      <c r="J77" s="9" t="s">
        <v>164</v>
      </c>
      <c r="K77" s="9" t="s">
        <v>195</v>
      </c>
      <c r="L77" s="9" t="s">
        <v>10</v>
      </c>
      <c r="M77" s="9" t="s">
        <v>11</v>
      </c>
      <c r="N77" s="9" t="s">
        <v>12</v>
      </c>
      <c r="O77" s="9" t="s">
        <v>164</v>
      </c>
      <c r="P77" s="9" t="s">
        <v>195</v>
      </c>
      <c r="Q77" s="9" t="s">
        <v>10</v>
      </c>
      <c r="R77" s="9" t="s">
        <v>11</v>
      </c>
      <c r="S77" s="9" t="s">
        <v>12</v>
      </c>
      <c r="T77" s="9" t="s">
        <v>164</v>
      </c>
      <c r="U77" s="9" t="s">
        <v>195</v>
      </c>
      <c r="V77" s="9"/>
      <c r="W77" s="9" t="s">
        <v>13</v>
      </c>
      <c r="X77" s="9" t="s">
        <v>14</v>
      </c>
      <c r="Y77" s="9" t="s">
        <v>15</v>
      </c>
      <c r="Z77" s="9" t="s">
        <v>16</v>
      </c>
      <c r="AA77" s="9" t="s">
        <v>165</v>
      </c>
      <c r="AB77" s="9" t="s">
        <v>13</v>
      </c>
      <c r="AC77" s="9" t="s">
        <v>14</v>
      </c>
      <c r="AD77" s="9" t="s">
        <v>15</v>
      </c>
      <c r="AE77" s="9" t="s">
        <v>16</v>
      </c>
      <c r="AF77" s="9" t="s">
        <v>165</v>
      </c>
      <c r="AG77" s="9" t="s">
        <v>13</v>
      </c>
      <c r="AH77" s="9" t="s">
        <v>14</v>
      </c>
      <c r="AI77" s="9" t="s">
        <v>15</v>
      </c>
      <c r="AJ77" s="9" t="s">
        <v>16</v>
      </c>
      <c r="AK77" s="9" t="s">
        <v>165</v>
      </c>
      <c r="AL77" s="9" t="s">
        <v>13</v>
      </c>
      <c r="AM77" s="9" t="s">
        <v>14</v>
      </c>
      <c r="AN77" s="9" t="s">
        <v>15</v>
      </c>
      <c r="AO77" s="9" t="s">
        <v>16</v>
      </c>
      <c r="AP77" s="9" t="s">
        <v>165</v>
      </c>
      <c r="AQ77" s="37"/>
    </row>
    <row r="78" spans="1:55" x14ac:dyDescent="0.2">
      <c r="A78" s="18" t="s">
        <v>43</v>
      </c>
      <c r="B78" s="19">
        <v>19470</v>
      </c>
      <c r="C78" s="19">
        <v>19672</v>
      </c>
      <c r="D78" s="19">
        <v>20992</v>
      </c>
      <c r="E78" s="19">
        <v>21970</v>
      </c>
      <c r="F78" s="19">
        <v>22529</v>
      </c>
      <c r="G78" s="20">
        <v>0.42089106984586783</v>
      </c>
      <c r="H78" s="20">
        <v>0.41560856062366636</v>
      </c>
      <c r="I78" s="20">
        <v>0.41616113556163514</v>
      </c>
      <c r="J78" s="20">
        <v>0.44272040302267002</v>
      </c>
      <c r="K78" s="20">
        <v>0.44761677693667917</v>
      </c>
      <c r="L78" s="19">
        <v>17029</v>
      </c>
      <c r="M78" s="19">
        <v>16985</v>
      </c>
      <c r="N78" s="19">
        <v>17361</v>
      </c>
      <c r="O78" s="19">
        <v>18043</v>
      </c>
      <c r="P78" s="19">
        <v>18677</v>
      </c>
      <c r="Q78" s="20">
        <v>0.87462763225475093</v>
      </c>
      <c r="R78" s="20">
        <v>0.86340992273281825</v>
      </c>
      <c r="S78" s="20">
        <v>0.82702934451219512</v>
      </c>
      <c r="T78" s="20">
        <v>0.82125625853436501</v>
      </c>
      <c r="U78" s="20">
        <v>0.82902037374051218</v>
      </c>
      <c r="W78" s="19">
        <v>12409</v>
      </c>
      <c r="X78" s="19">
        <v>13427</v>
      </c>
      <c r="Y78" s="19">
        <v>15454</v>
      </c>
      <c r="Z78" s="19">
        <v>18829</v>
      </c>
      <c r="AA78" s="19">
        <v>21970</v>
      </c>
      <c r="AB78" s="20">
        <v>0.31660458233403072</v>
      </c>
      <c r="AC78" s="20">
        <v>0.33767572869250306</v>
      </c>
      <c r="AD78" s="20">
        <v>0.36954494368588442</v>
      </c>
      <c r="AE78" s="20">
        <v>0.41569709680980238</v>
      </c>
      <c r="AF78" s="20">
        <v>0.44272040302267002</v>
      </c>
      <c r="AG78" s="19">
        <v>10336</v>
      </c>
      <c r="AH78" s="19">
        <v>11447</v>
      </c>
      <c r="AI78" s="19">
        <v>13558</v>
      </c>
      <c r="AJ78" s="19">
        <v>16724</v>
      </c>
      <c r="AK78" s="19">
        <v>18043</v>
      </c>
      <c r="AL78" s="20">
        <v>0.83294383109033765</v>
      </c>
      <c r="AM78" s="20">
        <v>0.85253593505622993</v>
      </c>
      <c r="AN78" s="20">
        <v>0.87731331694059789</v>
      </c>
      <c r="AO78" s="20">
        <v>0.88820436560624572</v>
      </c>
      <c r="AP78" s="20">
        <v>0.82125625853436501</v>
      </c>
      <c r="AQ78" s="37"/>
    </row>
    <row r="79" spans="1:55" x14ac:dyDescent="0.2">
      <c r="A79" s="18" t="s">
        <v>19</v>
      </c>
      <c r="B79" s="19">
        <v>17697</v>
      </c>
      <c r="C79" s="19">
        <v>17540</v>
      </c>
      <c r="D79" s="19">
        <v>18004</v>
      </c>
      <c r="E79" s="19">
        <v>17401</v>
      </c>
      <c r="F79" s="19">
        <v>17172</v>
      </c>
      <c r="G79" s="20">
        <v>0.38256339306945675</v>
      </c>
      <c r="H79" s="20">
        <v>0.37056598990133732</v>
      </c>
      <c r="I79" s="20">
        <v>0.356924784901471</v>
      </c>
      <c r="J79" s="20">
        <v>0.35064987405541564</v>
      </c>
      <c r="K79" s="20">
        <v>0.34118137926923764</v>
      </c>
      <c r="L79" s="19">
        <v>13429</v>
      </c>
      <c r="M79" s="19">
        <v>13483</v>
      </c>
      <c r="N79" s="19">
        <v>13467</v>
      </c>
      <c r="O79" s="19">
        <v>13169</v>
      </c>
      <c r="P79" s="19">
        <v>13117</v>
      </c>
      <c r="Q79" s="20">
        <v>0.75882918008702038</v>
      </c>
      <c r="R79" s="20">
        <v>0.76870011402508553</v>
      </c>
      <c r="S79" s="20">
        <v>0.74800044434570101</v>
      </c>
      <c r="T79" s="20">
        <v>0.75679558646054823</v>
      </c>
      <c r="U79" s="20">
        <v>0.76385977172140695</v>
      </c>
      <c r="W79" s="19">
        <v>20856</v>
      </c>
      <c r="X79" s="19">
        <v>20126</v>
      </c>
      <c r="Y79" s="19">
        <v>18368</v>
      </c>
      <c r="Z79" s="19">
        <v>17796</v>
      </c>
      <c r="AA79" s="19">
        <v>17401</v>
      </c>
      <c r="AB79" s="20">
        <v>0.53212226361177728</v>
      </c>
      <c r="AC79" s="20">
        <v>0.50614893242461589</v>
      </c>
      <c r="AD79" s="20">
        <v>0.4392261890528229</v>
      </c>
      <c r="AE79" s="20">
        <v>0.39289104757699528</v>
      </c>
      <c r="AF79" s="20">
        <v>0.35064987405541564</v>
      </c>
      <c r="AG79" s="19">
        <v>14452</v>
      </c>
      <c r="AH79" s="19">
        <v>14014</v>
      </c>
      <c r="AI79" s="19">
        <v>13085</v>
      </c>
      <c r="AJ79" s="19">
        <v>13358</v>
      </c>
      <c r="AK79" s="19">
        <v>13169</v>
      </c>
      <c r="AL79" s="20">
        <v>0.6929420790180284</v>
      </c>
      <c r="AM79" s="20">
        <v>0.6963132266719666</v>
      </c>
      <c r="AN79" s="20">
        <v>0.71238022648083621</v>
      </c>
      <c r="AO79" s="20">
        <v>0.75061811643065857</v>
      </c>
      <c r="AP79" s="20">
        <v>0.75679558646054823</v>
      </c>
      <c r="AQ79" s="37"/>
    </row>
    <row r="80" spans="1:55" x14ac:dyDescent="0.2">
      <c r="A80" s="18" t="s">
        <v>30</v>
      </c>
      <c r="B80" s="19">
        <v>6027</v>
      </c>
      <c r="C80" s="19">
        <v>6713</v>
      </c>
      <c r="D80" s="19">
        <v>7767</v>
      </c>
      <c r="E80" s="19">
        <v>6459</v>
      </c>
      <c r="F80" s="19">
        <v>6826</v>
      </c>
      <c r="G80" s="20">
        <v>0.13028816014181024</v>
      </c>
      <c r="H80" s="20">
        <v>0.14182494242917204</v>
      </c>
      <c r="I80" s="20">
        <v>0.15397882716783634</v>
      </c>
      <c r="J80" s="20">
        <v>0.13015617128463475</v>
      </c>
      <c r="K80" s="20">
        <v>0.13562218116071606</v>
      </c>
      <c r="L80" s="19">
        <v>4732</v>
      </c>
      <c r="M80" s="19">
        <v>4842</v>
      </c>
      <c r="N80" s="19">
        <v>5689</v>
      </c>
      <c r="O80" s="19">
        <v>4741</v>
      </c>
      <c r="P80" s="19">
        <v>5227</v>
      </c>
      <c r="Q80" s="20">
        <v>0.78513356562137049</v>
      </c>
      <c r="R80" s="20">
        <v>0.72128705496797263</v>
      </c>
      <c r="S80" s="20">
        <v>0.73245783442770696</v>
      </c>
      <c r="T80" s="20">
        <v>0.73401455333642984</v>
      </c>
      <c r="U80" s="20">
        <v>0.76574860826252567</v>
      </c>
      <c r="W80" s="19">
        <v>4498</v>
      </c>
      <c r="X80" s="19">
        <v>4544</v>
      </c>
      <c r="Y80" s="19">
        <v>5398</v>
      </c>
      <c r="Z80" s="19">
        <v>5546</v>
      </c>
      <c r="AA80" s="19">
        <v>6459</v>
      </c>
      <c r="AB80" s="20">
        <v>0.11476246364239424</v>
      </c>
      <c r="AC80" s="20">
        <v>0.11427709176872973</v>
      </c>
      <c r="AD80" s="20">
        <v>0.12908008321576317</v>
      </c>
      <c r="AE80" s="20">
        <v>0.12244177061485816</v>
      </c>
      <c r="AF80" s="20">
        <v>0.13015617128463475</v>
      </c>
      <c r="AG80" s="19">
        <v>3126</v>
      </c>
      <c r="AH80" s="19">
        <v>3395</v>
      </c>
      <c r="AI80" s="19">
        <v>4197</v>
      </c>
      <c r="AJ80" s="19">
        <v>4352</v>
      </c>
      <c r="AK80" s="19">
        <v>4741</v>
      </c>
      <c r="AL80" s="20">
        <v>0.69497554468652734</v>
      </c>
      <c r="AM80" s="20">
        <v>0.74713908450704225</v>
      </c>
      <c r="AN80" s="20">
        <v>0.77751018895887369</v>
      </c>
      <c r="AO80" s="20">
        <v>0.78470970068517854</v>
      </c>
      <c r="AP80" s="20">
        <v>0.73401455333642984</v>
      </c>
      <c r="AQ80" s="37"/>
    </row>
    <row r="81" spans="1:55" x14ac:dyDescent="0.2">
      <c r="A81" s="18" t="s">
        <v>76</v>
      </c>
      <c r="B81" s="19">
        <v>3065</v>
      </c>
      <c r="C81" s="19">
        <v>3408</v>
      </c>
      <c r="D81" s="19">
        <v>3679</v>
      </c>
      <c r="E81" s="19">
        <v>3795</v>
      </c>
      <c r="F81" s="19">
        <v>3804</v>
      </c>
      <c r="G81" s="20">
        <v>6.6257376942865168E-2</v>
      </c>
      <c r="H81" s="20">
        <v>7.2000507045824266E-2</v>
      </c>
      <c r="I81" s="20">
        <v>7.2935252369057527E-2</v>
      </c>
      <c r="J81" s="20">
        <v>7.6473551637279591E-2</v>
      </c>
      <c r="K81" s="20">
        <v>7.5579662633367115E-2</v>
      </c>
      <c r="L81" s="19">
        <v>2579</v>
      </c>
      <c r="M81" s="19">
        <v>2699</v>
      </c>
      <c r="N81" s="19">
        <v>2823</v>
      </c>
      <c r="O81" s="19">
        <v>2920</v>
      </c>
      <c r="P81" s="19">
        <v>2970</v>
      </c>
      <c r="Q81" s="20">
        <v>0.84143556280587273</v>
      </c>
      <c r="R81" s="20">
        <v>0.79196009389671362</v>
      </c>
      <c r="S81" s="20">
        <v>0.76732807828214189</v>
      </c>
      <c r="T81" s="20">
        <v>0.76943346508563903</v>
      </c>
      <c r="U81" s="20">
        <v>0.78075709779179814</v>
      </c>
      <c r="W81" s="19">
        <v>1431</v>
      </c>
      <c r="X81" s="19">
        <v>1666</v>
      </c>
      <c r="Y81" s="19">
        <v>2599</v>
      </c>
      <c r="Z81" s="19">
        <v>3124</v>
      </c>
      <c r="AA81" s="19">
        <v>3795</v>
      </c>
      <c r="AB81" s="20">
        <v>3.6510690411797726E-2</v>
      </c>
      <c r="AC81" s="20">
        <v>4.1898247114151348E-2</v>
      </c>
      <c r="AD81" s="20">
        <v>6.2148784045529544E-2</v>
      </c>
      <c r="AE81" s="20">
        <v>6.8970084998344186E-2</v>
      </c>
      <c r="AF81" s="20">
        <v>7.6473551637279591E-2</v>
      </c>
      <c r="AG81" s="19">
        <v>900</v>
      </c>
      <c r="AH81" s="19">
        <v>1163</v>
      </c>
      <c r="AI81" s="19">
        <v>1906</v>
      </c>
      <c r="AJ81" s="19">
        <v>2453</v>
      </c>
      <c r="AK81" s="19">
        <v>2920</v>
      </c>
      <c r="AL81" s="20">
        <v>0.62893081761006286</v>
      </c>
      <c r="AM81" s="20">
        <v>0.69807923169267705</v>
      </c>
      <c r="AN81" s="20">
        <v>0.7333589842247018</v>
      </c>
      <c r="AO81" s="20">
        <v>0.78521126760563376</v>
      </c>
      <c r="AP81" s="20">
        <v>0.76943346508563903</v>
      </c>
      <c r="AQ81" s="37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</row>
    <row r="82" spans="1:55" s="21" customFormat="1" x14ac:dyDescent="0.2">
      <c r="A82" s="29" t="s">
        <v>77</v>
      </c>
      <c r="B82" s="21">
        <v>46259</v>
      </c>
      <c r="C82" s="21">
        <v>47333</v>
      </c>
      <c r="D82" s="21">
        <v>50442</v>
      </c>
      <c r="E82" s="21">
        <v>49625</v>
      </c>
      <c r="F82" s="21">
        <v>50331</v>
      </c>
      <c r="G82" s="22">
        <v>1</v>
      </c>
      <c r="H82" s="22">
        <v>1</v>
      </c>
      <c r="I82" s="22">
        <v>1</v>
      </c>
      <c r="J82" s="22">
        <v>1</v>
      </c>
      <c r="K82" s="22">
        <v>1</v>
      </c>
      <c r="L82" s="21">
        <v>37769</v>
      </c>
      <c r="M82" s="21">
        <v>38009</v>
      </c>
      <c r="N82" s="21">
        <v>39340</v>
      </c>
      <c r="O82" s="21">
        <v>38873</v>
      </c>
      <c r="P82" s="21">
        <v>39991</v>
      </c>
      <c r="Q82" s="22">
        <v>0.81646814673901291</v>
      </c>
      <c r="R82" s="22">
        <v>0.80301269727251601</v>
      </c>
      <c r="S82" s="22">
        <v>0.77990563419372749</v>
      </c>
      <c r="T82" s="22">
        <v>0.78333501259445848</v>
      </c>
      <c r="U82" s="22">
        <v>0.79456001271582122</v>
      </c>
      <c r="W82" s="21">
        <v>39194</v>
      </c>
      <c r="X82" s="21">
        <v>39763</v>
      </c>
      <c r="Y82" s="21">
        <v>41819</v>
      </c>
      <c r="Z82" s="21">
        <v>45295</v>
      </c>
      <c r="AA82" s="21">
        <v>49625</v>
      </c>
      <c r="AB82" s="22">
        <v>1</v>
      </c>
      <c r="AC82" s="22">
        <v>1</v>
      </c>
      <c r="AD82" s="22">
        <v>1</v>
      </c>
      <c r="AE82" s="22">
        <v>1</v>
      </c>
      <c r="AF82" s="22">
        <v>1</v>
      </c>
      <c r="AG82" s="21">
        <v>28814</v>
      </c>
      <c r="AH82" s="21">
        <v>30019</v>
      </c>
      <c r="AI82" s="21">
        <v>32746</v>
      </c>
      <c r="AJ82" s="21">
        <v>36887</v>
      </c>
      <c r="AK82" s="21">
        <v>38873</v>
      </c>
      <c r="AL82" s="22">
        <v>0.73516354544062867</v>
      </c>
      <c r="AM82" s="22">
        <v>0.75494806729874508</v>
      </c>
      <c r="AN82" s="22">
        <v>0.78304120136779931</v>
      </c>
      <c r="AO82" s="22">
        <v>0.81437244728998781</v>
      </c>
      <c r="AP82" s="22">
        <v>0.78333501259445848</v>
      </c>
      <c r="AQ82" s="37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</row>
    <row r="83" spans="1:55" x14ac:dyDescent="0.2">
      <c r="A83" s="18"/>
      <c r="AQ83" s="37"/>
    </row>
    <row r="84" spans="1:55" x14ac:dyDescent="0.2">
      <c r="A84" s="9" t="s">
        <v>68</v>
      </c>
      <c r="B84" s="9" t="s">
        <v>10</v>
      </c>
      <c r="C84" s="9" t="s">
        <v>11</v>
      </c>
      <c r="D84" s="9" t="s">
        <v>12</v>
      </c>
      <c r="E84" s="9" t="s">
        <v>164</v>
      </c>
      <c r="F84" s="9" t="s">
        <v>195</v>
      </c>
      <c r="G84" s="9" t="s">
        <v>10</v>
      </c>
      <c r="H84" s="9" t="s">
        <v>11</v>
      </c>
      <c r="I84" s="9" t="s">
        <v>12</v>
      </c>
      <c r="J84" s="9" t="s">
        <v>164</v>
      </c>
      <c r="K84" s="9" t="s">
        <v>195</v>
      </c>
      <c r="L84" s="9" t="s">
        <v>10</v>
      </c>
      <c r="M84" s="9" t="s">
        <v>11</v>
      </c>
      <c r="N84" s="9" t="s">
        <v>12</v>
      </c>
      <c r="O84" s="9" t="s">
        <v>164</v>
      </c>
      <c r="P84" s="9" t="s">
        <v>195</v>
      </c>
      <c r="Q84" s="9" t="s">
        <v>10</v>
      </c>
      <c r="R84" s="9" t="s">
        <v>11</v>
      </c>
      <c r="S84" s="9" t="s">
        <v>12</v>
      </c>
      <c r="T84" s="9" t="s">
        <v>164</v>
      </c>
      <c r="U84" s="9" t="s">
        <v>195</v>
      </c>
      <c r="V84" s="9"/>
      <c r="W84" s="9" t="s">
        <v>13</v>
      </c>
      <c r="X84" s="9" t="s">
        <v>14</v>
      </c>
      <c r="Y84" s="9" t="s">
        <v>15</v>
      </c>
      <c r="Z84" s="9" t="s">
        <v>16</v>
      </c>
      <c r="AA84" s="9" t="s">
        <v>165</v>
      </c>
      <c r="AB84" s="9" t="s">
        <v>13</v>
      </c>
      <c r="AC84" s="9" t="s">
        <v>14</v>
      </c>
      <c r="AD84" s="9" t="s">
        <v>15</v>
      </c>
      <c r="AE84" s="9" t="s">
        <v>16</v>
      </c>
      <c r="AF84" s="9" t="s">
        <v>165</v>
      </c>
      <c r="AG84" s="9" t="s">
        <v>13</v>
      </c>
      <c r="AH84" s="9" t="s">
        <v>14</v>
      </c>
      <c r="AI84" s="9" t="s">
        <v>15</v>
      </c>
      <c r="AJ84" s="9" t="s">
        <v>16</v>
      </c>
      <c r="AK84" s="9" t="s">
        <v>165</v>
      </c>
      <c r="AL84" s="9" t="s">
        <v>13</v>
      </c>
      <c r="AM84" s="9" t="s">
        <v>14</v>
      </c>
      <c r="AN84" s="9" t="s">
        <v>15</v>
      </c>
      <c r="AO84" s="9" t="s">
        <v>16</v>
      </c>
      <c r="AP84" s="9" t="s">
        <v>165</v>
      </c>
      <c r="AQ84" s="37"/>
    </row>
    <row r="85" spans="1:55" x14ac:dyDescent="0.2">
      <c r="A85" s="18" t="s">
        <v>43</v>
      </c>
      <c r="B85" s="19">
        <v>13118</v>
      </c>
      <c r="C85" s="19">
        <v>13534</v>
      </c>
      <c r="D85" s="19">
        <v>14118</v>
      </c>
      <c r="E85" s="19">
        <v>14438</v>
      </c>
      <c r="F85" s="19">
        <v>14521</v>
      </c>
      <c r="G85" s="20">
        <v>0.81503572538055302</v>
      </c>
      <c r="H85" s="20">
        <v>0.81915022394383241</v>
      </c>
      <c r="I85" s="20">
        <v>0.82522796352583583</v>
      </c>
      <c r="J85" s="20">
        <v>0.83029501408936679</v>
      </c>
      <c r="K85" s="20">
        <v>0.8281624272841337</v>
      </c>
      <c r="L85" s="19">
        <v>9438</v>
      </c>
      <c r="M85" s="19">
        <v>9833</v>
      </c>
      <c r="N85" s="19">
        <v>10058</v>
      </c>
      <c r="O85" s="19">
        <v>10389</v>
      </c>
      <c r="P85" s="19">
        <v>10518</v>
      </c>
      <c r="Q85" s="20">
        <v>0.71946943131574936</v>
      </c>
      <c r="R85" s="20">
        <v>0.72654056450421156</v>
      </c>
      <c r="S85" s="20">
        <v>0.71242385607026493</v>
      </c>
      <c r="T85" s="20">
        <v>0.71955949577503808</v>
      </c>
      <c r="U85" s="20">
        <v>0.72433028028372703</v>
      </c>
      <c r="W85" s="19">
        <v>0</v>
      </c>
      <c r="X85" s="19">
        <v>9036</v>
      </c>
      <c r="Y85" s="19">
        <v>11064</v>
      </c>
      <c r="Z85" s="19">
        <v>12780</v>
      </c>
      <c r="AA85" s="19">
        <v>14438</v>
      </c>
      <c r="AB85" s="20">
        <v>0</v>
      </c>
      <c r="AC85" s="20">
        <v>0.73100881805679152</v>
      </c>
      <c r="AD85" s="20">
        <v>0.79345955249569711</v>
      </c>
      <c r="AE85" s="20">
        <v>0.8111195734958111</v>
      </c>
      <c r="AF85" s="20">
        <v>0.83029501408936679</v>
      </c>
      <c r="AG85" s="19">
        <v>0</v>
      </c>
      <c r="AH85" s="19">
        <v>5579</v>
      </c>
      <c r="AI85" s="19">
        <v>7349</v>
      </c>
      <c r="AJ85" s="19">
        <v>9090</v>
      </c>
      <c r="AK85" s="19">
        <v>10389</v>
      </c>
      <c r="AL85" s="20">
        <v>0</v>
      </c>
      <c r="AM85" s="20">
        <v>0.61741921204072603</v>
      </c>
      <c r="AN85" s="20">
        <v>0.66422631959508316</v>
      </c>
      <c r="AO85" s="20">
        <v>0.71126760563380287</v>
      </c>
      <c r="AP85" s="20">
        <v>0.71955949577503808</v>
      </c>
      <c r="AQ85" s="37"/>
    </row>
    <row r="86" spans="1:55" x14ac:dyDescent="0.2">
      <c r="A86" s="18" t="s">
        <v>19</v>
      </c>
      <c r="B86" s="19">
        <v>2977</v>
      </c>
      <c r="C86" s="19">
        <v>2988</v>
      </c>
      <c r="D86" s="19">
        <v>2990</v>
      </c>
      <c r="E86" s="19">
        <v>2949</v>
      </c>
      <c r="F86" s="19">
        <v>2919</v>
      </c>
      <c r="G86" s="20">
        <v>0.18496427461944703</v>
      </c>
      <c r="H86" s="20">
        <v>0.18084977605616753</v>
      </c>
      <c r="I86" s="20">
        <v>0.17477203647416414</v>
      </c>
      <c r="J86" s="20">
        <v>0.16958997067111392</v>
      </c>
      <c r="K86" s="20">
        <v>0.16647655982662257</v>
      </c>
      <c r="L86" s="19">
        <v>1679</v>
      </c>
      <c r="M86" s="19">
        <v>1677</v>
      </c>
      <c r="N86" s="19">
        <v>1708</v>
      </c>
      <c r="O86" s="19">
        <v>1743</v>
      </c>
      <c r="P86" s="19">
        <v>1809</v>
      </c>
      <c r="Q86" s="20">
        <v>0.56399059455828016</v>
      </c>
      <c r="R86" s="20">
        <v>0.5612449799196787</v>
      </c>
      <c r="S86" s="20">
        <v>0.57123745819397997</v>
      </c>
      <c r="T86" s="20">
        <v>0.59104781281790442</v>
      </c>
      <c r="U86" s="20">
        <v>0.61973278520041108</v>
      </c>
      <c r="W86" s="19">
        <v>0</v>
      </c>
      <c r="X86" s="19">
        <v>3325</v>
      </c>
      <c r="Y86" s="19">
        <v>2880</v>
      </c>
      <c r="Z86" s="19">
        <v>2976</v>
      </c>
      <c r="AA86" s="19">
        <v>2949</v>
      </c>
      <c r="AB86" s="20">
        <v>0</v>
      </c>
      <c r="AC86" s="20">
        <v>0.26899118194320848</v>
      </c>
      <c r="AD86" s="20">
        <v>0.20654044750430292</v>
      </c>
      <c r="AE86" s="20">
        <v>0.18888042650418888</v>
      </c>
      <c r="AF86" s="20">
        <v>0.16958997067111392</v>
      </c>
      <c r="AG86" s="19">
        <v>0</v>
      </c>
      <c r="AH86" s="19">
        <v>1480</v>
      </c>
      <c r="AI86" s="19">
        <v>1314</v>
      </c>
      <c r="AJ86" s="19">
        <v>1643</v>
      </c>
      <c r="AK86" s="19">
        <v>1743</v>
      </c>
      <c r="AL86" s="20">
        <v>0</v>
      </c>
      <c r="AM86" s="20">
        <v>0.44511278195488724</v>
      </c>
      <c r="AN86" s="20">
        <v>0.45624999999999999</v>
      </c>
      <c r="AO86" s="20">
        <v>0.55208333333333337</v>
      </c>
      <c r="AP86" s="20">
        <v>0.59104781281790442</v>
      </c>
      <c r="AQ86" s="37"/>
    </row>
    <row r="87" spans="1:55" x14ac:dyDescent="0.2">
      <c r="A87" s="18" t="s">
        <v>76</v>
      </c>
      <c r="B87" s="19">
        <v>0</v>
      </c>
      <c r="C87" s="19">
        <v>0</v>
      </c>
      <c r="D87" s="19">
        <v>0</v>
      </c>
      <c r="E87" s="19">
        <v>2</v>
      </c>
      <c r="F87" s="19">
        <v>94</v>
      </c>
      <c r="G87" s="20">
        <v>0</v>
      </c>
      <c r="H87" s="20">
        <v>0</v>
      </c>
      <c r="I87" s="20">
        <v>0</v>
      </c>
      <c r="J87" s="20">
        <v>1.150152395192363E-4</v>
      </c>
      <c r="K87" s="20">
        <v>5.3610128892437551E-3</v>
      </c>
      <c r="L87" s="19">
        <v>0</v>
      </c>
      <c r="M87" s="19">
        <v>0</v>
      </c>
      <c r="N87" s="19">
        <v>0</v>
      </c>
      <c r="O87" s="19">
        <v>2</v>
      </c>
      <c r="P87" s="19">
        <v>94</v>
      </c>
      <c r="Q87" s="20">
        <v>0</v>
      </c>
      <c r="R87" s="20">
        <v>0</v>
      </c>
      <c r="S87" s="20">
        <v>0</v>
      </c>
      <c r="T87" s="20">
        <v>1</v>
      </c>
      <c r="U87" s="20">
        <v>1</v>
      </c>
      <c r="W87" s="19">
        <v>0</v>
      </c>
      <c r="X87" s="19">
        <v>0</v>
      </c>
      <c r="Y87" s="19">
        <v>0</v>
      </c>
      <c r="Z87" s="19">
        <v>0</v>
      </c>
      <c r="AA87" s="19">
        <v>2</v>
      </c>
      <c r="AB87" s="20">
        <v>0</v>
      </c>
      <c r="AC87" s="20">
        <v>0</v>
      </c>
      <c r="AD87" s="20">
        <v>0</v>
      </c>
      <c r="AE87" s="20">
        <v>0</v>
      </c>
      <c r="AF87" s="20">
        <v>1.150152395192363E-4</v>
      </c>
      <c r="AG87" s="19">
        <v>0</v>
      </c>
      <c r="AH87" s="19">
        <v>0</v>
      </c>
      <c r="AI87" s="19">
        <v>0</v>
      </c>
      <c r="AJ87" s="19">
        <v>0</v>
      </c>
      <c r="AK87" s="19">
        <v>2</v>
      </c>
      <c r="AL87" s="20">
        <v>0</v>
      </c>
      <c r="AM87" s="20">
        <v>0</v>
      </c>
      <c r="AN87" s="20">
        <v>0</v>
      </c>
      <c r="AO87" s="20">
        <v>0</v>
      </c>
      <c r="AP87" s="20">
        <v>1</v>
      </c>
      <c r="AQ87" s="37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</row>
    <row r="88" spans="1:55" s="21" customFormat="1" x14ac:dyDescent="0.2">
      <c r="A88" s="29" t="s">
        <v>77</v>
      </c>
      <c r="B88" s="21">
        <v>16095</v>
      </c>
      <c r="C88" s="21">
        <v>16522</v>
      </c>
      <c r="D88" s="21">
        <v>17108</v>
      </c>
      <c r="E88" s="21">
        <v>17389</v>
      </c>
      <c r="F88" s="21">
        <v>17534</v>
      </c>
      <c r="G88" s="22">
        <v>1</v>
      </c>
      <c r="H88" s="22">
        <v>1</v>
      </c>
      <c r="I88" s="22">
        <v>1</v>
      </c>
      <c r="J88" s="22">
        <v>1</v>
      </c>
      <c r="K88" s="22">
        <v>1</v>
      </c>
      <c r="L88" s="21">
        <v>11117</v>
      </c>
      <c r="M88" s="21">
        <v>11510</v>
      </c>
      <c r="N88" s="21">
        <v>11766</v>
      </c>
      <c r="O88" s="21">
        <v>12134</v>
      </c>
      <c r="P88" s="21">
        <v>12421</v>
      </c>
      <c r="Q88" s="22">
        <v>0.69071140105622864</v>
      </c>
      <c r="R88" s="22">
        <v>0.69664689504902555</v>
      </c>
      <c r="S88" s="22">
        <v>0.68774842179097495</v>
      </c>
      <c r="T88" s="22">
        <v>0.6977974581632066</v>
      </c>
      <c r="U88" s="22">
        <v>0.70839511805634769</v>
      </c>
      <c r="W88" s="21">
        <v>0</v>
      </c>
      <c r="X88" s="21">
        <v>12361</v>
      </c>
      <c r="Y88" s="21">
        <v>13944</v>
      </c>
      <c r="Z88" s="21">
        <v>15756</v>
      </c>
      <c r="AA88" s="21">
        <v>17389</v>
      </c>
      <c r="AB88" s="22">
        <v>0</v>
      </c>
      <c r="AC88" s="22">
        <v>1</v>
      </c>
      <c r="AD88" s="22">
        <v>1</v>
      </c>
      <c r="AE88" s="22">
        <v>1</v>
      </c>
      <c r="AF88" s="22">
        <v>1</v>
      </c>
      <c r="AG88" s="21">
        <v>0</v>
      </c>
      <c r="AH88" s="21">
        <v>7059</v>
      </c>
      <c r="AI88" s="21">
        <v>8663</v>
      </c>
      <c r="AJ88" s="21">
        <v>10733</v>
      </c>
      <c r="AK88" s="21">
        <v>12134</v>
      </c>
      <c r="AL88" s="22">
        <v>0</v>
      </c>
      <c r="AM88" s="22">
        <v>0.57107030175552143</v>
      </c>
      <c r="AN88" s="22">
        <v>0.62127079747561675</v>
      </c>
      <c r="AO88" s="22">
        <v>0.68120081238893115</v>
      </c>
      <c r="AP88" s="22">
        <v>0.6977974581632066</v>
      </c>
      <c r="AQ88" s="37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</row>
    <row r="89" spans="1:55" x14ac:dyDescent="0.2">
      <c r="A89" s="18"/>
      <c r="AQ89" s="37"/>
    </row>
    <row r="90" spans="1:55" x14ac:dyDescent="0.2">
      <c r="A90" s="9" t="s">
        <v>70</v>
      </c>
      <c r="B90" s="9" t="s">
        <v>10</v>
      </c>
      <c r="C90" s="9" t="s">
        <v>11</v>
      </c>
      <c r="D90" s="9" t="s">
        <v>12</v>
      </c>
      <c r="E90" s="9" t="s">
        <v>164</v>
      </c>
      <c r="F90" s="9" t="s">
        <v>195</v>
      </c>
      <c r="G90" s="9" t="s">
        <v>10</v>
      </c>
      <c r="H90" s="9" t="s">
        <v>11</v>
      </c>
      <c r="I90" s="9" t="s">
        <v>12</v>
      </c>
      <c r="J90" s="9" t="s">
        <v>164</v>
      </c>
      <c r="K90" s="9" t="s">
        <v>195</v>
      </c>
      <c r="L90" s="9" t="s">
        <v>10</v>
      </c>
      <c r="M90" s="9" t="s">
        <v>11</v>
      </c>
      <c r="N90" s="9" t="s">
        <v>12</v>
      </c>
      <c r="O90" s="9" t="s">
        <v>164</v>
      </c>
      <c r="P90" s="9" t="s">
        <v>195</v>
      </c>
      <c r="Q90" s="9" t="s">
        <v>10</v>
      </c>
      <c r="R90" s="9" t="s">
        <v>11</v>
      </c>
      <c r="S90" s="9" t="s">
        <v>12</v>
      </c>
      <c r="T90" s="9" t="s">
        <v>164</v>
      </c>
      <c r="U90" s="9" t="s">
        <v>195</v>
      </c>
      <c r="V90" s="9"/>
      <c r="W90" s="9" t="s">
        <v>13</v>
      </c>
      <c r="X90" s="9" t="s">
        <v>14</v>
      </c>
      <c r="Y90" s="9" t="s">
        <v>15</v>
      </c>
      <c r="Z90" s="9" t="s">
        <v>16</v>
      </c>
      <c r="AA90" s="9" t="s">
        <v>165</v>
      </c>
      <c r="AB90" s="9" t="s">
        <v>13</v>
      </c>
      <c r="AC90" s="9" t="s">
        <v>14</v>
      </c>
      <c r="AD90" s="9" t="s">
        <v>15</v>
      </c>
      <c r="AE90" s="9" t="s">
        <v>16</v>
      </c>
      <c r="AF90" s="9" t="s">
        <v>165</v>
      </c>
      <c r="AG90" s="9" t="s">
        <v>13</v>
      </c>
      <c r="AH90" s="9" t="s">
        <v>14</v>
      </c>
      <c r="AI90" s="9" t="s">
        <v>15</v>
      </c>
      <c r="AJ90" s="9" t="s">
        <v>16</v>
      </c>
      <c r="AK90" s="9" t="s">
        <v>165</v>
      </c>
      <c r="AL90" s="9" t="s">
        <v>13</v>
      </c>
      <c r="AM90" s="9" t="s">
        <v>14</v>
      </c>
      <c r="AN90" s="9" t="s">
        <v>15</v>
      </c>
      <c r="AO90" s="9" t="s">
        <v>16</v>
      </c>
      <c r="AP90" s="9" t="s">
        <v>165</v>
      </c>
      <c r="AQ90" s="37"/>
    </row>
    <row r="91" spans="1:55" x14ac:dyDescent="0.2">
      <c r="A91" s="18" t="s">
        <v>19</v>
      </c>
      <c r="B91" s="19">
        <v>2380</v>
      </c>
      <c r="C91" s="19">
        <v>2407</v>
      </c>
      <c r="D91" s="19">
        <v>2430</v>
      </c>
      <c r="E91" s="19">
        <v>2432</v>
      </c>
      <c r="F91" s="19">
        <v>2402</v>
      </c>
      <c r="G91" s="20">
        <v>0.24652993577791588</v>
      </c>
      <c r="H91" s="20">
        <v>0.24852865255549819</v>
      </c>
      <c r="I91" s="20">
        <v>0.24665042630937881</v>
      </c>
      <c r="J91" s="20">
        <v>0.2477840040753948</v>
      </c>
      <c r="K91" s="20">
        <v>0.21968172672398026</v>
      </c>
      <c r="L91" s="19">
        <v>2071</v>
      </c>
      <c r="M91" s="19">
        <v>2092</v>
      </c>
      <c r="N91" s="19">
        <v>2105</v>
      </c>
      <c r="O91" s="19">
        <v>2097</v>
      </c>
      <c r="P91" s="19">
        <v>2077</v>
      </c>
      <c r="Q91" s="20">
        <v>0.87016806722689077</v>
      </c>
      <c r="R91" s="20">
        <v>0.8691316992106356</v>
      </c>
      <c r="S91" s="20">
        <v>0.86625514403292181</v>
      </c>
      <c r="T91" s="20">
        <v>0.86225328947368418</v>
      </c>
      <c r="U91" s="20">
        <v>0.86469608659450459</v>
      </c>
      <c r="W91" s="19">
        <v>2578</v>
      </c>
      <c r="X91" s="19">
        <v>2952</v>
      </c>
      <c r="Y91" s="19">
        <v>2726</v>
      </c>
      <c r="Z91" s="19">
        <v>2327</v>
      </c>
      <c r="AA91" s="19">
        <v>2432</v>
      </c>
      <c r="AB91" s="20">
        <v>0.28737041578419353</v>
      </c>
      <c r="AC91" s="20">
        <v>0.30878661087866111</v>
      </c>
      <c r="AD91" s="20">
        <v>0.28538525963149081</v>
      </c>
      <c r="AE91" s="20">
        <v>0.2373036916173771</v>
      </c>
      <c r="AF91" s="20">
        <v>0.2477840040753948</v>
      </c>
      <c r="AG91" s="19">
        <v>2368</v>
      </c>
      <c r="AH91" s="19">
        <v>2695</v>
      </c>
      <c r="AI91" s="19">
        <v>2466</v>
      </c>
      <c r="AJ91" s="19">
        <v>2020</v>
      </c>
      <c r="AK91" s="19">
        <v>2097</v>
      </c>
      <c r="AL91" s="20">
        <v>0.91854150504266874</v>
      </c>
      <c r="AM91" s="20">
        <v>0.91294037940379402</v>
      </c>
      <c r="AN91" s="20">
        <v>0.90462215700660309</v>
      </c>
      <c r="AO91" s="20">
        <v>0.86807047700902451</v>
      </c>
      <c r="AP91" s="20">
        <v>0.86225328947368418</v>
      </c>
      <c r="AQ91" s="37"/>
    </row>
    <row r="92" spans="1:55" x14ac:dyDescent="0.2">
      <c r="A92" s="18" t="s">
        <v>43</v>
      </c>
      <c r="B92" s="19">
        <v>6511</v>
      </c>
      <c r="C92" s="19">
        <v>6501</v>
      </c>
      <c r="D92" s="19">
        <v>6598</v>
      </c>
      <c r="E92" s="19">
        <v>6598</v>
      </c>
      <c r="F92" s="19">
        <v>6585</v>
      </c>
      <c r="G92" s="20">
        <v>0.67443546716386993</v>
      </c>
      <c r="H92" s="20">
        <v>0.67124419204956121</v>
      </c>
      <c r="I92" s="20">
        <v>0.66971173365814052</v>
      </c>
      <c r="J92" s="20">
        <v>0.67223637289862459</v>
      </c>
      <c r="K92" s="20">
        <v>0.60224986281324311</v>
      </c>
      <c r="L92" s="19">
        <v>4049</v>
      </c>
      <c r="M92" s="19">
        <v>4093</v>
      </c>
      <c r="N92" s="19">
        <v>4147</v>
      </c>
      <c r="O92" s="19">
        <v>4228</v>
      </c>
      <c r="P92" s="19">
        <v>4239</v>
      </c>
      <c r="Q92" s="20">
        <v>0.6218706803870373</v>
      </c>
      <c r="R92" s="20">
        <v>0.62959544685433011</v>
      </c>
      <c r="S92" s="20">
        <v>0.62852379508942102</v>
      </c>
      <c r="T92" s="20">
        <v>0.6408002424977266</v>
      </c>
      <c r="U92" s="20">
        <v>0.64373576309794989</v>
      </c>
      <c r="W92" s="19">
        <v>5778</v>
      </c>
      <c r="X92" s="19">
        <v>5996</v>
      </c>
      <c r="Y92" s="19">
        <v>6075</v>
      </c>
      <c r="Z92" s="19">
        <v>6689</v>
      </c>
      <c r="AA92" s="19">
        <v>6598</v>
      </c>
      <c r="AB92" s="20">
        <v>0.64407535391818083</v>
      </c>
      <c r="AC92" s="20">
        <v>0.62719665271966529</v>
      </c>
      <c r="AD92" s="20">
        <v>0.63599246231155782</v>
      </c>
      <c r="AE92" s="20">
        <v>0.68213338772180299</v>
      </c>
      <c r="AF92" s="20">
        <v>0.67223637289862459</v>
      </c>
      <c r="AG92" s="19">
        <v>2412</v>
      </c>
      <c r="AH92" s="19">
        <v>2845</v>
      </c>
      <c r="AI92" s="19">
        <v>3248</v>
      </c>
      <c r="AJ92" s="19">
        <v>4203</v>
      </c>
      <c r="AK92" s="19">
        <v>4228</v>
      </c>
      <c r="AL92" s="20">
        <v>0.4174454828660436</v>
      </c>
      <c r="AM92" s="20">
        <v>0.4744829886591061</v>
      </c>
      <c r="AN92" s="20">
        <v>0.53465020576131683</v>
      </c>
      <c r="AO92" s="20">
        <v>0.62834504410225744</v>
      </c>
      <c r="AP92" s="20">
        <v>0.6408002424977266</v>
      </c>
      <c r="AQ92" s="37"/>
    </row>
    <row r="93" spans="1:55" x14ac:dyDescent="0.2">
      <c r="A93" s="18" t="s">
        <v>30</v>
      </c>
      <c r="B93" s="19">
        <v>546</v>
      </c>
      <c r="C93" s="19">
        <v>548</v>
      </c>
      <c r="D93" s="19">
        <v>594</v>
      </c>
      <c r="E93" s="19">
        <v>539</v>
      </c>
      <c r="F93" s="19">
        <v>552</v>
      </c>
      <c r="G93" s="20">
        <v>5.6556867619639531E-2</v>
      </c>
      <c r="H93" s="20">
        <v>5.6582343830665981E-2</v>
      </c>
      <c r="I93" s="20">
        <v>6.0292326431181487E-2</v>
      </c>
      <c r="J93" s="20">
        <v>5.4915944982170145E-2</v>
      </c>
      <c r="K93" s="20">
        <v>5.0484726541064569E-2</v>
      </c>
      <c r="L93" s="19">
        <v>493</v>
      </c>
      <c r="M93" s="19">
        <v>497</v>
      </c>
      <c r="N93" s="19">
        <v>535</v>
      </c>
      <c r="O93" s="19">
        <v>488</v>
      </c>
      <c r="P93" s="19">
        <v>503</v>
      </c>
      <c r="Q93" s="20">
        <v>0.90293040293040294</v>
      </c>
      <c r="R93" s="20">
        <v>0.90693430656934304</v>
      </c>
      <c r="S93" s="20">
        <v>0.90067340067340063</v>
      </c>
      <c r="T93" s="20">
        <v>0.90538033395176254</v>
      </c>
      <c r="U93" s="20">
        <v>0.91123188405797106</v>
      </c>
      <c r="W93" s="19">
        <v>522</v>
      </c>
      <c r="X93" s="19">
        <v>511</v>
      </c>
      <c r="Y93" s="19">
        <v>556</v>
      </c>
      <c r="Z93" s="19">
        <v>556</v>
      </c>
      <c r="AA93" s="19">
        <v>539</v>
      </c>
      <c r="AB93" s="20">
        <v>5.8187493033106677E-2</v>
      </c>
      <c r="AC93" s="20">
        <v>5.3451882845188287E-2</v>
      </c>
      <c r="AD93" s="20">
        <v>5.8207705192629813E-2</v>
      </c>
      <c r="AE93" s="20">
        <v>5.669997960432388E-2</v>
      </c>
      <c r="AF93" s="20">
        <v>5.4915944982170145E-2</v>
      </c>
      <c r="AG93" s="19">
        <v>477</v>
      </c>
      <c r="AH93" s="19">
        <v>465</v>
      </c>
      <c r="AI93" s="19">
        <v>503</v>
      </c>
      <c r="AJ93" s="19">
        <v>506</v>
      </c>
      <c r="AK93" s="19">
        <v>488</v>
      </c>
      <c r="AL93" s="20">
        <v>0.91379310344827591</v>
      </c>
      <c r="AM93" s="20">
        <v>0.90998043052837574</v>
      </c>
      <c r="AN93" s="20">
        <v>0.90467625899280579</v>
      </c>
      <c r="AO93" s="20">
        <v>0.91007194244604317</v>
      </c>
      <c r="AP93" s="20">
        <v>0.90538033395176254</v>
      </c>
      <c r="AQ93" s="37"/>
    </row>
    <row r="94" spans="1:55" x14ac:dyDescent="0.2">
      <c r="A94" s="18" t="s">
        <v>76</v>
      </c>
      <c r="B94" s="19">
        <v>217</v>
      </c>
      <c r="C94" s="19">
        <v>229</v>
      </c>
      <c r="D94" s="19">
        <v>230</v>
      </c>
      <c r="E94" s="19">
        <v>246</v>
      </c>
      <c r="F94" s="19">
        <v>1395</v>
      </c>
      <c r="G94" s="20">
        <v>2.2477729438574685E-2</v>
      </c>
      <c r="H94" s="20">
        <v>2.3644811564274653E-2</v>
      </c>
      <c r="I94" s="20">
        <v>2.3345513601299227E-2</v>
      </c>
      <c r="J94" s="20">
        <v>2.5063678043810496E-2</v>
      </c>
      <c r="K94" s="20">
        <v>0.1275836839217121</v>
      </c>
      <c r="L94" s="19">
        <v>206</v>
      </c>
      <c r="M94" s="19">
        <v>219</v>
      </c>
      <c r="N94" s="19">
        <v>216</v>
      </c>
      <c r="O94" s="19">
        <v>233</v>
      </c>
      <c r="P94" s="19">
        <v>1382</v>
      </c>
      <c r="Q94" s="20">
        <v>0.94930875576036866</v>
      </c>
      <c r="R94" s="20">
        <v>0.95633187772925765</v>
      </c>
      <c r="S94" s="20">
        <v>0.93913043478260871</v>
      </c>
      <c r="T94" s="20">
        <v>0.94715447154471544</v>
      </c>
      <c r="U94" s="20">
        <v>0.99068100358422939</v>
      </c>
      <c r="W94" s="19">
        <v>93</v>
      </c>
      <c r="X94" s="19">
        <v>101</v>
      </c>
      <c r="Y94" s="19">
        <v>195</v>
      </c>
      <c r="Z94" s="19">
        <v>234</v>
      </c>
      <c r="AA94" s="19">
        <v>246</v>
      </c>
      <c r="AB94" s="20">
        <v>1.0366737264519007E-2</v>
      </c>
      <c r="AC94" s="20">
        <v>1.0564853556485355E-2</v>
      </c>
      <c r="AD94" s="20">
        <v>2.041457286432161E-2</v>
      </c>
      <c r="AE94" s="20">
        <v>2.3862941056496022E-2</v>
      </c>
      <c r="AF94" s="20">
        <v>2.5063678043810496E-2</v>
      </c>
      <c r="AG94" s="19">
        <v>89</v>
      </c>
      <c r="AH94" s="19">
        <v>95</v>
      </c>
      <c r="AI94" s="19">
        <v>187</v>
      </c>
      <c r="AJ94" s="19">
        <v>222</v>
      </c>
      <c r="AK94" s="19">
        <v>233</v>
      </c>
      <c r="AL94" s="20">
        <v>0.956989247311828</v>
      </c>
      <c r="AM94" s="20">
        <v>0.94059405940594054</v>
      </c>
      <c r="AN94" s="20">
        <v>0.95897435897435901</v>
      </c>
      <c r="AO94" s="20">
        <v>0.94871794871794868</v>
      </c>
      <c r="AP94" s="20">
        <v>0.94715447154471544</v>
      </c>
      <c r="AQ94" s="37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</row>
    <row r="95" spans="1:55" s="21" customFormat="1" x14ac:dyDescent="0.2">
      <c r="A95" s="29" t="s">
        <v>77</v>
      </c>
      <c r="B95" s="21">
        <v>9654</v>
      </c>
      <c r="C95" s="21">
        <v>9685</v>
      </c>
      <c r="D95" s="21">
        <v>9852</v>
      </c>
      <c r="E95" s="21">
        <v>9815</v>
      </c>
      <c r="F95" s="21">
        <v>10934</v>
      </c>
      <c r="G95" s="22">
        <v>1</v>
      </c>
      <c r="H95" s="22">
        <v>1</v>
      </c>
      <c r="I95" s="22">
        <v>1</v>
      </c>
      <c r="J95" s="22">
        <v>1</v>
      </c>
      <c r="K95" s="22">
        <v>1</v>
      </c>
      <c r="L95" s="21">
        <v>6819</v>
      </c>
      <c r="M95" s="21">
        <v>6901</v>
      </c>
      <c r="N95" s="21">
        <v>7003</v>
      </c>
      <c r="O95" s="21">
        <v>7046</v>
      </c>
      <c r="P95" s="21">
        <v>8201</v>
      </c>
      <c r="Q95" s="22">
        <v>0.70633934120571784</v>
      </c>
      <c r="R95" s="22">
        <v>0.71254517294785746</v>
      </c>
      <c r="S95" s="22">
        <v>0.7108201380430369</v>
      </c>
      <c r="T95" s="22">
        <v>0.71788079470198674</v>
      </c>
      <c r="U95" s="22">
        <v>0.75004572891896837</v>
      </c>
      <c r="W95" s="21">
        <v>8971</v>
      </c>
      <c r="X95" s="21">
        <v>9560</v>
      </c>
      <c r="Y95" s="21">
        <v>9552</v>
      </c>
      <c r="Z95" s="21">
        <v>9806</v>
      </c>
      <c r="AA95" s="21">
        <v>9815</v>
      </c>
      <c r="AB95" s="22">
        <v>1</v>
      </c>
      <c r="AC95" s="22">
        <v>1</v>
      </c>
      <c r="AD95" s="22">
        <v>1</v>
      </c>
      <c r="AE95" s="22">
        <v>1</v>
      </c>
      <c r="AF95" s="22">
        <v>1</v>
      </c>
      <c r="AG95" s="21">
        <v>5346</v>
      </c>
      <c r="AH95" s="21">
        <v>6100</v>
      </c>
      <c r="AI95" s="21">
        <v>6404</v>
      </c>
      <c r="AJ95" s="21">
        <v>6951</v>
      </c>
      <c r="AK95" s="21">
        <v>7046</v>
      </c>
      <c r="AL95" s="22">
        <v>0.59592018727009255</v>
      </c>
      <c r="AM95" s="22">
        <v>0.63807531380753135</v>
      </c>
      <c r="AN95" s="22">
        <v>0.6704355108877722</v>
      </c>
      <c r="AO95" s="22">
        <v>0.70885172343463188</v>
      </c>
      <c r="AP95" s="22">
        <v>0.71788079470198674</v>
      </c>
      <c r="AQ95" s="37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17" priority="1"/>
  </conditionalFormatting>
  <dataValidations count="1">
    <dataValidation type="list" allowBlank="1" showInputMessage="1" showErrorMessage="1" sqref="A65:A67 A91:A93 A85:A86 A78:A80 A72:A74">
      <formula1>$A$16:$A$79</formula1>
    </dataValidation>
  </dataValidations>
  <hyperlinks>
    <hyperlink ref="B1" location="Contents!A1" display="Back to Content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C93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D1" sqref="D1"/>
    </sheetView>
  </sheetViews>
  <sheetFormatPr defaultRowHeight="15" x14ac:dyDescent="0.25"/>
  <cols>
    <col min="1" max="1" width="25.28515625" customWidth="1"/>
    <col min="2" max="6" width="12.5703125" customWidth="1"/>
    <col min="7" max="8" width="12.5703125" style="48" customWidth="1"/>
    <col min="9" max="9" width="12.42578125" style="48" customWidth="1"/>
    <col min="10" max="11" width="12.5703125" style="48" customWidth="1"/>
    <col min="12" max="16" width="12.5703125" customWidth="1"/>
    <col min="17" max="21" width="12.5703125" style="48" customWidth="1"/>
    <col min="22" max="27" width="12.5703125" customWidth="1"/>
    <col min="28" max="32" width="12.5703125" style="48" customWidth="1"/>
    <col min="33" max="37" width="12.5703125" customWidth="1"/>
    <col min="38" max="42" width="12.5703125" style="48" customWidth="1"/>
  </cols>
  <sheetData>
    <row r="1" spans="1:55" ht="16.5" customHeight="1" x14ac:dyDescent="0.25">
      <c r="A1" s="1" t="s">
        <v>0</v>
      </c>
      <c r="B1" s="58" t="s">
        <v>153</v>
      </c>
      <c r="C1" s="2"/>
      <c r="D1" s="3"/>
      <c r="E1" s="3"/>
      <c r="F1" s="3"/>
      <c r="G1" s="8"/>
      <c r="H1" s="105"/>
      <c r="I1" s="105"/>
      <c r="J1" s="105"/>
      <c r="K1" s="105"/>
      <c r="L1" s="4"/>
      <c r="M1" s="4"/>
      <c r="N1" s="4"/>
      <c r="O1" s="3"/>
      <c r="P1" s="3"/>
      <c r="Q1" s="8"/>
      <c r="R1" s="8"/>
      <c r="S1" s="8"/>
      <c r="T1" s="8"/>
      <c r="U1" s="8"/>
      <c r="V1" s="3"/>
      <c r="W1" s="5" t="s">
        <v>1</v>
      </c>
      <c r="X1" s="6"/>
      <c r="Y1" s="6"/>
      <c r="Z1" s="6"/>
      <c r="AA1" s="7"/>
      <c r="AB1" s="8"/>
      <c r="AC1" s="8"/>
      <c r="AD1" s="8"/>
      <c r="AE1" s="8"/>
      <c r="AF1" s="8"/>
      <c r="AG1" s="6"/>
      <c r="AH1" s="3"/>
      <c r="AI1" s="8"/>
      <c r="AJ1" s="8"/>
      <c r="AK1" s="8"/>
      <c r="AL1" s="8"/>
      <c r="AM1" s="106"/>
      <c r="AN1" s="106"/>
      <c r="AO1" s="106"/>
      <c r="AP1" s="106"/>
    </row>
    <row r="2" spans="1:55" ht="16.5" customHeight="1" x14ac:dyDescent="0.25">
      <c r="A2" s="1" t="s">
        <v>186</v>
      </c>
      <c r="B2" s="2"/>
      <c r="C2" s="2"/>
      <c r="D2" s="3"/>
      <c r="E2" s="3"/>
      <c r="F2" s="3"/>
      <c r="G2" s="8"/>
      <c r="H2" s="105"/>
      <c r="I2" s="105"/>
      <c r="J2" s="105"/>
      <c r="K2" s="105"/>
      <c r="L2" s="4"/>
      <c r="M2" s="4"/>
      <c r="N2" s="4"/>
      <c r="O2" s="3"/>
      <c r="P2" s="3"/>
      <c r="Q2" s="8"/>
      <c r="R2" s="8"/>
      <c r="S2" s="8"/>
      <c r="T2" s="8"/>
      <c r="U2" s="8"/>
      <c r="V2" s="3"/>
      <c r="W2" s="5"/>
      <c r="X2" s="6"/>
      <c r="Y2" s="6"/>
      <c r="Z2" s="6"/>
      <c r="AA2" s="7"/>
      <c r="AB2" s="8"/>
      <c r="AC2" s="8"/>
      <c r="AD2" s="8"/>
      <c r="AE2" s="8"/>
      <c r="AF2" s="8"/>
      <c r="AG2" s="6"/>
      <c r="AH2" s="3"/>
      <c r="AI2" s="8"/>
      <c r="AJ2" s="8"/>
      <c r="AK2" s="8"/>
      <c r="AL2" s="8"/>
      <c r="AM2" s="106"/>
      <c r="AN2" s="106"/>
      <c r="AO2" s="106"/>
      <c r="AP2" s="106"/>
    </row>
    <row r="3" spans="1:55" ht="16.5" customHeight="1" x14ac:dyDescent="0.25">
      <c r="A3" s="1"/>
      <c r="B3" s="2"/>
      <c r="C3" s="2"/>
      <c r="D3" s="3"/>
      <c r="E3" s="3"/>
      <c r="F3" s="3"/>
      <c r="G3" s="8"/>
      <c r="H3" s="105"/>
      <c r="I3" s="105"/>
      <c r="J3" s="105"/>
      <c r="K3" s="105"/>
      <c r="L3" s="4"/>
      <c r="M3" s="4"/>
      <c r="N3" s="4"/>
      <c r="O3" s="3"/>
      <c r="P3" s="3"/>
      <c r="Q3" s="8"/>
      <c r="R3" s="8"/>
      <c r="S3" s="8"/>
      <c r="T3" s="8"/>
      <c r="U3" s="8"/>
      <c r="V3" s="3"/>
      <c r="W3" s="5"/>
      <c r="X3" s="6"/>
      <c r="Y3" s="6"/>
      <c r="Z3" s="6"/>
      <c r="AA3" s="7"/>
      <c r="AB3" s="8"/>
      <c r="AC3" s="8"/>
      <c r="AD3" s="8"/>
      <c r="AE3" s="8"/>
      <c r="AF3" s="8"/>
      <c r="AG3" s="6"/>
      <c r="AH3" s="3"/>
      <c r="AI3" s="8"/>
      <c r="AJ3" s="8"/>
      <c r="AK3" s="8"/>
      <c r="AL3" s="8"/>
      <c r="AM3" s="106"/>
      <c r="AN3" s="106"/>
      <c r="AO3" s="106"/>
      <c r="AP3" s="106"/>
    </row>
    <row r="4" spans="1:55" s="19" customFormat="1" ht="12.75" x14ac:dyDescent="0.2">
      <c r="A4" s="9" t="s">
        <v>194</v>
      </c>
      <c r="B4" s="10" t="s">
        <v>92</v>
      </c>
      <c r="C4" s="10" t="s">
        <v>81</v>
      </c>
      <c r="D4" s="4"/>
      <c r="E4" s="11"/>
      <c r="F4" s="12"/>
      <c r="G4" s="16"/>
      <c r="H4" s="105"/>
      <c r="I4" s="105"/>
      <c r="J4" s="105"/>
      <c r="K4" s="105"/>
      <c r="L4" s="4"/>
      <c r="M4" s="4"/>
      <c r="N4" s="4"/>
      <c r="O4" s="12"/>
      <c r="P4" s="12"/>
      <c r="Q4" s="16"/>
      <c r="R4" s="16"/>
      <c r="S4" s="16"/>
      <c r="T4" s="16"/>
      <c r="U4" s="16"/>
      <c r="V4" s="12"/>
      <c r="W4" s="13" t="s">
        <v>167</v>
      </c>
      <c r="X4" s="13"/>
      <c r="Y4" s="13" t="s">
        <v>92</v>
      </c>
      <c r="Z4" s="13" t="s">
        <v>81</v>
      </c>
      <c r="AA4" s="14"/>
      <c r="AB4" s="16"/>
      <c r="AC4" s="16"/>
      <c r="AD4" s="16"/>
      <c r="AE4" s="16"/>
      <c r="AF4" s="16"/>
      <c r="AG4" s="15"/>
      <c r="AH4" s="12"/>
      <c r="AI4" s="16"/>
      <c r="AJ4" s="16"/>
      <c r="AK4" s="16"/>
      <c r="AL4" s="16"/>
      <c r="AM4" s="106"/>
      <c r="AN4" s="106"/>
      <c r="AO4" s="106"/>
      <c r="AP4" s="106"/>
      <c r="AQ4" s="37"/>
      <c r="AX4" s="19" t="s">
        <v>168</v>
      </c>
    </row>
    <row r="5" spans="1:55" s="19" customFormat="1" ht="12.75" x14ac:dyDescent="0.2">
      <c r="A5" s="1" t="s">
        <v>4</v>
      </c>
      <c r="B5" s="166" t="s">
        <v>5</v>
      </c>
      <c r="C5" s="166"/>
      <c r="D5" s="166"/>
      <c r="E5" s="166"/>
      <c r="F5" s="166"/>
      <c r="G5" s="167" t="s">
        <v>6</v>
      </c>
      <c r="H5" s="167"/>
      <c r="I5" s="167"/>
      <c r="J5" s="167"/>
      <c r="K5" s="167"/>
      <c r="L5" s="166" t="s">
        <v>7</v>
      </c>
      <c r="M5" s="166"/>
      <c r="N5" s="166"/>
      <c r="O5" s="166"/>
      <c r="P5" s="166"/>
      <c r="Q5" s="167" t="s">
        <v>8</v>
      </c>
      <c r="R5" s="167"/>
      <c r="S5" s="167"/>
      <c r="T5" s="167"/>
      <c r="U5" s="167"/>
      <c r="V5" s="63"/>
      <c r="W5" s="168" t="s">
        <v>5</v>
      </c>
      <c r="X5" s="168"/>
      <c r="Y5" s="168"/>
      <c r="Z5" s="168"/>
      <c r="AA5" s="168"/>
      <c r="AB5" s="167" t="s">
        <v>6</v>
      </c>
      <c r="AC5" s="167"/>
      <c r="AD5" s="167"/>
      <c r="AE5" s="167"/>
      <c r="AF5" s="167"/>
      <c r="AG5" s="168" t="s">
        <v>7</v>
      </c>
      <c r="AH5" s="168"/>
      <c r="AI5" s="168"/>
      <c r="AJ5" s="168"/>
      <c r="AK5" s="168"/>
      <c r="AL5" s="167" t="s">
        <v>8</v>
      </c>
      <c r="AM5" s="167"/>
      <c r="AN5" s="167"/>
      <c r="AO5" s="167"/>
      <c r="AP5" s="167"/>
      <c r="AQ5" s="37"/>
      <c r="AX5" s="19" t="s">
        <v>168</v>
      </c>
    </row>
    <row r="6" spans="1:55" s="19" customFormat="1" ht="12.75" x14ac:dyDescent="0.2">
      <c r="A6" s="9" t="s">
        <v>9</v>
      </c>
      <c r="B6" s="10" t="s">
        <v>10</v>
      </c>
      <c r="C6" s="10" t="s">
        <v>11</v>
      </c>
      <c r="D6" s="10" t="s">
        <v>12</v>
      </c>
      <c r="E6" s="10" t="s">
        <v>164</v>
      </c>
      <c r="F6" s="10" t="s">
        <v>195</v>
      </c>
      <c r="G6" s="10" t="s">
        <v>10</v>
      </c>
      <c r="H6" s="10" t="s">
        <v>11</v>
      </c>
      <c r="I6" s="10" t="s">
        <v>12</v>
      </c>
      <c r="J6" s="10" t="s">
        <v>164</v>
      </c>
      <c r="K6" s="10" t="s">
        <v>195</v>
      </c>
      <c r="L6" s="10" t="s">
        <v>10</v>
      </c>
      <c r="M6" s="10" t="s">
        <v>11</v>
      </c>
      <c r="N6" s="10" t="s">
        <v>12</v>
      </c>
      <c r="O6" s="10" t="s">
        <v>164</v>
      </c>
      <c r="P6" s="10" t="s">
        <v>195</v>
      </c>
      <c r="Q6" s="10" t="s">
        <v>10</v>
      </c>
      <c r="R6" s="10" t="s">
        <v>11</v>
      </c>
      <c r="S6" s="10" t="s">
        <v>12</v>
      </c>
      <c r="T6" s="10" t="s">
        <v>164</v>
      </c>
      <c r="U6" s="10" t="s">
        <v>195</v>
      </c>
      <c r="V6" s="10"/>
      <c r="W6" s="13" t="s">
        <v>13</v>
      </c>
      <c r="X6" s="13" t="s">
        <v>14</v>
      </c>
      <c r="Y6" s="13" t="s">
        <v>15</v>
      </c>
      <c r="Z6" s="13" t="s">
        <v>16</v>
      </c>
      <c r="AA6" s="13" t="s">
        <v>165</v>
      </c>
      <c r="AB6" s="17" t="s">
        <v>13</v>
      </c>
      <c r="AC6" s="17" t="s">
        <v>14</v>
      </c>
      <c r="AD6" s="17" t="s">
        <v>15</v>
      </c>
      <c r="AE6" s="17" t="s">
        <v>16</v>
      </c>
      <c r="AF6" s="17" t="s">
        <v>165</v>
      </c>
      <c r="AG6" s="13" t="s">
        <v>13</v>
      </c>
      <c r="AH6" s="13" t="s">
        <v>14</v>
      </c>
      <c r="AI6" s="13" t="s">
        <v>15</v>
      </c>
      <c r="AJ6" s="13" t="s">
        <v>16</v>
      </c>
      <c r="AK6" s="13" t="s">
        <v>165</v>
      </c>
      <c r="AL6" s="13" t="s">
        <v>13</v>
      </c>
      <c r="AM6" s="13" t="s">
        <v>14</v>
      </c>
      <c r="AN6" s="13" t="s">
        <v>15</v>
      </c>
      <c r="AO6" s="13" t="s">
        <v>16</v>
      </c>
      <c r="AP6" s="13" t="s">
        <v>165</v>
      </c>
      <c r="AQ6" s="37"/>
      <c r="AX6" s="19" t="s">
        <v>168</v>
      </c>
    </row>
    <row r="7" spans="1:55" s="19" customFormat="1" ht="12.75" x14ac:dyDescent="0.2">
      <c r="A7" s="18" t="s">
        <v>18</v>
      </c>
      <c r="B7" s="19">
        <v>21</v>
      </c>
      <c r="C7" s="19">
        <v>21</v>
      </c>
      <c r="D7" s="19">
        <v>20</v>
      </c>
      <c r="E7" s="19">
        <v>19</v>
      </c>
      <c r="F7" s="19">
        <v>16</v>
      </c>
      <c r="G7" s="20">
        <v>5.2936728006049913E-3</v>
      </c>
      <c r="H7" s="20">
        <v>5.0408065290446467E-3</v>
      </c>
      <c r="I7" s="20">
        <v>4.0733197556008143E-3</v>
      </c>
      <c r="J7" s="20">
        <v>3.9460020768431981E-3</v>
      </c>
      <c r="K7" s="20">
        <v>3.2566659881945858E-3</v>
      </c>
      <c r="L7" s="19">
        <v>21</v>
      </c>
      <c r="M7" s="19">
        <v>21</v>
      </c>
      <c r="N7" s="19">
        <v>20</v>
      </c>
      <c r="O7" s="19">
        <v>19</v>
      </c>
      <c r="P7" s="19">
        <v>16</v>
      </c>
      <c r="Q7" s="20">
        <v>1</v>
      </c>
      <c r="R7" s="20">
        <v>1</v>
      </c>
      <c r="S7" s="20">
        <v>1</v>
      </c>
      <c r="T7" s="20">
        <v>1</v>
      </c>
      <c r="U7" s="20">
        <v>1</v>
      </c>
      <c r="W7" s="19">
        <v>95</v>
      </c>
      <c r="X7" s="19">
        <v>93</v>
      </c>
      <c r="Y7" s="19">
        <v>33</v>
      </c>
      <c r="Z7" s="19">
        <v>21</v>
      </c>
      <c r="AA7" s="19">
        <v>19</v>
      </c>
      <c r="AB7" s="20">
        <v>2.144469525959368E-2</v>
      </c>
      <c r="AC7" s="20">
        <v>2.3331660812844959E-2</v>
      </c>
      <c r="AD7" s="20">
        <v>9.1514143094841936E-3</v>
      </c>
      <c r="AE7" s="20">
        <v>5.3164556962025317E-3</v>
      </c>
      <c r="AF7" s="20">
        <v>3.9460020768431981E-3</v>
      </c>
      <c r="AG7" s="19">
        <v>95</v>
      </c>
      <c r="AH7" s="19">
        <v>93</v>
      </c>
      <c r="AI7" s="19">
        <v>33</v>
      </c>
      <c r="AJ7" s="19">
        <v>21</v>
      </c>
      <c r="AK7" s="19">
        <v>19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37"/>
      <c r="AX7" s="19" t="s">
        <v>168</v>
      </c>
    </row>
    <row r="8" spans="1:55" s="19" customFormat="1" ht="12.75" x14ac:dyDescent="0.2">
      <c r="A8" s="18" t="s">
        <v>19</v>
      </c>
      <c r="B8" s="19">
        <v>1815</v>
      </c>
      <c r="C8" s="19">
        <v>1724</v>
      </c>
      <c r="D8" s="19">
        <v>1917</v>
      </c>
      <c r="E8" s="19">
        <v>1999</v>
      </c>
      <c r="F8" s="19">
        <v>2024</v>
      </c>
      <c r="G8" s="20">
        <v>0.45752457776657424</v>
      </c>
      <c r="H8" s="20">
        <v>0.41382621219395105</v>
      </c>
      <c r="I8" s="20">
        <v>0.39042769857433807</v>
      </c>
      <c r="J8" s="20">
        <v>0.41516095534787123</v>
      </c>
      <c r="K8" s="20">
        <v>0.41196824750661509</v>
      </c>
      <c r="L8" s="19">
        <v>1815</v>
      </c>
      <c r="M8" s="19">
        <v>1724</v>
      </c>
      <c r="N8" s="19">
        <v>1605</v>
      </c>
      <c r="O8" s="19">
        <v>1665</v>
      </c>
      <c r="P8" s="19">
        <v>1706</v>
      </c>
      <c r="Q8" s="20">
        <v>1</v>
      </c>
      <c r="R8" s="20">
        <v>1</v>
      </c>
      <c r="S8" s="20">
        <v>0.83724569640062596</v>
      </c>
      <c r="T8" s="20">
        <v>0.83291645822911453</v>
      </c>
      <c r="U8" s="20">
        <v>0.84288537549407117</v>
      </c>
      <c r="W8" s="19">
        <v>527</v>
      </c>
      <c r="X8" s="19">
        <v>748</v>
      </c>
      <c r="Y8" s="19">
        <v>1628</v>
      </c>
      <c r="Z8" s="19">
        <v>1833</v>
      </c>
      <c r="AA8" s="19">
        <v>1999</v>
      </c>
      <c r="AB8" s="20">
        <v>0.11896162528216704</v>
      </c>
      <c r="AC8" s="20">
        <v>0.18765679879578526</v>
      </c>
      <c r="AD8" s="20">
        <v>0.45146977260122018</v>
      </c>
      <c r="AE8" s="20">
        <v>0.46405063291139242</v>
      </c>
      <c r="AF8" s="20">
        <v>0.41516095534787123</v>
      </c>
      <c r="AG8" s="19">
        <v>527</v>
      </c>
      <c r="AH8" s="19">
        <v>748</v>
      </c>
      <c r="AI8" s="19">
        <v>1628</v>
      </c>
      <c r="AJ8" s="19">
        <v>1833</v>
      </c>
      <c r="AK8" s="19">
        <v>1665</v>
      </c>
      <c r="AL8" s="20">
        <v>1</v>
      </c>
      <c r="AM8" s="20">
        <v>1</v>
      </c>
      <c r="AN8" s="20">
        <v>1</v>
      </c>
      <c r="AO8" s="20">
        <v>1</v>
      </c>
      <c r="AP8" s="20">
        <v>0.83291645822911453</v>
      </c>
      <c r="AQ8" s="37"/>
      <c r="AX8" s="19" t="s">
        <v>168</v>
      </c>
    </row>
    <row r="9" spans="1:55" s="19" customFormat="1" ht="12.75" x14ac:dyDescent="0.2">
      <c r="A9" s="18" t="s">
        <v>20</v>
      </c>
      <c r="B9" s="19">
        <v>0</v>
      </c>
      <c r="C9" s="19">
        <v>0</v>
      </c>
      <c r="D9" s="19">
        <v>43</v>
      </c>
      <c r="E9" s="19">
        <v>68</v>
      </c>
      <c r="F9" s="19">
        <v>67</v>
      </c>
      <c r="G9" s="20">
        <v>0</v>
      </c>
      <c r="H9" s="20">
        <v>0</v>
      </c>
      <c r="I9" s="20">
        <v>8.7576374745417518E-3</v>
      </c>
      <c r="J9" s="20">
        <v>1.4122533748701973E-2</v>
      </c>
      <c r="K9" s="20">
        <v>1.3637288825564827E-2</v>
      </c>
      <c r="L9" s="19">
        <v>0</v>
      </c>
      <c r="M9" s="19">
        <v>0</v>
      </c>
      <c r="N9" s="19">
        <v>43</v>
      </c>
      <c r="O9" s="19">
        <v>68</v>
      </c>
      <c r="P9" s="19">
        <v>67</v>
      </c>
      <c r="Q9" s="20">
        <v>0</v>
      </c>
      <c r="R9" s="20">
        <v>0</v>
      </c>
      <c r="S9" s="20">
        <v>1</v>
      </c>
      <c r="T9" s="20">
        <v>1</v>
      </c>
      <c r="U9" s="20">
        <v>1</v>
      </c>
      <c r="W9" s="19">
        <v>0</v>
      </c>
      <c r="X9" s="19">
        <v>12</v>
      </c>
      <c r="Y9" s="19">
        <v>0</v>
      </c>
      <c r="Z9" s="19">
        <v>0</v>
      </c>
      <c r="AA9" s="19">
        <v>68</v>
      </c>
      <c r="AB9" s="20">
        <v>0</v>
      </c>
      <c r="AC9" s="20">
        <v>3.0105368790767687E-3</v>
      </c>
      <c r="AD9" s="20">
        <v>0</v>
      </c>
      <c r="AE9" s="20">
        <v>0</v>
      </c>
      <c r="AF9" s="20">
        <v>1.4122533748701973E-2</v>
      </c>
      <c r="AG9" s="19">
        <v>0</v>
      </c>
      <c r="AH9" s="19">
        <v>12</v>
      </c>
      <c r="AI9" s="19">
        <v>0</v>
      </c>
      <c r="AJ9" s="19">
        <v>0</v>
      </c>
      <c r="AK9" s="19">
        <v>68</v>
      </c>
      <c r="AL9" s="20">
        <v>0</v>
      </c>
      <c r="AM9" s="20">
        <v>1</v>
      </c>
      <c r="AN9" s="20">
        <v>0</v>
      </c>
      <c r="AO9" s="20">
        <v>0</v>
      </c>
      <c r="AP9" s="20">
        <v>1</v>
      </c>
      <c r="AQ9" s="37"/>
      <c r="AX9" s="19" t="s">
        <v>168</v>
      </c>
    </row>
    <row r="10" spans="1:55" s="19" customFormat="1" ht="12.75" x14ac:dyDescent="0.2">
      <c r="A10" s="18" t="s">
        <v>30</v>
      </c>
      <c r="B10" s="19">
        <v>389</v>
      </c>
      <c r="C10" s="19">
        <v>402</v>
      </c>
      <c r="D10" s="19">
        <v>549</v>
      </c>
      <c r="E10" s="19">
        <v>501</v>
      </c>
      <c r="F10" s="19">
        <v>530</v>
      </c>
      <c r="G10" s="20">
        <v>9.8058986639778176E-2</v>
      </c>
      <c r="H10" s="20">
        <v>9.6495439270283243E-2</v>
      </c>
      <c r="I10" s="20">
        <v>0.11181262729124236</v>
      </c>
      <c r="J10" s="20">
        <v>0.10404984423676013</v>
      </c>
      <c r="K10" s="20">
        <v>0.10787706085894565</v>
      </c>
      <c r="L10" s="19">
        <v>389</v>
      </c>
      <c r="M10" s="19">
        <v>402</v>
      </c>
      <c r="N10" s="19">
        <v>480</v>
      </c>
      <c r="O10" s="19">
        <v>445</v>
      </c>
      <c r="P10" s="19">
        <v>469</v>
      </c>
      <c r="Q10" s="20">
        <v>1</v>
      </c>
      <c r="R10" s="20">
        <v>1</v>
      </c>
      <c r="S10" s="20">
        <v>0.87431693989071035</v>
      </c>
      <c r="T10" s="20">
        <v>0.88822355289421162</v>
      </c>
      <c r="U10" s="20">
        <v>0.88490566037735852</v>
      </c>
      <c r="W10" s="19">
        <v>511</v>
      </c>
      <c r="X10" s="19">
        <v>435</v>
      </c>
      <c r="Y10" s="19">
        <v>454</v>
      </c>
      <c r="Z10" s="19">
        <v>380</v>
      </c>
      <c r="AA10" s="19">
        <v>501</v>
      </c>
      <c r="AB10" s="20">
        <v>0.11534988713318284</v>
      </c>
      <c r="AC10" s="20">
        <v>0.10913196186653286</v>
      </c>
      <c r="AD10" s="20">
        <v>0.12590127565169162</v>
      </c>
      <c r="AE10" s="20">
        <v>9.6202531645569619E-2</v>
      </c>
      <c r="AF10" s="20">
        <v>0.10404984423676013</v>
      </c>
      <c r="AG10" s="19">
        <v>511</v>
      </c>
      <c r="AH10" s="19">
        <v>435</v>
      </c>
      <c r="AI10" s="19">
        <v>454</v>
      </c>
      <c r="AJ10" s="19">
        <v>380</v>
      </c>
      <c r="AK10" s="19">
        <v>445</v>
      </c>
      <c r="AL10" s="20">
        <v>1</v>
      </c>
      <c r="AM10" s="20">
        <v>1</v>
      </c>
      <c r="AN10" s="20">
        <v>1</v>
      </c>
      <c r="AO10" s="20">
        <v>1</v>
      </c>
      <c r="AP10" s="20">
        <v>0.88822355289421162</v>
      </c>
      <c r="AQ10" s="37"/>
      <c r="AX10" s="19" t="s">
        <v>168</v>
      </c>
    </row>
    <row r="11" spans="1:55" s="19" customFormat="1" ht="12.75" x14ac:dyDescent="0.2">
      <c r="A11" s="18" t="s">
        <v>35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W11" s="19">
        <v>2</v>
      </c>
      <c r="X11" s="19">
        <v>0</v>
      </c>
      <c r="Y11" s="19">
        <v>0</v>
      </c>
      <c r="Z11" s="19">
        <v>0</v>
      </c>
      <c r="AA11" s="19">
        <v>0</v>
      </c>
      <c r="AB11" s="20">
        <v>4.514672686230248E-4</v>
      </c>
      <c r="AC11" s="20">
        <v>0</v>
      </c>
      <c r="AD11" s="20">
        <v>0</v>
      </c>
      <c r="AE11" s="20">
        <v>0</v>
      </c>
      <c r="AF11" s="20">
        <v>0</v>
      </c>
      <c r="AG11" s="19">
        <v>2</v>
      </c>
      <c r="AH11" s="19">
        <v>0</v>
      </c>
      <c r="AI11" s="19">
        <v>0</v>
      </c>
      <c r="AJ11" s="19">
        <v>0</v>
      </c>
      <c r="AK11" s="19">
        <v>0</v>
      </c>
      <c r="AL11" s="20">
        <v>1</v>
      </c>
      <c r="AM11" s="20">
        <v>0</v>
      </c>
      <c r="AN11" s="20">
        <v>0</v>
      </c>
      <c r="AO11" s="20">
        <v>0</v>
      </c>
      <c r="AP11" s="20">
        <v>0</v>
      </c>
      <c r="AQ11" s="37"/>
      <c r="AX11" s="19" t="s">
        <v>168</v>
      </c>
    </row>
    <row r="12" spans="1:55" s="19" customFormat="1" ht="12.75" x14ac:dyDescent="0.2">
      <c r="A12" s="18" t="s">
        <v>37</v>
      </c>
      <c r="B12" s="19">
        <v>0</v>
      </c>
      <c r="C12" s="19">
        <v>0</v>
      </c>
      <c r="D12" s="19">
        <v>0</v>
      </c>
      <c r="E12" s="19">
        <v>17</v>
      </c>
      <c r="F12" s="19">
        <v>17</v>
      </c>
      <c r="G12" s="20">
        <v>0</v>
      </c>
      <c r="H12" s="20">
        <v>0</v>
      </c>
      <c r="I12" s="20">
        <v>0</v>
      </c>
      <c r="J12" s="20">
        <v>3.5306334371754933E-3</v>
      </c>
      <c r="K12" s="20">
        <v>3.4602076124567475E-3</v>
      </c>
      <c r="L12" s="19">
        <v>0</v>
      </c>
      <c r="M12" s="19">
        <v>0</v>
      </c>
      <c r="N12" s="19">
        <v>0</v>
      </c>
      <c r="O12" s="19">
        <v>17</v>
      </c>
      <c r="P12" s="19">
        <v>17</v>
      </c>
      <c r="Q12" s="20">
        <v>0</v>
      </c>
      <c r="R12" s="20">
        <v>0</v>
      </c>
      <c r="S12" s="20">
        <v>0</v>
      </c>
      <c r="T12" s="20">
        <v>1</v>
      </c>
      <c r="U12" s="20">
        <v>1</v>
      </c>
      <c r="W12" s="19">
        <v>2387</v>
      </c>
      <c r="X12" s="19">
        <v>1843</v>
      </c>
      <c r="Y12" s="19">
        <v>2</v>
      </c>
      <c r="Z12" s="19">
        <v>0</v>
      </c>
      <c r="AA12" s="19">
        <v>17</v>
      </c>
      <c r="AB12" s="20">
        <v>0.53882618510158009</v>
      </c>
      <c r="AC12" s="20">
        <v>0.46236828901154037</v>
      </c>
      <c r="AD12" s="20">
        <v>5.5463117027176932E-4</v>
      </c>
      <c r="AE12" s="20">
        <v>0</v>
      </c>
      <c r="AF12" s="20">
        <v>3.5306334371754933E-3</v>
      </c>
      <c r="AG12" s="19">
        <v>2387</v>
      </c>
      <c r="AH12" s="19">
        <v>1843</v>
      </c>
      <c r="AI12" s="19">
        <v>2</v>
      </c>
      <c r="AJ12" s="19">
        <v>0</v>
      </c>
      <c r="AK12" s="19">
        <v>17</v>
      </c>
      <c r="AL12" s="20">
        <v>1</v>
      </c>
      <c r="AM12" s="20">
        <v>1</v>
      </c>
      <c r="AN12" s="20">
        <v>1</v>
      </c>
      <c r="AO12" s="20">
        <v>0</v>
      </c>
      <c r="AP12" s="20">
        <v>1</v>
      </c>
      <c r="AQ12" s="37"/>
      <c r="AX12" s="19" t="s">
        <v>168</v>
      </c>
    </row>
    <row r="13" spans="1:55" s="19" customFormat="1" ht="12.75" x14ac:dyDescent="0.2">
      <c r="A13" s="18" t="s">
        <v>43</v>
      </c>
      <c r="B13" s="19">
        <v>1676</v>
      </c>
      <c r="C13" s="19">
        <v>1953</v>
      </c>
      <c r="D13" s="19">
        <v>2290</v>
      </c>
      <c r="E13" s="19">
        <v>2113</v>
      </c>
      <c r="F13" s="19">
        <v>2134</v>
      </c>
      <c r="G13" s="20">
        <v>0.42248550541971264</v>
      </c>
      <c r="H13" s="20">
        <v>0.46879500720115219</v>
      </c>
      <c r="I13" s="20">
        <v>0.4663951120162933</v>
      </c>
      <c r="J13" s="20">
        <v>0.43883696780893044</v>
      </c>
      <c r="K13" s="20">
        <v>0.43435782617545288</v>
      </c>
      <c r="L13" s="19">
        <v>1676</v>
      </c>
      <c r="M13" s="19">
        <v>1953</v>
      </c>
      <c r="N13" s="19">
        <v>1912</v>
      </c>
      <c r="O13" s="19">
        <v>1805</v>
      </c>
      <c r="P13" s="19">
        <v>1839</v>
      </c>
      <c r="Q13" s="20">
        <v>1</v>
      </c>
      <c r="R13" s="20">
        <v>1</v>
      </c>
      <c r="S13" s="20">
        <v>0.8349344978165939</v>
      </c>
      <c r="T13" s="20">
        <v>0.85423568386180782</v>
      </c>
      <c r="U13" s="20">
        <v>0.86176194939081541</v>
      </c>
      <c r="W13" s="19">
        <v>905</v>
      </c>
      <c r="X13" s="19">
        <v>853</v>
      </c>
      <c r="Y13" s="19">
        <v>1488</v>
      </c>
      <c r="Z13" s="19">
        <v>1710</v>
      </c>
      <c r="AA13" s="19">
        <v>2113</v>
      </c>
      <c r="AB13" s="20">
        <v>0.20428893905191872</v>
      </c>
      <c r="AC13" s="20">
        <v>0.21399899648770698</v>
      </c>
      <c r="AD13" s="20">
        <v>0.41264559068219636</v>
      </c>
      <c r="AE13" s="20">
        <v>0.43291139240506327</v>
      </c>
      <c r="AF13" s="20">
        <v>0.43883696780893044</v>
      </c>
      <c r="AG13" s="19">
        <v>905</v>
      </c>
      <c r="AH13" s="19">
        <v>853</v>
      </c>
      <c r="AI13" s="19">
        <v>1488</v>
      </c>
      <c r="AJ13" s="19">
        <v>1710</v>
      </c>
      <c r="AK13" s="19">
        <v>1805</v>
      </c>
      <c r="AL13" s="20">
        <v>1</v>
      </c>
      <c r="AM13" s="20">
        <v>1</v>
      </c>
      <c r="AN13" s="20">
        <v>1</v>
      </c>
      <c r="AO13" s="20">
        <v>1</v>
      </c>
      <c r="AP13" s="20">
        <v>0.85423568386180782</v>
      </c>
      <c r="AQ13" s="37"/>
      <c r="AX13" s="19" t="s">
        <v>168</v>
      </c>
    </row>
    <row r="14" spans="1:55" s="19" customFormat="1" ht="12.75" x14ac:dyDescent="0.2">
      <c r="A14" s="18" t="s">
        <v>52</v>
      </c>
      <c r="B14" s="19">
        <v>0</v>
      </c>
      <c r="C14" s="19">
        <v>1</v>
      </c>
      <c r="D14" s="19">
        <v>1</v>
      </c>
      <c r="E14" s="19">
        <v>2</v>
      </c>
      <c r="F14" s="19">
        <v>3</v>
      </c>
      <c r="G14" s="20">
        <v>0</v>
      </c>
      <c r="H14" s="20">
        <v>2.4003840614498319E-4</v>
      </c>
      <c r="I14" s="20">
        <v>2.0366598778004074E-4</v>
      </c>
      <c r="J14" s="20">
        <v>4.1536863966770509E-4</v>
      </c>
      <c r="K14" s="20">
        <v>6.1062487278648484E-4</v>
      </c>
      <c r="L14" s="19">
        <v>0</v>
      </c>
      <c r="M14" s="19">
        <v>1</v>
      </c>
      <c r="N14" s="19">
        <v>1</v>
      </c>
      <c r="O14" s="19">
        <v>2</v>
      </c>
      <c r="P14" s="19">
        <v>3</v>
      </c>
      <c r="Q14" s="20">
        <v>0</v>
      </c>
      <c r="R14" s="20">
        <v>1</v>
      </c>
      <c r="S14" s="20">
        <v>1</v>
      </c>
      <c r="T14" s="20">
        <v>1</v>
      </c>
      <c r="U14" s="20">
        <v>1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20">
        <v>0</v>
      </c>
      <c r="AC14" s="20">
        <v>0</v>
      </c>
      <c r="AD14" s="20">
        <v>0</v>
      </c>
      <c r="AE14" s="20">
        <v>0</v>
      </c>
      <c r="AF14" s="20">
        <v>4.1536863966770509E-4</v>
      </c>
      <c r="AG14" s="19">
        <v>0</v>
      </c>
      <c r="AH14" s="19">
        <v>0</v>
      </c>
      <c r="AI14" s="19">
        <v>0</v>
      </c>
      <c r="AJ14" s="19">
        <v>0</v>
      </c>
      <c r="AK14" s="19">
        <v>2</v>
      </c>
      <c r="AL14" s="20">
        <v>0</v>
      </c>
      <c r="AM14" s="20">
        <v>0</v>
      </c>
      <c r="AN14" s="20">
        <v>0</v>
      </c>
      <c r="AO14" s="20">
        <v>0</v>
      </c>
      <c r="AP14" s="20">
        <v>1</v>
      </c>
      <c r="AQ14" s="37"/>
    </row>
    <row r="15" spans="1:55" s="19" customFormat="1" ht="12.75" x14ac:dyDescent="0.2">
      <c r="A15" s="18" t="s">
        <v>55</v>
      </c>
      <c r="B15" s="19">
        <v>14</v>
      </c>
      <c r="C15" s="19">
        <v>12</v>
      </c>
      <c r="D15" s="19">
        <v>11</v>
      </c>
      <c r="E15" s="19">
        <v>13</v>
      </c>
      <c r="F15" s="19">
        <v>15</v>
      </c>
      <c r="G15" s="20">
        <v>3.5291152004033274E-3</v>
      </c>
      <c r="H15" s="20">
        <v>2.8804608737397984E-3</v>
      </c>
      <c r="I15" s="20">
        <v>2.2403258655804481E-3</v>
      </c>
      <c r="J15" s="20">
        <v>2.6998961578400833E-3</v>
      </c>
      <c r="K15" s="20">
        <v>3.0531243639324241E-3</v>
      </c>
      <c r="L15" s="19">
        <v>14</v>
      </c>
      <c r="M15" s="19">
        <v>12</v>
      </c>
      <c r="N15" s="19">
        <v>11</v>
      </c>
      <c r="O15" s="19">
        <v>13</v>
      </c>
      <c r="P15" s="19">
        <v>15</v>
      </c>
      <c r="Q15" s="20">
        <v>1</v>
      </c>
      <c r="R15" s="20">
        <v>1</v>
      </c>
      <c r="S15" s="20">
        <v>1</v>
      </c>
      <c r="T15" s="20">
        <v>1</v>
      </c>
      <c r="U15" s="20">
        <v>1</v>
      </c>
      <c r="W15" s="19">
        <v>3</v>
      </c>
      <c r="X15" s="19">
        <v>2</v>
      </c>
      <c r="Y15" s="19">
        <v>1</v>
      </c>
      <c r="Z15" s="19">
        <v>5</v>
      </c>
      <c r="AA15" s="19">
        <v>13</v>
      </c>
      <c r="AB15" s="20">
        <v>6.7720090293453723E-4</v>
      </c>
      <c r="AC15" s="20">
        <v>5.0175614651279475E-4</v>
      </c>
      <c r="AD15" s="20">
        <v>2.7731558513588466E-4</v>
      </c>
      <c r="AE15" s="20">
        <v>1.2658227848101266E-3</v>
      </c>
      <c r="AF15" s="20">
        <v>2.6998961578400833E-3</v>
      </c>
      <c r="AG15" s="19">
        <v>3</v>
      </c>
      <c r="AH15" s="19">
        <v>2</v>
      </c>
      <c r="AI15" s="19">
        <v>1</v>
      </c>
      <c r="AJ15" s="19">
        <v>5</v>
      </c>
      <c r="AK15" s="19">
        <v>13</v>
      </c>
      <c r="AL15" s="20">
        <v>1</v>
      </c>
      <c r="AM15" s="20">
        <v>1</v>
      </c>
      <c r="AN15" s="20">
        <v>1</v>
      </c>
      <c r="AO15" s="20">
        <v>1</v>
      </c>
      <c r="AP15" s="20">
        <v>1</v>
      </c>
      <c r="AQ15" s="37"/>
    </row>
    <row r="16" spans="1:55" s="19" customFormat="1" ht="12.75" x14ac:dyDescent="0.2">
      <c r="A16" s="18" t="s">
        <v>93</v>
      </c>
      <c r="B16" s="19">
        <v>52</v>
      </c>
      <c r="C16" s="19">
        <v>53</v>
      </c>
      <c r="D16" s="19">
        <v>79</v>
      </c>
      <c r="E16" s="19">
        <v>83</v>
      </c>
      <c r="F16" s="19">
        <v>107</v>
      </c>
      <c r="G16" s="20">
        <v>1.3108142172926645E-2</v>
      </c>
      <c r="H16" s="20">
        <v>1.2722035525684109E-2</v>
      </c>
      <c r="I16" s="20">
        <v>1.6089613034623217E-2</v>
      </c>
      <c r="J16" s="20">
        <v>1.723779854620976E-2</v>
      </c>
      <c r="K16" s="20">
        <v>2.1778953796051291E-2</v>
      </c>
      <c r="L16" s="19">
        <v>52</v>
      </c>
      <c r="M16" s="19">
        <v>53</v>
      </c>
      <c r="N16" s="19">
        <v>79</v>
      </c>
      <c r="O16" s="19">
        <v>83</v>
      </c>
      <c r="P16" s="19">
        <v>107</v>
      </c>
      <c r="Q16" s="20">
        <v>1</v>
      </c>
      <c r="R16" s="20">
        <v>1</v>
      </c>
      <c r="S16" s="20">
        <v>1</v>
      </c>
      <c r="T16" s="20">
        <v>1</v>
      </c>
      <c r="U16" s="20">
        <v>1</v>
      </c>
      <c r="W16" s="19">
        <v>0</v>
      </c>
      <c r="X16" s="19">
        <v>0</v>
      </c>
      <c r="Y16" s="19">
        <v>0</v>
      </c>
      <c r="Z16" s="19">
        <v>0</v>
      </c>
      <c r="AA16" s="19">
        <v>83</v>
      </c>
      <c r="AB16" s="20">
        <v>0</v>
      </c>
      <c r="AC16" s="20">
        <v>0</v>
      </c>
      <c r="AD16" s="20">
        <v>0</v>
      </c>
      <c r="AE16" s="20">
        <v>0</v>
      </c>
      <c r="AF16" s="20">
        <v>1.723779854620976E-2</v>
      </c>
      <c r="AG16" s="19">
        <v>0</v>
      </c>
      <c r="AH16" s="19">
        <v>0</v>
      </c>
      <c r="AI16" s="19">
        <v>0</v>
      </c>
      <c r="AJ16" s="19">
        <v>0</v>
      </c>
      <c r="AK16" s="19">
        <v>83</v>
      </c>
      <c r="AL16" s="20">
        <v>0</v>
      </c>
      <c r="AM16" s="20">
        <v>0</v>
      </c>
      <c r="AN16" s="20">
        <v>0</v>
      </c>
      <c r="AO16" s="20">
        <v>0</v>
      </c>
      <c r="AP16" s="20">
        <v>1</v>
      </c>
      <c r="AQ16" s="37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</row>
    <row r="17" spans="1:55" s="19" customFormat="1" ht="12.75" x14ac:dyDescent="0.2">
      <c r="A17" s="18" t="s">
        <v>61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W17" s="19">
        <v>0</v>
      </c>
      <c r="X17" s="19">
        <v>0</v>
      </c>
      <c r="Y17" s="19">
        <v>0</v>
      </c>
      <c r="Z17" s="19">
        <v>1</v>
      </c>
      <c r="AA17" s="19">
        <v>0</v>
      </c>
      <c r="AB17" s="20">
        <v>0</v>
      </c>
      <c r="AC17" s="20">
        <v>0</v>
      </c>
      <c r="AD17" s="20">
        <v>0</v>
      </c>
      <c r="AE17" s="20">
        <v>2.5316455696202533E-4</v>
      </c>
      <c r="AF17" s="20">
        <v>0</v>
      </c>
      <c r="AG17" s="19">
        <v>0</v>
      </c>
      <c r="AH17" s="19">
        <v>0</v>
      </c>
      <c r="AI17" s="19">
        <v>0</v>
      </c>
      <c r="AJ17" s="19">
        <v>1</v>
      </c>
      <c r="AK17" s="19">
        <v>0</v>
      </c>
      <c r="AL17" s="20">
        <v>0</v>
      </c>
      <c r="AM17" s="20">
        <v>0</v>
      </c>
      <c r="AN17" s="20">
        <v>0</v>
      </c>
      <c r="AO17" s="20">
        <v>1</v>
      </c>
      <c r="AP17" s="20">
        <v>0</v>
      </c>
      <c r="AQ17" s="37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</row>
    <row r="18" spans="1:55" s="21" customFormat="1" ht="12.75" x14ac:dyDescent="0.2">
      <c r="A18" s="1" t="s">
        <v>62</v>
      </c>
      <c r="B18" s="21">
        <v>3967</v>
      </c>
      <c r="C18" s="21">
        <v>4166</v>
      </c>
      <c r="D18" s="21">
        <v>4910</v>
      </c>
      <c r="E18" s="21">
        <v>4815</v>
      </c>
      <c r="F18" s="21">
        <v>4913</v>
      </c>
      <c r="G18" s="22">
        <v>1</v>
      </c>
      <c r="H18" s="22">
        <v>1</v>
      </c>
      <c r="I18" s="22">
        <v>1</v>
      </c>
      <c r="J18" s="22">
        <v>1</v>
      </c>
      <c r="K18" s="22">
        <v>1</v>
      </c>
      <c r="L18" s="21">
        <v>3967</v>
      </c>
      <c r="M18" s="21">
        <v>4166</v>
      </c>
      <c r="N18" s="21">
        <v>4151</v>
      </c>
      <c r="O18" s="21">
        <v>4117</v>
      </c>
      <c r="P18" s="21">
        <v>4239</v>
      </c>
      <c r="Q18" s="22">
        <v>1</v>
      </c>
      <c r="R18" s="22">
        <v>1</v>
      </c>
      <c r="S18" s="22">
        <v>0.84541751527494913</v>
      </c>
      <c r="T18" s="22">
        <v>0.8550363447559709</v>
      </c>
      <c r="U18" s="22">
        <v>0.86281294524730312</v>
      </c>
      <c r="W18" s="21">
        <v>4430</v>
      </c>
      <c r="X18" s="21">
        <v>3986</v>
      </c>
      <c r="Y18" s="21">
        <v>3606</v>
      </c>
      <c r="Z18" s="21">
        <v>3950</v>
      </c>
      <c r="AA18" s="21">
        <v>4815</v>
      </c>
      <c r="AB18" s="22">
        <v>1</v>
      </c>
      <c r="AC18" s="22">
        <v>1</v>
      </c>
      <c r="AD18" s="22">
        <v>1</v>
      </c>
      <c r="AE18" s="22">
        <v>1</v>
      </c>
      <c r="AF18" s="22">
        <v>1</v>
      </c>
      <c r="AG18" s="21">
        <v>4430</v>
      </c>
      <c r="AH18" s="21">
        <v>3986</v>
      </c>
      <c r="AI18" s="21">
        <v>3606</v>
      </c>
      <c r="AJ18" s="21">
        <v>3950</v>
      </c>
      <c r="AK18" s="21">
        <v>4117</v>
      </c>
      <c r="AL18" s="22">
        <v>1</v>
      </c>
      <c r="AM18" s="22">
        <v>1</v>
      </c>
      <c r="AN18" s="22">
        <v>1</v>
      </c>
      <c r="AO18" s="22">
        <v>1</v>
      </c>
      <c r="AP18" s="22">
        <v>0.8550363447559709</v>
      </c>
      <c r="AQ18" s="37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</row>
    <row r="19" spans="1:55" s="19" customFormat="1" ht="12.75" x14ac:dyDescent="0.2">
      <c r="A19" s="23"/>
      <c r="AQ19" s="37"/>
    </row>
    <row r="20" spans="1:55" s="19" customFormat="1" ht="12.75" x14ac:dyDescent="0.2">
      <c r="A20" s="1" t="s">
        <v>63</v>
      </c>
      <c r="AQ20" s="37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</row>
    <row r="21" spans="1:55" s="25" customFormat="1" ht="12.75" x14ac:dyDescent="0.2">
      <c r="A21" s="24" t="s">
        <v>64</v>
      </c>
      <c r="B21" s="25" t="s">
        <v>10</v>
      </c>
      <c r="C21" s="25" t="s">
        <v>11</v>
      </c>
      <c r="D21" s="25" t="s">
        <v>12</v>
      </c>
      <c r="E21" s="25" t="s">
        <v>164</v>
      </c>
      <c r="F21" s="25" t="s">
        <v>195</v>
      </c>
      <c r="G21" s="25" t="s">
        <v>10</v>
      </c>
      <c r="H21" s="25" t="s">
        <v>11</v>
      </c>
      <c r="I21" s="25" t="s">
        <v>12</v>
      </c>
      <c r="J21" s="25" t="s">
        <v>164</v>
      </c>
      <c r="K21" s="25" t="s">
        <v>195</v>
      </c>
      <c r="L21" s="25" t="s">
        <v>10</v>
      </c>
      <c r="M21" s="25" t="s">
        <v>11</v>
      </c>
      <c r="N21" s="25" t="s">
        <v>12</v>
      </c>
      <c r="O21" s="25" t="s">
        <v>164</v>
      </c>
      <c r="P21" s="25" t="s">
        <v>195</v>
      </c>
      <c r="Q21" s="25" t="s">
        <v>10</v>
      </c>
      <c r="R21" s="25" t="s">
        <v>11</v>
      </c>
      <c r="S21" s="25" t="s">
        <v>12</v>
      </c>
      <c r="T21" s="25" t="s">
        <v>164</v>
      </c>
      <c r="U21" s="25" t="s">
        <v>195</v>
      </c>
      <c r="W21" s="25" t="s">
        <v>13</v>
      </c>
      <c r="X21" s="25" t="s">
        <v>14</v>
      </c>
      <c r="Y21" s="25" t="s">
        <v>15</v>
      </c>
      <c r="Z21" s="25" t="s">
        <v>16</v>
      </c>
      <c r="AA21" s="25" t="s">
        <v>165</v>
      </c>
      <c r="AB21" s="25" t="s">
        <v>13</v>
      </c>
      <c r="AC21" s="25" t="s">
        <v>14</v>
      </c>
      <c r="AD21" s="25" t="s">
        <v>15</v>
      </c>
      <c r="AE21" s="25" t="s">
        <v>16</v>
      </c>
      <c r="AF21" s="25" t="s">
        <v>165</v>
      </c>
      <c r="AG21" s="25" t="s">
        <v>13</v>
      </c>
      <c r="AH21" s="25" t="s">
        <v>14</v>
      </c>
      <c r="AI21" s="25" t="s">
        <v>15</v>
      </c>
      <c r="AJ21" s="25" t="s">
        <v>16</v>
      </c>
      <c r="AK21" s="25" t="s">
        <v>165</v>
      </c>
      <c r="AL21" s="25" t="s">
        <v>13</v>
      </c>
      <c r="AM21" s="25" t="s">
        <v>14</v>
      </c>
      <c r="AN21" s="25" t="s">
        <v>15</v>
      </c>
      <c r="AO21" s="25" t="s">
        <v>16</v>
      </c>
      <c r="AP21" s="25" t="s">
        <v>165</v>
      </c>
      <c r="AQ21" s="37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</row>
    <row r="22" spans="1:55" s="19" customFormat="1" ht="12.75" x14ac:dyDescent="0.2">
      <c r="A22" s="18" t="s">
        <v>18</v>
      </c>
      <c r="B22" s="19">
        <v>19</v>
      </c>
      <c r="C22" s="19">
        <v>19</v>
      </c>
      <c r="D22" s="19">
        <v>18</v>
      </c>
      <c r="E22" s="19">
        <v>17</v>
      </c>
      <c r="F22" s="19">
        <v>14</v>
      </c>
      <c r="G22" s="20">
        <v>0.19587628865979381</v>
      </c>
      <c r="H22" s="20">
        <v>0.17757009345794392</v>
      </c>
      <c r="I22" s="20">
        <v>0.15929203539823009</v>
      </c>
      <c r="J22" s="20">
        <v>0.15178571428571427</v>
      </c>
      <c r="K22" s="20">
        <v>0.10294117647058823</v>
      </c>
      <c r="L22" s="19">
        <v>19</v>
      </c>
      <c r="M22" s="19">
        <v>19</v>
      </c>
      <c r="N22" s="19">
        <v>18</v>
      </c>
      <c r="O22" s="19">
        <v>17</v>
      </c>
      <c r="P22" s="19">
        <v>14</v>
      </c>
      <c r="Q22" s="20">
        <v>1</v>
      </c>
      <c r="R22" s="20">
        <v>1</v>
      </c>
      <c r="S22" s="20">
        <v>1</v>
      </c>
      <c r="T22" s="20">
        <v>1</v>
      </c>
      <c r="U22" s="20">
        <v>1</v>
      </c>
      <c r="W22" s="19">
        <v>79</v>
      </c>
      <c r="X22" s="19">
        <v>81</v>
      </c>
      <c r="Y22" s="19">
        <v>30</v>
      </c>
      <c r="Z22" s="19">
        <v>19</v>
      </c>
      <c r="AA22" s="19">
        <v>17</v>
      </c>
      <c r="AB22" s="20">
        <v>0.79797979797979801</v>
      </c>
      <c r="AC22" s="20">
        <v>0.74311926605504586</v>
      </c>
      <c r="AD22" s="20">
        <v>0.36585365853658536</v>
      </c>
      <c r="AE22" s="20">
        <v>0.21348314606741572</v>
      </c>
      <c r="AF22" s="20">
        <v>0.15178571428571427</v>
      </c>
      <c r="AG22" s="19">
        <v>79</v>
      </c>
      <c r="AH22" s="19">
        <v>81</v>
      </c>
      <c r="AI22" s="19">
        <v>30</v>
      </c>
      <c r="AJ22" s="19">
        <v>19</v>
      </c>
      <c r="AK22" s="19">
        <v>17</v>
      </c>
      <c r="AL22" s="20">
        <v>1</v>
      </c>
      <c r="AM22" s="20">
        <v>1</v>
      </c>
      <c r="AN22" s="20">
        <v>1</v>
      </c>
      <c r="AO22" s="20">
        <v>1</v>
      </c>
      <c r="AP22" s="20">
        <v>1</v>
      </c>
      <c r="AQ22" s="37"/>
    </row>
    <row r="23" spans="1:55" s="19" customFormat="1" ht="12.75" x14ac:dyDescent="0.2">
      <c r="A23" s="18" t="s">
        <v>30</v>
      </c>
      <c r="B23" s="19">
        <v>11</v>
      </c>
      <c r="C23" s="19">
        <v>13</v>
      </c>
      <c r="D23" s="19">
        <v>15</v>
      </c>
      <c r="E23" s="19">
        <v>18</v>
      </c>
      <c r="F23" s="19">
        <v>18</v>
      </c>
      <c r="G23" s="20">
        <v>0.1134020618556701</v>
      </c>
      <c r="H23" s="20">
        <v>0.12149532710280374</v>
      </c>
      <c r="I23" s="20">
        <v>0.13274336283185842</v>
      </c>
      <c r="J23" s="20">
        <v>0.16071428571428573</v>
      </c>
      <c r="K23" s="20">
        <v>0.13235294117647059</v>
      </c>
      <c r="L23" s="19">
        <v>11</v>
      </c>
      <c r="M23" s="19">
        <v>13</v>
      </c>
      <c r="N23" s="19">
        <v>15</v>
      </c>
      <c r="O23" s="19">
        <v>18</v>
      </c>
      <c r="P23" s="19">
        <v>18</v>
      </c>
      <c r="Q23" s="20">
        <v>1</v>
      </c>
      <c r="R23" s="20">
        <v>1</v>
      </c>
      <c r="S23" s="20">
        <v>1</v>
      </c>
      <c r="T23" s="20">
        <v>1</v>
      </c>
      <c r="U23" s="20">
        <v>1</v>
      </c>
      <c r="W23" s="19">
        <v>14</v>
      </c>
      <c r="X23" s="19">
        <v>16</v>
      </c>
      <c r="Y23" s="19">
        <v>12</v>
      </c>
      <c r="Z23" s="19">
        <v>9</v>
      </c>
      <c r="AA23" s="19">
        <v>18</v>
      </c>
      <c r="AB23" s="20">
        <v>0.14141414141414141</v>
      </c>
      <c r="AC23" s="20">
        <v>0.14678899082568808</v>
      </c>
      <c r="AD23" s="20">
        <v>0.14634146341463414</v>
      </c>
      <c r="AE23" s="20">
        <v>0.10112359550561797</v>
      </c>
      <c r="AF23" s="20">
        <v>0.16071428571428573</v>
      </c>
      <c r="AG23" s="19">
        <v>14</v>
      </c>
      <c r="AH23" s="19">
        <v>16</v>
      </c>
      <c r="AI23" s="19">
        <v>12</v>
      </c>
      <c r="AJ23" s="19">
        <v>9</v>
      </c>
      <c r="AK23" s="19">
        <v>18</v>
      </c>
      <c r="AL23" s="20">
        <v>1</v>
      </c>
      <c r="AM23" s="20">
        <v>1</v>
      </c>
      <c r="AN23" s="20">
        <v>1</v>
      </c>
      <c r="AO23" s="20">
        <v>1</v>
      </c>
      <c r="AP23" s="20">
        <v>1</v>
      </c>
      <c r="AQ23" s="37"/>
    </row>
    <row r="24" spans="1:55" s="19" customFormat="1" ht="12.75" x14ac:dyDescent="0.2">
      <c r="A24" s="18" t="s">
        <v>43</v>
      </c>
      <c r="B24" s="19">
        <v>62</v>
      </c>
      <c r="C24" s="19">
        <v>70</v>
      </c>
      <c r="D24" s="19">
        <v>74</v>
      </c>
      <c r="E24" s="19">
        <v>71</v>
      </c>
      <c r="F24" s="19">
        <v>78</v>
      </c>
      <c r="G24" s="20">
        <v>0.63917525773195871</v>
      </c>
      <c r="H24" s="20">
        <v>0.65420560747663548</v>
      </c>
      <c r="I24" s="20">
        <v>0.65486725663716816</v>
      </c>
      <c r="J24" s="20">
        <v>0.6339285714285714</v>
      </c>
      <c r="K24" s="20">
        <v>0.57352941176470584</v>
      </c>
      <c r="L24" s="19">
        <v>62</v>
      </c>
      <c r="M24" s="19">
        <v>70</v>
      </c>
      <c r="N24" s="19">
        <v>73</v>
      </c>
      <c r="O24" s="19">
        <v>70</v>
      </c>
      <c r="P24" s="19">
        <v>76</v>
      </c>
      <c r="Q24" s="20">
        <v>1</v>
      </c>
      <c r="R24" s="20">
        <v>1</v>
      </c>
      <c r="S24" s="20">
        <v>0.98648648648648651</v>
      </c>
      <c r="T24" s="20">
        <v>0.9859154929577465</v>
      </c>
      <c r="U24" s="20">
        <v>0.97435897435897434</v>
      </c>
      <c r="W24" s="19">
        <v>6</v>
      </c>
      <c r="X24" s="19">
        <v>12</v>
      </c>
      <c r="Y24" s="19">
        <v>40</v>
      </c>
      <c r="Z24" s="19">
        <v>61</v>
      </c>
      <c r="AA24" s="19">
        <v>71</v>
      </c>
      <c r="AB24" s="20">
        <v>6.0606060606060608E-2</v>
      </c>
      <c r="AC24" s="20">
        <v>0.11009174311926606</v>
      </c>
      <c r="AD24" s="20">
        <v>0.48780487804878048</v>
      </c>
      <c r="AE24" s="20">
        <v>0.6853932584269663</v>
      </c>
      <c r="AF24" s="20">
        <v>0.6339285714285714</v>
      </c>
      <c r="AG24" s="19">
        <v>6</v>
      </c>
      <c r="AH24" s="19">
        <v>12</v>
      </c>
      <c r="AI24" s="19">
        <v>40</v>
      </c>
      <c r="AJ24" s="19">
        <v>61</v>
      </c>
      <c r="AK24" s="19">
        <v>70</v>
      </c>
      <c r="AL24" s="20">
        <v>1</v>
      </c>
      <c r="AM24" s="20">
        <v>1</v>
      </c>
      <c r="AN24" s="20">
        <v>1</v>
      </c>
      <c r="AO24" s="20">
        <v>1</v>
      </c>
      <c r="AP24" s="20">
        <v>0.9859154929577465</v>
      </c>
      <c r="AQ24" s="37"/>
    </row>
    <row r="25" spans="1:55" s="19" customFormat="1" ht="12.75" x14ac:dyDescent="0.2">
      <c r="A25" s="18" t="s">
        <v>93</v>
      </c>
      <c r="B25" s="19">
        <v>5</v>
      </c>
      <c r="C25" s="19">
        <v>5</v>
      </c>
      <c r="D25" s="19">
        <v>6</v>
      </c>
      <c r="E25" s="19">
        <v>6</v>
      </c>
      <c r="F25" s="19">
        <v>26</v>
      </c>
      <c r="G25" s="20">
        <v>5.1546391752577317E-2</v>
      </c>
      <c r="H25" s="20">
        <v>4.6728971962616821E-2</v>
      </c>
      <c r="I25" s="20">
        <v>5.3097345132743362E-2</v>
      </c>
      <c r="J25" s="20">
        <v>5.3571428571428568E-2</v>
      </c>
      <c r="K25" s="20">
        <v>0.19117647058823528</v>
      </c>
      <c r="L25" s="19">
        <v>5</v>
      </c>
      <c r="M25" s="19">
        <v>5</v>
      </c>
      <c r="N25" s="19">
        <v>6</v>
      </c>
      <c r="O25" s="19">
        <v>6</v>
      </c>
      <c r="P25" s="19">
        <v>26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W25" s="19">
        <v>0</v>
      </c>
      <c r="X25" s="19">
        <v>0</v>
      </c>
      <c r="Y25" s="19">
        <v>0</v>
      </c>
      <c r="Z25" s="19">
        <v>0</v>
      </c>
      <c r="AA25" s="19">
        <v>6</v>
      </c>
      <c r="AB25" s="20">
        <v>0</v>
      </c>
      <c r="AC25" s="20">
        <v>0</v>
      </c>
      <c r="AD25" s="20">
        <v>0</v>
      </c>
      <c r="AE25" s="20">
        <v>0</v>
      </c>
      <c r="AF25" s="20">
        <v>5.3571428571428568E-2</v>
      </c>
      <c r="AG25" s="19">
        <v>0</v>
      </c>
      <c r="AH25" s="19">
        <v>0</v>
      </c>
      <c r="AI25" s="19">
        <v>0</v>
      </c>
      <c r="AJ25" s="19">
        <v>0</v>
      </c>
      <c r="AK25" s="19">
        <v>6</v>
      </c>
      <c r="AL25" s="20">
        <v>0</v>
      </c>
      <c r="AM25" s="20">
        <v>0</v>
      </c>
      <c r="AN25" s="20">
        <v>0</v>
      </c>
      <c r="AO25" s="20">
        <v>0</v>
      </c>
      <c r="AP25" s="20">
        <v>1</v>
      </c>
      <c r="AQ25" s="3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</row>
    <row r="26" spans="1:55" s="27" customFormat="1" ht="12.75" x14ac:dyDescent="0.2">
      <c r="A26" s="26" t="s">
        <v>65</v>
      </c>
      <c r="B26" s="27">
        <v>97</v>
      </c>
      <c r="C26" s="27">
        <v>107</v>
      </c>
      <c r="D26" s="27">
        <v>113</v>
      </c>
      <c r="E26" s="27">
        <v>112</v>
      </c>
      <c r="F26" s="27">
        <v>136</v>
      </c>
      <c r="G26" s="22">
        <v>1</v>
      </c>
      <c r="H26" s="22">
        <v>1</v>
      </c>
      <c r="I26" s="22">
        <v>1</v>
      </c>
      <c r="J26" s="22">
        <v>1</v>
      </c>
      <c r="K26" s="22">
        <v>1</v>
      </c>
      <c r="L26" s="27">
        <v>97</v>
      </c>
      <c r="M26" s="27">
        <v>107</v>
      </c>
      <c r="N26" s="27">
        <v>112</v>
      </c>
      <c r="O26" s="27">
        <v>111</v>
      </c>
      <c r="P26" s="27">
        <v>134</v>
      </c>
      <c r="Q26" s="22">
        <v>1</v>
      </c>
      <c r="R26" s="22">
        <v>1</v>
      </c>
      <c r="S26" s="22">
        <v>0.99115044247787609</v>
      </c>
      <c r="T26" s="22">
        <v>0.9910714285714286</v>
      </c>
      <c r="U26" s="22">
        <v>0.98529411764705888</v>
      </c>
      <c r="W26" s="27">
        <v>99</v>
      </c>
      <c r="X26" s="27">
        <v>109</v>
      </c>
      <c r="Y26" s="27">
        <v>82</v>
      </c>
      <c r="Z26" s="27">
        <v>89</v>
      </c>
      <c r="AA26" s="27">
        <v>112</v>
      </c>
      <c r="AB26" s="22">
        <v>1</v>
      </c>
      <c r="AC26" s="22">
        <v>1</v>
      </c>
      <c r="AD26" s="22">
        <v>1</v>
      </c>
      <c r="AE26" s="22">
        <v>1</v>
      </c>
      <c r="AF26" s="22">
        <v>1</v>
      </c>
      <c r="AG26" s="27">
        <v>99</v>
      </c>
      <c r="AH26" s="27">
        <v>109</v>
      </c>
      <c r="AI26" s="27">
        <v>82</v>
      </c>
      <c r="AJ26" s="27">
        <v>89</v>
      </c>
      <c r="AK26" s="27">
        <v>111</v>
      </c>
      <c r="AL26" s="22">
        <v>1</v>
      </c>
      <c r="AM26" s="22">
        <v>1</v>
      </c>
      <c r="AN26" s="22">
        <v>1</v>
      </c>
      <c r="AO26" s="22">
        <v>1</v>
      </c>
      <c r="AP26" s="22">
        <v>0.9910714285714286</v>
      </c>
      <c r="AQ26" s="37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</row>
    <row r="27" spans="1:55" s="19" customFormat="1" ht="12.75" x14ac:dyDescent="0.2">
      <c r="A27" s="18"/>
      <c r="AB27" s="20"/>
      <c r="AC27" s="20"/>
      <c r="AD27" s="20"/>
      <c r="AE27" s="20"/>
      <c r="AF27" s="20"/>
      <c r="AL27" s="20"/>
      <c r="AM27" s="20"/>
      <c r="AN27" s="20"/>
      <c r="AO27" s="20"/>
      <c r="AP27" s="20"/>
      <c r="AQ27" s="37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</row>
    <row r="28" spans="1:55" s="25" customFormat="1" ht="12.75" x14ac:dyDescent="0.2">
      <c r="A28" s="28" t="s">
        <v>66</v>
      </c>
      <c r="B28" s="25" t="s">
        <v>10</v>
      </c>
      <c r="C28" s="25" t="s">
        <v>11</v>
      </c>
      <c r="D28" s="25" t="s">
        <v>12</v>
      </c>
      <c r="E28" s="25" t="s">
        <v>164</v>
      </c>
      <c r="F28" s="25" t="s">
        <v>195</v>
      </c>
      <c r="G28" s="25" t="s">
        <v>10</v>
      </c>
      <c r="H28" s="25" t="s">
        <v>11</v>
      </c>
      <c r="I28" s="25" t="s">
        <v>12</v>
      </c>
      <c r="J28" s="25" t="s">
        <v>164</v>
      </c>
      <c r="K28" s="25" t="s">
        <v>195</v>
      </c>
      <c r="L28" s="25" t="s">
        <v>10</v>
      </c>
      <c r="M28" s="25" t="s">
        <v>11</v>
      </c>
      <c r="N28" s="25" t="s">
        <v>12</v>
      </c>
      <c r="O28" s="25" t="s">
        <v>164</v>
      </c>
      <c r="P28" s="25" t="s">
        <v>195</v>
      </c>
      <c r="Q28" s="25" t="s">
        <v>10</v>
      </c>
      <c r="R28" s="25" t="s">
        <v>11</v>
      </c>
      <c r="S28" s="25" t="s">
        <v>12</v>
      </c>
      <c r="T28" s="25" t="s">
        <v>164</v>
      </c>
      <c r="U28" s="25" t="s">
        <v>195</v>
      </c>
      <c r="W28" s="25" t="s">
        <v>13</v>
      </c>
      <c r="X28" s="25" t="s">
        <v>14</v>
      </c>
      <c r="Y28" s="25" t="s">
        <v>15</v>
      </c>
      <c r="Z28" s="25" t="s">
        <v>16</v>
      </c>
      <c r="AA28" s="25" t="s">
        <v>165</v>
      </c>
      <c r="AB28" s="25" t="s">
        <v>13</v>
      </c>
      <c r="AC28" s="25" t="s">
        <v>14</v>
      </c>
      <c r="AD28" s="25" t="s">
        <v>15</v>
      </c>
      <c r="AE28" s="25" t="s">
        <v>16</v>
      </c>
      <c r="AF28" s="25" t="s">
        <v>165</v>
      </c>
      <c r="AG28" s="25" t="s">
        <v>13</v>
      </c>
      <c r="AH28" s="25" t="s">
        <v>14</v>
      </c>
      <c r="AI28" s="25" t="s">
        <v>15</v>
      </c>
      <c r="AJ28" s="25" t="s">
        <v>16</v>
      </c>
      <c r="AK28" s="25" t="s">
        <v>165</v>
      </c>
      <c r="AL28" s="25" t="s">
        <v>13</v>
      </c>
      <c r="AM28" s="25" t="s">
        <v>14</v>
      </c>
      <c r="AN28" s="25" t="s">
        <v>15</v>
      </c>
      <c r="AO28" s="25" t="s">
        <v>16</v>
      </c>
      <c r="AP28" s="25" t="s">
        <v>165</v>
      </c>
      <c r="AQ28" s="37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</row>
    <row r="29" spans="1:55" s="19" customFormat="1" ht="12.75" x14ac:dyDescent="0.2">
      <c r="A29" s="18" t="s">
        <v>18</v>
      </c>
      <c r="B29" s="19">
        <v>2</v>
      </c>
      <c r="C29" s="19">
        <v>2</v>
      </c>
      <c r="D29" s="19">
        <v>2</v>
      </c>
      <c r="E29" s="19">
        <v>2</v>
      </c>
      <c r="F29" s="19">
        <v>2</v>
      </c>
      <c r="G29" s="20">
        <v>7.3746312684365781E-4</v>
      </c>
      <c r="H29" s="20">
        <v>7.0175438596491223E-4</v>
      </c>
      <c r="I29" s="20">
        <v>6.3694267515923564E-4</v>
      </c>
      <c r="J29" s="20">
        <v>6.5380843412880026E-4</v>
      </c>
      <c r="K29" s="20">
        <v>6.3775510204081628E-4</v>
      </c>
      <c r="L29" s="19">
        <v>2</v>
      </c>
      <c r="M29" s="19">
        <v>2</v>
      </c>
      <c r="N29" s="19">
        <v>2</v>
      </c>
      <c r="O29" s="19">
        <v>2</v>
      </c>
      <c r="P29" s="19">
        <v>2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W29" s="19">
        <v>16</v>
      </c>
      <c r="X29" s="19">
        <v>12</v>
      </c>
      <c r="Y29" s="19">
        <v>3</v>
      </c>
      <c r="Z29" s="19">
        <v>2</v>
      </c>
      <c r="AA29" s="19">
        <v>2</v>
      </c>
      <c r="AB29" s="20">
        <v>4.039383993940924E-3</v>
      </c>
      <c r="AC29" s="20">
        <v>3.5767511177347243E-3</v>
      </c>
      <c r="AD29" s="20">
        <v>1.162340178225494E-3</v>
      </c>
      <c r="AE29" s="20">
        <v>7.4128984432913266E-4</v>
      </c>
      <c r="AF29" s="20">
        <v>6.5380843412880026E-4</v>
      </c>
      <c r="AG29" s="19">
        <v>16</v>
      </c>
      <c r="AH29" s="19">
        <v>12</v>
      </c>
      <c r="AI29" s="19">
        <v>3</v>
      </c>
      <c r="AJ29" s="19">
        <v>2</v>
      </c>
      <c r="AK29" s="19">
        <v>2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37"/>
    </row>
    <row r="30" spans="1:55" s="19" customFormat="1" ht="12.75" x14ac:dyDescent="0.2">
      <c r="A30" s="18" t="s">
        <v>19</v>
      </c>
      <c r="B30" s="19">
        <v>1343</v>
      </c>
      <c r="C30" s="19">
        <v>1265</v>
      </c>
      <c r="D30" s="19">
        <v>1342</v>
      </c>
      <c r="E30" s="19">
        <v>1391</v>
      </c>
      <c r="F30" s="19">
        <v>1424</v>
      </c>
      <c r="G30" s="20">
        <v>0.49520648967551623</v>
      </c>
      <c r="H30" s="20">
        <v>0.44385964912280701</v>
      </c>
      <c r="I30" s="20">
        <v>0.42738853503184715</v>
      </c>
      <c r="J30" s="20">
        <v>0.45472376593658059</v>
      </c>
      <c r="K30" s="20">
        <v>0.45408163265306123</v>
      </c>
      <c r="L30" s="19">
        <v>1343</v>
      </c>
      <c r="M30" s="19">
        <v>1265</v>
      </c>
      <c r="N30" s="19">
        <v>1186</v>
      </c>
      <c r="O30" s="19">
        <v>1228</v>
      </c>
      <c r="P30" s="19">
        <v>1266</v>
      </c>
      <c r="Q30" s="20">
        <v>1</v>
      </c>
      <c r="R30" s="20">
        <v>1</v>
      </c>
      <c r="S30" s="20">
        <v>0.88375558867362147</v>
      </c>
      <c r="T30" s="20">
        <v>0.88281811646297625</v>
      </c>
      <c r="U30" s="20">
        <v>0.8890449438202247</v>
      </c>
      <c r="W30" s="19">
        <v>382</v>
      </c>
      <c r="X30" s="19">
        <v>514</v>
      </c>
      <c r="Y30" s="19">
        <v>1232</v>
      </c>
      <c r="Z30" s="19">
        <v>1328</v>
      </c>
      <c r="AA30" s="19">
        <v>1391</v>
      </c>
      <c r="AB30" s="20">
        <v>9.644029285533956E-2</v>
      </c>
      <c r="AC30" s="20">
        <v>0.15320417287630403</v>
      </c>
      <c r="AD30" s="20">
        <v>0.47733436652460287</v>
      </c>
      <c r="AE30" s="20">
        <v>0.49221645663454411</v>
      </c>
      <c r="AF30" s="20">
        <v>0.45472376593658059</v>
      </c>
      <c r="AG30" s="19">
        <v>382</v>
      </c>
      <c r="AH30" s="19">
        <v>514</v>
      </c>
      <c r="AI30" s="19">
        <v>1232</v>
      </c>
      <c r="AJ30" s="19">
        <v>1328</v>
      </c>
      <c r="AK30" s="19">
        <v>1228</v>
      </c>
      <c r="AL30" s="20">
        <v>1</v>
      </c>
      <c r="AM30" s="20">
        <v>1</v>
      </c>
      <c r="AN30" s="20">
        <v>1</v>
      </c>
      <c r="AO30" s="20">
        <v>1</v>
      </c>
      <c r="AP30" s="20">
        <v>0.88281811646297625</v>
      </c>
      <c r="AQ30" s="37"/>
    </row>
    <row r="31" spans="1:55" s="19" customFormat="1" ht="12.75" x14ac:dyDescent="0.2">
      <c r="A31" s="18" t="s">
        <v>20</v>
      </c>
      <c r="B31" s="19">
        <v>0</v>
      </c>
      <c r="C31" s="19">
        <v>0</v>
      </c>
      <c r="D31" s="19">
        <v>35</v>
      </c>
      <c r="E31" s="19">
        <v>35</v>
      </c>
      <c r="F31" s="19">
        <v>34</v>
      </c>
      <c r="G31" s="20">
        <v>0</v>
      </c>
      <c r="H31" s="20">
        <v>0</v>
      </c>
      <c r="I31" s="20">
        <v>1.1146496815286623E-2</v>
      </c>
      <c r="J31" s="20">
        <v>1.1441647597254004E-2</v>
      </c>
      <c r="K31" s="20">
        <v>1.0841836734693877E-2</v>
      </c>
      <c r="L31" s="19">
        <v>0</v>
      </c>
      <c r="M31" s="19">
        <v>0</v>
      </c>
      <c r="N31" s="19">
        <v>35</v>
      </c>
      <c r="O31" s="19">
        <v>35</v>
      </c>
      <c r="P31" s="19">
        <v>34</v>
      </c>
      <c r="Q31" s="20">
        <v>0</v>
      </c>
      <c r="R31" s="20">
        <v>0</v>
      </c>
      <c r="S31" s="20">
        <v>1</v>
      </c>
      <c r="T31" s="20">
        <v>1</v>
      </c>
      <c r="U31" s="20">
        <v>1</v>
      </c>
      <c r="W31" s="19">
        <v>0</v>
      </c>
      <c r="X31" s="19">
        <v>0</v>
      </c>
      <c r="Y31" s="19">
        <v>0</v>
      </c>
      <c r="Z31" s="19">
        <v>0</v>
      </c>
      <c r="AA31" s="19">
        <v>35</v>
      </c>
      <c r="AB31" s="20">
        <v>0</v>
      </c>
      <c r="AC31" s="20">
        <v>0</v>
      </c>
      <c r="AD31" s="20">
        <v>0</v>
      </c>
      <c r="AE31" s="20">
        <v>0</v>
      </c>
      <c r="AF31" s="20">
        <v>1.1441647597254004E-2</v>
      </c>
      <c r="AG31" s="19">
        <v>0</v>
      </c>
      <c r="AH31" s="19">
        <v>0</v>
      </c>
      <c r="AI31" s="19">
        <v>0</v>
      </c>
      <c r="AJ31" s="19">
        <v>0</v>
      </c>
      <c r="AK31" s="19">
        <v>35</v>
      </c>
      <c r="AL31" s="20">
        <v>0</v>
      </c>
      <c r="AM31" s="20">
        <v>0</v>
      </c>
      <c r="AN31" s="20">
        <v>0</v>
      </c>
      <c r="AO31" s="20">
        <v>0</v>
      </c>
      <c r="AP31" s="20">
        <v>1</v>
      </c>
      <c r="AQ31" s="37"/>
    </row>
    <row r="32" spans="1:55" s="19" customFormat="1" ht="12.75" x14ac:dyDescent="0.2">
      <c r="A32" s="18" t="s">
        <v>30</v>
      </c>
      <c r="B32" s="19">
        <v>327</v>
      </c>
      <c r="C32" s="19">
        <v>334</v>
      </c>
      <c r="D32" s="19">
        <v>472</v>
      </c>
      <c r="E32" s="19">
        <v>422</v>
      </c>
      <c r="F32" s="19">
        <v>440</v>
      </c>
      <c r="G32" s="20">
        <v>0.12057522123893805</v>
      </c>
      <c r="H32" s="20">
        <v>0.11719298245614035</v>
      </c>
      <c r="I32" s="20">
        <v>0.15031847133757961</v>
      </c>
      <c r="J32" s="20">
        <v>0.13795357960117685</v>
      </c>
      <c r="K32" s="20">
        <v>0.14030612244897958</v>
      </c>
      <c r="L32" s="19">
        <v>327</v>
      </c>
      <c r="M32" s="19">
        <v>334</v>
      </c>
      <c r="N32" s="19">
        <v>407</v>
      </c>
      <c r="O32" s="19">
        <v>370</v>
      </c>
      <c r="P32" s="19">
        <v>383</v>
      </c>
      <c r="Q32" s="20">
        <v>1</v>
      </c>
      <c r="R32" s="20">
        <v>1</v>
      </c>
      <c r="S32" s="20">
        <v>0.86228813559322037</v>
      </c>
      <c r="T32" s="20">
        <v>0.87677725118483407</v>
      </c>
      <c r="U32" s="20">
        <v>0.87045454545454548</v>
      </c>
      <c r="W32" s="19">
        <v>455</v>
      </c>
      <c r="X32" s="19">
        <v>392</v>
      </c>
      <c r="Y32" s="19">
        <v>403</v>
      </c>
      <c r="Z32" s="19">
        <v>330</v>
      </c>
      <c r="AA32" s="19">
        <v>422</v>
      </c>
      <c r="AB32" s="20">
        <v>0.11486998232769503</v>
      </c>
      <c r="AC32" s="20">
        <v>0.11684053651266767</v>
      </c>
      <c r="AD32" s="20">
        <v>0.15614103060829135</v>
      </c>
      <c r="AE32" s="20">
        <v>0.1223128243143069</v>
      </c>
      <c r="AF32" s="20">
        <v>0.13795357960117685</v>
      </c>
      <c r="AG32" s="19">
        <v>455</v>
      </c>
      <c r="AH32" s="19">
        <v>392</v>
      </c>
      <c r="AI32" s="19">
        <v>403</v>
      </c>
      <c r="AJ32" s="19">
        <v>330</v>
      </c>
      <c r="AK32" s="19">
        <v>370</v>
      </c>
      <c r="AL32" s="20">
        <v>1</v>
      </c>
      <c r="AM32" s="20">
        <v>1</v>
      </c>
      <c r="AN32" s="20">
        <v>1</v>
      </c>
      <c r="AO32" s="20">
        <v>1</v>
      </c>
      <c r="AP32" s="20">
        <v>0.87677725118483407</v>
      </c>
      <c r="AQ32" s="37"/>
    </row>
    <row r="33" spans="1:55" s="19" customFormat="1" ht="12.75" x14ac:dyDescent="0.2">
      <c r="A33" s="18" t="s">
        <v>35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W33" s="19">
        <v>2</v>
      </c>
      <c r="X33" s="19">
        <v>0</v>
      </c>
      <c r="Y33" s="19">
        <v>0</v>
      </c>
      <c r="Z33" s="19">
        <v>0</v>
      </c>
      <c r="AA33" s="19">
        <v>0</v>
      </c>
      <c r="AB33" s="20">
        <v>5.0492299924261551E-4</v>
      </c>
      <c r="AC33" s="20">
        <v>0</v>
      </c>
      <c r="AD33" s="20">
        <v>0</v>
      </c>
      <c r="AE33" s="20">
        <v>0</v>
      </c>
      <c r="AF33" s="20">
        <v>0</v>
      </c>
      <c r="AG33" s="19">
        <v>2</v>
      </c>
      <c r="AH33" s="19">
        <v>0</v>
      </c>
      <c r="AI33" s="19">
        <v>0</v>
      </c>
      <c r="AJ33" s="19">
        <v>0</v>
      </c>
      <c r="AK33" s="19">
        <v>0</v>
      </c>
      <c r="AL33" s="20">
        <v>1</v>
      </c>
      <c r="AM33" s="20">
        <v>0</v>
      </c>
      <c r="AN33" s="20">
        <v>0</v>
      </c>
      <c r="AO33" s="20">
        <v>0</v>
      </c>
      <c r="AP33" s="20">
        <v>0</v>
      </c>
      <c r="AQ33" s="37"/>
    </row>
    <row r="34" spans="1:55" s="19" customFormat="1" ht="12.75" x14ac:dyDescent="0.2">
      <c r="A34" s="18" t="s">
        <v>37</v>
      </c>
      <c r="B34" s="19">
        <v>0</v>
      </c>
      <c r="C34" s="19">
        <v>0</v>
      </c>
      <c r="D34" s="19">
        <v>0</v>
      </c>
      <c r="E34" s="19">
        <v>17</v>
      </c>
      <c r="F34" s="19">
        <v>17</v>
      </c>
      <c r="G34" s="20">
        <v>0</v>
      </c>
      <c r="H34" s="20">
        <v>0</v>
      </c>
      <c r="I34" s="20">
        <v>0</v>
      </c>
      <c r="J34" s="20">
        <v>5.5573716900948018E-3</v>
      </c>
      <c r="K34" s="20">
        <v>5.4209183673469387E-3</v>
      </c>
      <c r="L34" s="19">
        <v>0</v>
      </c>
      <c r="M34" s="19">
        <v>0</v>
      </c>
      <c r="N34" s="19">
        <v>0</v>
      </c>
      <c r="O34" s="19">
        <v>17</v>
      </c>
      <c r="P34" s="19">
        <v>17</v>
      </c>
      <c r="Q34" s="20">
        <v>0</v>
      </c>
      <c r="R34" s="20">
        <v>0</v>
      </c>
      <c r="S34" s="20">
        <v>0</v>
      </c>
      <c r="T34" s="20">
        <v>1</v>
      </c>
      <c r="U34" s="20">
        <v>1</v>
      </c>
      <c r="W34" s="19">
        <v>2387</v>
      </c>
      <c r="X34" s="19">
        <v>1843</v>
      </c>
      <c r="Y34" s="19">
        <v>2</v>
      </c>
      <c r="Z34" s="19">
        <v>0</v>
      </c>
      <c r="AA34" s="19">
        <v>17</v>
      </c>
      <c r="AB34" s="20">
        <v>0.60262559959606155</v>
      </c>
      <c r="AC34" s="20">
        <v>0.54932935916542469</v>
      </c>
      <c r="AD34" s="20">
        <v>7.7489345215032935E-4</v>
      </c>
      <c r="AE34" s="20">
        <v>0</v>
      </c>
      <c r="AF34" s="20">
        <v>5.5573716900948018E-3</v>
      </c>
      <c r="AG34" s="19">
        <v>2387</v>
      </c>
      <c r="AH34" s="19">
        <v>1843</v>
      </c>
      <c r="AI34" s="19">
        <v>2</v>
      </c>
      <c r="AJ34" s="19">
        <v>0</v>
      </c>
      <c r="AK34" s="19">
        <v>17</v>
      </c>
      <c r="AL34" s="20">
        <v>1</v>
      </c>
      <c r="AM34" s="20">
        <v>1</v>
      </c>
      <c r="AN34" s="20">
        <v>1</v>
      </c>
      <c r="AO34" s="20">
        <v>0</v>
      </c>
      <c r="AP34" s="20">
        <v>1</v>
      </c>
      <c r="AQ34" s="37"/>
    </row>
    <row r="35" spans="1:55" s="19" customFormat="1" ht="12.75" x14ac:dyDescent="0.2">
      <c r="A35" s="18" t="s">
        <v>43</v>
      </c>
      <c r="B35" s="19">
        <v>1005</v>
      </c>
      <c r="C35" s="19">
        <v>1213</v>
      </c>
      <c r="D35" s="19">
        <v>1237</v>
      </c>
      <c r="E35" s="19">
        <v>1136</v>
      </c>
      <c r="F35" s="19">
        <v>1160</v>
      </c>
      <c r="G35" s="20">
        <v>0.37057522123893805</v>
      </c>
      <c r="H35" s="20">
        <v>0.42561403508771928</v>
      </c>
      <c r="I35" s="20">
        <v>0.39394904458598728</v>
      </c>
      <c r="J35" s="20">
        <v>0.37136319058515854</v>
      </c>
      <c r="K35" s="20">
        <v>0.36989795918367346</v>
      </c>
      <c r="L35" s="19">
        <v>1005</v>
      </c>
      <c r="M35" s="19">
        <v>1213</v>
      </c>
      <c r="N35" s="19">
        <v>1166</v>
      </c>
      <c r="O35" s="19">
        <v>1084</v>
      </c>
      <c r="P35" s="19">
        <v>1105</v>
      </c>
      <c r="Q35" s="20">
        <v>1</v>
      </c>
      <c r="R35" s="20">
        <v>1</v>
      </c>
      <c r="S35" s="20">
        <v>0.94260307194826187</v>
      </c>
      <c r="T35" s="20">
        <v>0.95422535211267601</v>
      </c>
      <c r="U35" s="20">
        <v>0.95258620689655171</v>
      </c>
      <c r="W35" s="19">
        <v>719</v>
      </c>
      <c r="X35" s="19">
        <v>594</v>
      </c>
      <c r="Y35" s="19">
        <v>941</v>
      </c>
      <c r="Z35" s="19">
        <v>1037</v>
      </c>
      <c r="AA35" s="19">
        <v>1136</v>
      </c>
      <c r="AB35" s="20">
        <v>0.18151981822772029</v>
      </c>
      <c r="AC35" s="20">
        <v>0.17704918032786884</v>
      </c>
      <c r="AD35" s="20">
        <v>0.36458736923672996</v>
      </c>
      <c r="AE35" s="20">
        <v>0.38435878428465531</v>
      </c>
      <c r="AF35" s="20">
        <v>0.37136319058515854</v>
      </c>
      <c r="AG35" s="19">
        <v>719</v>
      </c>
      <c r="AH35" s="19">
        <v>594</v>
      </c>
      <c r="AI35" s="19">
        <v>941</v>
      </c>
      <c r="AJ35" s="19">
        <v>1037</v>
      </c>
      <c r="AK35" s="19">
        <v>1084</v>
      </c>
      <c r="AL35" s="20">
        <v>1</v>
      </c>
      <c r="AM35" s="20">
        <v>1</v>
      </c>
      <c r="AN35" s="20">
        <v>1</v>
      </c>
      <c r="AO35" s="20">
        <v>1</v>
      </c>
      <c r="AP35" s="20">
        <v>0.95422535211267601</v>
      </c>
      <c r="AQ35" s="37"/>
    </row>
    <row r="36" spans="1:55" s="19" customFormat="1" ht="12.75" x14ac:dyDescent="0.2">
      <c r="A36" s="18" t="s">
        <v>52</v>
      </c>
      <c r="B36" s="19">
        <v>0</v>
      </c>
      <c r="C36" s="19">
        <v>1</v>
      </c>
      <c r="D36" s="19">
        <v>1</v>
      </c>
      <c r="E36" s="19">
        <v>2</v>
      </c>
      <c r="F36" s="19">
        <v>3</v>
      </c>
      <c r="G36" s="20">
        <v>0</v>
      </c>
      <c r="H36" s="20">
        <v>3.5087719298245611E-4</v>
      </c>
      <c r="I36" s="20">
        <v>3.1847133757961782E-4</v>
      </c>
      <c r="J36" s="20">
        <v>6.5380843412880026E-4</v>
      </c>
      <c r="K36" s="20">
        <v>9.5663265306122447E-4</v>
      </c>
      <c r="L36" s="19">
        <v>0</v>
      </c>
      <c r="M36" s="19">
        <v>1</v>
      </c>
      <c r="N36" s="19">
        <v>1</v>
      </c>
      <c r="O36" s="19">
        <v>2</v>
      </c>
      <c r="P36" s="19">
        <v>3</v>
      </c>
      <c r="Q36" s="20">
        <v>0</v>
      </c>
      <c r="R36" s="20">
        <v>1</v>
      </c>
      <c r="S36" s="20">
        <v>1</v>
      </c>
      <c r="T36" s="20">
        <v>1</v>
      </c>
      <c r="U36" s="20">
        <v>1</v>
      </c>
      <c r="W36" s="19">
        <v>0</v>
      </c>
      <c r="X36" s="19">
        <v>0</v>
      </c>
      <c r="Y36" s="19">
        <v>0</v>
      </c>
      <c r="Z36" s="19">
        <v>0</v>
      </c>
      <c r="AA36" s="19">
        <v>2</v>
      </c>
      <c r="AB36" s="20">
        <v>0</v>
      </c>
      <c r="AC36" s="20">
        <v>0</v>
      </c>
      <c r="AD36" s="20">
        <v>0</v>
      </c>
      <c r="AE36" s="20">
        <v>0</v>
      </c>
      <c r="AF36" s="20">
        <v>6.5380843412880026E-4</v>
      </c>
      <c r="AG36" s="19">
        <v>0</v>
      </c>
      <c r="AH36" s="19">
        <v>0</v>
      </c>
      <c r="AI36" s="19">
        <v>0</v>
      </c>
      <c r="AJ36" s="19">
        <v>0</v>
      </c>
      <c r="AK36" s="19">
        <v>2</v>
      </c>
      <c r="AL36" s="20">
        <v>0</v>
      </c>
      <c r="AM36" s="20">
        <v>0</v>
      </c>
      <c r="AN36" s="20">
        <v>0</v>
      </c>
      <c r="AO36" s="20">
        <v>0</v>
      </c>
      <c r="AP36" s="20">
        <v>1</v>
      </c>
      <c r="AQ36" s="37"/>
    </row>
    <row r="37" spans="1:55" s="19" customFormat="1" ht="12.75" x14ac:dyDescent="0.2">
      <c r="A37" s="18" t="s">
        <v>55</v>
      </c>
      <c r="B37" s="19">
        <v>1</v>
      </c>
      <c r="C37" s="19">
        <v>0</v>
      </c>
      <c r="D37" s="19">
        <v>0</v>
      </c>
      <c r="E37" s="19">
        <v>0</v>
      </c>
      <c r="F37" s="19">
        <v>0</v>
      </c>
      <c r="G37" s="20">
        <v>3.687315634218289E-4</v>
      </c>
      <c r="H37" s="20">
        <v>0</v>
      </c>
      <c r="I37" s="20">
        <v>0</v>
      </c>
      <c r="J37" s="20">
        <v>0</v>
      </c>
      <c r="K37" s="20">
        <v>0</v>
      </c>
      <c r="L37" s="19">
        <v>1</v>
      </c>
      <c r="M37" s="19">
        <v>0</v>
      </c>
      <c r="N37" s="19">
        <v>0</v>
      </c>
      <c r="O37" s="19">
        <v>0</v>
      </c>
      <c r="P37" s="19">
        <v>0</v>
      </c>
      <c r="Q37" s="20">
        <v>1</v>
      </c>
      <c r="R37" s="20">
        <v>0</v>
      </c>
      <c r="S37" s="20">
        <v>0</v>
      </c>
      <c r="T37" s="20">
        <v>0</v>
      </c>
      <c r="U37" s="20">
        <v>0</v>
      </c>
      <c r="W37" s="19">
        <v>0</v>
      </c>
      <c r="X37" s="19">
        <v>0</v>
      </c>
      <c r="Y37" s="19">
        <v>0</v>
      </c>
      <c r="Z37" s="19">
        <v>1</v>
      </c>
      <c r="AA37" s="19">
        <v>0</v>
      </c>
      <c r="AB37" s="20">
        <v>0</v>
      </c>
      <c r="AC37" s="20">
        <v>0</v>
      </c>
      <c r="AD37" s="20">
        <v>0</v>
      </c>
      <c r="AE37" s="20">
        <v>3.7064492216456633E-4</v>
      </c>
      <c r="AF37" s="20">
        <v>0</v>
      </c>
      <c r="AG37" s="19">
        <v>0</v>
      </c>
      <c r="AH37" s="19">
        <v>0</v>
      </c>
      <c r="AI37" s="19">
        <v>0</v>
      </c>
      <c r="AJ37" s="19">
        <v>1</v>
      </c>
      <c r="AK37" s="19">
        <v>0</v>
      </c>
      <c r="AL37" s="20">
        <v>0</v>
      </c>
      <c r="AM37" s="20">
        <v>0</v>
      </c>
      <c r="AN37" s="20">
        <v>0</v>
      </c>
      <c r="AO37" s="20">
        <v>1</v>
      </c>
      <c r="AP37" s="20">
        <v>0</v>
      </c>
      <c r="AQ37" s="37"/>
    </row>
    <row r="38" spans="1:55" s="19" customFormat="1" ht="12.75" x14ac:dyDescent="0.2">
      <c r="A38" s="18" t="s">
        <v>93</v>
      </c>
      <c r="B38" s="19">
        <v>34</v>
      </c>
      <c r="C38" s="19">
        <v>35</v>
      </c>
      <c r="D38" s="19">
        <v>51</v>
      </c>
      <c r="E38" s="19">
        <v>54</v>
      </c>
      <c r="F38" s="19">
        <v>56</v>
      </c>
      <c r="G38" s="20">
        <v>1.2536873156342183E-2</v>
      </c>
      <c r="H38" s="20">
        <v>1.2280701754385965E-2</v>
      </c>
      <c r="I38" s="20">
        <v>1.6242038216560509E-2</v>
      </c>
      <c r="J38" s="20">
        <v>1.7652827721477606E-2</v>
      </c>
      <c r="K38" s="20">
        <v>1.7857142857142856E-2</v>
      </c>
      <c r="L38" s="19">
        <v>34</v>
      </c>
      <c r="M38" s="19">
        <v>35</v>
      </c>
      <c r="N38" s="19">
        <v>51</v>
      </c>
      <c r="O38" s="19">
        <v>54</v>
      </c>
      <c r="P38" s="19">
        <v>56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W38" s="19">
        <v>0</v>
      </c>
      <c r="X38" s="19">
        <v>0</v>
      </c>
      <c r="Y38" s="19">
        <v>0</v>
      </c>
      <c r="Z38" s="19">
        <v>0</v>
      </c>
      <c r="AA38" s="19">
        <v>54</v>
      </c>
      <c r="AB38" s="20">
        <v>0</v>
      </c>
      <c r="AC38" s="20">
        <v>0</v>
      </c>
      <c r="AD38" s="20">
        <v>0</v>
      </c>
      <c r="AE38" s="20">
        <v>0</v>
      </c>
      <c r="AF38" s="20">
        <v>1.7652827721477606E-2</v>
      </c>
      <c r="AG38" s="19">
        <v>0</v>
      </c>
      <c r="AH38" s="19">
        <v>0</v>
      </c>
      <c r="AI38" s="19">
        <v>0</v>
      </c>
      <c r="AJ38" s="19">
        <v>0</v>
      </c>
      <c r="AK38" s="19">
        <v>54</v>
      </c>
      <c r="AL38" s="20">
        <v>0</v>
      </c>
      <c r="AM38" s="20">
        <v>0</v>
      </c>
      <c r="AN38" s="20">
        <v>0</v>
      </c>
      <c r="AO38" s="20">
        <v>0</v>
      </c>
      <c r="AP38" s="20">
        <v>1</v>
      </c>
      <c r="AQ38" s="37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</row>
    <row r="39" spans="1:55" s="21" customFormat="1" ht="12.75" x14ac:dyDescent="0.2">
      <c r="A39" s="29" t="s">
        <v>67</v>
      </c>
      <c r="B39" s="27">
        <v>2712</v>
      </c>
      <c r="C39" s="27">
        <v>2850</v>
      </c>
      <c r="D39" s="27">
        <v>3140</v>
      </c>
      <c r="E39" s="27">
        <v>3059</v>
      </c>
      <c r="F39" s="27">
        <v>3136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7">
        <v>2712</v>
      </c>
      <c r="M39" s="27">
        <v>2850</v>
      </c>
      <c r="N39" s="27">
        <v>2848</v>
      </c>
      <c r="O39" s="27">
        <v>2792</v>
      </c>
      <c r="P39" s="27">
        <v>2866</v>
      </c>
      <c r="Q39" s="22">
        <v>1</v>
      </c>
      <c r="R39" s="22">
        <v>1</v>
      </c>
      <c r="S39" s="22">
        <v>0.90700636942675161</v>
      </c>
      <c r="T39" s="22">
        <v>0.91271657404380513</v>
      </c>
      <c r="U39" s="22">
        <v>0.91390306122448983</v>
      </c>
      <c r="W39" s="27">
        <v>3961</v>
      </c>
      <c r="X39" s="27">
        <v>3355</v>
      </c>
      <c r="Y39" s="27">
        <v>2581</v>
      </c>
      <c r="Z39" s="27">
        <v>2698</v>
      </c>
      <c r="AA39" s="27">
        <v>3059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7">
        <v>3961</v>
      </c>
      <c r="AH39" s="27">
        <v>3355</v>
      </c>
      <c r="AI39" s="27">
        <v>2581</v>
      </c>
      <c r="AJ39" s="27">
        <v>2698</v>
      </c>
      <c r="AK39" s="27">
        <v>2792</v>
      </c>
      <c r="AL39" s="22">
        <v>1</v>
      </c>
      <c r="AM39" s="22">
        <v>1</v>
      </c>
      <c r="AN39" s="22">
        <v>1</v>
      </c>
      <c r="AO39" s="22">
        <v>1</v>
      </c>
      <c r="AP39" s="22">
        <v>0.91271657404380513</v>
      </c>
      <c r="AQ39" s="37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</row>
    <row r="40" spans="1:55" s="19" customFormat="1" ht="12.75" x14ac:dyDescent="0.2">
      <c r="A40" s="18"/>
      <c r="AQ40" s="37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</row>
    <row r="41" spans="1:55" s="25" customFormat="1" ht="12.75" x14ac:dyDescent="0.2">
      <c r="A41" s="28" t="s">
        <v>68</v>
      </c>
      <c r="B41" s="25" t="s">
        <v>10</v>
      </c>
      <c r="C41" s="25" t="s">
        <v>11</v>
      </c>
      <c r="D41" s="25" t="s">
        <v>12</v>
      </c>
      <c r="E41" s="25" t="s">
        <v>164</v>
      </c>
      <c r="F41" s="25" t="s">
        <v>195</v>
      </c>
      <c r="G41" s="25" t="s">
        <v>10</v>
      </c>
      <c r="H41" s="25" t="s">
        <v>11</v>
      </c>
      <c r="I41" s="25" t="s">
        <v>12</v>
      </c>
      <c r="J41" s="25" t="s">
        <v>164</v>
      </c>
      <c r="K41" s="25" t="s">
        <v>195</v>
      </c>
      <c r="L41" s="25" t="s">
        <v>10</v>
      </c>
      <c r="M41" s="25" t="s">
        <v>11</v>
      </c>
      <c r="N41" s="25" t="s">
        <v>12</v>
      </c>
      <c r="O41" s="25" t="s">
        <v>164</v>
      </c>
      <c r="P41" s="25" t="s">
        <v>195</v>
      </c>
      <c r="Q41" s="25" t="s">
        <v>10</v>
      </c>
      <c r="R41" s="25" t="s">
        <v>11</v>
      </c>
      <c r="S41" s="25" t="s">
        <v>12</v>
      </c>
      <c r="T41" s="25" t="s">
        <v>164</v>
      </c>
      <c r="U41" s="25" t="s">
        <v>195</v>
      </c>
      <c r="W41" s="25" t="s">
        <v>13</v>
      </c>
      <c r="X41" s="25" t="s">
        <v>14</v>
      </c>
      <c r="Y41" s="25" t="s">
        <v>15</v>
      </c>
      <c r="Z41" s="25" t="s">
        <v>16</v>
      </c>
      <c r="AA41" s="25" t="s">
        <v>165</v>
      </c>
      <c r="AB41" s="25" t="s">
        <v>13</v>
      </c>
      <c r="AC41" s="25" t="s">
        <v>14</v>
      </c>
      <c r="AD41" s="25" t="s">
        <v>15</v>
      </c>
      <c r="AE41" s="25" t="s">
        <v>16</v>
      </c>
      <c r="AF41" s="25" t="s">
        <v>165</v>
      </c>
      <c r="AG41" s="25" t="s">
        <v>13</v>
      </c>
      <c r="AH41" s="25" t="s">
        <v>14</v>
      </c>
      <c r="AI41" s="25" t="s">
        <v>15</v>
      </c>
      <c r="AJ41" s="25" t="s">
        <v>16</v>
      </c>
      <c r="AK41" s="25" t="s">
        <v>165</v>
      </c>
      <c r="AL41" s="25" t="s">
        <v>13</v>
      </c>
      <c r="AM41" s="25" t="s">
        <v>14</v>
      </c>
      <c r="AN41" s="25" t="s">
        <v>15</v>
      </c>
      <c r="AO41" s="25" t="s">
        <v>16</v>
      </c>
      <c r="AP41" s="25" t="s">
        <v>165</v>
      </c>
      <c r="AQ41" s="37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</row>
    <row r="42" spans="1:55" s="19" customFormat="1" ht="12.75" x14ac:dyDescent="0.2">
      <c r="A42" s="18" t="s">
        <v>19</v>
      </c>
      <c r="B42" s="19">
        <v>266</v>
      </c>
      <c r="C42" s="19">
        <v>263</v>
      </c>
      <c r="D42" s="19">
        <v>387</v>
      </c>
      <c r="E42" s="19">
        <v>406</v>
      </c>
      <c r="F42" s="19">
        <v>398</v>
      </c>
      <c r="G42" s="20">
        <v>0.48363636363636364</v>
      </c>
      <c r="H42" s="20">
        <v>0.46548672566371679</v>
      </c>
      <c r="I42" s="20">
        <v>0.46236559139784944</v>
      </c>
      <c r="J42" s="20">
        <v>0.47429906542056077</v>
      </c>
      <c r="K42" s="20">
        <v>0.46658851113716293</v>
      </c>
      <c r="L42" s="19">
        <v>266</v>
      </c>
      <c r="M42" s="19">
        <v>263</v>
      </c>
      <c r="N42" s="19">
        <v>236</v>
      </c>
      <c r="O42" s="19">
        <v>242</v>
      </c>
      <c r="P42" s="19">
        <v>244</v>
      </c>
      <c r="Q42" s="20">
        <v>1</v>
      </c>
      <c r="R42" s="20">
        <v>1</v>
      </c>
      <c r="S42" s="20">
        <v>0.60981912144702843</v>
      </c>
      <c r="T42" s="20">
        <v>0.59605911330049266</v>
      </c>
      <c r="U42" s="20">
        <v>0.61306532663316582</v>
      </c>
      <c r="W42" s="19">
        <v>0</v>
      </c>
      <c r="X42" s="19">
        <v>142</v>
      </c>
      <c r="Y42" s="19">
        <v>192</v>
      </c>
      <c r="Z42" s="19">
        <v>269</v>
      </c>
      <c r="AA42" s="19">
        <v>406</v>
      </c>
      <c r="AB42" s="20">
        <v>0</v>
      </c>
      <c r="AC42" s="20">
        <v>0.5</v>
      </c>
      <c r="AD42" s="20">
        <v>0.42953020134228187</v>
      </c>
      <c r="AE42" s="20">
        <v>0.49087591240875911</v>
      </c>
      <c r="AF42" s="20">
        <v>0.47429906542056077</v>
      </c>
      <c r="AG42" s="19">
        <v>0</v>
      </c>
      <c r="AH42" s="19">
        <v>142</v>
      </c>
      <c r="AI42" s="19">
        <v>192</v>
      </c>
      <c r="AJ42" s="19">
        <v>269</v>
      </c>
      <c r="AK42" s="19">
        <v>242</v>
      </c>
      <c r="AL42" s="20">
        <v>0</v>
      </c>
      <c r="AM42" s="20">
        <v>1</v>
      </c>
      <c r="AN42" s="20">
        <v>1</v>
      </c>
      <c r="AO42" s="20">
        <v>1</v>
      </c>
      <c r="AP42" s="20">
        <v>0.59605911330049266</v>
      </c>
      <c r="AQ42" s="37"/>
    </row>
    <row r="43" spans="1:55" s="19" customFormat="1" ht="12.75" x14ac:dyDescent="0.2">
      <c r="A43" s="18" t="s">
        <v>20</v>
      </c>
      <c r="B43" s="19">
        <v>0</v>
      </c>
      <c r="C43" s="19">
        <v>0</v>
      </c>
      <c r="D43" s="19">
        <v>0</v>
      </c>
      <c r="E43" s="19">
        <v>25</v>
      </c>
      <c r="F43" s="19">
        <v>25</v>
      </c>
      <c r="G43" s="20">
        <v>0</v>
      </c>
      <c r="H43" s="20">
        <v>0</v>
      </c>
      <c r="I43" s="20">
        <v>0</v>
      </c>
      <c r="J43" s="20">
        <v>2.9205607476635514E-2</v>
      </c>
      <c r="K43" s="20">
        <v>2.9308323563892145E-2</v>
      </c>
      <c r="L43" s="19">
        <v>0</v>
      </c>
      <c r="M43" s="19">
        <v>0</v>
      </c>
      <c r="N43" s="19">
        <v>0</v>
      </c>
      <c r="O43" s="19">
        <v>25</v>
      </c>
      <c r="P43" s="19">
        <v>25</v>
      </c>
      <c r="Q43" s="20">
        <v>0</v>
      </c>
      <c r="R43" s="20">
        <v>0</v>
      </c>
      <c r="S43" s="20">
        <v>0</v>
      </c>
      <c r="T43" s="20">
        <v>1</v>
      </c>
      <c r="U43" s="20">
        <v>1</v>
      </c>
      <c r="W43" s="19">
        <v>0</v>
      </c>
      <c r="X43" s="19">
        <v>12</v>
      </c>
      <c r="Y43" s="19">
        <v>0</v>
      </c>
      <c r="Z43" s="19">
        <v>0</v>
      </c>
      <c r="AA43" s="19">
        <v>25</v>
      </c>
      <c r="AB43" s="20">
        <v>0</v>
      </c>
      <c r="AC43" s="20">
        <v>4.2253521126760563E-2</v>
      </c>
      <c r="AD43" s="20">
        <v>0</v>
      </c>
      <c r="AE43" s="20">
        <v>0</v>
      </c>
      <c r="AF43" s="20">
        <v>2.9205607476635514E-2</v>
      </c>
      <c r="AG43" s="19">
        <v>0</v>
      </c>
      <c r="AH43" s="19">
        <v>12</v>
      </c>
      <c r="AI43" s="19">
        <v>0</v>
      </c>
      <c r="AJ43" s="19">
        <v>0</v>
      </c>
      <c r="AK43" s="19">
        <v>25</v>
      </c>
      <c r="AL43" s="20">
        <v>0</v>
      </c>
      <c r="AM43" s="20">
        <v>1</v>
      </c>
      <c r="AN43" s="20">
        <v>0</v>
      </c>
      <c r="AO43" s="20">
        <v>0</v>
      </c>
      <c r="AP43" s="20">
        <v>1</v>
      </c>
      <c r="AQ43" s="37"/>
    </row>
    <row r="44" spans="1:55" s="19" customFormat="1" ht="12.75" x14ac:dyDescent="0.2">
      <c r="A44" s="18" t="s">
        <v>43</v>
      </c>
      <c r="B44" s="19">
        <v>280</v>
      </c>
      <c r="C44" s="19">
        <v>298</v>
      </c>
      <c r="D44" s="19">
        <v>442</v>
      </c>
      <c r="E44" s="19">
        <v>416</v>
      </c>
      <c r="F44" s="19">
        <v>420</v>
      </c>
      <c r="G44" s="20">
        <v>0.50909090909090904</v>
      </c>
      <c r="H44" s="20">
        <v>0.52743362831858409</v>
      </c>
      <c r="I44" s="20">
        <v>0.52807646356033455</v>
      </c>
      <c r="J44" s="20">
        <v>0.48598130841121495</v>
      </c>
      <c r="K44" s="20">
        <v>0.49237983587338802</v>
      </c>
      <c r="L44" s="19">
        <v>280</v>
      </c>
      <c r="M44" s="19">
        <v>298</v>
      </c>
      <c r="N44" s="19">
        <v>304</v>
      </c>
      <c r="O44" s="19">
        <v>295</v>
      </c>
      <c r="P44" s="19">
        <v>302</v>
      </c>
      <c r="Q44" s="20">
        <v>1</v>
      </c>
      <c r="R44" s="20">
        <v>1</v>
      </c>
      <c r="S44" s="20">
        <v>0.68778280542986425</v>
      </c>
      <c r="T44" s="20">
        <v>0.70913461538461542</v>
      </c>
      <c r="U44" s="20">
        <v>0.71904761904761905</v>
      </c>
      <c r="W44" s="19">
        <v>0</v>
      </c>
      <c r="X44" s="19">
        <v>130</v>
      </c>
      <c r="Y44" s="19">
        <v>255</v>
      </c>
      <c r="Z44" s="19">
        <v>279</v>
      </c>
      <c r="AA44" s="19">
        <v>416</v>
      </c>
      <c r="AB44" s="20">
        <v>0</v>
      </c>
      <c r="AC44" s="20">
        <v>0.45774647887323944</v>
      </c>
      <c r="AD44" s="20">
        <v>0.57046979865771807</v>
      </c>
      <c r="AE44" s="20">
        <v>0.50912408759124084</v>
      </c>
      <c r="AF44" s="20">
        <v>0.48598130841121495</v>
      </c>
      <c r="AG44" s="19">
        <v>0</v>
      </c>
      <c r="AH44" s="19">
        <v>130</v>
      </c>
      <c r="AI44" s="19">
        <v>255</v>
      </c>
      <c r="AJ44" s="19">
        <v>279</v>
      </c>
      <c r="AK44" s="19">
        <v>295</v>
      </c>
      <c r="AL44" s="20">
        <v>0</v>
      </c>
      <c r="AM44" s="20">
        <v>1</v>
      </c>
      <c r="AN44" s="20">
        <v>1</v>
      </c>
      <c r="AO44" s="20">
        <v>1</v>
      </c>
      <c r="AP44" s="20">
        <v>0.70913461538461542</v>
      </c>
      <c r="AQ44" s="37"/>
    </row>
    <row r="45" spans="1:55" s="19" customFormat="1" ht="12.75" x14ac:dyDescent="0.2">
      <c r="A45" s="18" t="s">
        <v>93</v>
      </c>
      <c r="B45" s="19">
        <v>4</v>
      </c>
      <c r="C45" s="19">
        <v>4</v>
      </c>
      <c r="D45" s="19">
        <v>8</v>
      </c>
      <c r="E45" s="19">
        <v>9</v>
      </c>
      <c r="F45" s="19">
        <v>10</v>
      </c>
      <c r="G45" s="20">
        <v>7.2727272727272727E-3</v>
      </c>
      <c r="H45" s="20">
        <v>7.0796460176991149E-3</v>
      </c>
      <c r="I45" s="20">
        <v>9.557945041816009E-3</v>
      </c>
      <c r="J45" s="20">
        <v>1.0514018691588784E-2</v>
      </c>
      <c r="K45" s="20">
        <v>1.1723329425556858E-2</v>
      </c>
      <c r="L45" s="19">
        <v>4</v>
      </c>
      <c r="M45" s="19">
        <v>4</v>
      </c>
      <c r="N45" s="19">
        <v>8</v>
      </c>
      <c r="O45" s="19">
        <v>9</v>
      </c>
      <c r="P45" s="19">
        <v>10</v>
      </c>
      <c r="Q45" s="20">
        <v>1</v>
      </c>
      <c r="R45" s="20">
        <v>1</v>
      </c>
      <c r="S45" s="20">
        <v>1</v>
      </c>
      <c r="T45" s="20">
        <v>1</v>
      </c>
      <c r="U45" s="20">
        <v>1</v>
      </c>
      <c r="W45" s="19">
        <v>0</v>
      </c>
      <c r="X45" s="19">
        <v>0</v>
      </c>
      <c r="Y45" s="19">
        <v>0</v>
      </c>
      <c r="Z45" s="19">
        <v>0</v>
      </c>
      <c r="AA45" s="19">
        <v>9</v>
      </c>
      <c r="AB45" s="20">
        <v>0</v>
      </c>
      <c r="AC45" s="20">
        <v>0</v>
      </c>
      <c r="AD45" s="20">
        <v>0</v>
      </c>
      <c r="AE45" s="20">
        <v>0</v>
      </c>
      <c r="AF45" s="20">
        <v>1.0514018691588784E-2</v>
      </c>
      <c r="AG45" s="19">
        <v>0</v>
      </c>
      <c r="AH45" s="19">
        <v>0</v>
      </c>
      <c r="AI45" s="19">
        <v>0</v>
      </c>
      <c r="AJ45" s="19">
        <v>0</v>
      </c>
      <c r="AK45" s="19">
        <v>9</v>
      </c>
      <c r="AL45" s="20">
        <v>0</v>
      </c>
      <c r="AM45" s="20">
        <v>0</v>
      </c>
      <c r="AN45" s="20">
        <v>0</v>
      </c>
      <c r="AO45" s="20">
        <v>0</v>
      </c>
      <c r="AP45" s="20">
        <v>1</v>
      </c>
      <c r="AQ45" s="37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</row>
    <row r="46" spans="1:55" s="21" customFormat="1" ht="12.75" x14ac:dyDescent="0.2">
      <c r="A46" s="29" t="s">
        <v>69</v>
      </c>
      <c r="B46" s="27">
        <v>550</v>
      </c>
      <c r="C46" s="27">
        <v>565</v>
      </c>
      <c r="D46" s="27">
        <v>837</v>
      </c>
      <c r="E46" s="27">
        <v>856</v>
      </c>
      <c r="F46" s="27">
        <v>853</v>
      </c>
      <c r="G46" s="22">
        <v>1</v>
      </c>
      <c r="H46" s="22">
        <v>1</v>
      </c>
      <c r="I46" s="22">
        <v>1</v>
      </c>
      <c r="J46" s="22">
        <v>1</v>
      </c>
      <c r="K46" s="22">
        <v>1</v>
      </c>
      <c r="L46" s="27">
        <v>550</v>
      </c>
      <c r="M46" s="27">
        <v>565</v>
      </c>
      <c r="N46" s="27">
        <v>548</v>
      </c>
      <c r="O46" s="27">
        <v>571</v>
      </c>
      <c r="P46" s="27">
        <v>581</v>
      </c>
      <c r="Q46" s="22">
        <v>1</v>
      </c>
      <c r="R46" s="22">
        <v>1</v>
      </c>
      <c r="S46" s="22">
        <v>0.65471923536439669</v>
      </c>
      <c r="T46" s="22">
        <v>0.66705607476635509</v>
      </c>
      <c r="U46" s="22">
        <v>0.6811254396248535</v>
      </c>
      <c r="W46" s="27">
        <v>0</v>
      </c>
      <c r="X46" s="27">
        <v>284</v>
      </c>
      <c r="Y46" s="27">
        <v>447</v>
      </c>
      <c r="Z46" s="27">
        <v>548</v>
      </c>
      <c r="AA46" s="27">
        <v>856</v>
      </c>
      <c r="AB46" s="22">
        <v>0</v>
      </c>
      <c r="AC46" s="22">
        <v>1</v>
      </c>
      <c r="AD46" s="22">
        <v>1</v>
      </c>
      <c r="AE46" s="22">
        <v>1</v>
      </c>
      <c r="AF46" s="22">
        <v>1</v>
      </c>
      <c r="AG46" s="27">
        <v>0</v>
      </c>
      <c r="AH46" s="27">
        <v>284</v>
      </c>
      <c r="AI46" s="27">
        <v>447</v>
      </c>
      <c r="AJ46" s="27">
        <v>548</v>
      </c>
      <c r="AK46" s="27">
        <v>571</v>
      </c>
      <c r="AL46" s="22">
        <v>0</v>
      </c>
      <c r="AM46" s="22">
        <v>1</v>
      </c>
      <c r="AN46" s="22">
        <v>1</v>
      </c>
      <c r="AO46" s="22">
        <v>1</v>
      </c>
      <c r="AP46" s="22">
        <v>0.66705607476635509</v>
      </c>
      <c r="AQ46" s="37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</row>
    <row r="47" spans="1:55" s="19" customFormat="1" ht="12.75" x14ac:dyDescent="0.2">
      <c r="A47" s="18"/>
      <c r="AQ47" s="37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</row>
    <row r="48" spans="1:55" s="25" customFormat="1" ht="12.75" x14ac:dyDescent="0.2">
      <c r="A48" s="28" t="s">
        <v>70</v>
      </c>
      <c r="B48" s="25" t="s">
        <v>10</v>
      </c>
      <c r="C48" s="25" t="s">
        <v>11</v>
      </c>
      <c r="D48" s="25" t="s">
        <v>12</v>
      </c>
      <c r="E48" s="25" t="s">
        <v>164</v>
      </c>
      <c r="F48" s="25" t="s">
        <v>195</v>
      </c>
      <c r="G48" s="25" t="s">
        <v>10</v>
      </c>
      <c r="H48" s="25" t="s">
        <v>11</v>
      </c>
      <c r="I48" s="25" t="s">
        <v>12</v>
      </c>
      <c r="J48" s="25" t="s">
        <v>164</v>
      </c>
      <c r="K48" s="25" t="s">
        <v>195</v>
      </c>
      <c r="L48" s="25" t="s">
        <v>10</v>
      </c>
      <c r="M48" s="25" t="s">
        <v>11</v>
      </c>
      <c r="N48" s="25" t="s">
        <v>12</v>
      </c>
      <c r="O48" s="25" t="s">
        <v>164</v>
      </c>
      <c r="P48" s="25" t="s">
        <v>195</v>
      </c>
      <c r="Q48" s="25" t="s">
        <v>10</v>
      </c>
      <c r="R48" s="25" t="s">
        <v>11</v>
      </c>
      <c r="S48" s="25" t="s">
        <v>12</v>
      </c>
      <c r="T48" s="25" t="s">
        <v>164</v>
      </c>
      <c r="U48" s="25" t="s">
        <v>195</v>
      </c>
      <c r="W48" s="25" t="s">
        <v>13</v>
      </c>
      <c r="X48" s="25" t="s">
        <v>14</v>
      </c>
      <c r="Y48" s="25" t="s">
        <v>15</v>
      </c>
      <c r="Z48" s="25" t="s">
        <v>16</v>
      </c>
      <c r="AA48" s="25" t="s">
        <v>165</v>
      </c>
      <c r="AB48" s="25" t="s">
        <v>13</v>
      </c>
      <c r="AC48" s="25" t="s">
        <v>14</v>
      </c>
      <c r="AD48" s="25" t="s">
        <v>15</v>
      </c>
      <c r="AE48" s="25" t="s">
        <v>16</v>
      </c>
      <c r="AF48" s="25" t="s">
        <v>165</v>
      </c>
      <c r="AG48" s="25" t="s">
        <v>13</v>
      </c>
      <c r="AH48" s="25" t="s">
        <v>14</v>
      </c>
      <c r="AI48" s="25" t="s">
        <v>15</v>
      </c>
      <c r="AJ48" s="25" t="s">
        <v>16</v>
      </c>
      <c r="AK48" s="25" t="s">
        <v>165</v>
      </c>
      <c r="AL48" s="25" t="s">
        <v>13</v>
      </c>
      <c r="AM48" s="25" t="s">
        <v>14</v>
      </c>
      <c r="AN48" s="25" t="s">
        <v>15</v>
      </c>
      <c r="AO48" s="25" t="s">
        <v>16</v>
      </c>
      <c r="AP48" s="25" t="s">
        <v>165</v>
      </c>
      <c r="AQ48" s="37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</row>
    <row r="49" spans="1:55" s="19" customFormat="1" ht="12.75" x14ac:dyDescent="0.2">
      <c r="A49" s="18" t="s">
        <v>19</v>
      </c>
      <c r="B49" s="19">
        <v>206</v>
      </c>
      <c r="C49" s="19">
        <v>196</v>
      </c>
      <c r="D49" s="19">
        <v>188</v>
      </c>
      <c r="E49" s="19">
        <v>202</v>
      </c>
      <c r="F49" s="19">
        <v>202</v>
      </c>
      <c r="G49" s="20">
        <v>0.33881578947368424</v>
      </c>
      <c r="H49" s="20">
        <v>0.30434782608695654</v>
      </c>
      <c r="I49" s="20">
        <v>0.22926829268292684</v>
      </c>
      <c r="J49" s="20">
        <v>0.25634517766497461</v>
      </c>
      <c r="K49" s="20">
        <v>0.25634517766497461</v>
      </c>
      <c r="L49" s="19">
        <v>206</v>
      </c>
      <c r="M49" s="19">
        <v>196</v>
      </c>
      <c r="N49" s="19">
        <v>183</v>
      </c>
      <c r="O49" s="19">
        <v>195</v>
      </c>
      <c r="P49" s="19">
        <v>196</v>
      </c>
      <c r="Q49" s="20">
        <v>1</v>
      </c>
      <c r="R49" s="20">
        <v>1</v>
      </c>
      <c r="S49" s="20">
        <v>0.97340425531914898</v>
      </c>
      <c r="T49" s="20">
        <v>0.96534653465346532</v>
      </c>
      <c r="U49" s="20">
        <v>0.97029702970297027</v>
      </c>
      <c r="W49" s="19">
        <v>145</v>
      </c>
      <c r="X49" s="19">
        <v>92</v>
      </c>
      <c r="Y49" s="19">
        <v>204</v>
      </c>
      <c r="Z49" s="19">
        <v>236</v>
      </c>
      <c r="AA49" s="19">
        <v>202</v>
      </c>
      <c r="AB49" s="20">
        <v>0.39189189189189189</v>
      </c>
      <c r="AC49" s="20">
        <v>0.38655462184873951</v>
      </c>
      <c r="AD49" s="20">
        <v>0.41129032258064518</v>
      </c>
      <c r="AE49" s="20">
        <v>0.38373983739837397</v>
      </c>
      <c r="AF49" s="20">
        <v>0.25634517766497461</v>
      </c>
      <c r="AG49" s="19">
        <v>145</v>
      </c>
      <c r="AH49" s="19">
        <v>92</v>
      </c>
      <c r="AI49" s="19">
        <v>204</v>
      </c>
      <c r="AJ49" s="19">
        <v>236</v>
      </c>
      <c r="AK49" s="19">
        <v>195</v>
      </c>
      <c r="AL49" s="20">
        <v>1</v>
      </c>
      <c r="AM49" s="20">
        <v>1</v>
      </c>
      <c r="AN49" s="20">
        <v>1</v>
      </c>
      <c r="AO49" s="20">
        <v>1</v>
      </c>
      <c r="AP49" s="20">
        <v>0.96534653465346532</v>
      </c>
      <c r="AQ49" s="37"/>
    </row>
    <row r="50" spans="1:55" s="19" customFormat="1" ht="12.75" x14ac:dyDescent="0.2">
      <c r="A50" s="18" t="s">
        <v>20</v>
      </c>
      <c r="B50" s="19">
        <v>0</v>
      </c>
      <c r="C50" s="19">
        <v>0</v>
      </c>
      <c r="D50" s="19">
        <v>8</v>
      </c>
      <c r="E50" s="19">
        <v>8</v>
      </c>
      <c r="F50" s="19">
        <v>8</v>
      </c>
      <c r="G50" s="20">
        <v>0</v>
      </c>
      <c r="H50" s="20">
        <v>0</v>
      </c>
      <c r="I50" s="20">
        <v>9.7560975609756097E-3</v>
      </c>
      <c r="J50" s="20">
        <v>1.015228426395939E-2</v>
      </c>
      <c r="K50" s="20">
        <v>1.015228426395939E-2</v>
      </c>
      <c r="L50" s="19">
        <v>0</v>
      </c>
      <c r="M50" s="19">
        <v>0</v>
      </c>
      <c r="N50" s="19">
        <v>8</v>
      </c>
      <c r="O50" s="19">
        <v>8</v>
      </c>
      <c r="P50" s="19">
        <v>8</v>
      </c>
      <c r="Q50" s="20">
        <v>0</v>
      </c>
      <c r="R50" s="20">
        <v>0</v>
      </c>
      <c r="S50" s="20">
        <v>1</v>
      </c>
      <c r="T50" s="20">
        <v>1</v>
      </c>
      <c r="U50" s="20">
        <v>1</v>
      </c>
      <c r="W50" s="19">
        <v>0</v>
      </c>
      <c r="X50" s="19">
        <v>0</v>
      </c>
      <c r="Y50" s="19">
        <v>0</v>
      </c>
      <c r="Z50" s="19">
        <v>0</v>
      </c>
      <c r="AA50" s="19">
        <v>8</v>
      </c>
      <c r="AB50" s="20">
        <v>0</v>
      </c>
      <c r="AC50" s="20">
        <v>0</v>
      </c>
      <c r="AD50" s="20">
        <v>0</v>
      </c>
      <c r="AE50" s="20">
        <v>0</v>
      </c>
      <c r="AF50" s="20">
        <v>1.015228426395939E-2</v>
      </c>
      <c r="AG50" s="19">
        <v>0</v>
      </c>
      <c r="AH50" s="19">
        <v>0</v>
      </c>
      <c r="AI50" s="19">
        <v>0</v>
      </c>
      <c r="AJ50" s="19">
        <v>0</v>
      </c>
      <c r="AK50" s="19">
        <v>8</v>
      </c>
      <c r="AL50" s="20">
        <v>0</v>
      </c>
      <c r="AM50" s="20">
        <v>0</v>
      </c>
      <c r="AN50" s="20">
        <v>0</v>
      </c>
      <c r="AO50" s="20">
        <v>0</v>
      </c>
      <c r="AP50" s="20">
        <v>1</v>
      </c>
      <c r="AQ50" s="37"/>
    </row>
    <row r="51" spans="1:55" s="19" customFormat="1" ht="12.75" x14ac:dyDescent="0.2">
      <c r="A51" s="18" t="s">
        <v>30</v>
      </c>
      <c r="B51" s="19">
        <v>51</v>
      </c>
      <c r="C51" s="19">
        <v>55</v>
      </c>
      <c r="D51" s="19">
        <v>62</v>
      </c>
      <c r="E51" s="19">
        <v>61</v>
      </c>
      <c r="F51" s="19">
        <v>72</v>
      </c>
      <c r="G51" s="20">
        <v>8.3881578947368418E-2</v>
      </c>
      <c r="H51" s="20">
        <v>8.5403726708074529E-2</v>
      </c>
      <c r="I51" s="20">
        <v>7.5609756097560973E-2</v>
      </c>
      <c r="J51" s="20">
        <v>7.7411167512690351E-2</v>
      </c>
      <c r="K51" s="20">
        <v>9.1370558375634514E-2</v>
      </c>
      <c r="L51" s="19">
        <v>51</v>
      </c>
      <c r="M51" s="19">
        <v>55</v>
      </c>
      <c r="N51" s="19">
        <v>58</v>
      </c>
      <c r="O51" s="19">
        <v>57</v>
      </c>
      <c r="P51" s="19">
        <v>68</v>
      </c>
      <c r="Q51" s="20">
        <v>1</v>
      </c>
      <c r="R51" s="20">
        <v>1</v>
      </c>
      <c r="S51" s="20">
        <v>0.93548387096774188</v>
      </c>
      <c r="T51" s="20">
        <v>0.93442622950819676</v>
      </c>
      <c r="U51" s="20">
        <v>0.94444444444444442</v>
      </c>
      <c r="W51" s="19">
        <v>42</v>
      </c>
      <c r="X51" s="19">
        <v>27</v>
      </c>
      <c r="Y51" s="19">
        <v>39</v>
      </c>
      <c r="Z51" s="19">
        <v>41</v>
      </c>
      <c r="AA51" s="19">
        <v>61</v>
      </c>
      <c r="AB51" s="20">
        <v>0.11351351351351352</v>
      </c>
      <c r="AC51" s="20">
        <v>0.1134453781512605</v>
      </c>
      <c r="AD51" s="20">
        <v>7.8629032258064516E-2</v>
      </c>
      <c r="AE51" s="20">
        <v>6.6666666666666666E-2</v>
      </c>
      <c r="AF51" s="20">
        <v>7.7411167512690351E-2</v>
      </c>
      <c r="AG51" s="19">
        <v>42</v>
      </c>
      <c r="AH51" s="19">
        <v>27</v>
      </c>
      <c r="AI51" s="19">
        <v>39</v>
      </c>
      <c r="AJ51" s="19">
        <v>41</v>
      </c>
      <c r="AK51" s="19">
        <v>57</v>
      </c>
      <c r="AL51" s="20">
        <v>1</v>
      </c>
      <c r="AM51" s="20">
        <v>1</v>
      </c>
      <c r="AN51" s="20">
        <v>1</v>
      </c>
      <c r="AO51" s="20">
        <v>1</v>
      </c>
      <c r="AP51" s="20">
        <v>0.93442622950819676</v>
      </c>
      <c r="AQ51" s="37"/>
    </row>
    <row r="52" spans="1:55" s="19" customFormat="1" ht="12.75" x14ac:dyDescent="0.2">
      <c r="A52" s="18" t="s">
        <v>43</v>
      </c>
      <c r="B52" s="19">
        <v>329</v>
      </c>
      <c r="C52" s="19">
        <v>372</v>
      </c>
      <c r="D52" s="19">
        <v>537</v>
      </c>
      <c r="E52" s="19">
        <v>490</v>
      </c>
      <c r="F52" s="19">
        <v>476</v>
      </c>
      <c r="G52" s="20">
        <v>0.54111842105263153</v>
      </c>
      <c r="H52" s="20">
        <v>0.57763975155279501</v>
      </c>
      <c r="I52" s="20">
        <v>0.65487804878048783</v>
      </c>
      <c r="J52" s="20">
        <v>0.62182741116751272</v>
      </c>
      <c r="K52" s="20">
        <v>0.60406091370558379</v>
      </c>
      <c r="L52" s="19">
        <v>329</v>
      </c>
      <c r="M52" s="19">
        <v>372</v>
      </c>
      <c r="N52" s="19">
        <v>369</v>
      </c>
      <c r="O52" s="19">
        <v>356</v>
      </c>
      <c r="P52" s="19">
        <v>356</v>
      </c>
      <c r="Q52" s="20">
        <v>1</v>
      </c>
      <c r="R52" s="20">
        <v>1</v>
      </c>
      <c r="S52" s="20">
        <v>0.68715083798882681</v>
      </c>
      <c r="T52" s="20">
        <v>0.72653061224489801</v>
      </c>
      <c r="U52" s="20">
        <v>0.74789915966386555</v>
      </c>
      <c r="W52" s="19">
        <v>180</v>
      </c>
      <c r="X52" s="19">
        <v>117</v>
      </c>
      <c r="Y52" s="19">
        <v>252</v>
      </c>
      <c r="Z52" s="19">
        <v>333</v>
      </c>
      <c r="AA52" s="19">
        <v>490</v>
      </c>
      <c r="AB52" s="20">
        <v>0.48648648648648651</v>
      </c>
      <c r="AC52" s="20">
        <v>0.49159663865546216</v>
      </c>
      <c r="AD52" s="20">
        <v>0.50806451612903225</v>
      </c>
      <c r="AE52" s="20">
        <v>0.54146341463414638</v>
      </c>
      <c r="AF52" s="20">
        <v>0.62182741116751272</v>
      </c>
      <c r="AG52" s="19">
        <v>180</v>
      </c>
      <c r="AH52" s="19">
        <v>117</v>
      </c>
      <c r="AI52" s="19">
        <v>252</v>
      </c>
      <c r="AJ52" s="19">
        <v>333</v>
      </c>
      <c r="AK52" s="19">
        <v>356</v>
      </c>
      <c r="AL52" s="20">
        <v>1</v>
      </c>
      <c r="AM52" s="20">
        <v>1</v>
      </c>
      <c r="AN52" s="20">
        <v>1</v>
      </c>
      <c r="AO52" s="20">
        <v>1</v>
      </c>
      <c r="AP52" s="20">
        <v>0.72653061224489801</v>
      </c>
      <c r="AQ52" s="37"/>
    </row>
    <row r="53" spans="1:55" s="19" customFormat="1" ht="12.75" x14ac:dyDescent="0.2">
      <c r="A53" s="18" t="s">
        <v>55</v>
      </c>
      <c r="B53" s="19">
        <v>13</v>
      </c>
      <c r="C53" s="19">
        <v>12</v>
      </c>
      <c r="D53" s="19">
        <v>11</v>
      </c>
      <c r="E53" s="19">
        <v>13</v>
      </c>
      <c r="F53" s="19">
        <v>15</v>
      </c>
      <c r="G53" s="20">
        <v>2.1381578947368422E-2</v>
      </c>
      <c r="H53" s="20">
        <v>1.8633540372670808E-2</v>
      </c>
      <c r="I53" s="20">
        <v>1.3414634146341463E-2</v>
      </c>
      <c r="J53" s="20">
        <v>1.6497461928934011E-2</v>
      </c>
      <c r="K53" s="20">
        <v>1.9035532994923859E-2</v>
      </c>
      <c r="L53" s="19">
        <v>13</v>
      </c>
      <c r="M53" s="19">
        <v>12</v>
      </c>
      <c r="N53" s="19">
        <v>11</v>
      </c>
      <c r="O53" s="19">
        <v>13</v>
      </c>
      <c r="P53" s="19">
        <v>15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W53" s="19">
        <v>3</v>
      </c>
      <c r="X53" s="19">
        <v>2</v>
      </c>
      <c r="Y53" s="19">
        <v>1</v>
      </c>
      <c r="Z53" s="19">
        <v>4</v>
      </c>
      <c r="AA53" s="19">
        <v>13</v>
      </c>
      <c r="AB53" s="20">
        <v>8.1081081081081086E-3</v>
      </c>
      <c r="AC53" s="20">
        <v>8.4033613445378148E-3</v>
      </c>
      <c r="AD53" s="20">
        <v>2.0161290322580645E-3</v>
      </c>
      <c r="AE53" s="20">
        <v>6.5040650406504065E-3</v>
      </c>
      <c r="AF53" s="20">
        <v>1.6497461928934011E-2</v>
      </c>
      <c r="AG53" s="19">
        <v>3</v>
      </c>
      <c r="AH53" s="19">
        <v>2</v>
      </c>
      <c r="AI53" s="19">
        <v>1</v>
      </c>
      <c r="AJ53" s="19">
        <v>4</v>
      </c>
      <c r="AK53" s="19">
        <v>13</v>
      </c>
      <c r="AL53" s="20">
        <v>1</v>
      </c>
      <c r="AM53" s="20">
        <v>1</v>
      </c>
      <c r="AN53" s="20">
        <v>1</v>
      </c>
      <c r="AO53" s="20">
        <v>1</v>
      </c>
      <c r="AP53" s="20">
        <v>1</v>
      </c>
      <c r="AQ53" s="37"/>
    </row>
    <row r="54" spans="1:55" s="19" customFormat="1" ht="12.75" x14ac:dyDescent="0.2">
      <c r="A54" s="18" t="s">
        <v>93</v>
      </c>
      <c r="B54" s="19">
        <v>9</v>
      </c>
      <c r="C54" s="19">
        <v>9</v>
      </c>
      <c r="D54" s="19">
        <v>14</v>
      </c>
      <c r="E54" s="19">
        <v>14</v>
      </c>
      <c r="F54" s="19">
        <v>15</v>
      </c>
      <c r="G54" s="20">
        <v>1.4802631578947368E-2</v>
      </c>
      <c r="H54" s="20">
        <v>1.3975155279503106E-2</v>
      </c>
      <c r="I54" s="20">
        <v>1.7073170731707318E-2</v>
      </c>
      <c r="J54" s="20">
        <v>1.7766497461928935E-2</v>
      </c>
      <c r="K54" s="20">
        <v>1.9035532994923859E-2</v>
      </c>
      <c r="L54" s="19">
        <v>9</v>
      </c>
      <c r="M54" s="19">
        <v>9</v>
      </c>
      <c r="N54" s="19">
        <v>14</v>
      </c>
      <c r="O54" s="19">
        <v>14</v>
      </c>
      <c r="P54" s="19">
        <v>15</v>
      </c>
      <c r="Q54" s="20">
        <v>1</v>
      </c>
      <c r="R54" s="20">
        <v>1</v>
      </c>
      <c r="S54" s="20">
        <v>1</v>
      </c>
      <c r="T54" s="20">
        <v>1</v>
      </c>
      <c r="U54" s="20">
        <v>1</v>
      </c>
      <c r="W54" s="19">
        <v>0</v>
      </c>
      <c r="X54" s="19">
        <v>0</v>
      </c>
      <c r="Y54" s="19">
        <v>0</v>
      </c>
      <c r="Z54" s="19">
        <v>0</v>
      </c>
      <c r="AA54" s="19">
        <v>14</v>
      </c>
      <c r="AB54" s="20">
        <v>0</v>
      </c>
      <c r="AC54" s="20">
        <v>0</v>
      </c>
      <c r="AD54" s="20">
        <v>0</v>
      </c>
      <c r="AE54" s="20">
        <v>0</v>
      </c>
      <c r="AF54" s="20">
        <v>1.7766497461928935E-2</v>
      </c>
      <c r="AG54" s="19">
        <v>0</v>
      </c>
      <c r="AH54" s="19">
        <v>0</v>
      </c>
      <c r="AI54" s="19">
        <v>0</v>
      </c>
      <c r="AJ54" s="19">
        <v>0</v>
      </c>
      <c r="AK54" s="19">
        <v>14</v>
      </c>
      <c r="AL54" s="20">
        <v>0</v>
      </c>
      <c r="AM54" s="20">
        <v>0</v>
      </c>
      <c r="AN54" s="20">
        <v>0</v>
      </c>
      <c r="AO54" s="20">
        <v>0</v>
      </c>
      <c r="AP54" s="20">
        <v>1</v>
      </c>
      <c r="AQ54" s="37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</row>
    <row r="55" spans="1:55" s="19" customFormat="1" ht="12.75" x14ac:dyDescent="0.2">
      <c r="A55" s="18" t="s">
        <v>61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W55" s="19">
        <v>0</v>
      </c>
      <c r="X55" s="19">
        <v>0</v>
      </c>
      <c r="Y55" s="19">
        <v>0</v>
      </c>
      <c r="Z55" s="19">
        <v>1</v>
      </c>
      <c r="AA55" s="19">
        <v>0</v>
      </c>
      <c r="AB55" s="20">
        <v>0</v>
      </c>
      <c r="AC55" s="20">
        <v>0</v>
      </c>
      <c r="AD55" s="20">
        <v>0</v>
      </c>
      <c r="AE55" s="20">
        <v>1.6260162601626016E-3</v>
      </c>
      <c r="AF55" s="20">
        <v>0</v>
      </c>
      <c r="AG55" s="19">
        <v>0</v>
      </c>
      <c r="AH55" s="19">
        <v>0</v>
      </c>
      <c r="AI55" s="19">
        <v>0</v>
      </c>
      <c r="AJ55" s="19">
        <v>1</v>
      </c>
      <c r="AK55" s="19">
        <v>0</v>
      </c>
      <c r="AL55" s="20">
        <v>0</v>
      </c>
      <c r="AM55" s="20">
        <v>0</v>
      </c>
      <c r="AN55" s="20">
        <v>0</v>
      </c>
      <c r="AO55" s="20">
        <v>1</v>
      </c>
      <c r="AP55" s="20">
        <v>0</v>
      </c>
      <c r="AQ55" s="37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</row>
    <row r="56" spans="1:55" s="21" customFormat="1" ht="12.75" x14ac:dyDescent="0.2">
      <c r="A56" s="29" t="s">
        <v>71</v>
      </c>
      <c r="B56" s="27">
        <v>608</v>
      </c>
      <c r="C56" s="27">
        <v>644</v>
      </c>
      <c r="D56" s="27">
        <v>820</v>
      </c>
      <c r="E56" s="27">
        <v>788</v>
      </c>
      <c r="F56" s="27">
        <v>788</v>
      </c>
      <c r="G56" s="22">
        <v>1</v>
      </c>
      <c r="H56" s="22">
        <v>1</v>
      </c>
      <c r="I56" s="22">
        <v>1</v>
      </c>
      <c r="J56" s="22">
        <v>1</v>
      </c>
      <c r="K56" s="22">
        <v>1</v>
      </c>
      <c r="L56" s="27">
        <v>608</v>
      </c>
      <c r="M56" s="27">
        <v>644</v>
      </c>
      <c r="N56" s="27">
        <v>643</v>
      </c>
      <c r="O56" s="27">
        <v>643</v>
      </c>
      <c r="P56" s="27">
        <v>658</v>
      </c>
      <c r="Q56" s="22">
        <v>1</v>
      </c>
      <c r="R56" s="22">
        <v>1</v>
      </c>
      <c r="S56" s="22">
        <v>0.78414634146341466</v>
      </c>
      <c r="T56" s="22">
        <v>0.81598984771573602</v>
      </c>
      <c r="U56" s="22">
        <v>0.8350253807106599</v>
      </c>
      <c r="W56" s="27">
        <v>370</v>
      </c>
      <c r="X56" s="27">
        <v>238</v>
      </c>
      <c r="Y56" s="27">
        <v>496</v>
      </c>
      <c r="Z56" s="27">
        <v>615</v>
      </c>
      <c r="AA56" s="27">
        <v>788</v>
      </c>
      <c r="AB56" s="22">
        <v>1</v>
      </c>
      <c r="AC56" s="22">
        <v>1</v>
      </c>
      <c r="AD56" s="22">
        <v>1</v>
      </c>
      <c r="AE56" s="22">
        <v>1</v>
      </c>
      <c r="AF56" s="22">
        <v>1</v>
      </c>
      <c r="AG56" s="27">
        <v>370</v>
      </c>
      <c r="AH56" s="27">
        <v>238</v>
      </c>
      <c r="AI56" s="27">
        <v>496</v>
      </c>
      <c r="AJ56" s="27">
        <v>615</v>
      </c>
      <c r="AK56" s="27">
        <v>643</v>
      </c>
      <c r="AL56" s="22">
        <v>1</v>
      </c>
      <c r="AM56" s="22">
        <v>1</v>
      </c>
      <c r="AN56" s="22">
        <v>1</v>
      </c>
      <c r="AO56" s="22">
        <v>1</v>
      </c>
      <c r="AP56" s="22">
        <v>0.81598984771573602</v>
      </c>
      <c r="AQ56" s="37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</row>
    <row r="57" spans="1:55" s="19" customFormat="1" ht="12.75" x14ac:dyDescent="0.2">
      <c r="A57" s="18"/>
      <c r="AB57" s="20"/>
      <c r="AC57" s="20"/>
      <c r="AD57" s="20"/>
      <c r="AE57" s="20"/>
      <c r="AF57" s="20"/>
      <c r="AL57" s="20"/>
      <c r="AM57" s="20"/>
      <c r="AN57" s="20"/>
      <c r="AO57" s="20"/>
      <c r="AP57" s="20"/>
      <c r="AQ57" s="37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</row>
    <row r="58" spans="1:55" s="19" customFormat="1" ht="12.75" x14ac:dyDescent="0.2">
      <c r="A58" s="18"/>
      <c r="AB58" s="20"/>
      <c r="AC58" s="20"/>
      <c r="AD58" s="20"/>
      <c r="AE58" s="20"/>
      <c r="AF58" s="20"/>
      <c r="AL58" s="20"/>
      <c r="AM58" s="20"/>
      <c r="AN58" s="20"/>
      <c r="AO58" s="20"/>
      <c r="AP58" s="20"/>
      <c r="AQ58" s="37"/>
    </row>
    <row r="59" spans="1:55" s="19" customFormat="1" ht="12.75" x14ac:dyDescent="0.2">
      <c r="A59" s="2" t="s">
        <v>74</v>
      </c>
      <c r="AB59" s="20"/>
      <c r="AC59" s="20"/>
      <c r="AD59" s="20"/>
      <c r="AE59" s="20"/>
      <c r="AF59" s="20"/>
      <c r="AL59" s="20"/>
      <c r="AM59" s="20"/>
      <c r="AN59" s="20"/>
      <c r="AO59" s="20"/>
      <c r="AP59" s="20"/>
      <c r="AQ59" s="37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</row>
    <row r="60" spans="1:55" s="21" customFormat="1" ht="12.75" x14ac:dyDescent="0.2">
      <c r="A60" s="1" t="s">
        <v>75</v>
      </c>
      <c r="AB60" s="22"/>
      <c r="AC60" s="22"/>
      <c r="AD60" s="22"/>
      <c r="AE60" s="22"/>
      <c r="AF60" s="22"/>
      <c r="AL60" s="22"/>
      <c r="AM60" s="22"/>
      <c r="AN60" s="22"/>
      <c r="AO60" s="22"/>
      <c r="AP60" s="22"/>
      <c r="AQ60" s="38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</row>
    <row r="61" spans="1:55" s="19" customFormat="1" ht="12.75" x14ac:dyDescent="0.2">
      <c r="A61" s="9" t="s">
        <v>9</v>
      </c>
      <c r="B61" s="9" t="s">
        <v>10</v>
      </c>
      <c r="C61" s="9" t="s">
        <v>11</v>
      </c>
      <c r="D61" s="9" t="s">
        <v>12</v>
      </c>
      <c r="E61" s="9" t="s">
        <v>164</v>
      </c>
      <c r="F61" s="9" t="s">
        <v>195</v>
      </c>
      <c r="G61" s="9" t="s">
        <v>10</v>
      </c>
      <c r="H61" s="9" t="s">
        <v>11</v>
      </c>
      <c r="I61" s="9" t="s">
        <v>12</v>
      </c>
      <c r="J61" s="9" t="s">
        <v>164</v>
      </c>
      <c r="K61" s="9" t="s">
        <v>195</v>
      </c>
      <c r="L61" s="9" t="s">
        <v>10</v>
      </c>
      <c r="M61" s="9" t="s">
        <v>11</v>
      </c>
      <c r="N61" s="9" t="s">
        <v>12</v>
      </c>
      <c r="O61" s="9" t="s">
        <v>164</v>
      </c>
      <c r="P61" s="9" t="s">
        <v>195</v>
      </c>
      <c r="Q61" s="9" t="s">
        <v>10</v>
      </c>
      <c r="R61" s="9" t="s">
        <v>11</v>
      </c>
      <c r="S61" s="9" t="s">
        <v>12</v>
      </c>
      <c r="T61" s="9" t="s">
        <v>164</v>
      </c>
      <c r="U61" s="9" t="s">
        <v>195</v>
      </c>
      <c r="V61" s="9"/>
      <c r="W61" s="9" t="s">
        <v>13</v>
      </c>
      <c r="X61" s="9" t="s">
        <v>14</v>
      </c>
      <c r="Y61" s="9" t="s">
        <v>15</v>
      </c>
      <c r="Z61" s="9" t="s">
        <v>16</v>
      </c>
      <c r="AA61" s="9" t="s">
        <v>165</v>
      </c>
      <c r="AB61" s="9" t="s">
        <v>13</v>
      </c>
      <c r="AC61" s="9" t="s">
        <v>14</v>
      </c>
      <c r="AD61" s="9" t="s">
        <v>15</v>
      </c>
      <c r="AE61" s="9" t="s">
        <v>16</v>
      </c>
      <c r="AF61" s="9" t="s">
        <v>165</v>
      </c>
      <c r="AG61" s="9" t="s">
        <v>13</v>
      </c>
      <c r="AH61" s="9" t="s">
        <v>14</v>
      </c>
      <c r="AI61" s="9" t="s">
        <v>15</v>
      </c>
      <c r="AJ61" s="9" t="s">
        <v>16</v>
      </c>
      <c r="AK61" s="9" t="s">
        <v>165</v>
      </c>
      <c r="AL61" s="9" t="s">
        <v>13</v>
      </c>
      <c r="AM61" s="9" t="s">
        <v>14</v>
      </c>
      <c r="AN61" s="9" t="s">
        <v>15</v>
      </c>
      <c r="AO61" s="9" t="s">
        <v>16</v>
      </c>
      <c r="AP61" s="9" t="s">
        <v>165</v>
      </c>
      <c r="AQ61" s="37"/>
    </row>
    <row r="62" spans="1:55" s="19" customFormat="1" ht="12.75" x14ac:dyDescent="0.2">
      <c r="A62" s="18" t="s">
        <v>19</v>
      </c>
      <c r="B62" s="19">
        <v>1815</v>
      </c>
      <c r="C62" s="19">
        <v>1724</v>
      </c>
      <c r="D62" s="19">
        <v>1917</v>
      </c>
      <c r="E62" s="19">
        <v>1999</v>
      </c>
      <c r="F62" s="19">
        <v>2024</v>
      </c>
      <c r="G62" s="20">
        <v>0.45752457776657424</v>
      </c>
      <c r="H62" s="20">
        <v>0.41382621219395105</v>
      </c>
      <c r="I62" s="20">
        <v>0.39042769857433807</v>
      </c>
      <c r="J62" s="20">
        <v>0.41516095534787123</v>
      </c>
      <c r="K62" s="20">
        <v>0.41196824750661509</v>
      </c>
      <c r="L62" s="19">
        <v>1815</v>
      </c>
      <c r="M62" s="19">
        <v>1724</v>
      </c>
      <c r="N62" s="19">
        <v>1605</v>
      </c>
      <c r="O62" s="19">
        <v>1665</v>
      </c>
      <c r="P62" s="19">
        <v>1706</v>
      </c>
      <c r="Q62" s="20">
        <v>1</v>
      </c>
      <c r="R62" s="20">
        <v>1</v>
      </c>
      <c r="S62" s="20">
        <v>0.83724569640062596</v>
      </c>
      <c r="T62" s="20">
        <v>0.83291645822911453</v>
      </c>
      <c r="U62" s="20">
        <v>0.84288537549407117</v>
      </c>
      <c r="W62" s="19">
        <v>527</v>
      </c>
      <c r="X62" s="19">
        <v>748</v>
      </c>
      <c r="Y62" s="19">
        <v>1628</v>
      </c>
      <c r="Z62" s="19">
        <v>1833</v>
      </c>
      <c r="AA62" s="19">
        <v>1999</v>
      </c>
      <c r="AB62" s="20">
        <v>0.11896162528216704</v>
      </c>
      <c r="AC62" s="20">
        <v>0.18765679879578526</v>
      </c>
      <c r="AD62" s="20">
        <v>0.45146977260122018</v>
      </c>
      <c r="AE62" s="20">
        <v>0.46405063291139242</v>
      </c>
      <c r="AF62" s="20">
        <v>0.41516095534787123</v>
      </c>
      <c r="AG62" s="19">
        <v>527</v>
      </c>
      <c r="AH62" s="19">
        <v>748</v>
      </c>
      <c r="AI62" s="19">
        <v>1628</v>
      </c>
      <c r="AJ62" s="19">
        <v>1833</v>
      </c>
      <c r="AK62" s="19">
        <v>1665</v>
      </c>
      <c r="AL62" s="20">
        <v>1</v>
      </c>
      <c r="AM62" s="20">
        <v>1</v>
      </c>
      <c r="AN62" s="20">
        <v>1</v>
      </c>
      <c r="AO62" s="20">
        <v>1</v>
      </c>
      <c r="AP62" s="20">
        <v>0.83291645822911453</v>
      </c>
      <c r="AQ62" s="37"/>
    </row>
    <row r="63" spans="1:55" s="19" customFormat="1" ht="12.75" x14ac:dyDescent="0.2">
      <c r="A63" s="18" t="s">
        <v>43</v>
      </c>
      <c r="B63" s="19">
        <v>1676</v>
      </c>
      <c r="C63" s="19">
        <v>1953</v>
      </c>
      <c r="D63" s="19">
        <v>2290</v>
      </c>
      <c r="E63" s="19">
        <v>2113</v>
      </c>
      <c r="F63" s="19">
        <v>2134</v>
      </c>
      <c r="G63" s="20">
        <v>0.42248550541971264</v>
      </c>
      <c r="H63" s="20">
        <v>0.46879500720115219</v>
      </c>
      <c r="I63" s="20">
        <v>0.4663951120162933</v>
      </c>
      <c r="J63" s="20">
        <v>0.43883696780893044</v>
      </c>
      <c r="K63" s="20">
        <v>0.43435782617545288</v>
      </c>
      <c r="L63" s="19">
        <v>1676</v>
      </c>
      <c r="M63" s="19">
        <v>1953</v>
      </c>
      <c r="N63" s="19">
        <v>1912</v>
      </c>
      <c r="O63" s="19">
        <v>1805</v>
      </c>
      <c r="P63" s="19">
        <v>1839</v>
      </c>
      <c r="Q63" s="20">
        <v>1</v>
      </c>
      <c r="R63" s="20">
        <v>1</v>
      </c>
      <c r="S63" s="20">
        <v>0.8349344978165939</v>
      </c>
      <c r="T63" s="20">
        <v>0.85423568386180782</v>
      </c>
      <c r="U63" s="20">
        <v>0.86176194939081541</v>
      </c>
      <c r="W63" s="19">
        <v>905</v>
      </c>
      <c r="X63" s="19">
        <v>853</v>
      </c>
      <c r="Y63" s="19">
        <v>1488</v>
      </c>
      <c r="Z63" s="19">
        <v>1710</v>
      </c>
      <c r="AA63" s="19">
        <v>2113</v>
      </c>
      <c r="AB63" s="20">
        <v>0.20428893905191872</v>
      </c>
      <c r="AC63" s="20">
        <v>0.21399899648770698</v>
      </c>
      <c r="AD63" s="20">
        <v>0.41264559068219636</v>
      </c>
      <c r="AE63" s="20">
        <v>0.43291139240506327</v>
      </c>
      <c r="AF63" s="20">
        <v>0.43883696780893044</v>
      </c>
      <c r="AG63" s="19">
        <v>905</v>
      </c>
      <c r="AH63" s="19">
        <v>853</v>
      </c>
      <c r="AI63" s="19">
        <v>1488</v>
      </c>
      <c r="AJ63" s="19">
        <v>1710</v>
      </c>
      <c r="AK63" s="19">
        <v>1805</v>
      </c>
      <c r="AL63" s="20">
        <v>1</v>
      </c>
      <c r="AM63" s="20">
        <v>1</v>
      </c>
      <c r="AN63" s="20">
        <v>1</v>
      </c>
      <c r="AO63" s="20">
        <v>1</v>
      </c>
      <c r="AP63" s="20">
        <v>0.85423568386180782</v>
      </c>
      <c r="AQ63" s="37"/>
    </row>
    <row r="64" spans="1:55" s="19" customFormat="1" ht="12.75" x14ac:dyDescent="0.2">
      <c r="A64" s="18" t="s">
        <v>30</v>
      </c>
      <c r="B64" s="19">
        <v>389</v>
      </c>
      <c r="C64" s="19">
        <v>402</v>
      </c>
      <c r="D64" s="19">
        <v>549</v>
      </c>
      <c r="E64" s="19">
        <v>501</v>
      </c>
      <c r="F64" s="19">
        <v>530</v>
      </c>
      <c r="G64" s="20">
        <v>9.8058986639778176E-2</v>
      </c>
      <c r="H64" s="20">
        <v>9.6495439270283243E-2</v>
      </c>
      <c r="I64" s="20">
        <v>0.11181262729124236</v>
      </c>
      <c r="J64" s="20">
        <v>0.10404984423676013</v>
      </c>
      <c r="K64" s="20">
        <v>0.10787706085894565</v>
      </c>
      <c r="L64" s="19">
        <v>389</v>
      </c>
      <c r="M64" s="19">
        <v>402</v>
      </c>
      <c r="N64" s="19">
        <v>480</v>
      </c>
      <c r="O64" s="19">
        <v>445</v>
      </c>
      <c r="P64" s="19">
        <v>469</v>
      </c>
      <c r="Q64" s="20">
        <v>1</v>
      </c>
      <c r="R64" s="20">
        <v>1</v>
      </c>
      <c r="S64" s="20">
        <v>0.87431693989071035</v>
      </c>
      <c r="T64" s="20">
        <v>0.88822355289421162</v>
      </c>
      <c r="U64" s="20">
        <v>0.88490566037735852</v>
      </c>
      <c r="W64" s="19">
        <v>511</v>
      </c>
      <c r="X64" s="19">
        <v>435</v>
      </c>
      <c r="Y64" s="19">
        <v>454</v>
      </c>
      <c r="Z64" s="19">
        <v>380</v>
      </c>
      <c r="AA64" s="19">
        <v>501</v>
      </c>
      <c r="AB64" s="20">
        <v>0.11534988713318284</v>
      </c>
      <c r="AC64" s="20">
        <v>0.10913196186653286</v>
      </c>
      <c r="AD64" s="20">
        <v>0.12590127565169162</v>
      </c>
      <c r="AE64" s="20">
        <v>9.6202531645569619E-2</v>
      </c>
      <c r="AF64" s="20">
        <v>0.10404984423676013</v>
      </c>
      <c r="AG64" s="19">
        <v>511</v>
      </c>
      <c r="AH64" s="19">
        <v>435</v>
      </c>
      <c r="AI64" s="19">
        <v>454</v>
      </c>
      <c r="AJ64" s="19">
        <v>380</v>
      </c>
      <c r="AK64" s="19">
        <v>445</v>
      </c>
      <c r="AL64" s="20">
        <v>1</v>
      </c>
      <c r="AM64" s="20">
        <v>1</v>
      </c>
      <c r="AN64" s="20">
        <v>1</v>
      </c>
      <c r="AO64" s="20">
        <v>1</v>
      </c>
      <c r="AP64" s="20">
        <v>0.88822355289421162</v>
      </c>
      <c r="AQ64" s="37"/>
    </row>
    <row r="65" spans="1:55" s="19" customFormat="1" ht="12.75" x14ac:dyDescent="0.2">
      <c r="A65" s="18" t="s">
        <v>76</v>
      </c>
      <c r="B65" s="19">
        <v>87</v>
      </c>
      <c r="C65" s="19">
        <v>87</v>
      </c>
      <c r="D65" s="19">
        <v>154</v>
      </c>
      <c r="E65" s="19">
        <v>202</v>
      </c>
      <c r="F65" s="19">
        <v>225</v>
      </c>
      <c r="G65" s="20">
        <v>2.1930930173934965E-2</v>
      </c>
      <c r="H65" s="20">
        <v>2.0883341334613538E-2</v>
      </c>
      <c r="I65" s="20">
        <v>3.1364562118126271E-2</v>
      </c>
      <c r="J65" s="20">
        <v>4.1952232606438211E-2</v>
      </c>
      <c r="K65" s="20">
        <v>4.5796865458986362E-2</v>
      </c>
      <c r="L65" s="19">
        <v>87</v>
      </c>
      <c r="M65" s="19">
        <v>87</v>
      </c>
      <c r="N65" s="19">
        <v>154</v>
      </c>
      <c r="O65" s="19">
        <v>202</v>
      </c>
      <c r="P65" s="19">
        <v>225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W65" s="19">
        <v>2487</v>
      </c>
      <c r="X65" s="19">
        <v>1950</v>
      </c>
      <c r="Y65" s="19">
        <v>36</v>
      </c>
      <c r="Z65" s="19">
        <v>27</v>
      </c>
      <c r="AA65" s="19">
        <v>202</v>
      </c>
      <c r="AB65" s="20">
        <v>0.56139954853273133</v>
      </c>
      <c r="AC65" s="20">
        <v>0.48921224284997489</v>
      </c>
      <c r="AD65" s="20">
        <v>9.9833610648918467E-3</v>
      </c>
      <c r="AE65" s="20">
        <v>6.8354430379746834E-3</v>
      </c>
      <c r="AF65" s="20">
        <v>4.1952232606438211E-2</v>
      </c>
      <c r="AG65" s="19">
        <v>2487</v>
      </c>
      <c r="AH65" s="19">
        <v>1950</v>
      </c>
      <c r="AI65" s="19">
        <v>36</v>
      </c>
      <c r="AJ65" s="19">
        <v>27</v>
      </c>
      <c r="AK65" s="19">
        <v>202</v>
      </c>
      <c r="AL65" s="20">
        <v>1</v>
      </c>
      <c r="AM65" s="20">
        <v>1</v>
      </c>
      <c r="AN65" s="20">
        <v>1</v>
      </c>
      <c r="AO65" s="20">
        <v>1</v>
      </c>
      <c r="AP65" s="20">
        <v>1</v>
      </c>
      <c r="AQ65" s="37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</row>
    <row r="66" spans="1:55" s="21" customFormat="1" ht="12.75" x14ac:dyDescent="0.2">
      <c r="A66" s="29" t="s">
        <v>77</v>
      </c>
      <c r="B66" s="21">
        <v>3967</v>
      </c>
      <c r="C66" s="21">
        <v>4166</v>
      </c>
      <c r="D66" s="21">
        <v>4910</v>
      </c>
      <c r="E66" s="21">
        <v>4815</v>
      </c>
      <c r="F66" s="21">
        <v>4913</v>
      </c>
      <c r="G66" s="22">
        <v>1</v>
      </c>
      <c r="H66" s="22">
        <v>1</v>
      </c>
      <c r="I66" s="22">
        <v>1</v>
      </c>
      <c r="J66" s="22">
        <v>1</v>
      </c>
      <c r="K66" s="22">
        <v>1</v>
      </c>
      <c r="L66" s="21">
        <v>3967</v>
      </c>
      <c r="M66" s="21">
        <v>4166</v>
      </c>
      <c r="N66" s="21">
        <v>4151</v>
      </c>
      <c r="O66" s="21">
        <v>4117</v>
      </c>
      <c r="P66" s="21">
        <v>4239</v>
      </c>
      <c r="Q66" s="22">
        <v>1</v>
      </c>
      <c r="R66" s="22">
        <v>1</v>
      </c>
      <c r="S66" s="22">
        <v>0.84541751527494913</v>
      </c>
      <c r="T66" s="22">
        <v>0.8550363447559709</v>
      </c>
      <c r="U66" s="22">
        <v>0.86281294524730312</v>
      </c>
      <c r="W66" s="21">
        <v>4430</v>
      </c>
      <c r="X66" s="21">
        <v>3986</v>
      </c>
      <c r="Y66" s="21">
        <v>3606</v>
      </c>
      <c r="Z66" s="21">
        <v>3950</v>
      </c>
      <c r="AA66" s="21">
        <v>4815</v>
      </c>
      <c r="AB66" s="22">
        <v>1</v>
      </c>
      <c r="AC66" s="22">
        <v>1</v>
      </c>
      <c r="AD66" s="22">
        <v>1</v>
      </c>
      <c r="AE66" s="22">
        <v>1</v>
      </c>
      <c r="AF66" s="22">
        <v>1</v>
      </c>
      <c r="AG66" s="21">
        <v>4430</v>
      </c>
      <c r="AH66" s="21">
        <v>3986</v>
      </c>
      <c r="AI66" s="21">
        <v>3606</v>
      </c>
      <c r="AJ66" s="21">
        <v>3950</v>
      </c>
      <c r="AK66" s="21">
        <v>4117</v>
      </c>
      <c r="AL66" s="22">
        <v>1</v>
      </c>
      <c r="AM66" s="22">
        <v>1</v>
      </c>
      <c r="AN66" s="22">
        <v>1</v>
      </c>
      <c r="AO66" s="22">
        <v>1</v>
      </c>
      <c r="AP66" s="22">
        <v>0.8550363447559709</v>
      </c>
      <c r="AQ66" s="37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</row>
    <row r="67" spans="1:55" s="19" customFormat="1" ht="12.75" x14ac:dyDescent="0.2">
      <c r="A67" s="18"/>
      <c r="AB67" s="20"/>
      <c r="AC67" s="20"/>
      <c r="AD67" s="20"/>
      <c r="AE67" s="20"/>
      <c r="AF67" s="20"/>
      <c r="AL67" s="20"/>
      <c r="AM67" s="20"/>
      <c r="AN67" s="20"/>
      <c r="AO67" s="20"/>
      <c r="AP67" s="20"/>
      <c r="AQ67" s="37"/>
    </row>
    <row r="68" spans="1:55" s="19" customFormat="1" ht="12.75" x14ac:dyDescent="0.2">
      <c r="A68" s="9" t="s">
        <v>64</v>
      </c>
      <c r="B68" s="9" t="s">
        <v>10</v>
      </c>
      <c r="C68" s="9" t="s">
        <v>11</v>
      </c>
      <c r="D68" s="9" t="s">
        <v>12</v>
      </c>
      <c r="E68" s="9" t="s">
        <v>164</v>
      </c>
      <c r="F68" s="9" t="s">
        <v>195</v>
      </c>
      <c r="G68" s="9" t="s">
        <v>10</v>
      </c>
      <c r="H68" s="9" t="s">
        <v>11</v>
      </c>
      <c r="I68" s="9" t="s">
        <v>12</v>
      </c>
      <c r="J68" s="9" t="s">
        <v>164</v>
      </c>
      <c r="K68" s="9" t="s">
        <v>195</v>
      </c>
      <c r="L68" s="9" t="s">
        <v>10</v>
      </c>
      <c r="M68" s="9" t="s">
        <v>11</v>
      </c>
      <c r="N68" s="9" t="s">
        <v>12</v>
      </c>
      <c r="O68" s="9" t="s">
        <v>164</v>
      </c>
      <c r="P68" s="9" t="s">
        <v>195</v>
      </c>
      <c r="Q68" s="9" t="s">
        <v>10</v>
      </c>
      <c r="R68" s="9" t="s">
        <v>11</v>
      </c>
      <c r="S68" s="9" t="s">
        <v>12</v>
      </c>
      <c r="T68" s="9" t="s">
        <v>164</v>
      </c>
      <c r="U68" s="9" t="s">
        <v>195</v>
      </c>
      <c r="V68" s="9"/>
      <c r="W68" s="9" t="s">
        <v>13</v>
      </c>
      <c r="X68" s="9" t="s">
        <v>14</v>
      </c>
      <c r="Y68" s="9" t="s">
        <v>15</v>
      </c>
      <c r="Z68" s="9" t="s">
        <v>16</v>
      </c>
      <c r="AA68" s="9" t="s">
        <v>165</v>
      </c>
      <c r="AB68" s="9" t="s">
        <v>13</v>
      </c>
      <c r="AC68" s="9" t="s">
        <v>14</v>
      </c>
      <c r="AD68" s="9" t="s">
        <v>15</v>
      </c>
      <c r="AE68" s="9" t="s">
        <v>16</v>
      </c>
      <c r="AF68" s="9" t="s">
        <v>165</v>
      </c>
      <c r="AG68" s="9" t="s">
        <v>13</v>
      </c>
      <c r="AH68" s="9" t="s">
        <v>14</v>
      </c>
      <c r="AI68" s="9" t="s">
        <v>15</v>
      </c>
      <c r="AJ68" s="9" t="s">
        <v>16</v>
      </c>
      <c r="AK68" s="9" t="s">
        <v>165</v>
      </c>
      <c r="AL68" s="9" t="s">
        <v>13</v>
      </c>
      <c r="AM68" s="9" t="s">
        <v>14</v>
      </c>
      <c r="AN68" s="9" t="s">
        <v>15</v>
      </c>
      <c r="AO68" s="9" t="s">
        <v>16</v>
      </c>
      <c r="AP68" s="9" t="s">
        <v>165</v>
      </c>
      <c r="AQ68" s="37"/>
    </row>
    <row r="69" spans="1:55" s="19" customFormat="1" ht="12.75" x14ac:dyDescent="0.2">
      <c r="A69" s="18" t="s">
        <v>18</v>
      </c>
      <c r="B69" s="19">
        <v>19</v>
      </c>
      <c r="C69" s="19">
        <v>19</v>
      </c>
      <c r="D69" s="19">
        <v>18</v>
      </c>
      <c r="E69" s="19">
        <v>17</v>
      </c>
      <c r="F69" s="19">
        <v>14</v>
      </c>
      <c r="G69" s="20">
        <v>0.19587628865979381</v>
      </c>
      <c r="H69" s="20">
        <v>0.17757009345794392</v>
      </c>
      <c r="I69" s="20">
        <v>0.15929203539823009</v>
      </c>
      <c r="J69" s="20">
        <v>0.15178571428571427</v>
      </c>
      <c r="K69" s="20">
        <v>0.10294117647058823</v>
      </c>
      <c r="L69" s="19">
        <v>19</v>
      </c>
      <c r="M69" s="19">
        <v>19</v>
      </c>
      <c r="N69" s="19">
        <v>18</v>
      </c>
      <c r="O69" s="19">
        <v>17</v>
      </c>
      <c r="P69" s="19">
        <v>14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W69" s="19">
        <v>79</v>
      </c>
      <c r="X69" s="19">
        <v>81</v>
      </c>
      <c r="Y69" s="19">
        <v>30</v>
      </c>
      <c r="Z69" s="19">
        <v>19</v>
      </c>
      <c r="AA69" s="19">
        <v>17</v>
      </c>
      <c r="AB69" s="20">
        <v>0.79797979797979801</v>
      </c>
      <c r="AC69" s="20">
        <v>0.74311926605504586</v>
      </c>
      <c r="AD69" s="20">
        <v>0.36585365853658536</v>
      </c>
      <c r="AE69" s="20">
        <v>0.21348314606741572</v>
      </c>
      <c r="AF69" s="20">
        <v>0.15178571428571427</v>
      </c>
      <c r="AG69" s="19">
        <v>79</v>
      </c>
      <c r="AH69" s="19">
        <v>81</v>
      </c>
      <c r="AI69" s="19">
        <v>30</v>
      </c>
      <c r="AJ69" s="19">
        <v>19</v>
      </c>
      <c r="AK69" s="19">
        <v>17</v>
      </c>
      <c r="AL69" s="20">
        <v>1</v>
      </c>
      <c r="AM69" s="20">
        <v>1</v>
      </c>
      <c r="AN69" s="20">
        <v>1</v>
      </c>
      <c r="AO69" s="20">
        <v>1</v>
      </c>
      <c r="AP69" s="20">
        <v>1</v>
      </c>
      <c r="AQ69" s="37"/>
    </row>
    <row r="70" spans="1:55" s="19" customFormat="1" ht="12.75" x14ac:dyDescent="0.2">
      <c r="A70" s="18" t="s">
        <v>43</v>
      </c>
      <c r="B70" s="19">
        <v>62</v>
      </c>
      <c r="C70" s="19">
        <v>70</v>
      </c>
      <c r="D70" s="19">
        <v>74</v>
      </c>
      <c r="E70" s="19">
        <v>71</v>
      </c>
      <c r="F70" s="19">
        <v>78</v>
      </c>
      <c r="G70" s="20">
        <v>0.63917525773195871</v>
      </c>
      <c r="H70" s="20">
        <v>0.65420560747663548</v>
      </c>
      <c r="I70" s="20">
        <v>0.65486725663716816</v>
      </c>
      <c r="J70" s="20">
        <v>0.6339285714285714</v>
      </c>
      <c r="K70" s="20">
        <v>0.57352941176470584</v>
      </c>
      <c r="L70" s="19">
        <v>62</v>
      </c>
      <c r="M70" s="19">
        <v>70</v>
      </c>
      <c r="N70" s="19">
        <v>73</v>
      </c>
      <c r="O70" s="19">
        <v>70</v>
      </c>
      <c r="P70" s="19">
        <v>76</v>
      </c>
      <c r="Q70" s="20">
        <v>1</v>
      </c>
      <c r="R70" s="20">
        <v>1</v>
      </c>
      <c r="S70" s="20">
        <v>0.98648648648648651</v>
      </c>
      <c r="T70" s="20">
        <v>0.9859154929577465</v>
      </c>
      <c r="U70" s="20">
        <v>0.97435897435897434</v>
      </c>
      <c r="W70" s="19">
        <v>6</v>
      </c>
      <c r="X70" s="19">
        <v>12</v>
      </c>
      <c r="Y70" s="19">
        <v>40</v>
      </c>
      <c r="Z70" s="19">
        <v>61</v>
      </c>
      <c r="AA70" s="19">
        <v>71</v>
      </c>
      <c r="AB70" s="20">
        <v>6.0606060606060608E-2</v>
      </c>
      <c r="AC70" s="20">
        <v>0.11009174311926606</v>
      </c>
      <c r="AD70" s="20">
        <v>0.48780487804878048</v>
      </c>
      <c r="AE70" s="20">
        <v>0.6853932584269663</v>
      </c>
      <c r="AF70" s="20">
        <v>0.6339285714285714</v>
      </c>
      <c r="AG70" s="19">
        <v>6</v>
      </c>
      <c r="AH70" s="19">
        <v>12</v>
      </c>
      <c r="AI70" s="19">
        <v>40</v>
      </c>
      <c r="AJ70" s="19">
        <v>61</v>
      </c>
      <c r="AK70" s="19">
        <v>70</v>
      </c>
      <c r="AL70" s="20">
        <v>1</v>
      </c>
      <c r="AM70" s="20">
        <v>1</v>
      </c>
      <c r="AN70" s="20">
        <v>1</v>
      </c>
      <c r="AO70" s="20">
        <v>1</v>
      </c>
      <c r="AP70" s="20">
        <v>0.9859154929577465</v>
      </c>
      <c r="AQ70" s="37"/>
    </row>
    <row r="71" spans="1:55" s="19" customFormat="1" ht="12.75" x14ac:dyDescent="0.2">
      <c r="A71" s="18" t="s">
        <v>30</v>
      </c>
      <c r="B71" s="19">
        <v>11</v>
      </c>
      <c r="C71" s="19">
        <v>13</v>
      </c>
      <c r="D71" s="19">
        <v>15</v>
      </c>
      <c r="E71" s="19">
        <v>18</v>
      </c>
      <c r="F71" s="19">
        <v>18</v>
      </c>
      <c r="G71" s="20">
        <v>0.1134020618556701</v>
      </c>
      <c r="H71" s="20">
        <v>0.12149532710280374</v>
      </c>
      <c r="I71" s="20">
        <v>0.13274336283185842</v>
      </c>
      <c r="J71" s="20">
        <v>0.16071428571428573</v>
      </c>
      <c r="K71" s="20">
        <v>0.13235294117647059</v>
      </c>
      <c r="L71" s="19">
        <v>11</v>
      </c>
      <c r="M71" s="19">
        <v>13</v>
      </c>
      <c r="N71" s="19">
        <v>15</v>
      </c>
      <c r="O71" s="19">
        <v>18</v>
      </c>
      <c r="P71" s="19">
        <v>18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W71" s="19">
        <v>14</v>
      </c>
      <c r="X71" s="19">
        <v>16</v>
      </c>
      <c r="Y71" s="19">
        <v>12</v>
      </c>
      <c r="Z71" s="19">
        <v>9</v>
      </c>
      <c r="AA71" s="19">
        <v>18</v>
      </c>
      <c r="AB71" s="20">
        <v>0.14141414141414141</v>
      </c>
      <c r="AC71" s="20">
        <v>0.14678899082568808</v>
      </c>
      <c r="AD71" s="20">
        <v>0.14634146341463414</v>
      </c>
      <c r="AE71" s="20">
        <v>0.10112359550561797</v>
      </c>
      <c r="AF71" s="20">
        <v>0.16071428571428573</v>
      </c>
      <c r="AG71" s="19">
        <v>14</v>
      </c>
      <c r="AH71" s="19">
        <v>16</v>
      </c>
      <c r="AI71" s="19">
        <v>12</v>
      </c>
      <c r="AJ71" s="19">
        <v>9</v>
      </c>
      <c r="AK71" s="19">
        <v>18</v>
      </c>
      <c r="AL71" s="20">
        <v>1</v>
      </c>
      <c r="AM71" s="20">
        <v>1</v>
      </c>
      <c r="AN71" s="20">
        <v>1</v>
      </c>
      <c r="AO71" s="20">
        <v>1</v>
      </c>
      <c r="AP71" s="20">
        <v>1</v>
      </c>
      <c r="AQ71" s="37"/>
    </row>
    <row r="72" spans="1:55" s="19" customFormat="1" ht="12.75" x14ac:dyDescent="0.2">
      <c r="A72" s="18" t="s">
        <v>76</v>
      </c>
      <c r="B72" s="19">
        <v>5</v>
      </c>
      <c r="C72" s="19">
        <v>5</v>
      </c>
      <c r="D72" s="19">
        <v>6</v>
      </c>
      <c r="E72" s="19">
        <v>6</v>
      </c>
      <c r="F72" s="19">
        <v>26</v>
      </c>
      <c r="G72" s="20">
        <v>5.1546391752577317E-2</v>
      </c>
      <c r="H72" s="20">
        <v>4.6728971962616821E-2</v>
      </c>
      <c r="I72" s="20">
        <v>5.3097345132743362E-2</v>
      </c>
      <c r="J72" s="20">
        <v>5.3571428571428568E-2</v>
      </c>
      <c r="K72" s="20">
        <v>0.19117647058823528</v>
      </c>
      <c r="L72" s="19">
        <v>5</v>
      </c>
      <c r="M72" s="19">
        <v>5</v>
      </c>
      <c r="N72" s="19">
        <v>6</v>
      </c>
      <c r="O72" s="19">
        <v>6</v>
      </c>
      <c r="P72" s="19">
        <v>26</v>
      </c>
      <c r="Q72" s="20">
        <v>1</v>
      </c>
      <c r="R72" s="20">
        <v>1</v>
      </c>
      <c r="S72" s="20">
        <v>1</v>
      </c>
      <c r="T72" s="20">
        <v>1</v>
      </c>
      <c r="U72" s="20">
        <v>1</v>
      </c>
      <c r="W72" s="19">
        <v>0</v>
      </c>
      <c r="X72" s="19">
        <v>0</v>
      </c>
      <c r="Y72" s="19">
        <v>0</v>
      </c>
      <c r="Z72" s="19">
        <v>0</v>
      </c>
      <c r="AA72" s="19">
        <v>6</v>
      </c>
      <c r="AB72" s="20">
        <v>0</v>
      </c>
      <c r="AC72" s="20">
        <v>0</v>
      </c>
      <c r="AD72" s="20">
        <v>0</v>
      </c>
      <c r="AE72" s="20">
        <v>0</v>
      </c>
      <c r="AF72" s="20">
        <v>5.3571428571428568E-2</v>
      </c>
      <c r="AG72" s="19">
        <v>0</v>
      </c>
      <c r="AH72" s="19">
        <v>0</v>
      </c>
      <c r="AI72" s="19">
        <v>0</v>
      </c>
      <c r="AJ72" s="19">
        <v>0</v>
      </c>
      <c r="AK72" s="19">
        <v>6</v>
      </c>
      <c r="AL72" s="20">
        <v>0</v>
      </c>
      <c r="AM72" s="20">
        <v>0</v>
      </c>
      <c r="AN72" s="20">
        <v>0</v>
      </c>
      <c r="AO72" s="20">
        <v>0</v>
      </c>
      <c r="AP72" s="20">
        <v>1</v>
      </c>
      <c r="AQ72" s="37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</row>
    <row r="73" spans="1:55" s="21" customFormat="1" ht="12.75" x14ac:dyDescent="0.2">
      <c r="A73" s="29" t="s">
        <v>77</v>
      </c>
      <c r="B73" s="21">
        <v>97</v>
      </c>
      <c r="C73" s="21">
        <v>107</v>
      </c>
      <c r="D73" s="21">
        <v>113</v>
      </c>
      <c r="E73" s="21">
        <v>112</v>
      </c>
      <c r="F73" s="21">
        <v>136</v>
      </c>
      <c r="G73" s="22">
        <v>1</v>
      </c>
      <c r="H73" s="22">
        <v>1</v>
      </c>
      <c r="I73" s="22">
        <v>1</v>
      </c>
      <c r="J73" s="22">
        <v>1</v>
      </c>
      <c r="K73" s="22">
        <v>1</v>
      </c>
      <c r="L73" s="21">
        <v>97</v>
      </c>
      <c r="M73" s="21">
        <v>107</v>
      </c>
      <c r="N73" s="21">
        <v>112</v>
      </c>
      <c r="O73" s="21">
        <v>111</v>
      </c>
      <c r="P73" s="21">
        <v>134</v>
      </c>
      <c r="Q73" s="22">
        <v>1</v>
      </c>
      <c r="R73" s="22">
        <v>1</v>
      </c>
      <c r="S73" s="22">
        <v>0.99115044247787609</v>
      </c>
      <c r="T73" s="22">
        <v>0.9910714285714286</v>
      </c>
      <c r="U73" s="22">
        <v>0.98529411764705888</v>
      </c>
      <c r="W73" s="21">
        <v>99</v>
      </c>
      <c r="X73" s="21">
        <v>109</v>
      </c>
      <c r="Y73" s="21">
        <v>82</v>
      </c>
      <c r="Z73" s="21">
        <v>89</v>
      </c>
      <c r="AA73" s="21">
        <v>112</v>
      </c>
      <c r="AB73" s="22">
        <v>1</v>
      </c>
      <c r="AC73" s="22">
        <v>1</v>
      </c>
      <c r="AD73" s="22">
        <v>1</v>
      </c>
      <c r="AE73" s="22">
        <v>1</v>
      </c>
      <c r="AF73" s="22">
        <v>1</v>
      </c>
      <c r="AG73" s="21">
        <v>99</v>
      </c>
      <c r="AH73" s="21">
        <v>109</v>
      </c>
      <c r="AI73" s="21">
        <v>82</v>
      </c>
      <c r="AJ73" s="21">
        <v>89</v>
      </c>
      <c r="AK73" s="21">
        <v>111</v>
      </c>
      <c r="AL73" s="22">
        <v>1</v>
      </c>
      <c r="AM73" s="22">
        <v>1</v>
      </c>
      <c r="AN73" s="22">
        <v>1</v>
      </c>
      <c r="AO73" s="22">
        <v>1</v>
      </c>
      <c r="AP73" s="22">
        <v>0.9910714285714286</v>
      </c>
      <c r="AQ73" s="37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</row>
    <row r="74" spans="1:55" s="19" customFormat="1" ht="12.75" x14ac:dyDescent="0.2">
      <c r="A74" s="18"/>
      <c r="AB74" s="20"/>
      <c r="AC74" s="20"/>
      <c r="AD74" s="20"/>
      <c r="AE74" s="20"/>
      <c r="AF74" s="20"/>
      <c r="AL74" s="20"/>
      <c r="AM74" s="20"/>
      <c r="AN74" s="20"/>
      <c r="AO74" s="20"/>
      <c r="AP74" s="20"/>
      <c r="AQ74" s="37"/>
    </row>
    <row r="75" spans="1:55" s="19" customFormat="1" ht="12.75" x14ac:dyDescent="0.2">
      <c r="A75" s="9" t="s">
        <v>66</v>
      </c>
      <c r="B75" s="9" t="s">
        <v>10</v>
      </c>
      <c r="C75" s="9" t="s">
        <v>11</v>
      </c>
      <c r="D75" s="9" t="s">
        <v>12</v>
      </c>
      <c r="E75" s="9" t="s">
        <v>164</v>
      </c>
      <c r="F75" s="9" t="s">
        <v>195</v>
      </c>
      <c r="G75" s="9" t="s">
        <v>10</v>
      </c>
      <c r="H75" s="9" t="s">
        <v>11</v>
      </c>
      <c r="I75" s="9" t="s">
        <v>12</v>
      </c>
      <c r="J75" s="9" t="s">
        <v>164</v>
      </c>
      <c r="K75" s="9" t="s">
        <v>195</v>
      </c>
      <c r="L75" s="9" t="s">
        <v>10</v>
      </c>
      <c r="M75" s="9" t="s">
        <v>11</v>
      </c>
      <c r="N75" s="9" t="s">
        <v>12</v>
      </c>
      <c r="O75" s="9" t="s">
        <v>164</v>
      </c>
      <c r="P75" s="9" t="s">
        <v>195</v>
      </c>
      <c r="Q75" s="9" t="s">
        <v>10</v>
      </c>
      <c r="R75" s="9" t="s">
        <v>11</v>
      </c>
      <c r="S75" s="9" t="s">
        <v>12</v>
      </c>
      <c r="T75" s="9" t="s">
        <v>164</v>
      </c>
      <c r="U75" s="9" t="s">
        <v>195</v>
      </c>
      <c r="V75" s="9"/>
      <c r="W75" s="9" t="s">
        <v>13</v>
      </c>
      <c r="X75" s="9" t="s">
        <v>14</v>
      </c>
      <c r="Y75" s="9" t="s">
        <v>15</v>
      </c>
      <c r="Z75" s="9" t="s">
        <v>16</v>
      </c>
      <c r="AA75" s="9" t="s">
        <v>165</v>
      </c>
      <c r="AB75" s="9" t="s">
        <v>13</v>
      </c>
      <c r="AC75" s="9" t="s">
        <v>14</v>
      </c>
      <c r="AD75" s="9" t="s">
        <v>15</v>
      </c>
      <c r="AE75" s="9" t="s">
        <v>16</v>
      </c>
      <c r="AF75" s="9" t="s">
        <v>165</v>
      </c>
      <c r="AG75" s="9" t="s">
        <v>13</v>
      </c>
      <c r="AH75" s="9" t="s">
        <v>14</v>
      </c>
      <c r="AI75" s="9" t="s">
        <v>15</v>
      </c>
      <c r="AJ75" s="9" t="s">
        <v>16</v>
      </c>
      <c r="AK75" s="9" t="s">
        <v>165</v>
      </c>
      <c r="AL75" s="9" t="s">
        <v>13</v>
      </c>
      <c r="AM75" s="9" t="s">
        <v>14</v>
      </c>
      <c r="AN75" s="9" t="s">
        <v>15</v>
      </c>
      <c r="AO75" s="9" t="s">
        <v>16</v>
      </c>
      <c r="AP75" s="9" t="s">
        <v>165</v>
      </c>
      <c r="AQ75" s="37"/>
    </row>
    <row r="76" spans="1:55" s="19" customFormat="1" ht="12.75" x14ac:dyDescent="0.2">
      <c r="A76" s="18" t="s">
        <v>43</v>
      </c>
      <c r="B76" s="19">
        <v>1005</v>
      </c>
      <c r="C76" s="19">
        <v>1213</v>
      </c>
      <c r="D76" s="19">
        <v>1237</v>
      </c>
      <c r="E76" s="19">
        <v>1136</v>
      </c>
      <c r="F76" s="19">
        <v>1160</v>
      </c>
      <c r="G76" s="20">
        <v>0.37057522123893805</v>
      </c>
      <c r="H76" s="20">
        <v>0.42561403508771928</v>
      </c>
      <c r="I76" s="20">
        <v>0.39394904458598728</v>
      </c>
      <c r="J76" s="20">
        <v>0.37136319058515854</v>
      </c>
      <c r="K76" s="20">
        <v>0.36989795918367346</v>
      </c>
      <c r="L76" s="19">
        <v>1005</v>
      </c>
      <c r="M76" s="19">
        <v>1213</v>
      </c>
      <c r="N76" s="19">
        <v>1166</v>
      </c>
      <c r="O76" s="19">
        <v>1084</v>
      </c>
      <c r="P76" s="19">
        <v>1105</v>
      </c>
      <c r="Q76" s="20">
        <v>1</v>
      </c>
      <c r="R76" s="20">
        <v>1</v>
      </c>
      <c r="S76" s="20">
        <v>0.94260307194826187</v>
      </c>
      <c r="T76" s="20">
        <v>0.95422535211267601</v>
      </c>
      <c r="U76" s="20">
        <v>0.95258620689655171</v>
      </c>
      <c r="W76" s="19">
        <v>719</v>
      </c>
      <c r="X76" s="19">
        <v>594</v>
      </c>
      <c r="Y76" s="19">
        <v>941</v>
      </c>
      <c r="Z76" s="19">
        <v>1037</v>
      </c>
      <c r="AA76" s="19">
        <v>1136</v>
      </c>
      <c r="AB76" s="20">
        <v>0.18151981822772029</v>
      </c>
      <c r="AC76" s="20">
        <v>0.17704918032786884</v>
      </c>
      <c r="AD76" s="20">
        <v>0.36458736923672996</v>
      </c>
      <c r="AE76" s="20">
        <v>0.38435878428465531</v>
      </c>
      <c r="AF76" s="20">
        <v>0.37136319058515854</v>
      </c>
      <c r="AG76" s="19">
        <v>719</v>
      </c>
      <c r="AH76" s="19">
        <v>594</v>
      </c>
      <c r="AI76" s="19">
        <v>941</v>
      </c>
      <c r="AJ76" s="19">
        <v>1037</v>
      </c>
      <c r="AK76" s="19">
        <v>1084</v>
      </c>
      <c r="AL76" s="20">
        <v>1</v>
      </c>
      <c r="AM76" s="20">
        <v>1</v>
      </c>
      <c r="AN76" s="20">
        <v>1</v>
      </c>
      <c r="AO76" s="20">
        <v>1</v>
      </c>
      <c r="AP76" s="20">
        <v>0.95422535211267601</v>
      </c>
      <c r="AQ76" s="37"/>
    </row>
    <row r="77" spans="1:55" s="19" customFormat="1" ht="12.75" x14ac:dyDescent="0.2">
      <c r="A77" s="18" t="s">
        <v>19</v>
      </c>
      <c r="B77" s="19">
        <v>1343</v>
      </c>
      <c r="C77" s="19">
        <v>1265</v>
      </c>
      <c r="D77" s="19">
        <v>1342</v>
      </c>
      <c r="E77" s="19">
        <v>1391</v>
      </c>
      <c r="F77" s="19">
        <v>1424</v>
      </c>
      <c r="G77" s="20">
        <v>0.49520648967551623</v>
      </c>
      <c r="H77" s="20">
        <v>0.44385964912280701</v>
      </c>
      <c r="I77" s="20">
        <v>0.42738853503184715</v>
      </c>
      <c r="J77" s="20">
        <v>0.45472376593658059</v>
      </c>
      <c r="K77" s="20">
        <v>0.45408163265306123</v>
      </c>
      <c r="L77" s="19">
        <v>1343</v>
      </c>
      <c r="M77" s="19">
        <v>1265</v>
      </c>
      <c r="N77" s="19">
        <v>1186</v>
      </c>
      <c r="O77" s="19">
        <v>1228</v>
      </c>
      <c r="P77" s="19">
        <v>1266</v>
      </c>
      <c r="Q77" s="20">
        <v>1</v>
      </c>
      <c r="R77" s="20">
        <v>1</v>
      </c>
      <c r="S77" s="20">
        <v>0.88375558867362147</v>
      </c>
      <c r="T77" s="20">
        <v>0.88281811646297625</v>
      </c>
      <c r="U77" s="20">
        <v>0.8890449438202247</v>
      </c>
      <c r="W77" s="19">
        <v>382</v>
      </c>
      <c r="X77" s="19">
        <v>514</v>
      </c>
      <c r="Y77" s="19">
        <v>1232</v>
      </c>
      <c r="Z77" s="19">
        <v>1328</v>
      </c>
      <c r="AA77" s="19">
        <v>1391</v>
      </c>
      <c r="AB77" s="20">
        <v>9.644029285533956E-2</v>
      </c>
      <c r="AC77" s="20">
        <v>0.15320417287630403</v>
      </c>
      <c r="AD77" s="20">
        <v>0.47733436652460287</v>
      </c>
      <c r="AE77" s="20">
        <v>0.49221645663454411</v>
      </c>
      <c r="AF77" s="20">
        <v>0.45472376593658059</v>
      </c>
      <c r="AG77" s="19">
        <v>382</v>
      </c>
      <c r="AH77" s="19">
        <v>514</v>
      </c>
      <c r="AI77" s="19">
        <v>1232</v>
      </c>
      <c r="AJ77" s="19">
        <v>1328</v>
      </c>
      <c r="AK77" s="19">
        <v>1228</v>
      </c>
      <c r="AL77" s="20">
        <v>1</v>
      </c>
      <c r="AM77" s="20">
        <v>1</v>
      </c>
      <c r="AN77" s="20">
        <v>1</v>
      </c>
      <c r="AO77" s="20">
        <v>1</v>
      </c>
      <c r="AP77" s="20">
        <v>0.88281811646297625</v>
      </c>
      <c r="AQ77" s="37"/>
    </row>
    <row r="78" spans="1:55" s="19" customFormat="1" ht="12.75" x14ac:dyDescent="0.2">
      <c r="A78" s="18" t="s">
        <v>30</v>
      </c>
      <c r="B78" s="19">
        <v>327</v>
      </c>
      <c r="C78" s="19">
        <v>334</v>
      </c>
      <c r="D78" s="19">
        <v>472</v>
      </c>
      <c r="E78" s="19">
        <v>422</v>
      </c>
      <c r="F78" s="19">
        <v>440</v>
      </c>
      <c r="G78" s="20">
        <v>0.12057522123893805</v>
      </c>
      <c r="H78" s="20">
        <v>0.11719298245614035</v>
      </c>
      <c r="I78" s="20">
        <v>0.15031847133757961</v>
      </c>
      <c r="J78" s="20">
        <v>0.13795357960117685</v>
      </c>
      <c r="K78" s="20">
        <v>0.14030612244897958</v>
      </c>
      <c r="L78" s="19">
        <v>327</v>
      </c>
      <c r="M78" s="19">
        <v>334</v>
      </c>
      <c r="N78" s="19">
        <v>407</v>
      </c>
      <c r="O78" s="19">
        <v>370</v>
      </c>
      <c r="P78" s="19">
        <v>383</v>
      </c>
      <c r="Q78" s="20">
        <v>1</v>
      </c>
      <c r="R78" s="20">
        <v>1</v>
      </c>
      <c r="S78" s="20">
        <v>0.86228813559322037</v>
      </c>
      <c r="T78" s="20">
        <v>0.87677725118483407</v>
      </c>
      <c r="U78" s="20">
        <v>0.87045454545454548</v>
      </c>
      <c r="W78" s="19">
        <v>455</v>
      </c>
      <c r="X78" s="19">
        <v>392</v>
      </c>
      <c r="Y78" s="19">
        <v>403</v>
      </c>
      <c r="Z78" s="19">
        <v>330</v>
      </c>
      <c r="AA78" s="19">
        <v>422</v>
      </c>
      <c r="AB78" s="20">
        <v>0.11486998232769503</v>
      </c>
      <c r="AC78" s="20">
        <v>0.11684053651266767</v>
      </c>
      <c r="AD78" s="20">
        <v>0.15614103060829135</v>
      </c>
      <c r="AE78" s="20">
        <v>0.1223128243143069</v>
      </c>
      <c r="AF78" s="20">
        <v>0.13795357960117685</v>
      </c>
      <c r="AG78" s="19">
        <v>455</v>
      </c>
      <c r="AH78" s="19">
        <v>392</v>
      </c>
      <c r="AI78" s="19">
        <v>403</v>
      </c>
      <c r="AJ78" s="19">
        <v>330</v>
      </c>
      <c r="AK78" s="19">
        <v>370</v>
      </c>
      <c r="AL78" s="20">
        <v>1</v>
      </c>
      <c r="AM78" s="20">
        <v>1</v>
      </c>
      <c r="AN78" s="20">
        <v>1</v>
      </c>
      <c r="AO78" s="20">
        <v>1</v>
      </c>
      <c r="AP78" s="20">
        <v>0.87677725118483407</v>
      </c>
      <c r="AQ78" s="37"/>
    </row>
    <row r="79" spans="1:55" s="19" customFormat="1" ht="12.75" x14ac:dyDescent="0.2">
      <c r="A79" s="18" t="s">
        <v>76</v>
      </c>
      <c r="B79" s="19">
        <v>37</v>
      </c>
      <c r="C79" s="19">
        <v>38</v>
      </c>
      <c r="D79" s="19">
        <v>89</v>
      </c>
      <c r="E79" s="19">
        <v>110</v>
      </c>
      <c r="F79" s="19">
        <v>112</v>
      </c>
      <c r="G79" s="20">
        <v>1.3643067846607669E-2</v>
      </c>
      <c r="H79" s="20">
        <v>1.3333333333333334E-2</v>
      </c>
      <c r="I79" s="20">
        <v>2.8343949044585988E-2</v>
      </c>
      <c r="J79" s="20">
        <v>3.5959463877084014E-2</v>
      </c>
      <c r="K79" s="20">
        <v>3.5714285714285712E-2</v>
      </c>
      <c r="L79" s="19">
        <v>37</v>
      </c>
      <c r="M79" s="19">
        <v>38</v>
      </c>
      <c r="N79" s="19">
        <v>89</v>
      </c>
      <c r="O79" s="19">
        <v>110</v>
      </c>
      <c r="P79" s="19">
        <v>112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W79" s="19">
        <v>2405</v>
      </c>
      <c r="X79" s="19">
        <v>1855</v>
      </c>
      <c r="Y79" s="19">
        <v>5</v>
      </c>
      <c r="Z79" s="19">
        <v>3</v>
      </c>
      <c r="AA79" s="19">
        <v>110</v>
      </c>
      <c r="AB79" s="20">
        <v>0.60716990658924519</v>
      </c>
      <c r="AC79" s="20">
        <v>0.5529061102831595</v>
      </c>
      <c r="AD79" s="20">
        <v>1.9372336303758234E-3</v>
      </c>
      <c r="AE79" s="20">
        <v>1.111934766493699E-3</v>
      </c>
      <c r="AF79" s="20">
        <v>3.5959463877084014E-2</v>
      </c>
      <c r="AG79" s="19">
        <v>2405</v>
      </c>
      <c r="AH79" s="19">
        <v>1855</v>
      </c>
      <c r="AI79" s="19">
        <v>5</v>
      </c>
      <c r="AJ79" s="19">
        <v>3</v>
      </c>
      <c r="AK79" s="19">
        <v>110</v>
      </c>
      <c r="AL79" s="20">
        <v>1</v>
      </c>
      <c r="AM79" s="20">
        <v>1</v>
      </c>
      <c r="AN79" s="20">
        <v>1</v>
      </c>
      <c r="AO79" s="20">
        <v>1</v>
      </c>
      <c r="AP79" s="20">
        <v>1</v>
      </c>
      <c r="AQ79" s="37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</row>
    <row r="80" spans="1:55" s="21" customFormat="1" ht="12.75" x14ac:dyDescent="0.2">
      <c r="A80" s="29" t="s">
        <v>77</v>
      </c>
      <c r="B80" s="21">
        <v>2712</v>
      </c>
      <c r="C80" s="21">
        <v>2850</v>
      </c>
      <c r="D80" s="21">
        <v>3140</v>
      </c>
      <c r="E80" s="21">
        <v>3059</v>
      </c>
      <c r="F80" s="21">
        <v>3136</v>
      </c>
      <c r="G80" s="22">
        <v>1</v>
      </c>
      <c r="H80" s="22">
        <v>1</v>
      </c>
      <c r="I80" s="22">
        <v>1</v>
      </c>
      <c r="J80" s="22">
        <v>1</v>
      </c>
      <c r="K80" s="22">
        <v>1</v>
      </c>
      <c r="L80" s="21">
        <v>2712</v>
      </c>
      <c r="M80" s="21">
        <v>2850</v>
      </c>
      <c r="N80" s="21">
        <v>2848</v>
      </c>
      <c r="O80" s="21">
        <v>2792</v>
      </c>
      <c r="P80" s="21">
        <v>2866</v>
      </c>
      <c r="Q80" s="22">
        <v>1</v>
      </c>
      <c r="R80" s="22">
        <v>1</v>
      </c>
      <c r="S80" s="22">
        <v>0.90700636942675161</v>
      </c>
      <c r="T80" s="22">
        <v>0.91271657404380513</v>
      </c>
      <c r="U80" s="22">
        <v>0.91390306122448983</v>
      </c>
      <c r="W80" s="21">
        <v>3961</v>
      </c>
      <c r="X80" s="21">
        <v>3355</v>
      </c>
      <c r="Y80" s="21">
        <v>2581</v>
      </c>
      <c r="Z80" s="21">
        <v>2698</v>
      </c>
      <c r="AA80" s="21">
        <v>3059</v>
      </c>
      <c r="AB80" s="22">
        <v>1</v>
      </c>
      <c r="AC80" s="22">
        <v>1</v>
      </c>
      <c r="AD80" s="22">
        <v>1</v>
      </c>
      <c r="AE80" s="22">
        <v>1</v>
      </c>
      <c r="AF80" s="22">
        <v>1</v>
      </c>
      <c r="AG80" s="21">
        <v>3961</v>
      </c>
      <c r="AH80" s="21">
        <v>3355</v>
      </c>
      <c r="AI80" s="21">
        <v>2581</v>
      </c>
      <c r="AJ80" s="21">
        <v>2698</v>
      </c>
      <c r="AK80" s="21">
        <v>2792</v>
      </c>
      <c r="AL80" s="22">
        <v>1</v>
      </c>
      <c r="AM80" s="22">
        <v>1</v>
      </c>
      <c r="AN80" s="22">
        <v>1</v>
      </c>
      <c r="AO80" s="22">
        <v>1</v>
      </c>
      <c r="AP80" s="22">
        <v>0.91271657404380513</v>
      </c>
      <c r="AQ80" s="37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</row>
    <row r="81" spans="1:55" s="19" customFormat="1" ht="12.75" x14ac:dyDescent="0.2">
      <c r="A81" s="18"/>
      <c r="AB81" s="20"/>
      <c r="AC81" s="20"/>
      <c r="AD81" s="20"/>
      <c r="AE81" s="20"/>
      <c r="AF81" s="20"/>
      <c r="AL81" s="20"/>
      <c r="AM81" s="20"/>
      <c r="AN81" s="20"/>
      <c r="AO81" s="20"/>
      <c r="AP81" s="20"/>
      <c r="AQ81" s="37"/>
    </row>
    <row r="82" spans="1:55" s="19" customFormat="1" ht="12.75" x14ac:dyDescent="0.2">
      <c r="A82" s="9" t="s">
        <v>68</v>
      </c>
      <c r="B82" s="9" t="s">
        <v>10</v>
      </c>
      <c r="C82" s="9" t="s">
        <v>11</v>
      </c>
      <c r="D82" s="9" t="s">
        <v>12</v>
      </c>
      <c r="E82" s="9" t="s">
        <v>164</v>
      </c>
      <c r="F82" s="9" t="s">
        <v>195</v>
      </c>
      <c r="G82" s="9" t="s">
        <v>10</v>
      </c>
      <c r="H82" s="9" t="s">
        <v>11</v>
      </c>
      <c r="I82" s="9" t="s">
        <v>12</v>
      </c>
      <c r="J82" s="9" t="s">
        <v>164</v>
      </c>
      <c r="K82" s="9" t="s">
        <v>195</v>
      </c>
      <c r="L82" s="9" t="s">
        <v>10</v>
      </c>
      <c r="M82" s="9" t="s">
        <v>11</v>
      </c>
      <c r="N82" s="9" t="s">
        <v>12</v>
      </c>
      <c r="O82" s="9" t="s">
        <v>164</v>
      </c>
      <c r="P82" s="9" t="s">
        <v>195</v>
      </c>
      <c r="Q82" s="9" t="s">
        <v>10</v>
      </c>
      <c r="R82" s="9" t="s">
        <v>11</v>
      </c>
      <c r="S82" s="9" t="s">
        <v>12</v>
      </c>
      <c r="T82" s="9" t="s">
        <v>164</v>
      </c>
      <c r="U82" s="9" t="s">
        <v>195</v>
      </c>
      <c r="V82" s="9"/>
      <c r="W82" s="9" t="s">
        <v>13</v>
      </c>
      <c r="X82" s="9" t="s">
        <v>14</v>
      </c>
      <c r="Y82" s="9" t="s">
        <v>15</v>
      </c>
      <c r="Z82" s="9" t="s">
        <v>16</v>
      </c>
      <c r="AA82" s="9" t="s">
        <v>165</v>
      </c>
      <c r="AB82" s="9" t="s">
        <v>13</v>
      </c>
      <c r="AC82" s="9" t="s">
        <v>14</v>
      </c>
      <c r="AD82" s="9" t="s">
        <v>15</v>
      </c>
      <c r="AE82" s="9" t="s">
        <v>16</v>
      </c>
      <c r="AF82" s="9" t="s">
        <v>165</v>
      </c>
      <c r="AG82" s="9" t="s">
        <v>13</v>
      </c>
      <c r="AH82" s="9" t="s">
        <v>14</v>
      </c>
      <c r="AI82" s="9" t="s">
        <v>15</v>
      </c>
      <c r="AJ82" s="9" t="s">
        <v>16</v>
      </c>
      <c r="AK82" s="9" t="s">
        <v>165</v>
      </c>
      <c r="AL82" s="9" t="s">
        <v>13</v>
      </c>
      <c r="AM82" s="9" t="s">
        <v>14</v>
      </c>
      <c r="AN82" s="9" t="s">
        <v>15</v>
      </c>
      <c r="AO82" s="9" t="s">
        <v>16</v>
      </c>
      <c r="AP82" s="9" t="s">
        <v>165</v>
      </c>
      <c r="AQ82" s="37"/>
    </row>
    <row r="83" spans="1:55" s="19" customFormat="1" ht="12.75" x14ac:dyDescent="0.2">
      <c r="A83" s="18" t="s">
        <v>43</v>
      </c>
      <c r="B83" s="19">
        <v>280</v>
      </c>
      <c r="C83" s="19">
        <v>298</v>
      </c>
      <c r="D83" s="19">
        <v>442</v>
      </c>
      <c r="E83" s="19">
        <v>416</v>
      </c>
      <c r="F83" s="19">
        <v>420</v>
      </c>
      <c r="G83" s="20">
        <v>0.50909090909090904</v>
      </c>
      <c r="H83" s="20">
        <v>0.52743362831858409</v>
      </c>
      <c r="I83" s="20">
        <v>0.52807646356033455</v>
      </c>
      <c r="J83" s="20">
        <v>0.48598130841121495</v>
      </c>
      <c r="K83" s="20">
        <v>0.49237983587338802</v>
      </c>
      <c r="L83" s="19">
        <v>280</v>
      </c>
      <c r="M83" s="19">
        <v>298</v>
      </c>
      <c r="N83" s="19">
        <v>304</v>
      </c>
      <c r="O83" s="19">
        <v>295</v>
      </c>
      <c r="P83" s="19">
        <v>302</v>
      </c>
      <c r="Q83" s="20">
        <v>1</v>
      </c>
      <c r="R83" s="20">
        <v>1</v>
      </c>
      <c r="S83" s="20">
        <v>0.68778280542986425</v>
      </c>
      <c r="T83" s="20">
        <v>0.70913461538461542</v>
      </c>
      <c r="U83" s="20">
        <v>0.71904761904761905</v>
      </c>
      <c r="W83" s="19">
        <v>0</v>
      </c>
      <c r="X83" s="19">
        <v>130</v>
      </c>
      <c r="Y83" s="19">
        <v>255</v>
      </c>
      <c r="Z83" s="19">
        <v>279</v>
      </c>
      <c r="AA83" s="19">
        <v>416</v>
      </c>
      <c r="AB83" s="20">
        <v>0</v>
      </c>
      <c r="AC83" s="20">
        <v>0.45774647887323944</v>
      </c>
      <c r="AD83" s="20">
        <v>0.57046979865771807</v>
      </c>
      <c r="AE83" s="20">
        <v>0.50912408759124084</v>
      </c>
      <c r="AF83" s="20">
        <v>0.48598130841121495</v>
      </c>
      <c r="AG83" s="19">
        <v>0</v>
      </c>
      <c r="AH83" s="19">
        <v>130</v>
      </c>
      <c r="AI83" s="19">
        <v>255</v>
      </c>
      <c r="AJ83" s="19">
        <v>279</v>
      </c>
      <c r="AK83" s="19">
        <v>295</v>
      </c>
      <c r="AL83" s="20">
        <v>0</v>
      </c>
      <c r="AM83" s="20">
        <v>1</v>
      </c>
      <c r="AN83" s="20">
        <v>1</v>
      </c>
      <c r="AO83" s="20">
        <v>1</v>
      </c>
      <c r="AP83" s="20">
        <v>0.70913461538461542</v>
      </c>
      <c r="AQ83" s="37"/>
    </row>
    <row r="84" spans="1:55" s="19" customFormat="1" ht="12.75" x14ac:dyDescent="0.2">
      <c r="A84" s="18" t="s">
        <v>19</v>
      </c>
      <c r="B84" s="19">
        <v>266</v>
      </c>
      <c r="C84" s="19">
        <v>263</v>
      </c>
      <c r="D84" s="19">
        <v>387</v>
      </c>
      <c r="E84" s="19">
        <v>406</v>
      </c>
      <c r="F84" s="19">
        <v>398</v>
      </c>
      <c r="G84" s="20">
        <v>0.48363636363636364</v>
      </c>
      <c r="H84" s="20">
        <v>0.46548672566371679</v>
      </c>
      <c r="I84" s="20">
        <v>0.46236559139784944</v>
      </c>
      <c r="J84" s="20">
        <v>0.47429906542056077</v>
      </c>
      <c r="K84" s="20">
        <v>0.46658851113716293</v>
      </c>
      <c r="L84" s="19">
        <v>266</v>
      </c>
      <c r="M84" s="19">
        <v>263</v>
      </c>
      <c r="N84" s="19">
        <v>236</v>
      </c>
      <c r="O84" s="19">
        <v>242</v>
      </c>
      <c r="P84" s="19">
        <v>244</v>
      </c>
      <c r="Q84" s="20">
        <v>1</v>
      </c>
      <c r="R84" s="20">
        <v>1</v>
      </c>
      <c r="S84" s="20">
        <v>0.60981912144702843</v>
      </c>
      <c r="T84" s="20">
        <v>0.59605911330049266</v>
      </c>
      <c r="U84" s="20">
        <v>0.61306532663316582</v>
      </c>
      <c r="W84" s="19">
        <v>0</v>
      </c>
      <c r="X84" s="19">
        <v>142</v>
      </c>
      <c r="Y84" s="19">
        <v>192</v>
      </c>
      <c r="Z84" s="19">
        <v>269</v>
      </c>
      <c r="AA84" s="19">
        <v>406</v>
      </c>
      <c r="AB84" s="20">
        <v>0</v>
      </c>
      <c r="AC84" s="20">
        <v>0.5</v>
      </c>
      <c r="AD84" s="20">
        <v>0.42953020134228187</v>
      </c>
      <c r="AE84" s="20">
        <v>0.49087591240875911</v>
      </c>
      <c r="AF84" s="20">
        <v>0.47429906542056077</v>
      </c>
      <c r="AG84" s="19">
        <v>0</v>
      </c>
      <c r="AH84" s="19">
        <v>142</v>
      </c>
      <c r="AI84" s="19">
        <v>192</v>
      </c>
      <c r="AJ84" s="19">
        <v>269</v>
      </c>
      <c r="AK84" s="19">
        <v>242</v>
      </c>
      <c r="AL84" s="20">
        <v>0</v>
      </c>
      <c r="AM84" s="20">
        <v>1</v>
      </c>
      <c r="AN84" s="20">
        <v>1</v>
      </c>
      <c r="AO84" s="20">
        <v>1</v>
      </c>
      <c r="AP84" s="20">
        <v>0.59605911330049266</v>
      </c>
      <c r="AQ84" s="37"/>
    </row>
    <row r="85" spans="1:55" s="19" customFormat="1" ht="12.75" x14ac:dyDescent="0.2">
      <c r="A85" s="18" t="s">
        <v>76</v>
      </c>
      <c r="B85" s="19">
        <v>4</v>
      </c>
      <c r="C85" s="19">
        <v>4</v>
      </c>
      <c r="D85" s="19">
        <v>8</v>
      </c>
      <c r="E85" s="19">
        <v>34</v>
      </c>
      <c r="F85" s="19">
        <v>35</v>
      </c>
      <c r="G85" s="20">
        <v>7.2727272727272727E-3</v>
      </c>
      <c r="H85" s="20">
        <v>7.0796460176991149E-3</v>
      </c>
      <c r="I85" s="20">
        <v>9.557945041816009E-3</v>
      </c>
      <c r="J85" s="20">
        <v>3.9719626168224297E-2</v>
      </c>
      <c r="K85" s="20">
        <v>4.1031652989449004E-2</v>
      </c>
      <c r="L85" s="19">
        <v>4</v>
      </c>
      <c r="M85" s="19">
        <v>4</v>
      </c>
      <c r="N85" s="19">
        <v>8</v>
      </c>
      <c r="O85" s="19">
        <v>34</v>
      </c>
      <c r="P85" s="19">
        <v>35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W85" s="19">
        <v>0</v>
      </c>
      <c r="X85" s="19">
        <v>12</v>
      </c>
      <c r="Y85" s="19">
        <v>0</v>
      </c>
      <c r="Z85" s="19">
        <v>0</v>
      </c>
      <c r="AA85" s="19">
        <v>34</v>
      </c>
      <c r="AB85" s="20">
        <v>0</v>
      </c>
      <c r="AC85" s="20">
        <v>4.2253521126760563E-2</v>
      </c>
      <c r="AD85" s="20">
        <v>0</v>
      </c>
      <c r="AE85" s="20">
        <v>0</v>
      </c>
      <c r="AF85" s="20">
        <v>3.9719626168224297E-2</v>
      </c>
      <c r="AG85" s="19">
        <v>0</v>
      </c>
      <c r="AH85" s="19">
        <v>12</v>
      </c>
      <c r="AI85" s="19">
        <v>0</v>
      </c>
      <c r="AJ85" s="19">
        <v>0</v>
      </c>
      <c r="AK85" s="19">
        <v>34</v>
      </c>
      <c r="AL85" s="20">
        <v>0</v>
      </c>
      <c r="AM85" s="20">
        <v>1</v>
      </c>
      <c r="AN85" s="20">
        <v>0</v>
      </c>
      <c r="AO85" s="20">
        <v>0</v>
      </c>
      <c r="AP85" s="20">
        <v>1</v>
      </c>
      <c r="AQ85" s="37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</row>
    <row r="86" spans="1:55" s="21" customFormat="1" ht="12.75" x14ac:dyDescent="0.2">
      <c r="A86" s="29" t="s">
        <v>77</v>
      </c>
      <c r="B86" s="21">
        <v>550</v>
      </c>
      <c r="C86" s="21">
        <v>565</v>
      </c>
      <c r="D86" s="21">
        <v>837</v>
      </c>
      <c r="E86" s="21">
        <v>856</v>
      </c>
      <c r="F86" s="21">
        <v>853</v>
      </c>
      <c r="G86" s="22">
        <v>1</v>
      </c>
      <c r="H86" s="22">
        <v>1</v>
      </c>
      <c r="I86" s="22">
        <v>1</v>
      </c>
      <c r="J86" s="22">
        <v>1</v>
      </c>
      <c r="K86" s="22">
        <v>1</v>
      </c>
      <c r="L86" s="21">
        <v>550</v>
      </c>
      <c r="M86" s="21">
        <v>565</v>
      </c>
      <c r="N86" s="21">
        <v>548</v>
      </c>
      <c r="O86" s="21">
        <v>571</v>
      </c>
      <c r="P86" s="21">
        <v>581</v>
      </c>
      <c r="Q86" s="22">
        <v>1</v>
      </c>
      <c r="R86" s="22">
        <v>1</v>
      </c>
      <c r="S86" s="22">
        <v>0.65471923536439669</v>
      </c>
      <c r="T86" s="22">
        <v>0.66705607476635509</v>
      </c>
      <c r="U86" s="22">
        <v>0.6811254396248535</v>
      </c>
      <c r="W86" s="21">
        <v>0</v>
      </c>
      <c r="X86" s="21">
        <v>284</v>
      </c>
      <c r="Y86" s="21">
        <v>447</v>
      </c>
      <c r="Z86" s="21">
        <v>548</v>
      </c>
      <c r="AA86" s="21">
        <v>856</v>
      </c>
      <c r="AB86" s="22">
        <v>0</v>
      </c>
      <c r="AC86" s="22">
        <v>1</v>
      </c>
      <c r="AD86" s="22">
        <v>1</v>
      </c>
      <c r="AE86" s="22">
        <v>1</v>
      </c>
      <c r="AF86" s="22">
        <v>1</v>
      </c>
      <c r="AG86" s="21">
        <v>0</v>
      </c>
      <c r="AH86" s="21">
        <v>284</v>
      </c>
      <c r="AI86" s="21">
        <v>447</v>
      </c>
      <c r="AJ86" s="21">
        <v>548</v>
      </c>
      <c r="AK86" s="21">
        <v>571</v>
      </c>
      <c r="AL86" s="22">
        <v>0</v>
      </c>
      <c r="AM86" s="22">
        <v>1</v>
      </c>
      <c r="AN86" s="22">
        <v>1</v>
      </c>
      <c r="AO86" s="22">
        <v>1</v>
      </c>
      <c r="AP86" s="22">
        <v>0.66705607476635509</v>
      </c>
      <c r="AQ86" s="37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</row>
    <row r="87" spans="1:55" s="19" customFormat="1" ht="12.75" x14ac:dyDescent="0.2">
      <c r="A87" s="18"/>
      <c r="AB87" s="20"/>
      <c r="AC87" s="20"/>
      <c r="AD87" s="20"/>
      <c r="AE87" s="20"/>
      <c r="AF87" s="20"/>
      <c r="AL87" s="20"/>
      <c r="AM87" s="20"/>
      <c r="AN87" s="20"/>
      <c r="AO87" s="20"/>
      <c r="AP87" s="20"/>
      <c r="AQ87" s="37"/>
    </row>
    <row r="88" spans="1:55" s="19" customFormat="1" ht="12.75" x14ac:dyDescent="0.2">
      <c r="A88" s="9" t="s">
        <v>70</v>
      </c>
      <c r="B88" s="9" t="s">
        <v>10</v>
      </c>
      <c r="C88" s="9" t="s">
        <v>11</v>
      </c>
      <c r="D88" s="9" t="s">
        <v>12</v>
      </c>
      <c r="E88" s="9" t="s">
        <v>164</v>
      </c>
      <c r="F88" s="9" t="s">
        <v>195</v>
      </c>
      <c r="G88" s="9" t="s">
        <v>10</v>
      </c>
      <c r="H88" s="9" t="s">
        <v>11</v>
      </c>
      <c r="I88" s="9" t="s">
        <v>12</v>
      </c>
      <c r="J88" s="9" t="s">
        <v>164</v>
      </c>
      <c r="K88" s="9" t="s">
        <v>195</v>
      </c>
      <c r="L88" s="9" t="s">
        <v>10</v>
      </c>
      <c r="M88" s="9" t="s">
        <v>11</v>
      </c>
      <c r="N88" s="9" t="s">
        <v>12</v>
      </c>
      <c r="O88" s="9" t="s">
        <v>164</v>
      </c>
      <c r="P88" s="9" t="s">
        <v>195</v>
      </c>
      <c r="Q88" s="9" t="s">
        <v>10</v>
      </c>
      <c r="R88" s="9" t="s">
        <v>11</v>
      </c>
      <c r="S88" s="9" t="s">
        <v>12</v>
      </c>
      <c r="T88" s="9" t="s">
        <v>164</v>
      </c>
      <c r="U88" s="9" t="s">
        <v>195</v>
      </c>
      <c r="V88" s="9"/>
      <c r="W88" s="9" t="s">
        <v>13</v>
      </c>
      <c r="X88" s="9" t="s">
        <v>14</v>
      </c>
      <c r="Y88" s="9" t="s">
        <v>15</v>
      </c>
      <c r="Z88" s="9" t="s">
        <v>16</v>
      </c>
      <c r="AA88" s="9" t="s">
        <v>165</v>
      </c>
      <c r="AB88" s="9" t="s">
        <v>13</v>
      </c>
      <c r="AC88" s="9" t="s">
        <v>14</v>
      </c>
      <c r="AD88" s="9" t="s">
        <v>15</v>
      </c>
      <c r="AE88" s="9" t="s">
        <v>16</v>
      </c>
      <c r="AF88" s="9" t="s">
        <v>165</v>
      </c>
      <c r="AG88" s="9" t="s">
        <v>13</v>
      </c>
      <c r="AH88" s="9" t="s">
        <v>14</v>
      </c>
      <c r="AI88" s="9" t="s">
        <v>15</v>
      </c>
      <c r="AJ88" s="9" t="s">
        <v>16</v>
      </c>
      <c r="AK88" s="9" t="s">
        <v>165</v>
      </c>
      <c r="AL88" s="9" t="s">
        <v>13</v>
      </c>
      <c r="AM88" s="9" t="s">
        <v>14</v>
      </c>
      <c r="AN88" s="9" t="s">
        <v>15</v>
      </c>
      <c r="AO88" s="9" t="s">
        <v>16</v>
      </c>
      <c r="AP88" s="9" t="s">
        <v>165</v>
      </c>
      <c r="AQ88" s="37"/>
    </row>
    <row r="89" spans="1:55" s="19" customFormat="1" ht="12.75" x14ac:dyDescent="0.2">
      <c r="A89" s="18" t="s">
        <v>19</v>
      </c>
      <c r="B89" s="19">
        <v>206</v>
      </c>
      <c r="C89" s="19">
        <v>196</v>
      </c>
      <c r="D89" s="19">
        <v>188</v>
      </c>
      <c r="E89" s="19">
        <v>202</v>
      </c>
      <c r="F89" s="19">
        <v>202</v>
      </c>
      <c r="G89" s="20">
        <v>0.33881578947368424</v>
      </c>
      <c r="H89" s="20">
        <v>0.30434782608695654</v>
      </c>
      <c r="I89" s="20">
        <v>0.22926829268292684</v>
      </c>
      <c r="J89" s="20">
        <v>0.25634517766497461</v>
      </c>
      <c r="K89" s="20">
        <v>0.25634517766497461</v>
      </c>
      <c r="L89" s="19">
        <v>206</v>
      </c>
      <c r="M89" s="19">
        <v>196</v>
      </c>
      <c r="N89" s="19">
        <v>183</v>
      </c>
      <c r="O89" s="19">
        <v>195</v>
      </c>
      <c r="P89" s="19">
        <v>196</v>
      </c>
      <c r="Q89" s="20">
        <v>1</v>
      </c>
      <c r="R89" s="20">
        <v>1</v>
      </c>
      <c r="S89" s="20">
        <v>0.97340425531914898</v>
      </c>
      <c r="T89" s="20">
        <v>0.96534653465346532</v>
      </c>
      <c r="U89" s="20">
        <v>0.97029702970297027</v>
      </c>
      <c r="W89" s="19">
        <v>145</v>
      </c>
      <c r="X89" s="19">
        <v>92</v>
      </c>
      <c r="Y89" s="19">
        <v>204</v>
      </c>
      <c r="Z89" s="19">
        <v>236</v>
      </c>
      <c r="AA89" s="19">
        <v>202</v>
      </c>
      <c r="AB89" s="20">
        <v>0.39189189189189189</v>
      </c>
      <c r="AC89" s="20">
        <v>0.38655462184873951</v>
      </c>
      <c r="AD89" s="20">
        <v>0.41129032258064518</v>
      </c>
      <c r="AE89" s="20">
        <v>0.38373983739837397</v>
      </c>
      <c r="AF89" s="20">
        <v>0.25634517766497461</v>
      </c>
      <c r="AG89" s="19">
        <v>145</v>
      </c>
      <c r="AH89" s="19">
        <v>92</v>
      </c>
      <c r="AI89" s="19">
        <v>204</v>
      </c>
      <c r="AJ89" s="19">
        <v>236</v>
      </c>
      <c r="AK89" s="19">
        <v>195</v>
      </c>
      <c r="AL89" s="20">
        <v>1</v>
      </c>
      <c r="AM89" s="20">
        <v>1</v>
      </c>
      <c r="AN89" s="20">
        <v>1</v>
      </c>
      <c r="AO89" s="20">
        <v>1</v>
      </c>
      <c r="AP89" s="20">
        <v>0.96534653465346532</v>
      </c>
      <c r="AQ89" s="37"/>
    </row>
    <row r="90" spans="1:55" s="19" customFormat="1" ht="12.75" x14ac:dyDescent="0.2">
      <c r="A90" s="18" t="s">
        <v>43</v>
      </c>
      <c r="B90" s="19">
        <v>329</v>
      </c>
      <c r="C90" s="19">
        <v>372</v>
      </c>
      <c r="D90" s="19">
        <v>537</v>
      </c>
      <c r="E90" s="19">
        <v>490</v>
      </c>
      <c r="F90" s="19">
        <v>476</v>
      </c>
      <c r="G90" s="20">
        <v>0.54111842105263153</v>
      </c>
      <c r="H90" s="20">
        <v>0.57763975155279501</v>
      </c>
      <c r="I90" s="20">
        <v>0.65487804878048783</v>
      </c>
      <c r="J90" s="20">
        <v>0.62182741116751272</v>
      </c>
      <c r="K90" s="20">
        <v>0.60406091370558379</v>
      </c>
      <c r="L90" s="19">
        <v>329</v>
      </c>
      <c r="M90" s="19">
        <v>372</v>
      </c>
      <c r="N90" s="19">
        <v>369</v>
      </c>
      <c r="O90" s="19">
        <v>356</v>
      </c>
      <c r="P90" s="19">
        <v>356</v>
      </c>
      <c r="Q90" s="20">
        <v>1</v>
      </c>
      <c r="R90" s="20">
        <v>1</v>
      </c>
      <c r="S90" s="20">
        <v>0.68715083798882681</v>
      </c>
      <c r="T90" s="20">
        <v>0.72653061224489801</v>
      </c>
      <c r="U90" s="20">
        <v>0.74789915966386555</v>
      </c>
      <c r="W90" s="19">
        <v>180</v>
      </c>
      <c r="X90" s="19">
        <v>117</v>
      </c>
      <c r="Y90" s="19">
        <v>252</v>
      </c>
      <c r="Z90" s="19">
        <v>333</v>
      </c>
      <c r="AA90" s="19">
        <v>490</v>
      </c>
      <c r="AB90" s="20">
        <v>0.48648648648648651</v>
      </c>
      <c r="AC90" s="20">
        <v>0.49159663865546216</v>
      </c>
      <c r="AD90" s="20">
        <v>0.50806451612903225</v>
      </c>
      <c r="AE90" s="20">
        <v>0.54146341463414638</v>
      </c>
      <c r="AF90" s="20">
        <v>0.62182741116751272</v>
      </c>
      <c r="AG90" s="19">
        <v>180</v>
      </c>
      <c r="AH90" s="19">
        <v>117</v>
      </c>
      <c r="AI90" s="19">
        <v>252</v>
      </c>
      <c r="AJ90" s="19">
        <v>333</v>
      </c>
      <c r="AK90" s="19">
        <v>356</v>
      </c>
      <c r="AL90" s="20">
        <v>1</v>
      </c>
      <c r="AM90" s="20">
        <v>1</v>
      </c>
      <c r="AN90" s="20">
        <v>1</v>
      </c>
      <c r="AO90" s="20">
        <v>1</v>
      </c>
      <c r="AP90" s="20">
        <v>0.72653061224489801</v>
      </c>
      <c r="AQ90" s="37"/>
    </row>
    <row r="91" spans="1:55" s="19" customFormat="1" ht="12.75" x14ac:dyDescent="0.2">
      <c r="A91" s="18" t="s">
        <v>30</v>
      </c>
      <c r="B91" s="19">
        <v>51</v>
      </c>
      <c r="C91" s="19">
        <v>55</v>
      </c>
      <c r="D91" s="19">
        <v>62</v>
      </c>
      <c r="E91" s="19">
        <v>61</v>
      </c>
      <c r="F91" s="19">
        <v>72</v>
      </c>
      <c r="G91" s="20">
        <v>8.3881578947368418E-2</v>
      </c>
      <c r="H91" s="20">
        <v>8.5403726708074529E-2</v>
      </c>
      <c r="I91" s="20">
        <v>7.5609756097560973E-2</v>
      </c>
      <c r="J91" s="20">
        <v>7.7411167512690351E-2</v>
      </c>
      <c r="K91" s="20">
        <v>9.1370558375634514E-2</v>
      </c>
      <c r="L91" s="19">
        <v>51</v>
      </c>
      <c r="M91" s="19">
        <v>55</v>
      </c>
      <c r="N91" s="19">
        <v>58</v>
      </c>
      <c r="O91" s="19">
        <v>57</v>
      </c>
      <c r="P91" s="19">
        <v>68</v>
      </c>
      <c r="Q91" s="20">
        <v>1</v>
      </c>
      <c r="R91" s="20">
        <v>1</v>
      </c>
      <c r="S91" s="20">
        <v>0.93548387096774188</v>
      </c>
      <c r="T91" s="20">
        <v>0.93442622950819676</v>
      </c>
      <c r="U91" s="20">
        <v>0.94444444444444442</v>
      </c>
      <c r="W91" s="19">
        <v>42</v>
      </c>
      <c r="X91" s="19">
        <v>27</v>
      </c>
      <c r="Y91" s="19">
        <v>39</v>
      </c>
      <c r="Z91" s="19">
        <v>41</v>
      </c>
      <c r="AA91" s="19">
        <v>61</v>
      </c>
      <c r="AB91" s="20">
        <v>0.11351351351351352</v>
      </c>
      <c r="AC91" s="20">
        <v>0.1134453781512605</v>
      </c>
      <c r="AD91" s="20">
        <v>7.8629032258064516E-2</v>
      </c>
      <c r="AE91" s="20">
        <v>6.6666666666666666E-2</v>
      </c>
      <c r="AF91" s="20">
        <v>7.7411167512690351E-2</v>
      </c>
      <c r="AG91" s="19">
        <v>42</v>
      </c>
      <c r="AH91" s="19">
        <v>27</v>
      </c>
      <c r="AI91" s="19">
        <v>39</v>
      </c>
      <c r="AJ91" s="19">
        <v>41</v>
      </c>
      <c r="AK91" s="19">
        <v>57</v>
      </c>
      <c r="AL91" s="20">
        <v>1</v>
      </c>
      <c r="AM91" s="20">
        <v>1</v>
      </c>
      <c r="AN91" s="20">
        <v>1</v>
      </c>
      <c r="AO91" s="20">
        <v>1</v>
      </c>
      <c r="AP91" s="20">
        <v>0.93442622950819676</v>
      </c>
      <c r="AQ91" s="37"/>
    </row>
    <row r="92" spans="1:55" s="19" customFormat="1" ht="12.75" x14ac:dyDescent="0.2">
      <c r="A92" s="18" t="s">
        <v>76</v>
      </c>
      <c r="B92" s="19">
        <v>22</v>
      </c>
      <c r="C92" s="19">
        <v>21</v>
      </c>
      <c r="D92" s="19">
        <v>33</v>
      </c>
      <c r="E92" s="19">
        <v>35</v>
      </c>
      <c r="F92" s="19">
        <v>38</v>
      </c>
      <c r="G92" s="20">
        <v>3.6184210526315791E-2</v>
      </c>
      <c r="H92" s="20">
        <v>3.2608695652173912E-2</v>
      </c>
      <c r="I92" s="20">
        <v>4.0243902439024391E-2</v>
      </c>
      <c r="J92" s="20">
        <v>4.4416243654822336E-2</v>
      </c>
      <c r="K92" s="20">
        <v>4.8223350253807105E-2</v>
      </c>
      <c r="L92" s="19">
        <v>22</v>
      </c>
      <c r="M92" s="19">
        <v>21</v>
      </c>
      <c r="N92" s="19">
        <v>33</v>
      </c>
      <c r="O92" s="19">
        <v>35</v>
      </c>
      <c r="P92" s="19">
        <v>38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W92" s="19">
        <v>3</v>
      </c>
      <c r="X92" s="19">
        <v>2</v>
      </c>
      <c r="Y92" s="19">
        <v>1</v>
      </c>
      <c r="Z92" s="19">
        <v>5</v>
      </c>
      <c r="AA92" s="19">
        <v>35</v>
      </c>
      <c r="AB92" s="20">
        <v>8.1081081081081086E-3</v>
      </c>
      <c r="AC92" s="20">
        <v>8.4033613445378148E-3</v>
      </c>
      <c r="AD92" s="20">
        <v>2.0161290322580645E-3</v>
      </c>
      <c r="AE92" s="20">
        <v>8.130081300813009E-3</v>
      </c>
      <c r="AF92" s="20">
        <v>4.4416243654822336E-2</v>
      </c>
      <c r="AG92" s="19">
        <v>3</v>
      </c>
      <c r="AH92" s="19">
        <v>2</v>
      </c>
      <c r="AI92" s="19">
        <v>1</v>
      </c>
      <c r="AJ92" s="19">
        <v>5</v>
      </c>
      <c r="AK92" s="19">
        <v>35</v>
      </c>
      <c r="AL92" s="20">
        <v>1</v>
      </c>
      <c r="AM92" s="20">
        <v>1</v>
      </c>
      <c r="AN92" s="20">
        <v>1</v>
      </c>
      <c r="AO92" s="20">
        <v>1</v>
      </c>
      <c r="AP92" s="20">
        <v>1</v>
      </c>
      <c r="AQ92" s="37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</row>
    <row r="93" spans="1:55" s="21" customFormat="1" ht="12.75" x14ac:dyDescent="0.2">
      <c r="A93" s="29" t="s">
        <v>77</v>
      </c>
      <c r="B93" s="21">
        <v>608</v>
      </c>
      <c r="C93" s="21">
        <v>644</v>
      </c>
      <c r="D93" s="21">
        <v>820</v>
      </c>
      <c r="E93" s="21">
        <v>788</v>
      </c>
      <c r="F93" s="21">
        <v>788</v>
      </c>
      <c r="G93" s="22">
        <v>1</v>
      </c>
      <c r="H93" s="22">
        <v>1</v>
      </c>
      <c r="I93" s="22">
        <v>1</v>
      </c>
      <c r="J93" s="22">
        <v>1</v>
      </c>
      <c r="K93" s="22">
        <v>1</v>
      </c>
      <c r="L93" s="21">
        <v>608</v>
      </c>
      <c r="M93" s="21">
        <v>644</v>
      </c>
      <c r="N93" s="21">
        <v>643</v>
      </c>
      <c r="O93" s="21">
        <v>643</v>
      </c>
      <c r="P93" s="21">
        <v>658</v>
      </c>
      <c r="Q93" s="22">
        <v>1</v>
      </c>
      <c r="R93" s="22">
        <v>1</v>
      </c>
      <c r="S93" s="22">
        <v>0.78414634146341466</v>
      </c>
      <c r="T93" s="22">
        <v>0.81598984771573602</v>
      </c>
      <c r="U93" s="22">
        <v>0.8350253807106599</v>
      </c>
      <c r="W93" s="21">
        <v>370</v>
      </c>
      <c r="X93" s="21">
        <v>238</v>
      </c>
      <c r="Y93" s="21">
        <v>496</v>
      </c>
      <c r="Z93" s="21">
        <v>615</v>
      </c>
      <c r="AA93" s="21">
        <v>788</v>
      </c>
      <c r="AB93" s="22">
        <v>1</v>
      </c>
      <c r="AC93" s="22">
        <v>1</v>
      </c>
      <c r="AD93" s="22">
        <v>1</v>
      </c>
      <c r="AE93" s="22">
        <v>1</v>
      </c>
      <c r="AF93" s="22">
        <v>1</v>
      </c>
      <c r="AG93" s="21">
        <v>370</v>
      </c>
      <c r="AH93" s="21">
        <v>238</v>
      </c>
      <c r="AI93" s="21">
        <v>496</v>
      </c>
      <c r="AJ93" s="21">
        <v>615</v>
      </c>
      <c r="AK93" s="21">
        <v>643</v>
      </c>
      <c r="AL93" s="22">
        <v>1</v>
      </c>
      <c r="AM93" s="22">
        <v>1</v>
      </c>
      <c r="AN93" s="22">
        <v>1</v>
      </c>
      <c r="AO93" s="22">
        <v>1</v>
      </c>
      <c r="AP93" s="22">
        <v>0.81598984771573602</v>
      </c>
      <c r="AQ93" s="37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</row>
  </sheetData>
  <mergeCells count="8">
    <mergeCell ref="AG5:AK5"/>
    <mergeCell ref="AL5:AP5"/>
    <mergeCell ref="B5:F5"/>
    <mergeCell ref="G5:K5"/>
    <mergeCell ref="L5:P5"/>
    <mergeCell ref="Q5:U5"/>
    <mergeCell ref="W5:AA5"/>
    <mergeCell ref="AB5:AF5"/>
  </mergeCells>
  <conditionalFormatting sqref="A6">
    <cfRule type="duplicateValues" dxfId="16" priority="1"/>
  </conditionalFormatting>
  <dataValidations count="1">
    <dataValidation type="list" allowBlank="1" showInputMessage="1" showErrorMessage="1" sqref="A62:A64 A89:A91 A83:A84 A76:A78 A69:A71">
      <formula1>$A$16:$A$79</formula1>
    </dataValidation>
  </dataValidations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37"/>
  <sheetViews>
    <sheetView workbookViewId="0">
      <selection activeCell="C16" sqref="C16"/>
    </sheetView>
  </sheetViews>
  <sheetFormatPr defaultColWidth="8.7109375" defaultRowHeight="12.75" x14ac:dyDescent="0.2"/>
  <cols>
    <col min="1" max="2" width="8.7109375" style="19"/>
    <col min="3" max="14" width="11.5703125" style="125" customWidth="1"/>
    <col min="15" max="16384" width="8.7109375" style="19"/>
  </cols>
  <sheetData>
    <row r="1" spans="1:15" x14ac:dyDescent="0.2">
      <c r="B1" s="58" t="s">
        <v>153</v>
      </c>
    </row>
    <row r="3" spans="1:15" s="21" customFormat="1" ht="15.75" x14ac:dyDescent="0.25">
      <c r="B3" s="139" t="s">
        <v>162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</row>
    <row r="4" spans="1:15" x14ac:dyDescent="0.2">
      <c r="B4" s="21"/>
      <c r="I4" s="126"/>
    </row>
    <row r="5" spans="1:15" ht="12.75" customHeight="1" x14ac:dyDescent="0.2">
      <c r="B5" s="169" t="s">
        <v>154</v>
      </c>
      <c r="C5" s="169"/>
      <c r="D5" s="169"/>
      <c r="E5" s="169"/>
      <c r="F5" s="169"/>
      <c r="G5" s="169"/>
      <c r="H5" s="97"/>
      <c r="I5" s="169" t="s">
        <v>155</v>
      </c>
      <c r="J5" s="169"/>
      <c r="K5" s="169"/>
      <c r="L5" s="169"/>
      <c r="M5" s="169"/>
      <c r="N5" s="169"/>
    </row>
    <row r="6" spans="1:15" x14ac:dyDescent="0.2">
      <c r="A6" s="25"/>
      <c r="B6" s="61" t="s">
        <v>156</v>
      </c>
      <c r="C6" s="62" t="s">
        <v>68</v>
      </c>
      <c r="D6" s="62" t="s">
        <v>70</v>
      </c>
      <c r="E6" s="62" t="s">
        <v>64</v>
      </c>
      <c r="F6" s="62" t="s">
        <v>66</v>
      </c>
      <c r="G6" s="62" t="s">
        <v>157</v>
      </c>
      <c r="H6" s="111"/>
      <c r="I6" s="62" t="s">
        <v>156</v>
      </c>
      <c r="J6" s="62" t="s">
        <v>68</v>
      </c>
      <c r="K6" s="62" t="s">
        <v>70</v>
      </c>
      <c r="L6" s="62" t="s">
        <v>64</v>
      </c>
      <c r="M6" s="62" t="s">
        <v>66</v>
      </c>
      <c r="N6" s="111" t="s">
        <v>157</v>
      </c>
    </row>
    <row r="7" spans="1:15" ht="18.75" customHeight="1" x14ac:dyDescent="0.2">
      <c r="B7" s="59">
        <v>42979</v>
      </c>
      <c r="C7" s="127">
        <v>4.021245796619375E-2</v>
      </c>
      <c r="D7" s="127">
        <v>4.6409143231099147E-2</v>
      </c>
      <c r="E7" s="127">
        <v>1.8019155300639425E-2</v>
      </c>
      <c r="F7" s="127">
        <v>5.0974551311752644E-2</v>
      </c>
      <c r="G7" s="127">
        <v>7.4122057177848963E-2</v>
      </c>
      <c r="I7" s="128">
        <v>42979</v>
      </c>
      <c r="J7" s="127">
        <v>2.6098982515064702E-2</v>
      </c>
      <c r="K7" s="127">
        <v>3.3987664115885649E-2</v>
      </c>
      <c r="L7" s="127">
        <v>1.6508477661836867E-2</v>
      </c>
      <c r="M7" s="127">
        <v>4.2247712829366242E-2</v>
      </c>
      <c r="N7" s="127">
        <v>5.6860635258295794E-2</v>
      </c>
    </row>
    <row r="8" spans="1:15" ht="18.75" customHeight="1" x14ac:dyDescent="0.2">
      <c r="B8" s="59">
        <v>43070</v>
      </c>
      <c r="C8" s="127">
        <v>5.8645753989633453E-2</v>
      </c>
      <c r="D8" s="127">
        <v>4.7742226312236798E-2</v>
      </c>
      <c r="E8" s="127">
        <v>1.7085878155031632E-2</v>
      </c>
      <c r="F8" s="127">
        <v>5.3081307514906965E-2</v>
      </c>
      <c r="G8" s="127">
        <v>6.880155412877359E-2</v>
      </c>
      <c r="I8" s="128">
        <v>43070</v>
      </c>
      <c r="J8" s="127">
        <v>2.341017351589213E-2</v>
      </c>
      <c r="K8" s="127">
        <v>3.4902013559856886E-2</v>
      </c>
      <c r="L8" s="127">
        <v>1.7813103168165471E-2</v>
      </c>
      <c r="M8" s="127">
        <v>4.2439640847390762E-2</v>
      </c>
      <c r="N8" s="127">
        <v>5.747104368817494E-2</v>
      </c>
    </row>
    <row r="9" spans="1:15" ht="18.75" customHeight="1" x14ac:dyDescent="0.2">
      <c r="B9" s="59">
        <v>43160</v>
      </c>
      <c r="C9" s="127">
        <v>5.4474461305927847E-2</v>
      </c>
      <c r="D9" s="127">
        <v>5.3121976095691581E-2</v>
      </c>
      <c r="E9" s="127">
        <v>2.0301454059747846E-2</v>
      </c>
      <c r="F9" s="127">
        <v>4.9882203197598694E-2</v>
      </c>
      <c r="G9" s="127">
        <v>7.2199633502646077E-2</v>
      </c>
      <c r="I9" s="128">
        <v>43160</v>
      </c>
      <c r="J9" s="127">
        <v>2.4836991931651734E-2</v>
      </c>
      <c r="K9" s="127">
        <v>3.8298226625593207E-2</v>
      </c>
      <c r="L9" s="127">
        <v>1.9982112842213687E-2</v>
      </c>
      <c r="M9" s="127">
        <v>4.0275351554901861E-2</v>
      </c>
      <c r="N9" s="127">
        <v>5.8649746329962678E-2</v>
      </c>
    </row>
    <row r="10" spans="1:15" ht="18.75" customHeight="1" x14ac:dyDescent="0.2">
      <c r="B10" s="59">
        <v>43252</v>
      </c>
      <c r="C10" s="127">
        <v>5.6066240707430742E-2</v>
      </c>
      <c r="D10" s="127">
        <v>6.1200224575209496E-2</v>
      </c>
      <c r="E10" s="127">
        <v>1.7096462484412368E-2</v>
      </c>
      <c r="F10" s="127">
        <v>5.2171845239195963E-2</v>
      </c>
      <c r="G10" s="127">
        <v>7.9242211038407007E-2</v>
      </c>
      <c r="I10" s="128">
        <v>43252</v>
      </c>
      <c r="J10" s="127">
        <v>2.4554723485475563E-2</v>
      </c>
      <c r="K10" s="127">
        <v>3.8039855655411771E-2</v>
      </c>
      <c r="L10" s="127">
        <v>1.7324005760470787E-2</v>
      </c>
      <c r="M10" s="127">
        <v>4.1499332305985355E-2</v>
      </c>
      <c r="N10" s="127">
        <v>6.4971338178037366E-2</v>
      </c>
    </row>
    <row r="11" spans="1:15" ht="18.75" customHeight="1" x14ac:dyDescent="0.2">
      <c r="B11" s="59">
        <v>43344</v>
      </c>
      <c r="C11" s="127">
        <v>4.7503916140274154E-2</v>
      </c>
      <c r="D11" s="127">
        <v>5.4370505489068674E-2</v>
      </c>
      <c r="E11" s="127">
        <v>2.842745718191321E-2</v>
      </c>
      <c r="F11" s="127">
        <v>6.1462253747896017E-2</v>
      </c>
      <c r="G11" s="127">
        <v>9.1434941243701828E-2</v>
      </c>
      <c r="I11" s="128">
        <v>43344</v>
      </c>
      <c r="J11" s="127">
        <v>2.6065800547531756E-2</v>
      </c>
      <c r="K11" s="127">
        <v>4.2797992012018608E-2</v>
      </c>
      <c r="L11" s="127">
        <v>2.8588369827622716E-2</v>
      </c>
      <c r="M11" s="127">
        <v>4.4544756613093955E-2</v>
      </c>
      <c r="N11" s="127">
        <v>7.7451515077571295E-2</v>
      </c>
    </row>
    <row r="12" spans="1:15" ht="18.75" customHeight="1" x14ac:dyDescent="0.2">
      <c r="B12" s="59">
        <v>43435</v>
      </c>
      <c r="C12" s="127">
        <v>3.9310918433615512E-2</v>
      </c>
      <c r="D12" s="127">
        <v>4.5133486496570001E-2</v>
      </c>
      <c r="E12" s="127">
        <v>2.8507975826944844E-2</v>
      </c>
      <c r="F12" s="127">
        <v>5.1484669209182821E-2</v>
      </c>
      <c r="G12" s="127">
        <v>7.6016267687467429E-2</v>
      </c>
      <c r="I12" s="128">
        <f>B12</f>
        <v>43435</v>
      </c>
      <c r="J12" s="127">
        <v>2.4336251314532119E-2</v>
      </c>
      <c r="K12" s="127">
        <v>3.8489610656205098E-2</v>
      </c>
      <c r="L12" s="127">
        <v>3.0192146366795833E-2</v>
      </c>
      <c r="M12" s="127">
        <v>4.1732100314363446E-2</v>
      </c>
      <c r="N12" s="127">
        <v>6.9104972537194609E-2</v>
      </c>
    </row>
    <row r="13" spans="1:15" s="60" customFormat="1" ht="18.75" customHeight="1" x14ac:dyDescent="0.2">
      <c r="B13" s="59">
        <v>43525</v>
      </c>
      <c r="C13" s="127">
        <v>3.5447516915960466E-2</v>
      </c>
      <c r="D13" s="127">
        <v>4.6129066450373062E-2</v>
      </c>
      <c r="E13" s="127">
        <v>2.9302340371406766E-2</v>
      </c>
      <c r="F13" s="127">
        <v>4.7975729661247073E-2</v>
      </c>
      <c r="G13" s="127">
        <v>6.7944802429570225E-2</v>
      </c>
      <c r="H13" s="129"/>
      <c r="I13" s="128">
        <v>43525</v>
      </c>
      <c r="J13" s="127">
        <v>2.7243544617464022E-2</v>
      </c>
      <c r="K13" s="127">
        <v>3.2740820399063196E-2</v>
      </c>
      <c r="L13" s="127">
        <v>3.2481610835613101E-2</v>
      </c>
      <c r="M13" s="127">
        <v>3.8855807360221352E-2</v>
      </c>
      <c r="N13" s="127">
        <v>5.6310673117739095E-2</v>
      </c>
    </row>
    <row r="14" spans="1:15" ht="18.75" customHeight="1" x14ac:dyDescent="0.2">
      <c r="B14" s="59">
        <v>43617</v>
      </c>
      <c r="C14" s="127">
        <v>3.5441689066705646E-2</v>
      </c>
      <c r="D14" s="127">
        <v>4.7903378551759926E-2</v>
      </c>
      <c r="E14" s="127">
        <v>2.6422646172042898E-2</v>
      </c>
      <c r="F14" s="127">
        <v>4.6060572586149998E-2</v>
      </c>
      <c r="G14" s="127">
        <v>6.2700367788969341E-2</v>
      </c>
      <c r="I14" s="128">
        <f>B14</f>
        <v>43617</v>
      </c>
      <c r="J14" s="127">
        <v>2.3956248916298405E-2</v>
      </c>
      <c r="K14" s="127">
        <v>3.6070014306023329E-2</v>
      </c>
      <c r="L14" s="127">
        <v>2.8098458634790813E-2</v>
      </c>
      <c r="M14" s="127">
        <v>3.7141051172084744E-2</v>
      </c>
      <c r="N14" s="127">
        <v>5.5398033241247709E-2</v>
      </c>
    </row>
    <row r="15" spans="1:15" x14ac:dyDescent="0.2">
      <c r="B15" s="59"/>
      <c r="O15" s="162"/>
    </row>
    <row r="18" spans="1:12" x14ac:dyDescent="0.2">
      <c r="A18" s="136"/>
      <c r="B18" s="136"/>
      <c r="C18" s="137" t="s">
        <v>158</v>
      </c>
      <c r="D18" s="137"/>
      <c r="E18" s="137"/>
    </row>
    <row r="19" spans="1:12" x14ac:dyDescent="0.2">
      <c r="A19" s="136"/>
      <c r="B19" s="136"/>
      <c r="C19" s="138" t="s">
        <v>159</v>
      </c>
      <c r="D19" s="137"/>
      <c r="E19" s="137"/>
    </row>
    <row r="20" spans="1:12" x14ac:dyDescent="0.2">
      <c r="A20" s="136"/>
      <c r="B20" s="136"/>
      <c r="C20" s="138" t="s">
        <v>160</v>
      </c>
      <c r="D20" s="137"/>
      <c r="E20" s="137"/>
    </row>
    <row r="21" spans="1:12" x14ac:dyDescent="0.2">
      <c r="B21" s="59"/>
      <c r="C21" s="122"/>
      <c r="D21" s="122"/>
    </row>
    <row r="22" spans="1:12" x14ac:dyDescent="0.2">
      <c r="B22" s="59"/>
      <c r="C22" s="122"/>
      <c r="D22" s="122"/>
    </row>
    <row r="23" spans="1:12" x14ac:dyDescent="0.2">
      <c r="B23" s="59"/>
      <c r="C23" s="122"/>
      <c r="D23" s="122"/>
      <c r="I23" s="130"/>
      <c r="J23" s="130"/>
      <c r="K23" s="130"/>
      <c r="L23" s="130"/>
    </row>
    <row r="24" spans="1:12" x14ac:dyDescent="0.2">
      <c r="B24" s="59"/>
      <c r="C24" s="122"/>
      <c r="D24" s="122"/>
      <c r="H24" s="128"/>
      <c r="I24" s="131"/>
      <c r="J24" s="130"/>
      <c r="K24" s="130"/>
      <c r="L24" s="130"/>
    </row>
    <row r="25" spans="1:12" x14ac:dyDescent="0.2">
      <c r="B25" s="59"/>
      <c r="C25" s="122"/>
      <c r="D25" s="122"/>
      <c r="H25" s="128"/>
      <c r="I25" s="131"/>
      <c r="J25" s="130"/>
      <c r="K25" s="130"/>
      <c r="L25" s="130"/>
    </row>
    <row r="26" spans="1:12" x14ac:dyDescent="0.2">
      <c r="B26" s="59"/>
      <c r="C26" s="122"/>
      <c r="D26" s="122"/>
      <c r="H26" s="128"/>
      <c r="I26" s="132"/>
      <c r="J26" s="130"/>
      <c r="K26" s="130"/>
      <c r="L26" s="130"/>
    </row>
    <row r="27" spans="1:12" x14ac:dyDescent="0.2">
      <c r="B27" s="59"/>
      <c r="C27" s="122"/>
      <c r="D27" s="122"/>
      <c r="E27" s="133"/>
      <c r="H27" s="128"/>
      <c r="I27" s="132"/>
      <c r="J27" s="130"/>
      <c r="K27" s="130"/>
      <c r="L27" s="130"/>
    </row>
    <row r="28" spans="1:12" x14ac:dyDescent="0.2">
      <c r="B28" s="59"/>
      <c r="C28" s="122"/>
      <c r="D28" s="122"/>
      <c r="E28" s="133"/>
      <c r="H28" s="128"/>
      <c r="I28" s="132"/>
      <c r="J28" s="130"/>
      <c r="K28" s="130"/>
      <c r="L28" s="130"/>
    </row>
    <row r="29" spans="1:12" x14ac:dyDescent="0.2">
      <c r="B29" s="59"/>
      <c r="C29" s="122"/>
      <c r="D29" s="122"/>
      <c r="E29" s="133"/>
      <c r="H29" s="128"/>
      <c r="I29" s="132"/>
    </row>
    <row r="30" spans="1:12" x14ac:dyDescent="0.2">
      <c r="B30" s="59"/>
      <c r="C30" s="122"/>
      <c r="D30" s="122"/>
      <c r="E30" s="133"/>
      <c r="H30" s="128"/>
      <c r="I30" s="132"/>
    </row>
    <row r="31" spans="1:12" x14ac:dyDescent="0.2">
      <c r="B31" s="59"/>
      <c r="C31" s="123"/>
      <c r="D31" s="123"/>
      <c r="E31" s="133"/>
      <c r="H31" s="128"/>
      <c r="I31" s="132"/>
    </row>
    <row r="32" spans="1:12" x14ac:dyDescent="0.2">
      <c r="B32" s="59"/>
      <c r="C32" s="123"/>
      <c r="D32" s="123"/>
      <c r="E32" s="133"/>
      <c r="H32" s="128"/>
      <c r="I32" s="132"/>
    </row>
    <row r="33" spans="1:14" x14ac:dyDescent="0.2">
      <c r="B33" s="59"/>
      <c r="C33" s="123"/>
      <c r="D33" s="124"/>
      <c r="E33" s="133"/>
      <c r="H33" s="128"/>
      <c r="I33" s="132"/>
    </row>
    <row r="34" spans="1:14" s="60" customFormat="1" x14ac:dyDescent="0.2">
      <c r="A34" s="60" t="s">
        <v>161</v>
      </c>
      <c r="B34" s="59"/>
      <c r="C34" s="123"/>
      <c r="D34" s="124"/>
      <c r="E34" s="129"/>
      <c r="F34" s="129"/>
      <c r="G34" s="129"/>
      <c r="H34" s="134"/>
      <c r="I34" s="135"/>
      <c r="J34" s="129"/>
      <c r="K34" s="129"/>
      <c r="L34" s="129"/>
      <c r="M34" s="129"/>
      <c r="N34" s="129"/>
    </row>
    <row r="35" spans="1:14" x14ac:dyDescent="0.2">
      <c r="B35" s="59"/>
      <c r="C35" s="123"/>
      <c r="D35" s="124"/>
    </row>
    <row r="36" spans="1:14" x14ac:dyDescent="0.2">
      <c r="B36" s="59"/>
      <c r="C36" s="123"/>
      <c r="D36" s="124"/>
    </row>
    <row r="37" spans="1:14" x14ac:dyDescent="0.2">
      <c r="B37" s="59"/>
      <c r="C37" s="133"/>
      <c r="D37" s="133"/>
    </row>
  </sheetData>
  <mergeCells count="2">
    <mergeCell ref="B5:G5"/>
    <mergeCell ref="I5:N5"/>
  </mergeCells>
  <hyperlinks>
    <hyperlink ref="B1" location="Contents!A1" display="Back to Contents"/>
    <hyperlink ref="C19" r:id="rId1"/>
    <hyperlink ref="C20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D22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M4" sqref="AM4"/>
    </sheetView>
  </sheetViews>
  <sheetFormatPr defaultColWidth="8.7109375" defaultRowHeight="12.75" x14ac:dyDescent="0.2"/>
  <cols>
    <col min="1" max="1" width="26.42578125" style="19" customWidth="1"/>
    <col min="2" max="2" width="10" style="21" customWidth="1"/>
    <col min="3" max="5" width="10" style="19" customWidth="1"/>
    <col min="6" max="6" width="1.7109375" style="19" customWidth="1"/>
    <col min="7" max="9" width="10" style="20" customWidth="1"/>
    <col min="10" max="10" width="8.42578125" style="19" customWidth="1"/>
    <col min="11" max="11" width="10" style="21" customWidth="1"/>
    <col min="12" max="14" width="10" style="19" customWidth="1"/>
    <col min="15" max="15" width="1.7109375" style="19" customWidth="1"/>
    <col min="16" max="18" width="10" style="20" customWidth="1"/>
    <col min="19" max="19" width="8.42578125" style="19" customWidth="1"/>
    <col min="20" max="20" width="10" style="21" customWidth="1"/>
    <col min="21" max="23" width="10" style="19" customWidth="1"/>
    <col min="24" max="24" width="1.7109375" style="19" customWidth="1"/>
    <col min="25" max="27" width="10" style="20" customWidth="1"/>
    <col min="28" max="29" width="8.42578125" style="19" customWidth="1"/>
    <col min="30" max="30" width="10" style="21" customWidth="1"/>
    <col min="31" max="33" width="10" style="19" customWidth="1"/>
    <col min="34" max="34" width="1.7109375" style="19" customWidth="1"/>
    <col min="35" max="37" width="10" style="20" customWidth="1"/>
    <col min="38" max="38" width="8.85546875" style="19" customWidth="1"/>
    <col min="39" max="39" width="10" style="21" customWidth="1"/>
    <col min="40" max="42" width="10" style="19" customWidth="1"/>
    <col min="43" max="43" width="1.7109375" style="19" customWidth="1"/>
    <col min="44" max="46" width="10" style="20" customWidth="1"/>
    <col min="47" max="47" width="8.42578125" style="19" customWidth="1"/>
    <col min="48" max="48" width="10" style="21" customWidth="1"/>
    <col min="49" max="51" width="10" style="19" customWidth="1"/>
    <col min="52" max="52" width="1.7109375" style="19" customWidth="1"/>
    <col min="53" max="55" width="10" style="20" customWidth="1"/>
    <col min="56" max="16384" width="8.7109375" style="19"/>
  </cols>
  <sheetData>
    <row r="1" spans="1:55" x14ac:dyDescent="0.2">
      <c r="A1" s="30" t="s">
        <v>0</v>
      </c>
      <c r="B1" s="58" t="s">
        <v>153</v>
      </c>
      <c r="C1" s="4"/>
    </row>
    <row r="2" spans="1:55" x14ac:dyDescent="0.2">
      <c r="A2" s="42" t="s">
        <v>135</v>
      </c>
      <c r="B2" s="10"/>
      <c r="C2" s="4"/>
      <c r="G2" s="49"/>
      <c r="H2" s="49"/>
      <c r="I2" s="49"/>
      <c r="P2" s="49"/>
      <c r="Q2" s="49"/>
      <c r="R2" s="49"/>
      <c r="Y2" s="49"/>
      <c r="Z2" s="49"/>
      <c r="AA2" s="49"/>
      <c r="AI2" s="49"/>
      <c r="AJ2" s="49"/>
      <c r="AK2" s="49"/>
      <c r="AR2" s="49"/>
      <c r="AS2" s="49"/>
      <c r="AT2" s="49"/>
      <c r="BA2" s="49"/>
      <c r="BB2" s="49"/>
      <c r="BC2" s="49"/>
    </row>
    <row r="3" spans="1:55" s="21" customFormat="1" x14ac:dyDescent="0.2">
      <c r="A3" s="40"/>
      <c r="B3" s="104"/>
      <c r="C3" s="102"/>
      <c r="D3" s="102"/>
      <c r="E3" s="102"/>
      <c r="F3" s="102"/>
      <c r="G3" s="103"/>
      <c r="H3" s="103"/>
      <c r="I3" s="103"/>
      <c r="J3" s="102"/>
      <c r="K3" s="102"/>
      <c r="L3" s="102"/>
      <c r="M3" s="102"/>
      <c r="O3" s="102"/>
      <c r="P3" s="103"/>
      <c r="Q3" s="103"/>
      <c r="R3" s="103"/>
      <c r="X3" s="102"/>
      <c r="Y3" s="103"/>
      <c r="Z3" s="103"/>
      <c r="AA3" s="103"/>
      <c r="AD3" s="40" t="s">
        <v>195</v>
      </c>
      <c r="AH3" s="102"/>
      <c r="AI3" s="103"/>
      <c r="AJ3" s="103"/>
      <c r="AK3" s="103"/>
      <c r="AQ3" s="102"/>
      <c r="AR3" s="103"/>
      <c r="AS3" s="103"/>
      <c r="AT3" s="103"/>
      <c r="AZ3" s="102"/>
      <c r="BA3" s="103"/>
      <c r="BB3" s="103"/>
      <c r="BC3" s="103"/>
    </row>
    <row r="4" spans="1:55" s="25" customFormat="1" x14ac:dyDescent="0.2">
      <c r="A4" s="40" t="s">
        <v>195</v>
      </c>
      <c r="B4" s="25" t="s">
        <v>2</v>
      </c>
      <c r="G4" s="49"/>
      <c r="H4" s="49"/>
      <c r="I4" s="49"/>
      <c r="K4" s="25" t="s">
        <v>2</v>
      </c>
      <c r="P4" s="49"/>
      <c r="Q4" s="49"/>
      <c r="R4" s="49"/>
      <c r="T4" s="25" t="s">
        <v>2</v>
      </c>
      <c r="Y4" s="49"/>
      <c r="Z4" s="49"/>
      <c r="AA4" s="49"/>
      <c r="AD4" s="25" t="s">
        <v>92</v>
      </c>
      <c r="AI4" s="49"/>
      <c r="AJ4" s="49"/>
      <c r="AK4" s="49"/>
      <c r="AM4" s="25" t="s">
        <v>92</v>
      </c>
      <c r="AR4" s="49"/>
      <c r="AS4" s="49"/>
      <c r="AT4" s="49"/>
      <c r="AV4" s="25" t="s">
        <v>92</v>
      </c>
      <c r="BA4" s="49"/>
      <c r="BB4" s="49"/>
      <c r="BC4" s="49"/>
    </row>
    <row r="5" spans="1:55" s="21" customFormat="1" x14ac:dyDescent="0.2">
      <c r="A5" s="21" t="s">
        <v>4</v>
      </c>
      <c r="B5" s="171" t="s">
        <v>107</v>
      </c>
      <c r="C5" s="171"/>
      <c r="D5" s="171"/>
      <c r="E5" s="171"/>
      <c r="G5" s="170" t="s">
        <v>128</v>
      </c>
      <c r="H5" s="170"/>
      <c r="I5" s="170"/>
      <c r="K5" s="171" t="s">
        <v>108</v>
      </c>
      <c r="L5" s="171"/>
      <c r="M5" s="171"/>
      <c r="N5" s="171"/>
      <c r="P5" s="170" t="s">
        <v>129</v>
      </c>
      <c r="Q5" s="170"/>
      <c r="R5" s="170"/>
      <c r="T5" s="21" t="s">
        <v>109</v>
      </c>
      <c r="Y5" s="170" t="s">
        <v>130</v>
      </c>
      <c r="Z5" s="170"/>
      <c r="AA5" s="170"/>
      <c r="AD5" s="21" t="s">
        <v>107</v>
      </c>
      <c r="AI5" s="170" t="s">
        <v>128</v>
      </c>
      <c r="AJ5" s="170"/>
      <c r="AK5" s="170"/>
      <c r="AM5" s="39" t="s">
        <v>108</v>
      </c>
      <c r="AR5" s="170" t="s">
        <v>129</v>
      </c>
      <c r="AS5" s="170"/>
      <c r="AT5" s="170"/>
      <c r="AV5" s="21" t="s">
        <v>109</v>
      </c>
      <c r="BA5" s="170" t="s">
        <v>130</v>
      </c>
      <c r="BB5" s="170"/>
      <c r="BC5" s="170"/>
    </row>
    <row r="6" spans="1:55" s="25" customFormat="1" x14ac:dyDescent="0.2">
      <c r="A6" s="9" t="s">
        <v>9</v>
      </c>
      <c r="B6" s="25" t="s">
        <v>77</v>
      </c>
      <c r="C6" s="25" t="s">
        <v>105</v>
      </c>
      <c r="D6" s="25" t="s">
        <v>106</v>
      </c>
      <c r="E6" s="25" t="s">
        <v>114</v>
      </c>
      <c r="G6" s="49" t="s">
        <v>105</v>
      </c>
      <c r="H6" s="49" t="s">
        <v>106</v>
      </c>
      <c r="I6" s="49" t="s">
        <v>114</v>
      </c>
      <c r="K6" s="25" t="s">
        <v>77</v>
      </c>
      <c r="L6" s="25" t="s">
        <v>105</v>
      </c>
      <c r="M6" s="25" t="s">
        <v>106</v>
      </c>
      <c r="N6" s="25" t="s">
        <v>114</v>
      </c>
      <c r="P6" s="49" t="s">
        <v>105</v>
      </c>
      <c r="Q6" s="49" t="s">
        <v>106</v>
      </c>
      <c r="R6" s="49" t="s">
        <v>114</v>
      </c>
      <c r="T6" s="25" t="s">
        <v>77</v>
      </c>
      <c r="U6" s="25" t="s">
        <v>105</v>
      </c>
      <c r="V6" s="25" t="s">
        <v>106</v>
      </c>
      <c r="W6" s="25" t="s">
        <v>114</v>
      </c>
      <c r="Y6" s="49" t="s">
        <v>105</v>
      </c>
      <c r="Z6" s="49" t="s">
        <v>106</v>
      </c>
      <c r="AA6" s="49" t="s">
        <v>114</v>
      </c>
      <c r="AD6" s="25" t="s">
        <v>77</v>
      </c>
      <c r="AE6" s="25" t="s">
        <v>105</v>
      </c>
      <c r="AF6" s="25" t="s">
        <v>106</v>
      </c>
      <c r="AG6" s="25" t="s">
        <v>114</v>
      </c>
      <c r="AI6" s="49" t="s">
        <v>105</v>
      </c>
      <c r="AJ6" s="49" t="s">
        <v>106</v>
      </c>
      <c r="AK6" s="49" t="s">
        <v>114</v>
      </c>
      <c r="AM6" s="25" t="s">
        <v>77</v>
      </c>
      <c r="AN6" s="25" t="s">
        <v>105</v>
      </c>
      <c r="AO6" s="25" t="s">
        <v>106</v>
      </c>
      <c r="AP6" s="25" t="s">
        <v>114</v>
      </c>
      <c r="AR6" s="49" t="s">
        <v>105</v>
      </c>
      <c r="AS6" s="49" t="s">
        <v>106</v>
      </c>
      <c r="AT6" s="49" t="s">
        <v>114</v>
      </c>
      <c r="AV6" s="25" t="s">
        <v>77</v>
      </c>
      <c r="AW6" s="25" t="s">
        <v>105</v>
      </c>
      <c r="AX6" s="25" t="s">
        <v>106</v>
      </c>
      <c r="AY6" s="25" t="s">
        <v>114</v>
      </c>
      <c r="BA6" s="49" t="s">
        <v>105</v>
      </c>
      <c r="BB6" s="49" t="s">
        <v>106</v>
      </c>
      <c r="BC6" s="49" t="s">
        <v>114</v>
      </c>
    </row>
    <row r="7" spans="1:55" s="51" customFormat="1" x14ac:dyDescent="0.2">
      <c r="A7" s="50" t="s">
        <v>17</v>
      </c>
      <c r="B7" s="27">
        <v>14479</v>
      </c>
      <c r="C7" s="51">
        <v>13798</v>
      </c>
      <c r="D7" s="51">
        <v>538</v>
      </c>
      <c r="E7" s="51">
        <v>143</v>
      </c>
      <c r="G7" s="52">
        <v>0.9529663650804614</v>
      </c>
      <c r="H7" s="52">
        <v>3.7157262241867529E-2</v>
      </c>
      <c r="I7" s="52">
        <v>9.8763726776711098E-3</v>
      </c>
      <c r="K7" s="27">
        <v>1772</v>
      </c>
      <c r="L7" s="51">
        <v>1605</v>
      </c>
      <c r="M7" s="51">
        <v>115</v>
      </c>
      <c r="N7" s="51">
        <v>52</v>
      </c>
      <c r="P7" s="52">
        <v>0.90575620767494358</v>
      </c>
      <c r="Q7" s="52">
        <v>6.4898419864559825E-2</v>
      </c>
      <c r="R7" s="52">
        <v>2.9345372460496615E-2</v>
      </c>
      <c r="T7" s="27">
        <v>34</v>
      </c>
      <c r="U7" s="51">
        <v>34</v>
      </c>
      <c r="V7" s="51">
        <v>0</v>
      </c>
      <c r="W7" s="51">
        <v>0</v>
      </c>
      <c r="Y7" s="52">
        <v>1</v>
      </c>
      <c r="Z7" s="52">
        <v>0</v>
      </c>
      <c r="AA7" s="52">
        <v>0</v>
      </c>
      <c r="AD7" s="27">
        <v>0</v>
      </c>
      <c r="AE7" s="51">
        <v>0</v>
      </c>
      <c r="AF7" s="51">
        <v>0</v>
      </c>
      <c r="AG7" s="51">
        <v>0</v>
      </c>
      <c r="AI7" s="52">
        <v>0</v>
      </c>
      <c r="AJ7" s="52">
        <v>0</v>
      </c>
      <c r="AK7" s="52">
        <v>0</v>
      </c>
      <c r="AM7" s="27">
        <v>0</v>
      </c>
      <c r="AN7" s="51">
        <v>0</v>
      </c>
      <c r="AO7" s="51">
        <v>0</v>
      </c>
      <c r="AP7" s="51">
        <v>0</v>
      </c>
      <c r="AR7" s="52">
        <v>0</v>
      </c>
      <c r="AS7" s="52">
        <v>0</v>
      </c>
      <c r="AT7" s="52">
        <v>0</v>
      </c>
      <c r="AV7" s="27">
        <v>0</v>
      </c>
      <c r="AW7" s="51">
        <v>0</v>
      </c>
      <c r="AX7" s="51">
        <v>0</v>
      </c>
      <c r="AY7" s="51">
        <v>0</v>
      </c>
      <c r="BA7" s="52">
        <v>0</v>
      </c>
      <c r="BB7" s="52">
        <v>0</v>
      </c>
      <c r="BC7" s="52">
        <v>0</v>
      </c>
    </row>
    <row r="8" spans="1:55" s="51" customFormat="1" x14ac:dyDescent="0.2">
      <c r="A8" s="50" t="s">
        <v>18</v>
      </c>
      <c r="B8" s="27">
        <v>170389</v>
      </c>
      <c r="C8" s="51">
        <v>85596</v>
      </c>
      <c r="D8" s="51">
        <v>84793</v>
      </c>
      <c r="E8" s="51">
        <v>0</v>
      </c>
      <c r="G8" s="52">
        <v>0.50235637277054268</v>
      </c>
      <c r="H8" s="52">
        <v>0.49764362722945732</v>
      </c>
      <c r="I8" s="52">
        <v>0</v>
      </c>
      <c r="K8" s="27">
        <v>11855</v>
      </c>
      <c r="L8" s="51">
        <v>2861</v>
      </c>
      <c r="M8" s="51">
        <v>8994</v>
      </c>
      <c r="N8" s="51">
        <v>0</v>
      </c>
      <c r="P8" s="52">
        <v>0.24133277098270772</v>
      </c>
      <c r="Q8" s="52">
        <v>0.75866722901729233</v>
      </c>
      <c r="R8" s="52">
        <v>0</v>
      </c>
      <c r="T8" s="27">
        <v>1541</v>
      </c>
      <c r="U8" s="51">
        <v>1541</v>
      </c>
      <c r="V8" s="51">
        <v>0</v>
      </c>
      <c r="W8" s="51">
        <v>0</v>
      </c>
      <c r="Y8" s="52">
        <v>1</v>
      </c>
      <c r="Z8" s="52">
        <v>0</v>
      </c>
      <c r="AA8" s="52">
        <v>0</v>
      </c>
      <c r="AD8" s="27">
        <v>120507</v>
      </c>
      <c r="AE8" s="51">
        <v>55217</v>
      </c>
      <c r="AF8" s="51">
        <v>64929</v>
      </c>
      <c r="AG8" s="51">
        <v>361</v>
      </c>
      <c r="AI8" s="52">
        <v>0.45820574738396941</v>
      </c>
      <c r="AJ8" s="52">
        <v>0.53879857601633097</v>
      </c>
      <c r="AK8" s="52">
        <v>2.9956765996996025E-3</v>
      </c>
      <c r="AM8" s="27">
        <v>2333</v>
      </c>
      <c r="AN8" s="51">
        <v>441</v>
      </c>
      <c r="AO8" s="51">
        <v>1892</v>
      </c>
      <c r="AP8" s="51">
        <v>0</v>
      </c>
      <c r="AR8" s="52">
        <v>0.18902700385769394</v>
      </c>
      <c r="AS8" s="52">
        <v>0.810972996142306</v>
      </c>
      <c r="AT8" s="52">
        <v>0</v>
      </c>
      <c r="AV8" s="27">
        <v>16</v>
      </c>
      <c r="AW8" s="51">
        <v>16</v>
      </c>
      <c r="AX8" s="51">
        <v>0</v>
      </c>
      <c r="AY8" s="51">
        <v>0</v>
      </c>
      <c r="BA8" s="52">
        <v>1</v>
      </c>
      <c r="BB8" s="52">
        <v>0</v>
      </c>
      <c r="BC8" s="52">
        <v>0</v>
      </c>
    </row>
    <row r="9" spans="1:55" s="51" customFormat="1" x14ac:dyDescent="0.2">
      <c r="A9" s="50" t="s">
        <v>19</v>
      </c>
      <c r="B9" s="27">
        <v>1375298</v>
      </c>
      <c r="C9" s="51">
        <v>1239617</v>
      </c>
      <c r="D9" s="51">
        <v>132063</v>
      </c>
      <c r="E9" s="51">
        <v>3618</v>
      </c>
      <c r="G9" s="52">
        <v>0.90134429047377373</v>
      </c>
      <c r="H9" s="52">
        <v>9.6025006943949609E-2</v>
      </c>
      <c r="I9" s="52">
        <v>2.6307025822767138E-3</v>
      </c>
      <c r="K9" s="27">
        <v>123105</v>
      </c>
      <c r="L9" s="51">
        <v>100389</v>
      </c>
      <c r="M9" s="51">
        <v>20848</v>
      </c>
      <c r="N9" s="51">
        <v>1868</v>
      </c>
      <c r="P9" s="52">
        <v>0.81547459485804796</v>
      </c>
      <c r="Q9" s="52">
        <v>0.16935136671946713</v>
      </c>
      <c r="R9" s="52">
        <v>1.5174038422484871E-2</v>
      </c>
      <c r="T9" s="27">
        <v>11867</v>
      </c>
      <c r="U9" s="51">
        <v>11787</v>
      </c>
      <c r="V9" s="51">
        <v>79</v>
      </c>
      <c r="W9" s="51">
        <v>1</v>
      </c>
      <c r="Y9" s="52">
        <v>0.99325861633100199</v>
      </c>
      <c r="Z9" s="52">
        <v>6.657116373135586E-3</v>
      </c>
      <c r="AA9" s="52">
        <v>8.4267295862475779E-5</v>
      </c>
      <c r="AD9" s="27">
        <v>818916</v>
      </c>
      <c r="AE9" s="51">
        <v>687815</v>
      </c>
      <c r="AF9" s="51">
        <v>120630</v>
      </c>
      <c r="AG9" s="51">
        <v>10471</v>
      </c>
      <c r="AI9" s="52">
        <v>0.83990909934596469</v>
      </c>
      <c r="AJ9" s="52">
        <v>0.14730448544173028</v>
      </c>
      <c r="AK9" s="52">
        <v>1.2786415212305047E-2</v>
      </c>
      <c r="AM9" s="27">
        <v>22493</v>
      </c>
      <c r="AN9" s="51">
        <v>17003</v>
      </c>
      <c r="AO9" s="51">
        <v>4522</v>
      </c>
      <c r="AP9" s="51">
        <v>968</v>
      </c>
      <c r="AR9" s="52">
        <v>0.75592406526474898</v>
      </c>
      <c r="AS9" s="52">
        <v>0.2010403236562486</v>
      </c>
      <c r="AT9" s="52">
        <v>4.3035611079002355E-2</v>
      </c>
      <c r="AV9" s="27">
        <v>2024</v>
      </c>
      <c r="AW9" s="51">
        <v>1706</v>
      </c>
      <c r="AX9" s="51">
        <v>312</v>
      </c>
      <c r="AY9" s="51">
        <v>6</v>
      </c>
      <c r="BA9" s="52">
        <v>0.84288537549407117</v>
      </c>
      <c r="BB9" s="52">
        <v>0.1541501976284585</v>
      </c>
      <c r="BC9" s="52">
        <v>2.9644268774703555E-3</v>
      </c>
    </row>
    <row r="10" spans="1:55" s="51" customFormat="1" x14ac:dyDescent="0.2">
      <c r="A10" s="50" t="s">
        <v>20</v>
      </c>
      <c r="B10" s="27">
        <v>347746</v>
      </c>
      <c r="C10" s="51">
        <v>343139</v>
      </c>
      <c r="D10" s="51">
        <v>3951</v>
      </c>
      <c r="E10" s="51">
        <v>656</v>
      </c>
      <c r="G10" s="52">
        <v>0.9867518246076159</v>
      </c>
      <c r="H10" s="52">
        <v>1.1361741040874661E-2</v>
      </c>
      <c r="I10" s="52">
        <v>1.886434351509435E-3</v>
      </c>
      <c r="K10" s="27">
        <v>29266</v>
      </c>
      <c r="L10" s="51">
        <v>28091</v>
      </c>
      <c r="M10" s="51">
        <v>863</v>
      </c>
      <c r="N10" s="51">
        <v>312</v>
      </c>
      <c r="P10" s="52">
        <v>0.95985102166336367</v>
      </c>
      <c r="Q10" s="52">
        <v>2.9488143237886968E-2</v>
      </c>
      <c r="R10" s="52">
        <v>1.0660835098749401E-2</v>
      </c>
      <c r="T10" s="27">
        <v>224</v>
      </c>
      <c r="U10" s="51">
        <v>223</v>
      </c>
      <c r="V10" s="51">
        <v>0</v>
      </c>
      <c r="W10" s="51">
        <v>1</v>
      </c>
      <c r="Y10" s="52">
        <v>0.9955357142857143</v>
      </c>
      <c r="Z10" s="52">
        <v>0</v>
      </c>
      <c r="AA10" s="52">
        <v>4.464285714285714E-3</v>
      </c>
      <c r="AD10" s="27">
        <v>53633</v>
      </c>
      <c r="AE10" s="51">
        <v>51584</v>
      </c>
      <c r="AF10" s="51">
        <v>1621</v>
      </c>
      <c r="AG10" s="51">
        <v>428</v>
      </c>
      <c r="AI10" s="52">
        <v>0.96179590923498592</v>
      </c>
      <c r="AJ10" s="52">
        <v>3.0223929297261014E-2</v>
      </c>
      <c r="AK10" s="52">
        <v>7.9801614677530632E-3</v>
      </c>
      <c r="AM10" s="27">
        <v>126</v>
      </c>
      <c r="AN10" s="51">
        <v>77</v>
      </c>
      <c r="AO10" s="51">
        <v>48</v>
      </c>
      <c r="AP10" s="51">
        <v>1</v>
      </c>
      <c r="AR10" s="52">
        <v>0.61111111111111116</v>
      </c>
      <c r="AS10" s="52">
        <v>0.38095238095238093</v>
      </c>
      <c r="AT10" s="52">
        <v>7.9365079365079361E-3</v>
      </c>
      <c r="AV10" s="27">
        <v>67</v>
      </c>
      <c r="AW10" s="51">
        <v>67</v>
      </c>
      <c r="AX10" s="51">
        <v>0</v>
      </c>
      <c r="AY10" s="51">
        <v>0</v>
      </c>
      <c r="BA10" s="52">
        <v>1</v>
      </c>
      <c r="BB10" s="52">
        <v>0</v>
      </c>
      <c r="BC10" s="52">
        <v>0</v>
      </c>
    </row>
    <row r="11" spans="1:55" s="51" customFormat="1" x14ac:dyDescent="0.2">
      <c r="A11" s="50" t="s">
        <v>21</v>
      </c>
      <c r="B11" s="27">
        <v>94275</v>
      </c>
      <c r="C11" s="51">
        <v>91544</v>
      </c>
      <c r="D11" s="51">
        <v>1896</v>
      </c>
      <c r="E11" s="51">
        <v>835</v>
      </c>
      <c r="G11" s="52">
        <v>0.97103155661628215</v>
      </c>
      <c r="H11" s="52">
        <v>2.0111376292760542E-2</v>
      </c>
      <c r="I11" s="52">
        <v>8.8570670909573056E-3</v>
      </c>
      <c r="K11" s="27">
        <v>3451</v>
      </c>
      <c r="L11" s="51">
        <v>3020</v>
      </c>
      <c r="M11" s="51">
        <v>241</v>
      </c>
      <c r="N11" s="51">
        <v>190</v>
      </c>
      <c r="P11" s="52">
        <v>0.8751086641553173</v>
      </c>
      <c r="Q11" s="52">
        <v>6.9834830483917698E-2</v>
      </c>
      <c r="R11" s="52">
        <v>5.5056505360764993E-2</v>
      </c>
      <c r="T11" s="27">
        <v>0</v>
      </c>
      <c r="U11" s="51">
        <v>0</v>
      </c>
      <c r="V11" s="51">
        <v>0</v>
      </c>
      <c r="W11" s="51">
        <v>0</v>
      </c>
      <c r="Y11" s="52">
        <v>0</v>
      </c>
      <c r="Z11" s="52">
        <v>0</v>
      </c>
      <c r="AA11" s="52">
        <v>0</v>
      </c>
      <c r="AD11" s="27">
        <v>21760</v>
      </c>
      <c r="AE11" s="51">
        <v>20571</v>
      </c>
      <c r="AF11" s="51">
        <v>845</v>
      </c>
      <c r="AG11" s="51">
        <v>344</v>
      </c>
      <c r="AI11" s="52">
        <v>0.9453584558823529</v>
      </c>
      <c r="AJ11" s="52">
        <v>3.8832720588235295E-2</v>
      </c>
      <c r="AK11" s="52">
        <v>1.5808823529411764E-2</v>
      </c>
      <c r="AM11" s="27">
        <v>356</v>
      </c>
      <c r="AN11" s="51">
        <v>301</v>
      </c>
      <c r="AO11" s="51">
        <v>32</v>
      </c>
      <c r="AP11" s="51">
        <v>23</v>
      </c>
      <c r="AR11" s="52">
        <v>0.8455056179775281</v>
      </c>
      <c r="AS11" s="52">
        <v>8.98876404494382E-2</v>
      </c>
      <c r="AT11" s="52">
        <v>6.4606741573033713E-2</v>
      </c>
      <c r="AV11" s="27">
        <v>0</v>
      </c>
      <c r="AW11" s="51">
        <v>0</v>
      </c>
      <c r="AX11" s="51">
        <v>0</v>
      </c>
      <c r="AY11" s="51">
        <v>0</v>
      </c>
      <c r="BA11" s="52">
        <v>0</v>
      </c>
      <c r="BB11" s="52">
        <v>0</v>
      </c>
      <c r="BC11" s="52">
        <v>0</v>
      </c>
    </row>
    <row r="12" spans="1:55" s="51" customFormat="1" x14ac:dyDescent="0.2">
      <c r="A12" s="50" t="s">
        <v>196</v>
      </c>
      <c r="B12" s="27">
        <v>3441</v>
      </c>
      <c r="C12" s="51">
        <v>3441</v>
      </c>
      <c r="D12" s="51">
        <v>0</v>
      </c>
      <c r="E12" s="51">
        <v>0</v>
      </c>
      <c r="G12" s="52">
        <v>1</v>
      </c>
      <c r="H12" s="52">
        <v>0</v>
      </c>
      <c r="I12" s="52">
        <v>0</v>
      </c>
      <c r="K12" s="27">
        <v>278</v>
      </c>
      <c r="L12" s="51">
        <v>278</v>
      </c>
      <c r="M12" s="51">
        <v>0</v>
      </c>
      <c r="N12" s="51">
        <v>0</v>
      </c>
      <c r="P12" s="52">
        <v>1</v>
      </c>
      <c r="Q12" s="52">
        <v>0</v>
      </c>
      <c r="R12" s="52">
        <v>0</v>
      </c>
      <c r="T12" s="27">
        <v>0</v>
      </c>
      <c r="U12" s="51">
        <v>0</v>
      </c>
      <c r="V12" s="51">
        <v>0</v>
      </c>
      <c r="W12" s="51">
        <v>0</v>
      </c>
      <c r="Y12" s="52">
        <v>0</v>
      </c>
      <c r="Z12" s="52">
        <v>0</v>
      </c>
      <c r="AA12" s="52">
        <v>0</v>
      </c>
      <c r="AD12" s="27">
        <v>0</v>
      </c>
      <c r="AE12" s="51">
        <v>0</v>
      </c>
      <c r="AF12" s="51">
        <v>0</v>
      </c>
      <c r="AG12" s="51">
        <v>0</v>
      </c>
      <c r="AI12" s="52">
        <v>0</v>
      </c>
      <c r="AJ12" s="52">
        <v>0</v>
      </c>
      <c r="AK12" s="52">
        <v>0</v>
      </c>
      <c r="AM12" s="27">
        <v>0</v>
      </c>
      <c r="AN12" s="51">
        <v>0</v>
      </c>
      <c r="AO12" s="51">
        <v>0</v>
      </c>
      <c r="AP12" s="51">
        <v>0</v>
      </c>
      <c r="AR12" s="52">
        <v>0</v>
      </c>
      <c r="AS12" s="52">
        <v>0</v>
      </c>
      <c r="AT12" s="52">
        <v>0</v>
      </c>
      <c r="AV12" s="27">
        <v>0</v>
      </c>
      <c r="AW12" s="51">
        <v>0</v>
      </c>
      <c r="AX12" s="51">
        <v>0</v>
      </c>
      <c r="AY12" s="51">
        <v>0</v>
      </c>
      <c r="BA12" s="52">
        <v>0</v>
      </c>
      <c r="BB12" s="52">
        <v>0</v>
      </c>
      <c r="BC12" s="52">
        <v>0</v>
      </c>
    </row>
    <row r="13" spans="1:55" s="51" customFormat="1" x14ac:dyDescent="0.2">
      <c r="A13" s="50" t="s">
        <v>22</v>
      </c>
      <c r="B13" s="27">
        <v>246735</v>
      </c>
      <c r="C13" s="51">
        <v>3575</v>
      </c>
      <c r="D13" s="51">
        <v>242618</v>
      </c>
      <c r="E13" s="51">
        <v>542</v>
      </c>
      <c r="G13" s="52">
        <v>1.4489229335116623E-2</v>
      </c>
      <c r="H13" s="52">
        <v>0.98331408190974123</v>
      </c>
      <c r="I13" s="52">
        <v>2.1966887551421567E-3</v>
      </c>
      <c r="K13" s="27">
        <v>35471</v>
      </c>
      <c r="L13" s="51">
        <v>3493</v>
      </c>
      <c r="M13" s="51">
        <v>31740</v>
      </c>
      <c r="N13" s="51">
        <v>238</v>
      </c>
      <c r="P13" s="52">
        <v>9.8474810408502714E-2</v>
      </c>
      <c r="Q13" s="52">
        <v>0.89481548307067749</v>
      </c>
      <c r="R13" s="52">
        <v>6.7097065208198249E-3</v>
      </c>
      <c r="T13" s="27">
        <v>1903</v>
      </c>
      <c r="U13" s="51">
        <v>1832</v>
      </c>
      <c r="V13" s="51">
        <v>67</v>
      </c>
      <c r="W13" s="51">
        <v>4</v>
      </c>
      <c r="Y13" s="52">
        <v>0.96269048870204943</v>
      </c>
      <c r="Z13" s="52">
        <v>3.5207566999474513E-2</v>
      </c>
      <c r="AA13" s="52">
        <v>2.1019442984760903E-3</v>
      </c>
      <c r="AD13" s="27">
        <v>0</v>
      </c>
      <c r="AE13" s="51">
        <v>0</v>
      </c>
      <c r="AF13" s="51">
        <v>0</v>
      </c>
      <c r="AG13" s="51">
        <v>0</v>
      </c>
      <c r="AI13" s="52">
        <v>0</v>
      </c>
      <c r="AJ13" s="52">
        <v>0</v>
      </c>
      <c r="AK13" s="52">
        <v>0</v>
      </c>
      <c r="AM13" s="27">
        <v>0</v>
      </c>
      <c r="AN13" s="51">
        <v>0</v>
      </c>
      <c r="AO13" s="51">
        <v>0</v>
      </c>
      <c r="AP13" s="51">
        <v>0</v>
      </c>
      <c r="AR13" s="52">
        <v>0</v>
      </c>
      <c r="AS13" s="52">
        <v>0</v>
      </c>
      <c r="AT13" s="52">
        <v>0</v>
      </c>
      <c r="AV13" s="27">
        <v>0</v>
      </c>
      <c r="AW13" s="51">
        <v>0</v>
      </c>
      <c r="AX13" s="51">
        <v>0</v>
      </c>
      <c r="AY13" s="51">
        <v>0</v>
      </c>
      <c r="BA13" s="52">
        <v>0</v>
      </c>
      <c r="BB13" s="52">
        <v>0</v>
      </c>
      <c r="BC13" s="52">
        <v>0</v>
      </c>
    </row>
    <row r="14" spans="1:55" s="51" customFormat="1" x14ac:dyDescent="0.2">
      <c r="A14" s="50" t="s">
        <v>24</v>
      </c>
      <c r="B14" s="27">
        <v>0</v>
      </c>
      <c r="C14" s="51">
        <v>0</v>
      </c>
      <c r="D14" s="51">
        <v>0</v>
      </c>
      <c r="E14" s="51">
        <v>0</v>
      </c>
      <c r="G14" s="52">
        <v>0</v>
      </c>
      <c r="H14" s="52">
        <v>0</v>
      </c>
      <c r="I14" s="52">
        <v>0</v>
      </c>
      <c r="K14" s="27">
        <v>4703</v>
      </c>
      <c r="L14" s="51">
        <v>4693</v>
      </c>
      <c r="M14" s="51">
        <v>10</v>
      </c>
      <c r="N14" s="51">
        <v>0</v>
      </c>
      <c r="P14" s="52">
        <v>0.99787369763980438</v>
      </c>
      <c r="Q14" s="52">
        <v>2.1263023601956199E-3</v>
      </c>
      <c r="R14" s="52">
        <v>0</v>
      </c>
      <c r="T14" s="27">
        <v>368</v>
      </c>
      <c r="U14" s="51">
        <v>368</v>
      </c>
      <c r="V14" s="51">
        <v>0</v>
      </c>
      <c r="W14" s="51">
        <v>0</v>
      </c>
      <c r="Y14" s="52">
        <v>1</v>
      </c>
      <c r="Z14" s="52">
        <v>0</v>
      </c>
      <c r="AA14" s="52">
        <v>0</v>
      </c>
      <c r="AD14" s="27">
        <v>0</v>
      </c>
      <c r="AE14" s="51">
        <v>0</v>
      </c>
      <c r="AF14" s="51">
        <v>0</v>
      </c>
      <c r="AG14" s="51">
        <v>0</v>
      </c>
      <c r="AI14" s="52">
        <v>0</v>
      </c>
      <c r="AJ14" s="52">
        <v>0</v>
      </c>
      <c r="AK14" s="52">
        <v>0</v>
      </c>
      <c r="AM14" s="27">
        <v>0</v>
      </c>
      <c r="AN14" s="51">
        <v>0</v>
      </c>
      <c r="AO14" s="51">
        <v>0</v>
      </c>
      <c r="AP14" s="51">
        <v>0</v>
      </c>
      <c r="AR14" s="52">
        <v>0</v>
      </c>
      <c r="AS14" s="52">
        <v>0</v>
      </c>
      <c r="AT14" s="52">
        <v>0</v>
      </c>
      <c r="AV14" s="27">
        <v>0</v>
      </c>
      <c r="AW14" s="51">
        <v>0</v>
      </c>
      <c r="AX14" s="51">
        <v>0</v>
      </c>
      <c r="AY14" s="51">
        <v>0</v>
      </c>
      <c r="BA14" s="52">
        <v>0</v>
      </c>
      <c r="BB14" s="52">
        <v>0</v>
      </c>
      <c r="BC14" s="52">
        <v>0</v>
      </c>
    </row>
    <row r="15" spans="1:55" s="51" customFormat="1" x14ac:dyDescent="0.2">
      <c r="A15" s="50" t="s">
        <v>198</v>
      </c>
      <c r="B15" s="27">
        <v>0</v>
      </c>
      <c r="C15" s="51">
        <v>0</v>
      </c>
      <c r="D15" s="51">
        <v>0</v>
      </c>
      <c r="E15" s="51">
        <v>0</v>
      </c>
      <c r="G15" s="52">
        <v>0</v>
      </c>
      <c r="H15" s="52">
        <v>0</v>
      </c>
      <c r="I15" s="52">
        <v>0</v>
      </c>
      <c r="K15" s="27">
        <v>18</v>
      </c>
      <c r="L15" s="51">
        <v>18</v>
      </c>
      <c r="M15" s="51">
        <v>0</v>
      </c>
      <c r="N15" s="51">
        <v>0</v>
      </c>
      <c r="P15" s="52">
        <v>1</v>
      </c>
      <c r="Q15" s="52">
        <v>0</v>
      </c>
      <c r="R15" s="52">
        <v>0</v>
      </c>
      <c r="T15" s="27">
        <v>4</v>
      </c>
      <c r="U15" s="51">
        <v>4</v>
      </c>
      <c r="V15" s="51">
        <v>0</v>
      </c>
      <c r="W15" s="51">
        <v>0</v>
      </c>
      <c r="Y15" s="52">
        <v>1</v>
      </c>
      <c r="Z15" s="52">
        <v>0</v>
      </c>
      <c r="AA15" s="52">
        <v>0</v>
      </c>
      <c r="AD15" s="27">
        <v>0</v>
      </c>
      <c r="AE15" s="51">
        <v>0</v>
      </c>
      <c r="AF15" s="51">
        <v>0</v>
      </c>
      <c r="AG15" s="51">
        <v>0</v>
      </c>
      <c r="AI15" s="52">
        <v>0</v>
      </c>
      <c r="AJ15" s="52">
        <v>0</v>
      </c>
      <c r="AK15" s="52">
        <v>0</v>
      </c>
      <c r="AM15" s="27">
        <v>0</v>
      </c>
      <c r="AN15" s="51">
        <v>0</v>
      </c>
      <c r="AO15" s="51">
        <v>0</v>
      </c>
      <c r="AP15" s="51">
        <v>0</v>
      </c>
      <c r="AR15" s="52">
        <v>0</v>
      </c>
      <c r="AS15" s="52">
        <v>0</v>
      </c>
      <c r="AT15" s="52">
        <v>0</v>
      </c>
      <c r="AV15" s="27">
        <v>0</v>
      </c>
      <c r="AW15" s="51">
        <v>0</v>
      </c>
      <c r="AX15" s="51">
        <v>0</v>
      </c>
      <c r="AY15" s="51">
        <v>0</v>
      </c>
      <c r="BA15" s="52">
        <v>0</v>
      </c>
      <c r="BB15" s="52">
        <v>0</v>
      </c>
      <c r="BC15" s="52">
        <v>0</v>
      </c>
    </row>
    <row r="16" spans="1:55" s="51" customFormat="1" x14ac:dyDescent="0.2">
      <c r="A16" s="50" t="s">
        <v>25</v>
      </c>
      <c r="B16" s="27">
        <v>3688</v>
      </c>
      <c r="C16" s="51">
        <v>3564</v>
      </c>
      <c r="D16" s="51">
        <v>94</v>
      </c>
      <c r="E16" s="51">
        <v>30</v>
      </c>
      <c r="G16" s="52">
        <v>0.96637744034707163</v>
      </c>
      <c r="H16" s="52">
        <v>2.5488069414316701E-2</v>
      </c>
      <c r="I16" s="52">
        <v>8.1344902386117132E-3</v>
      </c>
      <c r="K16" s="27">
        <v>4877</v>
      </c>
      <c r="L16" s="51">
        <v>4523</v>
      </c>
      <c r="M16" s="51">
        <v>228</v>
      </c>
      <c r="N16" s="51">
        <v>126</v>
      </c>
      <c r="P16" s="52">
        <v>0.92741439409473037</v>
      </c>
      <c r="Q16" s="52">
        <v>4.6750051261021122E-2</v>
      </c>
      <c r="R16" s="52">
        <v>2.5835554644248512E-2</v>
      </c>
      <c r="T16" s="27">
        <v>154</v>
      </c>
      <c r="U16" s="51">
        <v>153</v>
      </c>
      <c r="V16" s="51">
        <v>1</v>
      </c>
      <c r="W16" s="51">
        <v>0</v>
      </c>
      <c r="Y16" s="52">
        <v>0.99350649350649356</v>
      </c>
      <c r="Z16" s="52">
        <v>6.4935064935064939E-3</v>
      </c>
      <c r="AA16" s="52">
        <v>0</v>
      </c>
      <c r="AD16" s="27">
        <v>2305</v>
      </c>
      <c r="AE16" s="51">
        <v>2187</v>
      </c>
      <c r="AF16" s="51">
        <v>77</v>
      </c>
      <c r="AG16" s="51">
        <v>41</v>
      </c>
      <c r="AI16" s="52">
        <v>0.94880694143167033</v>
      </c>
      <c r="AJ16" s="52">
        <v>3.3405639913232102E-2</v>
      </c>
      <c r="AK16" s="52">
        <v>1.7787418655097614E-2</v>
      </c>
      <c r="AM16" s="27">
        <v>2594</v>
      </c>
      <c r="AN16" s="51">
        <v>2374</v>
      </c>
      <c r="AO16" s="51">
        <v>137</v>
      </c>
      <c r="AP16" s="51">
        <v>83</v>
      </c>
      <c r="AR16" s="52">
        <v>0.91518889745566689</v>
      </c>
      <c r="AS16" s="52">
        <v>5.2814186584425597E-2</v>
      </c>
      <c r="AT16" s="52">
        <v>3.1996915959907481E-2</v>
      </c>
      <c r="AV16" s="27">
        <v>0</v>
      </c>
      <c r="AW16" s="51">
        <v>0</v>
      </c>
      <c r="AX16" s="51">
        <v>0</v>
      </c>
      <c r="AY16" s="51">
        <v>0</v>
      </c>
      <c r="BA16" s="52">
        <v>0</v>
      </c>
      <c r="BB16" s="52">
        <v>0</v>
      </c>
      <c r="BC16" s="52">
        <v>0</v>
      </c>
    </row>
    <row r="17" spans="1:55" s="51" customFormat="1" x14ac:dyDescent="0.2">
      <c r="A17" s="50" t="s">
        <v>83</v>
      </c>
      <c r="B17" s="27">
        <v>0</v>
      </c>
      <c r="C17" s="51">
        <v>0</v>
      </c>
      <c r="D17" s="51">
        <v>0</v>
      </c>
      <c r="E17" s="51">
        <v>0</v>
      </c>
      <c r="G17" s="52">
        <v>0</v>
      </c>
      <c r="H17" s="52">
        <v>0</v>
      </c>
      <c r="I17" s="52">
        <v>0</v>
      </c>
      <c r="K17" s="27">
        <v>0</v>
      </c>
      <c r="L17" s="51">
        <v>0</v>
      </c>
      <c r="M17" s="51">
        <v>0</v>
      </c>
      <c r="N17" s="51">
        <v>0</v>
      </c>
      <c r="P17" s="52">
        <v>0</v>
      </c>
      <c r="Q17" s="52">
        <v>0</v>
      </c>
      <c r="R17" s="52">
        <v>0</v>
      </c>
      <c r="T17" s="27">
        <v>7</v>
      </c>
      <c r="U17" s="51">
        <v>7</v>
      </c>
      <c r="V17" s="51">
        <v>0</v>
      </c>
      <c r="W17" s="51">
        <v>0</v>
      </c>
      <c r="Y17" s="52">
        <v>1</v>
      </c>
      <c r="Z17" s="52">
        <v>0</v>
      </c>
      <c r="AA17" s="52">
        <v>0</v>
      </c>
      <c r="AD17" s="27">
        <v>0</v>
      </c>
      <c r="AE17" s="51">
        <v>0</v>
      </c>
      <c r="AF17" s="51">
        <v>0</v>
      </c>
      <c r="AG17" s="51">
        <v>0</v>
      </c>
      <c r="AI17" s="52">
        <v>0</v>
      </c>
      <c r="AJ17" s="52">
        <v>0</v>
      </c>
      <c r="AK17" s="52">
        <v>0</v>
      </c>
      <c r="AM17" s="27">
        <v>0</v>
      </c>
      <c r="AN17" s="51">
        <v>0</v>
      </c>
      <c r="AO17" s="51">
        <v>0</v>
      </c>
      <c r="AP17" s="51">
        <v>0</v>
      </c>
      <c r="AR17" s="52">
        <v>0</v>
      </c>
      <c r="AS17" s="52">
        <v>0</v>
      </c>
      <c r="AT17" s="52">
        <v>0</v>
      </c>
      <c r="AV17" s="27">
        <v>0</v>
      </c>
      <c r="AW17" s="51">
        <v>0</v>
      </c>
      <c r="AX17" s="51">
        <v>0</v>
      </c>
      <c r="AY17" s="51">
        <v>0</v>
      </c>
      <c r="BA17" s="52">
        <v>0</v>
      </c>
      <c r="BB17" s="52">
        <v>0</v>
      </c>
      <c r="BC17" s="52">
        <v>0</v>
      </c>
    </row>
    <row r="18" spans="1:55" s="51" customFormat="1" x14ac:dyDescent="0.2">
      <c r="A18" s="50" t="s">
        <v>84</v>
      </c>
      <c r="B18" s="27">
        <v>0</v>
      </c>
      <c r="C18" s="51">
        <v>0</v>
      </c>
      <c r="D18" s="51">
        <v>0</v>
      </c>
      <c r="E18" s="51">
        <v>0</v>
      </c>
      <c r="G18" s="52">
        <v>0</v>
      </c>
      <c r="H18" s="52">
        <v>0</v>
      </c>
      <c r="I18" s="52">
        <v>0</v>
      </c>
      <c r="K18" s="27">
        <v>0</v>
      </c>
      <c r="L18" s="51">
        <v>0</v>
      </c>
      <c r="M18" s="51">
        <v>0</v>
      </c>
      <c r="N18" s="51">
        <v>0</v>
      </c>
      <c r="P18" s="52">
        <v>0</v>
      </c>
      <c r="Q18" s="52">
        <v>0</v>
      </c>
      <c r="R18" s="52">
        <v>0</v>
      </c>
      <c r="T18" s="27">
        <v>4</v>
      </c>
      <c r="U18" s="51">
        <v>4</v>
      </c>
      <c r="V18" s="51">
        <v>0</v>
      </c>
      <c r="W18" s="51">
        <v>0</v>
      </c>
      <c r="Y18" s="52">
        <v>1</v>
      </c>
      <c r="Z18" s="52">
        <v>0</v>
      </c>
      <c r="AA18" s="52">
        <v>0</v>
      </c>
      <c r="AD18" s="27">
        <v>0</v>
      </c>
      <c r="AE18" s="51">
        <v>0</v>
      </c>
      <c r="AF18" s="51">
        <v>0</v>
      </c>
      <c r="AG18" s="51">
        <v>0</v>
      </c>
      <c r="AI18" s="52">
        <v>0</v>
      </c>
      <c r="AJ18" s="52">
        <v>0</v>
      </c>
      <c r="AK18" s="52">
        <v>0</v>
      </c>
      <c r="AM18" s="27">
        <v>0</v>
      </c>
      <c r="AN18" s="51">
        <v>0</v>
      </c>
      <c r="AO18" s="51">
        <v>0</v>
      </c>
      <c r="AP18" s="51">
        <v>0</v>
      </c>
      <c r="AR18" s="52">
        <v>0</v>
      </c>
      <c r="AS18" s="52">
        <v>0</v>
      </c>
      <c r="AT18" s="52">
        <v>0</v>
      </c>
      <c r="AV18" s="27">
        <v>0</v>
      </c>
      <c r="AW18" s="51">
        <v>0</v>
      </c>
      <c r="AX18" s="51">
        <v>0</v>
      </c>
      <c r="AY18" s="51">
        <v>0</v>
      </c>
      <c r="BA18" s="52">
        <v>0</v>
      </c>
      <c r="BB18" s="52">
        <v>0</v>
      </c>
      <c r="BC18" s="52">
        <v>0</v>
      </c>
    </row>
    <row r="19" spans="1:55" s="51" customFormat="1" x14ac:dyDescent="0.2">
      <c r="A19" s="50" t="s">
        <v>26</v>
      </c>
      <c r="B19" s="27">
        <v>9584</v>
      </c>
      <c r="C19" s="51">
        <v>6660</v>
      </c>
      <c r="D19" s="51">
        <v>2886</v>
      </c>
      <c r="E19" s="51">
        <v>38</v>
      </c>
      <c r="G19" s="52">
        <v>0.69490818030050083</v>
      </c>
      <c r="H19" s="52">
        <v>0.30112687813021705</v>
      </c>
      <c r="I19" s="52">
        <v>3.9649415692821367E-3</v>
      </c>
      <c r="K19" s="27">
        <v>862</v>
      </c>
      <c r="L19" s="51">
        <v>770</v>
      </c>
      <c r="M19" s="51">
        <v>84</v>
      </c>
      <c r="N19" s="51">
        <v>8</v>
      </c>
      <c r="P19" s="52">
        <v>0.89327146171693739</v>
      </c>
      <c r="Q19" s="52">
        <v>9.7447795823665889E-2</v>
      </c>
      <c r="R19" s="52">
        <v>9.2807424593967514E-3</v>
      </c>
      <c r="T19" s="27">
        <v>50</v>
      </c>
      <c r="U19" s="51">
        <v>50</v>
      </c>
      <c r="V19" s="51">
        <v>0</v>
      </c>
      <c r="W19" s="51">
        <v>0</v>
      </c>
      <c r="Y19" s="52">
        <v>1</v>
      </c>
      <c r="Z19" s="52">
        <v>0</v>
      </c>
      <c r="AA19" s="52">
        <v>0</v>
      </c>
      <c r="AD19" s="27">
        <v>0</v>
      </c>
      <c r="AE19" s="51">
        <v>0</v>
      </c>
      <c r="AF19" s="51">
        <v>0</v>
      </c>
      <c r="AG19" s="51">
        <v>0</v>
      </c>
      <c r="AI19" s="52">
        <v>0</v>
      </c>
      <c r="AJ19" s="52">
        <v>0</v>
      </c>
      <c r="AK19" s="52">
        <v>0</v>
      </c>
      <c r="AM19" s="27">
        <v>0</v>
      </c>
      <c r="AN19" s="51">
        <v>0</v>
      </c>
      <c r="AO19" s="51">
        <v>0</v>
      </c>
      <c r="AP19" s="51">
        <v>0</v>
      </c>
      <c r="AR19" s="52">
        <v>0</v>
      </c>
      <c r="AS19" s="52">
        <v>0</v>
      </c>
      <c r="AT19" s="52">
        <v>0</v>
      </c>
      <c r="AV19" s="27">
        <v>0</v>
      </c>
      <c r="AW19" s="51">
        <v>0</v>
      </c>
      <c r="AX19" s="51">
        <v>0</v>
      </c>
      <c r="AY19" s="51">
        <v>0</v>
      </c>
      <c r="BA19" s="52">
        <v>0</v>
      </c>
      <c r="BB19" s="52">
        <v>0</v>
      </c>
      <c r="BC19" s="52">
        <v>0</v>
      </c>
    </row>
    <row r="20" spans="1:55" s="51" customFormat="1" x14ac:dyDescent="0.2">
      <c r="A20" s="50" t="s">
        <v>27</v>
      </c>
      <c r="B20" s="27">
        <v>59</v>
      </c>
      <c r="C20" s="51">
        <v>58</v>
      </c>
      <c r="D20" s="51">
        <v>0</v>
      </c>
      <c r="E20" s="51">
        <v>1</v>
      </c>
      <c r="G20" s="52">
        <v>0.98305084745762716</v>
      </c>
      <c r="H20" s="52">
        <v>0</v>
      </c>
      <c r="I20" s="52">
        <v>1.6949152542372881E-2</v>
      </c>
      <c r="K20" s="27">
        <v>14</v>
      </c>
      <c r="L20" s="51">
        <v>14</v>
      </c>
      <c r="M20" s="51">
        <v>0</v>
      </c>
      <c r="N20" s="51">
        <v>0</v>
      </c>
      <c r="P20" s="52">
        <v>1</v>
      </c>
      <c r="Q20" s="52">
        <v>0</v>
      </c>
      <c r="R20" s="52">
        <v>0</v>
      </c>
      <c r="T20" s="27">
        <v>0</v>
      </c>
      <c r="U20" s="51">
        <v>0</v>
      </c>
      <c r="V20" s="51">
        <v>0</v>
      </c>
      <c r="W20" s="51">
        <v>0</v>
      </c>
      <c r="Y20" s="52">
        <v>0</v>
      </c>
      <c r="Z20" s="52">
        <v>0</v>
      </c>
      <c r="AA20" s="52">
        <v>0</v>
      </c>
      <c r="AD20" s="27">
        <v>0</v>
      </c>
      <c r="AE20" s="51">
        <v>0</v>
      </c>
      <c r="AF20" s="51">
        <v>0</v>
      </c>
      <c r="AG20" s="51">
        <v>0</v>
      </c>
      <c r="AI20" s="52">
        <v>0</v>
      </c>
      <c r="AJ20" s="52">
        <v>0</v>
      </c>
      <c r="AK20" s="52">
        <v>0</v>
      </c>
      <c r="AM20" s="27">
        <v>0</v>
      </c>
      <c r="AN20" s="51">
        <v>0</v>
      </c>
      <c r="AO20" s="51">
        <v>0</v>
      </c>
      <c r="AP20" s="51">
        <v>0</v>
      </c>
      <c r="AR20" s="52">
        <v>0</v>
      </c>
      <c r="AS20" s="52">
        <v>0</v>
      </c>
      <c r="AT20" s="52">
        <v>0</v>
      </c>
      <c r="AV20" s="27">
        <v>0</v>
      </c>
      <c r="AW20" s="51">
        <v>0</v>
      </c>
      <c r="AX20" s="51">
        <v>0</v>
      </c>
      <c r="AY20" s="51">
        <v>0</v>
      </c>
      <c r="BA20" s="52">
        <v>0</v>
      </c>
      <c r="BB20" s="52">
        <v>0</v>
      </c>
      <c r="BC20" s="52">
        <v>0</v>
      </c>
    </row>
    <row r="21" spans="1:55" s="51" customFormat="1" x14ac:dyDescent="0.2">
      <c r="A21" s="50" t="s">
        <v>28</v>
      </c>
      <c r="B21" s="27">
        <v>46256</v>
      </c>
      <c r="C21" s="51">
        <v>45021</v>
      </c>
      <c r="D21" s="51">
        <v>1235</v>
      </c>
      <c r="E21" s="51">
        <v>0</v>
      </c>
      <c r="G21" s="52">
        <v>0.97330076098235907</v>
      </c>
      <c r="H21" s="52">
        <v>2.6699239017640954E-2</v>
      </c>
      <c r="I21" s="52">
        <v>0</v>
      </c>
      <c r="K21" s="27">
        <v>1997</v>
      </c>
      <c r="L21" s="51">
        <v>1835</v>
      </c>
      <c r="M21" s="51">
        <v>162</v>
      </c>
      <c r="N21" s="51">
        <v>0</v>
      </c>
      <c r="P21" s="52">
        <v>0.91887831747621429</v>
      </c>
      <c r="Q21" s="52">
        <v>8.1121682523785682E-2</v>
      </c>
      <c r="R21" s="52">
        <v>0</v>
      </c>
      <c r="T21" s="27">
        <v>0</v>
      </c>
      <c r="U21" s="51">
        <v>0</v>
      </c>
      <c r="V21" s="51">
        <v>0</v>
      </c>
      <c r="W21" s="51">
        <v>0</v>
      </c>
      <c r="Y21" s="52">
        <v>0</v>
      </c>
      <c r="Z21" s="52">
        <v>0</v>
      </c>
      <c r="AA21" s="52">
        <v>0</v>
      </c>
      <c r="AD21" s="27">
        <v>11709</v>
      </c>
      <c r="AE21" s="51">
        <v>11122</v>
      </c>
      <c r="AF21" s="51">
        <v>587</v>
      </c>
      <c r="AG21" s="51">
        <v>0</v>
      </c>
      <c r="AI21" s="52">
        <v>0.94986762319583229</v>
      </c>
      <c r="AJ21" s="52">
        <v>5.0132376804167732E-2</v>
      </c>
      <c r="AK21" s="52">
        <v>0</v>
      </c>
      <c r="AM21" s="27">
        <v>0</v>
      </c>
      <c r="AN21" s="51">
        <v>0</v>
      </c>
      <c r="AO21" s="51">
        <v>0</v>
      </c>
      <c r="AP21" s="51">
        <v>0</v>
      </c>
      <c r="AR21" s="52">
        <v>0</v>
      </c>
      <c r="AS21" s="52">
        <v>0</v>
      </c>
      <c r="AT21" s="52">
        <v>0</v>
      </c>
      <c r="AV21" s="27">
        <v>0</v>
      </c>
      <c r="AW21" s="51">
        <v>0</v>
      </c>
      <c r="AX21" s="51">
        <v>0</v>
      </c>
      <c r="AY21" s="51">
        <v>0</v>
      </c>
      <c r="BA21" s="52">
        <v>0</v>
      </c>
      <c r="BB21" s="52">
        <v>0</v>
      </c>
      <c r="BC21" s="52">
        <v>0</v>
      </c>
    </row>
    <row r="22" spans="1:55" s="51" customFormat="1" x14ac:dyDescent="0.2">
      <c r="A22" s="50" t="s">
        <v>197</v>
      </c>
      <c r="B22" s="27">
        <v>3</v>
      </c>
      <c r="C22" s="51">
        <v>3</v>
      </c>
      <c r="D22" s="51">
        <v>0</v>
      </c>
      <c r="E22" s="51">
        <v>0</v>
      </c>
      <c r="G22" s="52">
        <v>1</v>
      </c>
      <c r="H22" s="52">
        <v>0</v>
      </c>
      <c r="I22" s="52">
        <v>0</v>
      </c>
      <c r="K22" s="27">
        <v>0</v>
      </c>
      <c r="L22" s="51">
        <v>0</v>
      </c>
      <c r="M22" s="51">
        <v>0</v>
      </c>
      <c r="N22" s="51">
        <v>0</v>
      </c>
      <c r="P22" s="52">
        <v>0</v>
      </c>
      <c r="Q22" s="52">
        <v>0</v>
      </c>
      <c r="R22" s="52">
        <v>0</v>
      </c>
      <c r="T22" s="27">
        <v>0</v>
      </c>
      <c r="U22" s="51">
        <v>0</v>
      </c>
      <c r="V22" s="51">
        <v>0</v>
      </c>
      <c r="W22" s="51">
        <v>0</v>
      </c>
      <c r="Y22" s="52">
        <v>0</v>
      </c>
      <c r="Z22" s="52">
        <v>0</v>
      </c>
      <c r="AA22" s="52">
        <v>0</v>
      </c>
      <c r="AD22" s="27">
        <v>0</v>
      </c>
      <c r="AE22" s="51">
        <v>0</v>
      </c>
      <c r="AF22" s="51">
        <v>0</v>
      </c>
      <c r="AG22" s="51">
        <v>0</v>
      </c>
      <c r="AI22" s="52">
        <v>0</v>
      </c>
      <c r="AJ22" s="52">
        <v>0</v>
      </c>
      <c r="AK22" s="52">
        <v>0</v>
      </c>
      <c r="AM22" s="27">
        <v>0</v>
      </c>
      <c r="AN22" s="51">
        <v>0</v>
      </c>
      <c r="AO22" s="51">
        <v>0</v>
      </c>
      <c r="AP22" s="51">
        <v>0</v>
      </c>
      <c r="AR22" s="52">
        <v>0</v>
      </c>
      <c r="AS22" s="52">
        <v>0</v>
      </c>
      <c r="AT22" s="52">
        <v>0</v>
      </c>
      <c r="AV22" s="27">
        <v>0</v>
      </c>
      <c r="AW22" s="51">
        <v>0</v>
      </c>
      <c r="AX22" s="51">
        <v>0</v>
      </c>
      <c r="AY22" s="51">
        <v>0</v>
      </c>
      <c r="BA22" s="52">
        <v>0</v>
      </c>
      <c r="BB22" s="52">
        <v>0</v>
      </c>
      <c r="BC22" s="52">
        <v>0</v>
      </c>
    </row>
    <row r="23" spans="1:55" s="51" customFormat="1" x14ac:dyDescent="0.2">
      <c r="A23" s="50" t="s">
        <v>29</v>
      </c>
      <c r="B23" s="27">
        <v>17667</v>
      </c>
      <c r="C23" s="51">
        <v>17528</v>
      </c>
      <c r="D23" s="51">
        <v>139</v>
      </c>
      <c r="E23" s="51">
        <v>0</v>
      </c>
      <c r="G23" s="52">
        <v>0.99213222392030342</v>
      </c>
      <c r="H23" s="52">
        <v>7.8677760796966104E-3</v>
      </c>
      <c r="I23" s="52">
        <v>0</v>
      </c>
      <c r="K23" s="27">
        <v>1040</v>
      </c>
      <c r="L23" s="51">
        <v>1026</v>
      </c>
      <c r="M23" s="51">
        <v>14</v>
      </c>
      <c r="N23" s="51">
        <v>0</v>
      </c>
      <c r="P23" s="52">
        <v>0.98653846153846159</v>
      </c>
      <c r="Q23" s="52">
        <v>1.3461538461538462E-2</v>
      </c>
      <c r="R23" s="52">
        <v>0</v>
      </c>
      <c r="T23" s="27">
        <v>0</v>
      </c>
      <c r="U23" s="51">
        <v>0</v>
      </c>
      <c r="V23" s="51">
        <v>0</v>
      </c>
      <c r="W23" s="51">
        <v>0</v>
      </c>
      <c r="Y23" s="52">
        <v>0</v>
      </c>
      <c r="Z23" s="52">
        <v>0</v>
      </c>
      <c r="AA23" s="52">
        <v>0</v>
      </c>
      <c r="AD23" s="27">
        <v>0</v>
      </c>
      <c r="AE23" s="51">
        <v>0</v>
      </c>
      <c r="AF23" s="51">
        <v>0</v>
      </c>
      <c r="AG23" s="51">
        <v>0</v>
      </c>
      <c r="AI23" s="52">
        <v>0</v>
      </c>
      <c r="AJ23" s="52">
        <v>0</v>
      </c>
      <c r="AK23" s="52">
        <v>0</v>
      </c>
      <c r="AM23" s="27">
        <v>0</v>
      </c>
      <c r="AN23" s="51">
        <v>0</v>
      </c>
      <c r="AO23" s="51">
        <v>0</v>
      </c>
      <c r="AP23" s="51">
        <v>0</v>
      </c>
      <c r="AR23" s="52">
        <v>0</v>
      </c>
      <c r="AS23" s="52">
        <v>0</v>
      </c>
      <c r="AT23" s="52">
        <v>0</v>
      </c>
      <c r="AV23" s="27">
        <v>0</v>
      </c>
      <c r="AW23" s="51">
        <v>0</v>
      </c>
      <c r="AX23" s="51">
        <v>0</v>
      </c>
      <c r="AY23" s="51">
        <v>0</v>
      </c>
      <c r="BA23" s="52">
        <v>0</v>
      </c>
      <c r="BB23" s="52">
        <v>0</v>
      </c>
      <c r="BC23" s="52">
        <v>0</v>
      </c>
    </row>
    <row r="24" spans="1:55" s="51" customFormat="1" x14ac:dyDescent="0.2">
      <c r="A24" s="50" t="s">
        <v>30</v>
      </c>
      <c r="B24" s="27">
        <v>1066307</v>
      </c>
      <c r="C24" s="51">
        <v>933010</v>
      </c>
      <c r="D24" s="51">
        <v>133297</v>
      </c>
      <c r="E24" s="51">
        <v>0</v>
      </c>
      <c r="G24" s="52">
        <v>0.87499191133510335</v>
      </c>
      <c r="H24" s="52">
        <v>0.12500808866489668</v>
      </c>
      <c r="I24" s="52">
        <v>0</v>
      </c>
      <c r="K24" s="27">
        <v>90928</v>
      </c>
      <c r="L24" s="51">
        <v>69598</v>
      </c>
      <c r="M24" s="51">
        <v>21330</v>
      </c>
      <c r="N24" s="51">
        <v>0</v>
      </c>
      <c r="P24" s="52">
        <v>0.76541879289107861</v>
      </c>
      <c r="Q24" s="52">
        <v>0.23458120710892136</v>
      </c>
      <c r="R24" s="52">
        <v>0</v>
      </c>
      <c r="T24" s="27">
        <v>9646</v>
      </c>
      <c r="U24" s="51">
        <v>9323</v>
      </c>
      <c r="V24" s="51">
        <v>323</v>
      </c>
      <c r="W24" s="51">
        <v>0</v>
      </c>
      <c r="Y24" s="52">
        <v>0.9665146174580137</v>
      </c>
      <c r="Z24" s="52">
        <v>3.3485382541986318E-2</v>
      </c>
      <c r="AA24" s="52">
        <v>0</v>
      </c>
      <c r="AD24" s="27">
        <v>419942</v>
      </c>
      <c r="AE24" s="51">
        <v>401185</v>
      </c>
      <c r="AF24" s="51">
        <v>18757</v>
      </c>
      <c r="AG24" s="51">
        <v>0</v>
      </c>
      <c r="AI24" s="52">
        <v>0.95533430807111464</v>
      </c>
      <c r="AJ24" s="52">
        <v>4.466569192888542E-2</v>
      </c>
      <c r="AK24" s="52">
        <v>0</v>
      </c>
      <c r="AM24" s="27">
        <v>7459</v>
      </c>
      <c r="AN24" s="51">
        <v>5807</v>
      </c>
      <c r="AO24" s="51">
        <v>1652</v>
      </c>
      <c r="AP24" s="51">
        <v>0</v>
      </c>
      <c r="AR24" s="52">
        <v>0.77852259015953884</v>
      </c>
      <c r="AS24" s="52">
        <v>0.22147740984046119</v>
      </c>
      <c r="AT24" s="52">
        <v>0</v>
      </c>
      <c r="AV24" s="27">
        <v>530</v>
      </c>
      <c r="AW24" s="51">
        <v>469</v>
      </c>
      <c r="AX24" s="51">
        <v>61</v>
      </c>
      <c r="AY24" s="51">
        <v>0</v>
      </c>
      <c r="BA24" s="52">
        <v>0.88490566037735852</v>
      </c>
      <c r="BB24" s="52">
        <v>0.11509433962264151</v>
      </c>
      <c r="BC24" s="52">
        <v>0</v>
      </c>
    </row>
    <row r="25" spans="1:55" s="51" customFormat="1" x14ac:dyDescent="0.2">
      <c r="A25" s="50" t="s">
        <v>31</v>
      </c>
      <c r="B25" s="27">
        <v>5974</v>
      </c>
      <c r="C25" s="51">
        <v>5921</v>
      </c>
      <c r="D25" s="51">
        <v>0</v>
      </c>
      <c r="E25" s="51">
        <v>53</v>
      </c>
      <c r="G25" s="52">
        <v>0.99112822229661868</v>
      </c>
      <c r="H25" s="52">
        <v>0</v>
      </c>
      <c r="I25" s="52">
        <v>8.8717777033813193E-3</v>
      </c>
      <c r="K25" s="27">
        <v>427</v>
      </c>
      <c r="L25" s="51">
        <v>417</v>
      </c>
      <c r="M25" s="51">
        <v>0</v>
      </c>
      <c r="N25" s="51">
        <v>10</v>
      </c>
      <c r="P25" s="52">
        <v>0.97658079625292737</v>
      </c>
      <c r="Q25" s="52">
        <v>0</v>
      </c>
      <c r="R25" s="52">
        <v>2.3419203747072601E-2</v>
      </c>
      <c r="T25" s="27">
        <v>0</v>
      </c>
      <c r="U25" s="51">
        <v>0</v>
      </c>
      <c r="V25" s="51">
        <v>0</v>
      </c>
      <c r="W25" s="51">
        <v>0</v>
      </c>
      <c r="Y25" s="52">
        <v>0</v>
      </c>
      <c r="Z25" s="52">
        <v>0</v>
      </c>
      <c r="AA25" s="52">
        <v>0</v>
      </c>
      <c r="AD25" s="27">
        <v>0</v>
      </c>
      <c r="AE25" s="51">
        <v>0</v>
      </c>
      <c r="AF25" s="51">
        <v>0</v>
      </c>
      <c r="AG25" s="51">
        <v>0</v>
      </c>
      <c r="AI25" s="52">
        <v>0</v>
      </c>
      <c r="AJ25" s="52">
        <v>0</v>
      </c>
      <c r="AK25" s="52">
        <v>0</v>
      </c>
      <c r="AM25" s="27">
        <v>0</v>
      </c>
      <c r="AN25" s="51">
        <v>0</v>
      </c>
      <c r="AO25" s="51">
        <v>0</v>
      </c>
      <c r="AP25" s="51">
        <v>0</v>
      </c>
      <c r="AR25" s="52">
        <v>0</v>
      </c>
      <c r="AS25" s="52">
        <v>0</v>
      </c>
      <c r="AT25" s="52">
        <v>0</v>
      </c>
      <c r="AV25" s="27">
        <v>0</v>
      </c>
      <c r="AW25" s="51">
        <v>0</v>
      </c>
      <c r="AX25" s="51">
        <v>0</v>
      </c>
      <c r="AY25" s="51">
        <v>0</v>
      </c>
      <c r="BA25" s="52">
        <v>0</v>
      </c>
      <c r="BB25" s="52">
        <v>0</v>
      </c>
      <c r="BC25" s="52">
        <v>0</v>
      </c>
    </row>
    <row r="26" spans="1:55" s="51" customFormat="1" x14ac:dyDescent="0.2">
      <c r="A26" s="50" t="s">
        <v>79</v>
      </c>
      <c r="B26" s="27">
        <v>0</v>
      </c>
      <c r="C26" s="51">
        <v>0</v>
      </c>
      <c r="D26" s="51">
        <v>0</v>
      </c>
      <c r="E26" s="51">
        <v>0</v>
      </c>
      <c r="G26" s="52">
        <v>0</v>
      </c>
      <c r="H26" s="52">
        <v>0</v>
      </c>
      <c r="I26" s="52">
        <v>0</v>
      </c>
      <c r="K26" s="27">
        <v>44</v>
      </c>
      <c r="L26" s="51">
        <v>44</v>
      </c>
      <c r="M26" s="51">
        <v>0</v>
      </c>
      <c r="N26" s="51">
        <v>0</v>
      </c>
      <c r="P26" s="52">
        <v>1</v>
      </c>
      <c r="Q26" s="52">
        <v>0</v>
      </c>
      <c r="R26" s="52">
        <v>0</v>
      </c>
      <c r="T26" s="27">
        <v>15</v>
      </c>
      <c r="U26" s="51">
        <v>15</v>
      </c>
      <c r="V26" s="51">
        <v>0</v>
      </c>
      <c r="W26" s="51">
        <v>0</v>
      </c>
      <c r="Y26" s="52">
        <v>1</v>
      </c>
      <c r="Z26" s="52">
        <v>0</v>
      </c>
      <c r="AA26" s="52">
        <v>0</v>
      </c>
      <c r="AD26" s="27">
        <v>0</v>
      </c>
      <c r="AE26" s="51">
        <v>0</v>
      </c>
      <c r="AF26" s="51">
        <v>0</v>
      </c>
      <c r="AG26" s="51">
        <v>0</v>
      </c>
      <c r="AI26" s="52">
        <v>0</v>
      </c>
      <c r="AJ26" s="52">
        <v>0</v>
      </c>
      <c r="AK26" s="52">
        <v>0</v>
      </c>
      <c r="AM26" s="27">
        <v>0</v>
      </c>
      <c r="AN26" s="51">
        <v>0</v>
      </c>
      <c r="AO26" s="51">
        <v>0</v>
      </c>
      <c r="AP26" s="51">
        <v>0</v>
      </c>
      <c r="AR26" s="52">
        <v>0</v>
      </c>
      <c r="AS26" s="52">
        <v>0</v>
      </c>
      <c r="AT26" s="52">
        <v>0</v>
      </c>
      <c r="AV26" s="27">
        <v>0</v>
      </c>
      <c r="AW26" s="51">
        <v>0</v>
      </c>
      <c r="AX26" s="51">
        <v>0</v>
      </c>
      <c r="AY26" s="51">
        <v>0</v>
      </c>
      <c r="BA26" s="52">
        <v>0</v>
      </c>
      <c r="BB26" s="52">
        <v>0</v>
      </c>
      <c r="BC26" s="52">
        <v>0</v>
      </c>
    </row>
    <row r="27" spans="1:55" s="51" customFormat="1" x14ac:dyDescent="0.2">
      <c r="A27" s="50" t="s">
        <v>32</v>
      </c>
      <c r="B27" s="27">
        <v>620345</v>
      </c>
      <c r="C27" s="51">
        <v>0</v>
      </c>
      <c r="D27" s="51">
        <v>620345</v>
      </c>
      <c r="E27" s="51">
        <v>0</v>
      </c>
      <c r="G27" s="52">
        <v>0</v>
      </c>
      <c r="H27" s="52">
        <v>1</v>
      </c>
      <c r="I27" s="52">
        <v>0</v>
      </c>
      <c r="K27" s="27">
        <v>87565</v>
      </c>
      <c r="L27" s="51">
        <v>0</v>
      </c>
      <c r="M27" s="51">
        <v>87565</v>
      </c>
      <c r="N27" s="51">
        <v>0</v>
      </c>
      <c r="P27" s="52">
        <v>0</v>
      </c>
      <c r="Q27" s="52">
        <v>1</v>
      </c>
      <c r="R27" s="52">
        <v>0</v>
      </c>
      <c r="T27" s="27">
        <v>4905</v>
      </c>
      <c r="U27" s="51">
        <v>0</v>
      </c>
      <c r="V27" s="51">
        <v>4905</v>
      </c>
      <c r="W27" s="51">
        <v>0</v>
      </c>
      <c r="Y27" s="52">
        <v>0</v>
      </c>
      <c r="Z27" s="52">
        <v>1</v>
      </c>
      <c r="AA27" s="52">
        <v>0</v>
      </c>
      <c r="AD27" s="27">
        <v>0</v>
      </c>
      <c r="AE27" s="51">
        <v>0</v>
      </c>
      <c r="AF27" s="51">
        <v>0</v>
      </c>
      <c r="AG27" s="51">
        <v>0</v>
      </c>
      <c r="AI27" s="52">
        <v>0</v>
      </c>
      <c r="AJ27" s="52">
        <v>0</v>
      </c>
      <c r="AK27" s="52">
        <v>0</v>
      </c>
      <c r="AM27" s="27">
        <v>0</v>
      </c>
      <c r="AN27" s="51">
        <v>0</v>
      </c>
      <c r="AO27" s="51">
        <v>0</v>
      </c>
      <c r="AP27" s="51">
        <v>0</v>
      </c>
      <c r="AR27" s="52">
        <v>0</v>
      </c>
      <c r="AS27" s="52">
        <v>0</v>
      </c>
      <c r="AT27" s="52">
        <v>0</v>
      </c>
      <c r="AV27" s="27">
        <v>0</v>
      </c>
      <c r="AW27" s="51">
        <v>0</v>
      </c>
      <c r="AX27" s="51">
        <v>0</v>
      </c>
      <c r="AY27" s="51">
        <v>0</v>
      </c>
      <c r="BA27" s="52">
        <v>0</v>
      </c>
      <c r="BB27" s="52">
        <v>0</v>
      </c>
      <c r="BC27" s="52">
        <v>0</v>
      </c>
    </row>
    <row r="28" spans="1:55" s="51" customFormat="1" x14ac:dyDescent="0.2">
      <c r="A28" s="50" t="s">
        <v>80</v>
      </c>
      <c r="B28" s="27">
        <v>0</v>
      </c>
      <c r="C28" s="51">
        <v>0</v>
      </c>
      <c r="D28" s="51">
        <v>0</v>
      </c>
      <c r="E28" s="51">
        <v>0</v>
      </c>
      <c r="G28" s="52">
        <v>0</v>
      </c>
      <c r="H28" s="52">
        <v>0</v>
      </c>
      <c r="I28" s="52">
        <v>0</v>
      </c>
      <c r="K28" s="27">
        <v>2047</v>
      </c>
      <c r="L28" s="51">
        <v>315</v>
      </c>
      <c r="M28" s="51">
        <v>926</v>
      </c>
      <c r="N28" s="51">
        <v>806</v>
      </c>
      <c r="P28" s="52">
        <v>0.15388373229115779</v>
      </c>
      <c r="Q28" s="52">
        <v>0.45236932095749877</v>
      </c>
      <c r="R28" s="52">
        <v>0.39374694675134342</v>
      </c>
      <c r="T28" s="27">
        <v>2950</v>
      </c>
      <c r="U28" s="51">
        <v>2950</v>
      </c>
      <c r="V28" s="51">
        <v>0</v>
      </c>
      <c r="W28" s="51">
        <v>0</v>
      </c>
      <c r="Y28" s="52">
        <v>1</v>
      </c>
      <c r="Z28" s="52">
        <v>0</v>
      </c>
      <c r="AA28" s="52">
        <v>0</v>
      </c>
      <c r="AD28" s="27">
        <v>0</v>
      </c>
      <c r="AE28" s="51">
        <v>0</v>
      </c>
      <c r="AF28" s="51">
        <v>0</v>
      </c>
      <c r="AG28" s="51">
        <v>0</v>
      </c>
      <c r="AI28" s="52">
        <v>0</v>
      </c>
      <c r="AJ28" s="52">
        <v>0</v>
      </c>
      <c r="AK28" s="52">
        <v>0</v>
      </c>
      <c r="AM28" s="27">
        <v>0</v>
      </c>
      <c r="AN28" s="51">
        <v>0</v>
      </c>
      <c r="AO28" s="51">
        <v>0</v>
      </c>
      <c r="AP28" s="51">
        <v>0</v>
      </c>
      <c r="AR28" s="52">
        <v>0</v>
      </c>
      <c r="AS28" s="52">
        <v>0</v>
      </c>
      <c r="AT28" s="52">
        <v>0</v>
      </c>
      <c r="AV28" s="27">
        <v>0</v>
      </c>
      <c r="AW28" s="51">
        <v>0</v>
      </c>
      <c r="AX28" s="51">
        <v>0</v>
      </c>
      <c r="AY28" s="51">
        <v>0</v>
      </c>
      <c r="BA28" s="52">
        <v>0</v>
      </c>
      <c r="BB28" s="52">
        <v>0</v>
      </c>
      <c r="BC28" s="52">
        <v>0</v>
      </c>
    </row>
    <row r="29" spans="1:55" s="51" customFormat="1" x14ac:dyDescent="0.2">
      <c r="A29" s="50" t="s">
        <v>33</v>
      </c>
      <c r="B29" s="27">
        <v>628</v>
      </c>
      <c r="C29" s="51">
        <v>628</v>
      </c>
      <c r="D29" s="51">
        <v>0</v>
      </c>
      <c r="E29" s="51">
        <v>0</v>
      </c>
      <c r="G29" s="52">
        <v>1</v>
      </c>
      <c r="H29" s="52">
        <v>0</v>
      </c>
      <c r="I29" s="52">
        <v>0</v>
      </c>
      <c r="K29" s="27">
        <v>2</v>
      </c>
      <c r="L29" s="51">
        <v>2</v>
      </c>
      <c r="M29" s="51">
        <v>0</v>
      </c>
      <c r="N29" s="51">
        <v>0</v>
      </c>
      <c r="P29" s="52">
        <v>1</v>
      </c>
      <c r="Q29" s="52">
        <v>0</v>
      </c>
      <c r="R29" s="52">
        <v>0</v>
      </c>
      <c r="T29" s="27">
        <v>2</v>
      </c>
      <c r="U29" s="51">
        <v>2</v>
      </c>
      <c r="V29" s="51">
        <v>0</v>
      </c>
      <c r="W29" s="51">
        <v>0</v>
      </c>
      <c r="Y29" s="52">
        <v>1</v>
      </c>
      <c r="Z29" s="52">
        <v>0</v>
      </c>
      <c r="AA29" s="52">
        <v>0</v>
      </c>
      <c r="AD29" s="27">
        <v>0</v>
      </c>
      <c r="AE29" s="51">
        <v>0</v>
      </c>
      <c r="AF29" s="51">
        <v>0</v>
      </c>
      <c r="AG29" s="51">
        <v>0</v>
      </c>
      <c r="AI29" s="52">
        <v>0</v>
      </c>
      <c r="AJ29" s="52">
        <v>0</v>
      </c>
      <c r="AK29" s="52">
        <v>0</v>
      </c>
      <c r="AM29" s="27">
        <v>0</v>
      </c>
      <c r="AN29" s="51">
        <v>0</v>
      </c>
      <c r="AO29" s="51">
        <v>0</v>
      </c>
      <c r="AP29" s="51">
        <v>0</v>
      </c>
      <c r="AR29" s="52">
        <v>0</v>
      </c>
      <c r="AS29" s="52">
        <v>0</v>
      </c>
      <c r="AT29" s="52">
        <v>0</v>
      </c>
      <c r="AV29" s="27">
        <v>0</v>
      </c>
      <c r="AW29" s="51">
        <v>0</v>
      </c>
      <c r="AX29" s="51">
        <v>0</v>
      </c>
      <c r="AY29" s="51">
        <v>0</v>
      </c>
      <c r="BA29" s="52">
        <v>0</v>
      </c>
      <c r="BB29" s="52">
        <v>0</v>
      </c>
      <c r="BC29" s="52">
        <v>0</v>
      </c>
    </row>
    <row r="30" spans="1:55" s="51" customFormat="1" x14ac:dyDescent="0.2">
      <c r="A30" s="50" t="s">
        <v>34</v>
      </c>
      <c r="B30" s="27">
        <v>4570</v>
      </c>
      <c r="C30" s="51">
        <v>4570</v>
      </c>
      <c r="D30" s="51">
        <v>0</v>
      </c>
      <c r="E30" s="51">
        <v>0</v>
      </c>
      <c r="G30" s="52">
        <v>1</v>
      </c>
      <c r="H30" s="52">
        <v>0</v>
      </c>
      <c r="I30" s="52">
        <v>0</v>
      </c>
      <c r="K30" s="27">
        <v>357</v>
      </c>
      <c r="L30" s="51">
        <v>357</v>
      </c>
      <c r="M30" s="51">
        <v>0</v>
      </c>
      <c r="N30" s="51">
        <v>0</v>
      </c>
      <c r="P30" s="52">
        <v>1</v>
      </c>
      <c r="Q30" s="52">
        <v>0</v>
      </c>
      <c r="R30" s="52">
        <v>0</v>
      </c>
      <c r="T30" s="27">
        <v>20</v>
      </c>
      <c r="U30" s="51">
        <v>20</v>
      </c>
      <c r="V30" s="51">
        <v>0</v>
      </c>
      <c r="W30" s="51">
        <v>0</v>
      </c>
      <c r="Y30" s="52">
        <v>1</v>
      </c>
      <c r="Z30" s="52">
        <v>0</v>
      </c>
      <c r="AA30" s="52">
        <v>0</v>
      </c>
      <c r="AD30" s="27">
        <v>0</v>
      </c>
      <c r="AE30" s="51">
        <v>0</v>
      </c>
      <c r="AF30" s="51">
        <v>0</v>
      </c>
      <c r="AG30" s="51">
        <v>0</v>
      </c>
      <c r="AI30" s="52">
        <v>0</v>
      </c>
      <c r="AJ30" s="52">
        <v>0</v>
      </c>
      <c r="AK30" s="52">
        <v>0</v>
      </c>
      <c r="AM30" s="27">
        <v>0</v>
      </c>
      <c r="AN30" s="51">
        <v>0</v>
      </c>
      <c r="AO30" s="51">
        <v>0</v>
      </c>
      <c r="AP30" s="51">
        <v>0</v>
      </c>
      <c r="AR30" s="52">
        <v>0</v>
      </c>
      <c r="AS30" s="52">
        <v>0</v>
      </c>
      <c r="AT30" s="52">
        <v>0</v>
      </c>
      <c r="AV30" s="27">
        <v>0</v>
      </c>
      <c r="AW30" s="51">
        <v>0</v>
      </c>
      <c r="AX30" s="51">
        <v>0</v>
      </c>
      <c r="AY30" s="51">
        <v>0</v>
      </c>
      <c r="BA30" s="52">
        <v>0</v>
      </c>
      <c r="BB30" s="52">
        <v>0</v>
      </c>
      <c r="BC30" s="52">
        <v>0</v>
      </c>
    </row>
    <row r="31" spans="1:55" s="51" customFormat="1" x14ac:dyDescent="0.2">
      <c r="A31" s="50" t="s">
        <v>166</v>
      </c>
      <c r="B31" s="27">
        <v>172</v>
      </c>
      <c r="C31" s="51">
        <v>172</v>
      </c>
      <c r="D31" s="51">
        <v>0</v>
      </c>
      <c r="E31" s="51">
        <v>0</v>
      </c>
      <c r="G31" s="52">
        <v>1</v>
      </c>
      <c r="H31" s="52">
        <v>0</v>
      </c>
      <c r="I31" s="52">
        <v>0</v>
      </c>
      <c r="K31" s="27">
        <v>52</v>
      </c>
      <c r="L31" s="51">
        <v>52</v>
      </c>
      <c r="M31" s="51">
        <v>0</v>
      </c>
      <c r="N31" s="51">
        <v>0</v>
      </c>
      <c r="P31" s="52">
        <v>1</v>
      </c>
      <c r="Q31" s="52">
        <v>0</v>
      </c>
      <c r="R31" s="52">
        <v>0</v>
      </c>
      <c r="T31" s="27">
        <v>0</v>
      </c>
      <c r="U31" s="51">
        <v>0</v>
      </c>
      <c r="V31" s="51">
        <v>0</v>
      </c>
      <c r="W31" s="51">
        <v>0</v>
      </c>
      <c r="Y31" s="52">
        <v>0</v>
      </c>
      <c r="Z31" s="52">
        <v>0</v>
      </c>
      <c r="AA31" s="52">
        <v>0</v>
      </c>
      <c r="AD31" s="27">
        <v>0</v>
      </c>
      <c r="AE31" s="51">
        <v>0</v>
      </c>
      <c r="AF31" s="51">
        <v>0</v>
      </c>
      <c r="AG31" s="51">
        <v>0</v>
      </c>
      <c r="AI31" s="52">
        <v>0</v>
      </c>
      <c r="AJ31" s="52">
        <v>0</v>
      </c>
      <c r="AK31" s="52">
        <v>0</v>
      </c>
      <c r="AM31" s="27">
        <v>0</v>
      </c>
      <c r="AN31" s="51">
        <v>0</v>
      </c>
      <c r="AO31" s="51">
        <v>0</v>
      </c>
      <c r="AP31" s="51">
        <v>0</v>
      </c>
      <c r="AR31" s="52">
        <v>0</v>
      </c>
      <c r="AS31" s="52">
        <v>0</v>
      </c>
      <c r="AT31" s="52">
        <v>0</v>
      </c>
      <c r="AV31" s="27">
        <v>0</v>
      </c>
      <c r="AW31" s="51">
        <v>0</v>
      </c>
      <c r="AX31" s="51">
        <v>0</v>
      </c>
      <c r="AY31" s="51">
        <v>0</v>
      </c>
      <c r="BA31" s="52">
        <v>0</v>
      </c>
      <c r="BB31" s="52">
        <v>0</v>
      </c>
      <c r="BC31" s="52">
        <v>0</v>
      </c>
    </row>
    <row r="32" spans="1:55" s="51" customFormat="1" x14ac:dyDescent="0.2">
      <c r="A32" s="50" t="s">
        <v>172</v>
      </c>
      <c r="B32" s="27">
        <v>2</v>
      </c>
      <c r="C32" s="51">
        <v>2</v>
      </c>
      <c r="D32" s="51">
        <v>0</v>
      </c>
      <c r="E32" s="51">
        <v>0</v>
      </c>
      <c r="G32" s="52">
        <v>1</v>
      </c>
      <c r="H32" s="52">
        <v>0</v>
      </c>
      <c r="I32" s="52">
        <v>0</v>
      </c>
      <c r="K32" s="27">
        <v>0</v>
      </c>
      <c r="L32" s="51">
        <v>0</v>
      </c>
      <c r="M32" s="51">
        <v>0</v>
      </c>
      <c r="N32" s="51">
        <v>0</v>
      </c>
      <c r="P32" s="52">
        <v>0</v>
      </c>
      <c r="Q32" s="52">
        <v>0</v>
      </c>
      <c r="R32" s="52">
        <v>0</v>
      </c>
      <c r="T32" s="27">
        <v>0</v>
      </c>
      <c r="U32" s="51">
        <v>0</v>
      </c>
      <c r="V32" s="51">
        <v>0</v>
      </c>
      <c r="W32" s="51">
        <v>0</v>
      </c>
      <c r="Y32" s="52">
        <v>0</v>
      </c>
      <c r="Z32" s="52">
        <v>0</v>
      </c>
      <c r="AA32" s="52">
        <v>0</v>
      </c>
      <c r="AD32" s="27">
        <v>0</v>
      </c>
      <c r="AE32" s="51">
        <v>0</v>
      </c>
      <c r="AF32" s="51">
        <v>0</v>
      </c>
      <c r="AG32" s="51">
        <v>0</v>
      </c>
      <c r="AI32" s="52">
        <v>0</v>
      </c>
      <c r="AJ32" s="52">
        <v>0</v>
      </c>
      <c r="AK32" s="52">
        <v>0</v>
      </c>
      <c r="AM32" s="27">
        <v>0</v>
      </c>
      <c r="AN32" s="51">
        <v>0</v>
      </c>
      <c r="AO32" s="51">
        <v>0</v>
      </c>
      <c r="AP32" s="51">
        <v>0</v>
      </c>
      <c r="AR32" s="52">
        <v>0</v>
      </c>
      <c r="AS32" s="52">
        <v>0</v>
      </c>
      <c r="AT32" s="52">
        <v>0</v>
      </c>
      <c r="AV32" s="27">
        <v>0</v>
      </c>
      <c r="AW32" s="51">
        <v>0</v>
      </c>
      <c r="AX32" s="51">
        <v>0</v>
      </c>
      <c r="AY32" s="51">
        <v>0</v>
      </c>
      <c r="BA32" s="52">
        <v>0</v>
      </c>
      <c r="BB32" s="52">
        <v>0</v>
      </c>
      <c r="BC32" s="52">
        <v>0</v>
      </c>
    </row>
    <row r="33" spans="1:55" s="51" customFormat="1" x14ac:dyDescent="0.2">
      <c r="A33" s="50" t="s">
        <v>85</v>
      </c>
      <c r="B33" s="27">
        <v>0</v>
      </c>
      <c r="C33" s="51">
        <v>0</v>
      </c>
      <c r="D33" s="51">
        <v>0</v>
      </c>
      <c r="E33" s="51">
        <v>0</v>
      </c>
      <c r="G33" s="52">
        <v>0</v>
      </c>
      <c r="H33" s="52">
        <v>0</v>
      </c>
      <c r="I33" s="52">
        <v>0</v>
      </c>
      <c r="K33" s="27">
        <v>0</v>
      </c>
      <c r="L33" s="51">
        <v>0</v>
      </c>
      <c r="M33" s="51">
        <v>0</v>
      </c>
      <c r="N33" s="51">
        <v>0</v>
      </c>
      <c r="P33" s="52">
        <v>0</v>
      </c>
      <c r="Q33" s="52">
        <v>0</v>
      </c>
      <c r="R33" s="52">
        <v>0</v>
      </c>
      <c r="T33" s="27">
        <v>78</v>
      </c>
      <c r="U33" s="51">
        <v>78</v>
      </c>
      <c r="V33" s="51">
        <v>0</v>
      </c>
      <c r="W33" s="51">
        <v>0</v>
      </c>
      <c r="Y33" s="52">
        <v>1</v>
      </c>
      <c r="Z33" s="52">
        <v>0</v>
      </c>
      <c r="AA33" s="52">
        <v>0</v>
      </c>
      <c r="AD33" s="27">
        <v>0</v>
      </c>
      <c r="AE33" s="51">
        <v>0</v>
      </c>
      <c r="AF33" s="51">
        <v>0</v>
      </c>
      <c r="AG33" s="51">
        <v>0</v>
      </c>
      <c r="AI33" s="52">
        <v>0</v>
      </c>
      <c r="AJ33" s="52">
        <v>0</v>
      </c>
      <c r="AK33" s="52">
        <v>0</v>
      </c>
      <c r="AM33" s="27">
        <v>0</v>
      </c>
      <c r="AN33" s="51">
        <v>0</v>
      </c>
      <c r="AO33" s="51">
        <v>0</v>
      </c>
      <c r="AP33" s="51">
        <v>0</v>
      </c>
      <c r="AR33" s="52">
        <v>0</v>
      </c>
      <c r="AS33" s="52">
        <v>0</v>
      </c>
      <c r="AT33" s="52">
        <v>0</v>
      </c>
      <c r="AV33" s="27">
        <v>0</v>
      </c>
      <c r="AW33" s="51">
        <v>0</v>
      </c>
      <c r="AX33" s="51">
        <v>0</v>
      </c>
      <c r="AY33" s="51">
        <v>0</v>
      </c>
      <c r="BA33" s="52">
        <v>0</v>
      </c>
      <c r="BB33" s="52">
        <v>0</v>
      </c>
      <c r="BC33" s="52">
        <v>0</v>
      </c>
    </row>
    <row r="34" spans="1:55" s="51" customFormat="1" x14ac:dyDescent="0.2">
      <c r="A34" s="50" t="s">
        <v>36</v>
      </c>
      <c r="B34" s="27">
        <v>21202</v>
      </c>
      <c r="C34" s="51">
        <v>21202</v>
      </c>
      <c r="D34" s="51">
        <v>0</v>
      </c>
      <c r="E34" s="51">
        <v>0</v>
      </c>
      <c r="G34" s="52">
        <v>1</v>
      </c>
      <c r="H34" s="52">
        <v>0</v>
      </c>
      <c r="I34" s="52">
        <v>0</v>
      </c>
      <c r="K34" s="27">
        <v>2987</v>
      </c>
      <c r="L34" s="51">
        <v>2987</v>
      </c>
      <c r="M34" s="51">
        <v>0</v>
      </c>
      <c r="N34" s="51">
        <v>0</v>
      </c>
      <c r="P34" s="52">
        <v>1</v>
      </c>
      <c r="Q34" s="52">
        <v>0</v>
      </c>
      <c r="R34" s="52">
        <v>0</v>
      </c>
      <c r="T34" s="27">
        <v>46</v>
      </c>
      <c r="U34" s="51">
        <v>46</v>
      </c>
      <c r="V34" s="51">
        <v>0</v>
      </c>
      <c r="W34" s="51">
        <v>0</v>
      </c>
      <c r="Y34" s="52">
        <v>1</v>
      </c>
      <c r="Z34" s="52">
        <v>0</v>
      </c>
      <c r="AA34" s="52">
        <v>0</v>
      </c>
      <c r="AD34" s="27">
        <v>0</v>
      </c>
      <c r="AE34" s="51">
        <v>0</v>
      </c>
      <c r="AF34" s="51">
        <v>0</v>
      </c>
      <c r="AG34" s="51">
        <v>0</v>
      </c>
      <c r="AI34" s="52">
        <v>0</v>
      </c>
      <c r="AJ34" s="52">
        <v>0</v>
      </c>
      <c r="AK34" s="52">
        <v>0</v>
      </c>
      <c r="AM34" s="27">
        <v>0</v>
      </c>
      <c r="AN34" s="51">
        <v>0</v>
      </c>
      <c r="AO34" s="51">
        <v>0</v>
      </c>
      <c r="AP34" s="51">
        <v>0</v>
      </c>
      <c r="AR34" s="52">
        <v>0</v>
      </c>
      <c r="AS34" s="52">
        <v>0</v>
      </c>
      <c r="AT34" s="52">
        <v>0</v>
      </c>
      <c r="AV34" s="27">
        <v>0</v>
      </c>
      <c r="AW34" s="51">
        <v>0</v>
      </c>
      <c r="AX34" s="51">
        <v>0</v>
      </c>
      <c r="AY34" s="51">
        <v>0</v>
      </c>
      <c r="BA34" s="52">
        <v>0</v>
      </c>
      <c r="BB34" s="52">
        <v>0</v>
      </c>
      <c r="BC34" s="52">
        <v>0</v>
      </c>
    </row>
    <row r="35" spans="1:55" s="51" customFormat="1" x14ac:dyDescent="0.2">
      <c r="A35" s="50" t="s">
        <v>37</v>
      </c>
      <c r="B35" s="27">
        <v>38006</v>
      </c>
      <c r="C35" s="51">
        <v>37928</v>
      </c>
      <c r="D35" s="51">
        <v>78</v>
      </c>
      <c r="E35" s="51">
        <v>0</v>
      </c>
      <c r="G35" s="52">
        <v>0.99794769246961001</v>
      </c>
      <c r="H35" s="52">
        <v>2.0523075303899383E-3</v>
      </c>
      <c r="I35" s="52">
        <v>0</v>
      </c>
      <c r="K35" s="27">
        <v>2854</v>
      </c>
      <c r="L35" s="51">
        <v>2795</v>
      </c>
      <c r="M35" s="51">
        <v>59</v>
      </c>
      <c r="N35" s="51">
        <v>0</v>
      </c>
      <c r="P35" s="52">
        <v>0.97932725998598458</v>
      </c>
      <c r="Q35" s="52">
        <v>2.0672740014015416E-2</v>
      </c>
      <c r="R35" s="52">
        <v>0</v>
      </c>
      <c r="T35" s="27">
        <v>17</v>
      </c>
      <c r="U35" s="51">
        <v>17</v>
      </c>
      <c r="V35" s="51">
        <v>0</v>
      </c>
      <c r="W35" s="51">
        <v>0</v>
      </c>
      <c r="Y35" s="52">
        <v>1</v>
      </c>
      <c r="Z35" s="52">
        <v>0</v>
      </c>
      <c r="AA35" s="52">
        <v>0</v>
      </c>
      <c r="AD35" s="27">
        <v>9484</v>
      </c>
      <c r="AE35" s="51">
        <v>9484</v>
      </c>
      <c r="AF35" s="51">
        <v>0</v>
      </c>
      <c r="AG35" s="51">
        <v>0</v>
      </c>
      <c r="AI35" s="52">
        <v>1</v>
      </c>
      <c r="AJ35" s="52">
        <v>0</v>
      </c>
      <c r="AK35" s="52">
        <v>0</v>
      </c>
      <c r="AM35" s="27">
        <v>27</v>
      </c>
      <c r="AN35" s="51">
        <v>27</v>
      </c>
      <c r="AO35" s="51">
        <v>0</v>
      </c>
      <c r="AP35" s="51">
        <v>0</v>
      </c>
      <c r="AR35" s="52">
        <v>1</v>
      </c>
      <c r="AS35" s="52">
        <v>0</v>
      </c>
      <c r="AT35" s="52">
        <v>0</v>
      </c>
      <c r="AV35" s="27">
        <v>17</v>
      </c>
      <c r="AW35" s="51">
        <v>17</v>
      </c>
      <c r="AX35" s="51">
        <v>0</v>
      </c>
      <c r="AY35" s="51">
        <v>0</v>
      </c>
      <c r="BA35" s="52">
        <v>1</v>
      </c>
      <c r="BB35" s="52">
        <v>0</v>
      </c>
      <c r="BC35" s="52">
        <v>0</v>
      </c>
    </row>
    <row r="36" spans="1:55" s="51" customFormat="1" x14ac:dyDescent="0.2">
      <c r="A36" s="50" t="s">
        <v>86</v>
      </c>
      <c r="B36" s="27">
        <v>0</v>
      </c>
      <c r="C36" s="51">
        <v>0</v>
      </c>
      <c r="D36" s="51">
        <v>0</v>
      </c>
      <c r="E36" s="51">
        <v>0</v>
      </c>
      <c r="G36" s="52">
        <v>0</v>
      </c>
      <c r="H36" s="52">
        <v>0</v>
      </c>
      <c r="I36" s="52">
        <v>0</v>
      </c>
      <c r="K36" s="27">
        <v>0</v>
      </c>
      <c r="L36" s="51">
        <v>0</v>
      </c>
      <c r="M36" s="51">
        <v>0</v>
      </c>
      <c r="N36" s="51">
        <v>0</v>
      </c>
      <c r="P36" s="52">
        <v>0</v>
      </c>
      <c r="Q36" s="52">
        <v>0</v>
      </c>
      <c r="R36" s="52">
        <v>0</v>
      </c>
      <c r="T36" s="27">
        <v>5</v>
      </c>
      <c r="U36" s="51">
        <v>5</v>
      </c>
      <c r="V36" s="51">
        <v>0</v>
      </c>
      <c r="W36" s="51">
        <v>0</v>
      </c>
      <c r="Y36" s="52">
        <v>1</v>
      </c>
      <c r="Z36" s="52">
        <v>0</v>
      </c>
      <c r="AA36" s="52">
        <v>0</v>
      </c>
      <c r="AD36" s="27">
        <v>0</v>
      </c>
      <c r="AE36" s="51">
        <v>0</v>
      </c>
      <c r="AF36" s="51">
        <v>0</v>
      </c>
      <c r="AG36" s="51">
        <v>0</v>
      </c>
      <c r="AI36" s="52">
        <v>0</v>
      </c>
      <c r="AJ36" s="52">
        <v>0</v>
      </c>
      <c r="AK36" s="52">
        <v>0</v>
      </c>
      <c r="AM36" s="27">
        <v>0</v>
      </c>
      <c r="AN36" s="51">
        <v>0</v>
      </c>
      <c r="AO36" s="51">
        <v>0</v>
      </c>
      <c r="AP36" s="51">
        <v>0</v>
      </c>
      <c r="AR36" s="52">
        <v>0</v>
      </c>
      <c r="AS36" s="52">
        <v>0</v>
      </c>
      <c r="AT36" s="52">
        <v>0</v>
      </c>
      <c r="AV36" s="27">
        <v>0</v>
      </c>
      <c r="AW36" s="51">
        <v>0</v>
      </c>
      <c r="AX36" s="51">
        <v>0</v>
      </c>
      <c r="AY36" s="51">
        <v>0</v>
      </c>
      <c r="BA36" s="52">
        <v>0</v>
      </c>
      <c r="BB36" s="52">
        <v>0</v>
      </c>
      <c r="BC36" s="52">
        <v>0</v>
      </c>
    </row>
    <row r="37" spans="1:55" s="51" customFormat="1" x14ac:dyDescent="0.2">
      <c r="A37" s="50" t="s">
        <v>38</v>
      </c>
      <c r="B37" s="27">
        <v>13346</v>
      </c>
      <c r="C37" s="51">
        <v>0</v>
      </c>
      <c r="D37" s="51">
        <v>13346</v>
      </c>
      <c r="E37" s="51">
        <v>0</v>
      </c>
      <c r="G37" s="52">
        <v>0</v>
      </c>
      <c r="H37" s="52">
        <v>1</v>
      </c>
      <c r="I37" s="52">
        <v>0</v>
      </c>
      <c r="K37" s="27">
        <v>60</v>
      </c>
      <c r="L37" s="51">
        <v>0</v>
      </c>
      <c r="M37" s="51">
        <v>60</v>
      </c>
      <c r="N37" s="51">
        <v>0</v>
      </c>
      <c r="P37" s="52">
        <v>0</v>
      </c>
      <c r="Q37" s="52">
        <v>1</v>
      </c>
      <c r="R37" s="52">
        <v>0</v>
      </c>
      <c r="T37" s="27">
        <v>0</v>
      </c>
      <c r="U37" s="51">
        <v>0</v>
      </c>
      <c r="V37" s="51">
        <v>0</v>
      </c>
      <c r="W37" s="51">
        <v>0</v>
      </c>
      <c r="Y37" s="52">
        <v>0</v>
      </c>
      <c r="Z37" s="52">
        <v>0</v>
      </c>
      <c r="AA37" s="52">
        <v>0</v>
      </c>
      <c r="AD37" s="27">
        <v>8304</v>
      </c>
      <c r="AE37" s="51">
        <v>0</v>
      </c>
      <c r="AF37" s="51">
        <v>8304</v>
      </c>
      <c r="AG37" s="51">
        <v>0</v>
      </c>
      <c r="AI37" s="52">
        <v>0</v>
      </c>
      <c r="AJ37" s="52">
        <v>1</v>
      </c>
      <c r="AK37" s="52">
        <v>0</v>
      </c>
      <c r="AM37" s="27">
        <v>0</v>
      </c>
      <c r="AN37" s="51">
        <v>0</v>
      </c>
      <c r="AO37" s="51">
        <v>0</v>
      </c>
      <c r="AP37" s="51">
        <v>0</v>
      </c>
      <c r="AR37" s="52">
        <v>0</v>
      </c>
      <c r="AS37" s="52">
        <v>0</v>
      </c>
      <c r="AT37" s="52">
        <v>0</v>
      </c>
      <c r="AV37" s="27">
        <v>0</v>
      </c>
      <c r="AW37" s="51">
        <v>0</v>
      </c>
      <c r="AX37" s="51">
        <v>0</v>
      </c>
      <c r="AY37" s="51">
        <v>0</v>
      </c>
      <c r="BA37" s="52">
        <v>0</v>
      </c>
      <c r="BB37" s="52">
        <v>0</v>
      </c>
      <c r="BC37" s="52">
        <v>0</v>
      </c>
    </row>
    <row r="38" spans="1:55" s="51" customFormat="1" x14ac:dyDescent="0.2">
      <c r="A38" s="50" t="s">
        <v>39</v>
      </c>
      <c r="B38" s="27">
        <v>3681</v>
      </c>
      <c r="C38" s="51">
        <v>3559</v>
      </c>
      <c r="D38" s="51">
        <v>122</v>
      </c>
      <c r="E38" s="51">
        <v>0</v>
      </c>
      <c r="G38" s="52">
        <v>0.96685683238250475</v>
      </c>
      <c r="H38" s="52">
        <v>3.3143167617495244E-2</v>
      </c>
      <c r="I38" s="52">
        <v>0</v>
      </c>
      <c r="K38" s="27">
        <v>15</v>
      </c>
      <c r="L38" s="51">
        <v>12</v>
      </c>
      <c r="M38" s="51">
        <v>3</v>
      </c>
      <c r="N38" s="51">
        <v>0</v>
      </c>
      <c r="P38" s="52">
        <v>0.8</v>
      </c>
      <c r="Q38" s="52">
        <v>0.2</v>
      </c>
      <c r="R38" s="52">
        <v>0</v>
      </c>
      <c r="T38" s="27">
        <v>0</v>
      </c>
      <c r="U38" s="51">
        <v>0</v>
      </c>
      <c r="V38" s="51">
        <v>0</v>
      </c>
      <c r="W38" s="51">
        <v>0</v>
      </c>
      <c r="Y38" s="52">
        <v>0</v>
      </c>
      <c r="Z38" s="52">
        <v>0</v>
      </c>
      <c r="AA38" s="52">
        <v>0</v>
      </c>
      <c r="AD38" s="27">
        <v>0</v>
      </c>
      <c r="AE38" s="51">
        <v>0</v>
      </c>
      <c r="AF38" s="51">
        <v>0</v>
      </c>
      <c r="AG38" s="51">
        <v>0</v>
      </c>
      <c r="AI38" s="52">
        <v>0</v>
      </c>
      <c r="AJ38" s="52">
        <v>0</v>
      </c>
      <c r="AK38" s="52">
        <v>0</v>
      </c>
      <c r="AM38" s="27">
        <v>0</v>
      </c>
      <c r="AN38" s="51">
        <v>0</v>
      </c>
      <c r="AO38" s="51">
        <v>0</v>
      </c>
      <c r="AP38" s="51">
        <v>0</v>
      </c>
      <c r="AR38" s="52">
        <v>0</v>
      </c>
      <c r="AS38" s="52">
        <v>0</v>
      </c>
      <c r="AT38" s="52">
        <v>0</v>
      </c>
      <c r="AV38" s="27">
        <v>0</v>
      </c>
      <c r="AW38" s="51">
        <v>0</v>
      </c>
      <c r="AX38" s="51">
        <v>0</v>
      </c>
      <c r="AY38" s="51">
        <v>0</v>
      </c>
      <c r="BA38" s="52">
        <v>0</v>
      </c>
      <c r="BB38" s="52">
        <v>0</v>
      </c>
      <c r="BC38" s="52">
        <v>0</v>
      </c>
    </row>
    <row r="39" spans="1:55" s="51" customFormat="1" x14ac:dyDescent="0.2">
      <c r="A39" s="50" t="s">
        <v>40</v>
      </c>
      <c r="B39" s="27">
        <v>23684</v>
      </c>
      <c r="C39" s="51">
        <v>23643</v>
      </c>
      <c r="D39" s="51">
        <v>4</v>
      </c>
      <c r="E39" s="51">
        <v>37</v>
      </c>
      <c r="G39" s="52">
        <v>0.99826887350109783</v>
      </c>
      <c r="H39" s="52">
        <v>1.6889039013680122E-4</v>
      </c>
      <c r="I39" s="52">
        <v>1.5622361087654112E-3</v>
      </c>
      <c r="K39" s="27">
        <v>8290</v>
      </c>
      <c r="L39" s="51">
        <v>8121</v>
      </c>
      <c r="M39" s="51">
        <v>24</v>
      </c>
      <c r="N39" s="51">
        <v>145</v>
      </c>
      <c r="P39" s="52">
        <v>0.97961399276236427</v>
      </c>
      <c r="Q39" s="52">
        <v>2.8950542822677927E-3</v>
      </c>
      <c r="R39" s="52">
        <v>1.7490952955367914E-2</v>
      </c>
      <c r="T39" s="27">
        <v>2882</v>
      </c>
      <c r="U39" s="51">
        <v>2881</v>
      </c>
      <c r="V39" s="51">
        <v>1</v>
      </c>
      <c r="W39" s="51">
        <v>0</v>
      </c>
      <c r="Y39" s="52">
        <v>0.9996530187369882</v>
      </c>
      <c r="Z39" s="52">
        <v>3.4698126301179735E-4</v>
      </c>
      <c r="AA39" s="52">
        <v>0</v>
      </c>
      <c r="AD39" s="27">
        <v>0</v>
      </c>
      <c r="AE39" s="51">
        <v>0</v>
      </c>
      <c r="AF39" s="51">
        <v>0</v>
      </c>
      <c r="AG39" s="51">
        <v>0</v>
      </c>
      <c r="AI39" s="52">
        <v>0</v>
      </c>
      <c r="AJ39" s="52">
        <v>0</v>
      </c>
      <c r="AK39" s="52">
        <v>0</v>
      </c>
      <c r="AM39" s="27">
        <v>0</v>
      </c>
      <c r="AN39" s="51">
        <v>0</v>
      </c>
      <c r="AO39" s="51">
        <v>0</v>
      </c>
      <c r="AP39" s="51">
        <v>0</v>
      </c>
      <c r="AR39" s="52">
        <v>0</v>
      </c>
      <c r="AS39" s="52">
        <v>0</v>
      </c>
      <c r="AT39" s="52">
        <v>0</v>
      </c>
      <c r="AV39" s="27">
        <v>0</v>
      </c>
      <c r="AW39" s="51">
        <v>0</v>
      </c>
      <c r="AX39" s="51">
        <v>0</v>
      </c>
      <c r="AY39" s="51">
        <v>0</v>
      </c>
      <c r="BA39" s="52">
        <v>0</v>
      </c>
      <c r="BB39" s="52">
        <v>0</v>
      </c>
      <c r="BC39" s="52">
        <v>0</v>
      </c>
    </row>
    <row r="40" spans="1:55" s="51" customFormat="1" x14ac:dyDescent="0.2">
      <c r="A40" s="50" t="s">
        <v>41</v>
      </c>
      <c r="B40" s="27">
        <v>81</v>
      </c>
      <c r="C40" s="51">
        <v>78</v>
      </c>
      <c r="D40" s="51">
        <v>2</v>
      </c>
      <c r="E40" s="51">
        <v>1</v>
      </c>
      <c r="G40" s="52">
        <v>0.96296296296296291</v>
      </c>
      <c r="H40" s="52">
        <v>2.4691358024691357E-2</v>
      </c>
      <c r="I40" s="52">
        <v>1.2345679012345678E-2</v>
      </c>
      <c r="K40" s="27">
        <v>7367</v>
      </c>
      <c r="L40" s="51">
        <v>7015</v>
      </c>
      <c r="M40" s="51">
        <v>233</v>
      </c>
      <c r="N40" s="51">
        <v>119</v>
      </c>
      <c r="P40" s="52">
        <v>0.95221935659019952</v>
      </c>
      <c r="Q40" s="52">
        <v>3.1627528166146328E-2</v>
      </c>
      <c r="R40" s="52">
        <v>1.6153115243654134E-2</v>
      </c>
      <c r="T40" s="27">
        <v>431</v>
      </c>
      <c r="U40" s="51">
        <v>430</v>
      </c>
      <c r="V40" s="51">
        <v>1</v>
      </c>
      <c r="W40" s="51">
        <v>0</v>
      </c>
      <c r="Y40" s="52">
        <v>0.99767981438515085</v>
      </c>
      <c r="Z40" s="52">
        <v>2.3201856148491878E-3</v>
      </c>
      <c r="AA40" s="52">
        <v>0</v>
      </c>
      <c r="AD40" s="27">
        <v>0</v>
      </c>
      <c r="AE40" s="51">
        <v>0</v>
      </c>
      <c r="AF40" s="51">
        <v>0</v>
      </c>
      <c r="AG40" s="51">
        <v>0</v>
      </c>
      <c r="AI40" s="52">
        <v>0</v>
      </c>
      <c r="AJ40" s="52">
        <v>0</v>
      </c>
      <c r="AK40" s="52">
        <v>0</v>
      </c>
      <c r="AM40" s="27">
        <v>0</v>
      </c>
      <c r="AN40" s="51">
        <v>0</v>
      </c>
      <c r="AO40" s="51">
        <v>0</v>
      </c>
      <c r="AP40" s="51">
        <v>0</v>
      </c>
      <c r="AR40" s="52">
        <v>0</v>
      </c>
      <c r="AS40" s="52">
        <v>0</v>
      </c>
      <c r="AT40" s="52">
        <v>0</v>
      </c>
      <c r="AV40" s="27">
        <v>0</v>
      </c>
      <c r="AW40" s="51">
        <v>0</v>
      </c>
      <c r="AX40" s="51">
        <v>0</v>
      </c>
      <c r="AY40" s="51">
        <v>0</v>
      </c>
      <c r="BA40" s="52">
        <v>0</v>
      </c>
      <c r="BB40" s="52">
        <v>0</v>
      </c>
      <c r="BC40" s="52">
        <v>0</v>
      </c>
    </row>
    <row r="41" spans="1:55" s="51" customFormat="1" x14ac:dyDescent="0.2">
      <c r="A41" s="50" t="s">
        <v>42</v>
      </c>
      <c r="B41" s="27">
        <v>6217</v>
      </c>
      <c r="C41" s="51">
        <v>6217</v>
      </c>
      <c r="D41" s="51">
        <v>0</v>
      </c>
      <c r="E41" s="51">
        <v>0</v>
      </c>
      <c r="G41" s="52">
        <v>1</v>
      </c>
      <c r="H41" s="52">
        <v>0</v>
      </c>
      <c r="I41" s="52">
        <v>0</v>
      </c>
      <c r="K41" s="27">
        <v>576</v>
      </c>
      <c r="L41" s="51">
        <v>576</v>
      </c>
      <c r="M41" s="51">
        <v>0</v>
      </c>
      <c r="N41" s="51">
        <v>0</v>
      </c>
      <c r="P41" s="52">
        <v>1</v>
      </c>
      <c r="Q41" s="52">
        <v>0</v>
      </c>
      <c r="R41" s="52">
        <v>0</v>
      </c>
      <c r="T41" s="27">
        <v>0</v>
      </c>
      <c r="U41" s="51">
        <v>0</v>
      </c>
      <c r="V41" s="51">
        <v>0</v>
      </c>
      <c r="W41" s="51">
        <v>0</v>
      </c>
      <c r="Y41" s="52">
        <v>0</v>
      </c>
      <c r="Z41" s="52">
        <v>0</v>
      </c>
      <c r="AA41" s="52">
        <v>0</v>
      </c>
      <c r="AD41" s="27">
        <v>0</v>
      </c>
      <c r="AE41" s="51">
        <v>0</v>
      </c>
      <c r="AF41" s="51">
        <v>0</v>
      </c>
      <c r="AG41" s="51">
        <v>0</v>
      </c>
      <c r="AI41" s="52">
        <v>0</v>
      </c>
      <c r="AJ41" s="52">
        <v>0</v>
      </c>
      <c r="AK41" s="52">
        <v>0</v>
      </c>
      <c r="AM41" s="27">
        <v>0</v>
      </c>
      <c r="AN41" s="51">
        <v>0</v>
      </c>
      <c r="AO41" s="51">
        <v>0</v>
      </c>
      <c r="AP41" s="51">
        <v>0</v>
      </c>
      <c r="AR41" s="52">
        <v>0</v>
      </c>
      <c r="AS41" s="52">
        <v>0</v>
      </c>
      <c r="AT41" s="52">
        <v>0</v>
      </c>
      <c r="AV41" s="27">
        <v>0</v>
      </c>
      <c r="AW41" s="51">
        <v>0</v>
      </c>
      <c r="AX41" s="51">
        <v>0</v>
      </c>
      <c r="AY41" s="51">
        <v>0</v>
      </c>
      <c r="BA41" s="52">
        <v>0</v>
      </c>
      <c r="BB41" s="52">
        <v>0</v>
      </c>
      <c r="BC41" s="52">
        <v>0</v>
      </c>
    </row>
    <row r="42" spans="1:55" s="51" customFormat="1" x14ac:dyDescent="0.2">
      <c r="A42" s="50" t="s">
        <v>43</v>
      </c>
      <c r="B42" s="27">
        <v>1822863</v>
      </c>
      <c r="C42" s="51">
        <v>1506293</v>
      </c>
      <c r="D42" s="51">
        <v>310530</v>
      </c>
      <c r="E42" s="51">
        <v>6040</v>
      </c>
      <c r="G42" s="52">
        <v>0.82633363011921357</v>
      </c>
      <c r="H42" s="52">
        <v>0.17035290090368832</v>
      </c>
      <c r="I42" s="52">
        <v>3.3134689770981142E-3</v>
      </c>
      <c r="K42" s="27">
        <v>198520</v>
      </c>
      <c r="L42" s="51">
        <v>144416</v>
      </c>
      <c r="M42" s="51">
        <v>51300</v>
      </c>
      <c r="N42" s="51">
        <v>2804</v>
      </c>
      <c r="P42" s="52">
        <v>0.72746322788635909</v>
      </c>
      <c r="Q42" s="52">
        <v>0.25841225065484585</v>
      </c>
      <c r="R42" s="52">
        <v>1.4124521458795083E-2</v>
      </c>
      <c r="T42" s="27">
        <v>17926</v>
      </c>
      <c r="U42" s="51">
        <v>17318</v>
      </c>
      <c r="V42" s="51">
        <v>595</v>
      </c>
      <c r="W42" s="51">
        <v>13</v>
      </c>
      <c r="Y42" s="52">
        <v>0.96608278478188103</v>
      </c>
      <c r="Z42" s="52">
        <v>3.319201160325784E-2</v>
      </c>
      <c r="AA42" s="52">
        <v>7.2520361486109563E-4</v>
      </c>
      <c r="AD42" s="27">
        <v>590315</v>
      </c>
      <c r="AE42" s="51">
        <v>505128</v>
      </c>
      <c r="AF42" s="51">
        <v>75459</v>
      </c>
      <c r="AG42" s="51">
        <v>9728</v>
      </c>
      <c r="AI42" s="52">
        <v>0.85569229987379625</v>
      </c>
      <c r="AJ42" s="52">
        <v>0.12782836282323845</v>
      </c>
      <c r="AK42" s="52">
        <v>1.6479337302965365E-2</v>
      </c>
      <c r="AM42" s="27">
        <v>44566</v>
      </c>
      <c r="AN42" s="51">
        <v>34261</v>
      </c>
      <c r="AO42" s="51">
        <v>8319</v>
      </c>
      <c r="AP42" s="51">
        <v>1986</v>
      </c>
      <c r="AR42" s="52">
        <v>0.76876991428443209</v>
      </c>
      <c r="AS42" s="52">
        <v>0.18666696584840461</v>
      </c>
      <c r="AT42" s="52">
        <v>4.4563119867163312E-2</v>
      </c>
      <c r="AV42" s="27">
        <v>2134</v>
      </c>
      <c r="AW42" s="51">
        <v>1839</v>
      </c>
      <c r="AX42" s="51">
        <v>275</v>
      </c>
      <c r="AY42" s="51">
        <v>20</v>
      </c>
      <c r="BA42" s="52">
        <v>0.86176194939081541</v>
      </c>
      <c r="BB42" s="52">
        <v>0.12886597938144329</v>
      </c>
      <c r="BC42" s="52">
        <v>9.3720712277413302E-3</v>
      </c>
    </row>
    <row r="43" spans="1:55" s="51" customFormat="1" x14ac:dyDescent="0.2">
      <c r="A43" s="50" t="s">
        <v>87</v>
      </c>
      <c r="B43" s="27">
        <v>0</v>
      </c>
      <c r="C43" s="51">
        <v>0</v>
      </c>
      <c r="D43" s="51">
        <v>0</v>
      </c>
      <c r="E43" s="51">
        <v>0</v>
      </c>
      <c r="G43" s="52">
        <v>0</v>
      </c>
      <c r="H43" s="52">
        <v>0</v>
      </c>
      <c r="I43" s="52">
        <v>0</v>
      </c>
      <c r="K43" s="27">
        <v>0</v>
      </c>
      <c r="L43" s="51">
        <v>0</v>
      </c>
      <c r="M43" s="51">
        <v>0</v>
      </c>
      <c r="N43" s="51">
        <v>0</v>
      </c>
      <c r="P43" s="52">
        <v>0</v>
      </c>
      <c r="Q43" s="52">
        <v>0</v>
      </c>
      <c r="R43" s="52">
        <v>0</v>
      </c>
      <c r="T43" s="27">
        <v>18</v>
      </c>
      <c r="U43" s="51">
        <v>18</v>
      </c>
      <c r="V43" s="51">
        <v>0</v>
      </c>
      <c r="W43" s="51">
        <v>0</v>
      </c>
      <c r="Y43" s="52">
        <v>1</v>
      </c>
      <c r="Z43" s="52">
        <v>0</v>
      </c>
      <c r="AA43" s="52">
        <v>0</v>
      </c>
      <c r="AD43" s="27">
        <v>0</v>
      </c>
      <c r="AE43" s="51">
        <v>0</v>
      </c>
      <c r="AF43" s="51">
        <v>0</v>
      </c>
      <c r="AG43" s="51">
        <v>0</v>
      </c>
      <c r="AI43" s="52">
        <v>0</v>
      </c>
      <c r="AJ43" s="52">
        <v>0</v>
      </c>
      <c r="AK43" s="52">
        <v>0</v>
      </c>
      <c r="AM43" s="27">
        <v>0</v>
      </c>
      <c r="AN43" s="51">
        <v>0</v>
      </c>
      <c r="AO43" s="51">
        <v>0</v>
      </c>
      <c r="AP43" s="51">
        <v>0</v>
      </c>
      <c r="AR43" s="52">
        <v>0</v>
      </c>
      <c r="AS43" s="52">
        <v>0</v>
      </c>
      <c r="AT43" s="52">
        <v>0</v>
      </c>
      <c r="AV43" s="27">
        <v>0</v>
      </c>
      <c r="AW43" s="51">
        <v>0</v>
      </c>
      <c r="AX43" s="51">
        <v>0</v>
      </c>
      <c r="AY43" s="51">
        <v>0</v>
      </c>
      <c r="BA43" s="52">
        <v>0</v>
      </c>
      <c r="BB43" s="52">
        <v>0</v>
      </c>
      <c r="BC43" s="52">
        <v>0</v>
      </c>
    </row>
    <row r="44" spans="1:55" s="51" customFormat="1" x14ac:dyDescent="0.2">
      <c r="A44" s="50" t="s">
        <v>44</v>
      </c>
      <c r="B44" s="27">
        <v>461</v>
      </c>
      <c r="C44" s="51">
        <v>458</v>
      </c>
      <c r="D44" s="51">
        <v>3</v>
      </c>
      <c r="E44" s="51">
        <v>0</v>
      </c>
      <c r="G44" s="52">
        <v>0.99349240780911063</v>
      </c>
      <c r="H44" s="52">
        <v>6.5075921908893707E-3</v>
      </c>
      <c r="I44" s="52">
        <v>0</v>
      </c>
      <c r="K44" s="27">
        <v>13</v>
      </c>
      <c r="L44" s="51">
        <v>12</v>
      </c>
      <c r="M44" s="51">
        <v>1</v>
      </c>
      <c r="N44" s="51">
        <v>0</v>
      </c>
      <c r="P44" s="52">
        <v>0.92307692307692313</v>
      </c>
      <c r="Q44" s="52">
        <v>7.6923076923076927E-2</v>
      </c>
      <c r="R44" s="52">
        <v>0</v>
      </c>
      <c r="T44" s="27">
        <v>3</v>
      </c>
      <c r="U44" s="51">
        <v>3</v>
      </c>
      <c r="V44" s="51">
        <v>0</v>
      </c>
      <c r="W44" s="51">
        <v>0</v>
      </c>
      <c r="Y44" s="52">
        <v>1</v>
      </c>
      <c r="Z44" s="52">
        <v>0</v>
      </c>
      <c r="AA44" s="52">
        <v>0</v>
      </c>
      <c r="AD44" s="27">
        <v>0</v>
      </c>
      <c r="AE44" s="51">
        <v>0</v>
      </c>
      <c r="AF44" s="51">
        <v>0</v>
      </c>
      <c r="AG44" s="51">
        <v>0</v>
      </c>
      <c r="AI44" s="52">
        <v>0</v>
      </c>
      <c r="AJ44" s="52">
        <v>0</v>
      </c>
      <c r="AK44" s="52">
        <v>0</v>
      </c>
      <c r="AM44" s="27">
        <v>0</v>
      </c>
      <c r="AN44" s="51">
        <v>0</v>
      </c>
      <c r="AO44" s="51">
        <v>0</v>
      </c>
      <c r="AP44" s="51">
        <v>0</v>
      </c>
      <c r="AR44" s="52">
        <v>0</v>
      </c>
      <c r="AS44" s="52">
        <v>0</v>
      </c>
      <c r="AT44" s="52">
        <v>0</v>
      </c>
      <c r="AV44" s="27">
        <v>0</v>
      </c>
      <c r="AW44" s="51">
        <v>0</v>
      </c>
      <c r="AX44" s="51">
        <v>0</v>
      </c>
      <c r="AY44" s="51">
        <v>0</v>
      </c>
      <c r="BA44" s="52">
        <v>0</v>
      </c>
      <c r="BB44" s="52">
        <v>0</v>
      </c>
      <c r="BC44" s="52">
        <v>0</v>
      </c>
    </row>
    <row r="45" spans="1:55" s="51" customFormat="1" x14ac:dyDescent="0.2">
      <c r="A45" s="50" t="s">
        <v>45</v>
      </c>
      <c r="B45" s="27">
        <v>1364</v>
      </c>
      <c r="C45" s="51">
        <v>1364</v>
      </c>
      <c r="D45" s="51">
        <v>0</v>
      </c>
      <c r="E45" s="51">
        <v>0</v>
      </c>
      <c r="G45" s="52">
        <v>1</v>
      </c>
      <c r="H45" s="52">
        <v>0</v>
      </c>
      <c r="I45" s="52">
        <v>0</v>
      </c>
      <c r="K45" s="27">
        <v>11</v>
      </c>
      <c r="L45" s="51">
        <v>11</v>
      </c>
      <c r="M45" s="51">
        <v>0</v>
      </c>
      <c r="N45" s="51">
        <v>0</v>
      </c>
      <c r="P45" s="52">
        <v>1</v>
      </c>
      <c r="Q45" s="52">
        <v>0</v>
      </c>
      <c r="R45" s="52">
        <v>0</v>
      </c>
      <c r="T45" s="27">
        <v>0</v>
      </c>
      <c r="U45" s="51">
        <v>0</v>
      </c>
      <c r="V45" s="51">
        <v>0</v>
      </c>
      <c r="W45" s="51">
        <v>0</v>
      </c>
      <c r="Y45" s="52">
        <v>0</v>
      </c>
      <c r="Z45" s="52">
        <v>0</v>
      </c>
      <c r="AA45" s="52">
        <v>0</v>
      </c>
      <c r="AD45" s="27">
        <v>0</v>
      </c>
      <c r="AE45" s="51">
        <v>0</v>
      </c>
      <c r="AF45" s="51">
        <v>0</v>
      </c>
      <c r="AG45" s="51">
        <v>0</v>
      </c>
      <c r="AI45" s="52">
        <v>0</v>
      </c>
      <c r="AJ45" s="52">
        <v>0</v>
      </c>
      <c r="AK45" s="52">
        <v>0</v>
      </c>
      <c r="AM45" s="27">
        <v>0</v>
      </c>
      <c r="AN45" s="51">
        <v>0</v>
      </c>
      <c r="AO45" s="51">
        <v>0</v>
      </c>
      <c r="AP45" s="51">
        <v>0</v>
      </c>
      <c r="AR45" s="52">
        <v>0</v>
      </c>
      <c r="AS45" s="52">
        <v>0</v>
      </c>
      <c r="AT45" s="52">
        <v>0</v>
      </c>
      <c r="AV45" s="27">
        <v>0</v>
      </c>
      <c r="AW45" s="51">
        <v>0</v>
      </c>
      <c r="AX45" s="51">
        <v>0</v>
      </c>
      <c r="AY45" s="51">
        <v>0</v>
      </c>
      <c r="BA45" s="52">
        <v>0</v>
      </c>
      <c r="BB45" s="52">
        <v>0</v>
      </c>
      <c r="BC45" s="52">
        <v>0</v>
      </c>
    </row>
    <row r="46" spans="1:55" s="51" customFormat="1" x14ac:dyDescent="0.2">
      <c r="A46" s="50" t="s">
        <v>46</v>
      </c>
      <c r="B46" s="27">
        <v>374</v>
      </c>
      <c r="C46" s="51">
        <v>374</v>
      </c>
      <c r="D46" s="51">
        <v>0</v>
      </c>
      <c r="E46" s="51">
        <v>0</v>
      </c>
      <c r="G46" s="52">
        <v>1</v>
      </c>
      <c r="H46" s="52">
        <v>0</v>
      </c>
      <c r="I46" s="52">
        <v>0</v>
      </c>
      <c r="K46" s="27">
        <v>41</v>
      </c>
      <c r="L46" s="51">
        <v>41</v>
      </c>
      <c r="M46" s="51">
        <v>0</v>
      </c>
      <c r="N46" s="51">
        <v>0</v>
      </c>
      <c r="P46" s="52">
        <v>1</v>
      </c>
      <c r="Q46" s="52">
        <v>0</v>
      </c>
      <c r="R46" s="52">
        <v>0</v>
      </c>
      <c r="T46" s="27">
        <v>0</v>
      </c>
      <c r="U46" s="51">
        <v>0</v>
      </c>
      <c r="V46" s="51">
        <v>0</v>
      </c>
      <c r="W46" s="51">
        <v>0</v>
      </c>
      <c r="Y46" s="52">
        <v>0</v>
      </c>
      <c r="Z46" s="52">
        <v>0</v>
      </c>
      <c r="AA46" s="52">
        <v>0</v>
      </c>
      <c r="AD46" s="27">
        <v>0</v>
      </c>
      <c r="AE46" s="51">
        <v>0</v>
      </c>
      <c r="AF46" s="51">
        <v>0</v>
      </c>
      <c r="AG46" s="51">
        <v>0</v>
      </c>
      <c r="AI46" s="52">
        <v>0</v>
      </c>
      <c r="AJ46" s="52">
        <v>0</v>
      </c>
      <c r="AK46" s="52">
        <v>0</v>
      </c>
      <c r="AM46" s="27">
        <v>0</v>
      </c>
      <c r="AN46" s="51">
        <v>0</v>
      </c>
      <c r="AO46" s="51">
        <v>0</v>
      </c>
      <c r="AP46" s="51">
        <v>0</v>
      </c>
      <c r="AR46" s="52">
        <v>0</v>
      </c>
      <c r="AS46" s="52">
        <v>0</v>
      </c>
      <c r="AT46" s="52">
        <v>0</v>
      </c>
      <c r="AV46" s="27">
        <v>0</v>
      </c>
      <c r="AW46" s="51">
        <v>0</v>
      </c>
      <c r="AX46" s="51">
        <v>0</v>
      </c>
      <c r="AY46" s="51">
        <v>0</v>
      </c>
      <c r="BA46" s="52">
        <v>0</v>
      </c>
      <c r="BB46" s="52">
        <v>0</v>
      </c>
      <c r="BC46" s="52">
        <v>0</v>
      </c>
    </row>
    <row r="47" spans="1:55" s="51" customFormat="1" x14ac:dyDescent="0.2">
      <c r="A47" s="50" t="s">
        <v>126</v>
      </c>
      <c r="B47" s="27">
        <v>48069</v>
      </c>
      <c r="C47" s="51">
        <v>47050</v>
      </c>
      <c r="D47" s="51">
        <v>882</v>
      </c>
      <c r="E47" s="51">
        <v>137</v>
      </c>
      <c r="G47" s="52">
        <v>0.97880130645530383</v>
      </c>
      <c r="H47" s="52">
        <v>1.834862385321101E-2</v>
      </c>
      <c r="I47" s="52">
        <v>2.8500696914851567E-3</v>
      </c>
      <c r="K47" s="27">
        <v>12488</v>
      </c>
      <c r="L47" s="51">
        <v>10626</v>
      </c>
      <c r="M47" s="51">
        <v>1590</v>
      </c>
      <c r="N47" s="51">
        <v>272</v>
      </c>
      <c r="P47" s="52">
        <v>0.85089686098654704</v>
      </c>
      <c r="Q47" s="52">
        <v>0.12732222934016657</v>
      </c>
      <c r="R47" s="52">
        <v>2.1780909673286355E-2</v>
      </c>
      <c r="T47" s="27">
        <v>154</v>
      </c>
      <c r="U47" s="51">
        <v>144</v>
      </c>
      <c r="V47" s="51">
        <v>10</v>
      </c>
      <c r="W47" s="51">
        <v>0</v>
      </c>
      <c r="Y47" s="52">
        <v>0.93506493506493504</v>
      </c>
      <c r="Z47" s="52">
        <v>6.4935064935064929E-2</v>
      </c>
      <c r="AA47" s="52">
        <v>0</v>
      </c>
      <c r="AD47" s="27">
        <v>0</v>
      </c>
      <c r="AE47" s="51">
        <v>0</v>
      </c>
      <c r="AF47" s="51">
        <v>0</v>
      </c>
      <c r="AG47" s="51">
        <v>0</v>
      </c>
      <c r="AI47" s="52">
        <v>0</v>
      </c>
      <c r="AJ47" s="52">
        <v>0</v>
      </c>
      <c r="AK47" s="52">
        <v>0</v>
      </c>
      <c r="AM47" s="27">
        <v>0</v>
      </c>
      <c r="AN47" s="51">
        <v>0</v>
      </c>
      <c r="AO47" s="51">
        <v>0</v>
      </c>
      <c r="AP47" s="51">
        <v>0</v>
      </c>
      <c r="AR47" s="52">
        <v>0</v>
      </c>
      <c r="AS47" s="52">
        <v>0</v>
      </c>
      <c r="AT47" s="52">
        <v>0</v>
      </c>
      <c r="AV47" s="27">
        <v>0</v>
      </c>
      <c r="AW47" s="51">
        <v>0</v>
      </c>
      <c r="AX47" s="51">
        <v>0</v>
      </c>
      <c r="AY47" s="51">
        <v>0</v>
      </c>
      <c r="BA47" s="52">
        <v>0</v>
      </c>
      <c r="BB47" s="52">
        <v>0</v>
      </c>
      <c r="BC47" s="52">
        <v>0</v>
      </c>
    </row>
    <row r="48" spans="1:55" s="51" customFormat="1" x14ac:dyDescent="0.2">
      <c r="A48" s="50" t="s">
        <v>47</v>
      </c>
      <c r="B48" s="27">
        <v>87</v>
      </c>
      <c r="C48" s="51">
        <v>83</v>
      </c>
      <c r="D48" s="51">
        <v>0</v>
      </c>
      <c r="E48" s="51">
        <v>4</v>
      </c>
      <c r="G48" s="52">
        <v>0.95402298850574707</v>
      </c>
      <c r="H48" s="52">
        <v>0</v>
      </c>
      <c r="I48" s="52">
        <v>4.5977011494252873E-2</v>
      </c>
      <c r="K48" s="27">
        <v>3</v>
      </c>
      <c r="L48" s="51">
        <v>3</v>
      </c>
      <c r="M48" s="51">
        <v>0</v>
      </c>
      <c r="N48" s="51">
        <v>0</v>
      </c>
      <c r="P48" s="52">
        <v>1</v>
      </c>
      <c r="Q48" s="52">
        <v>0</v>
      </c>
      <c r="R48" s="52">
        <v>0</v>
      </c>
      <c r="T48" s="27">
        <v>0</v>
      </c>
      <c r="U48" s="51">
        <v>0</v>
      </c>
      <c r="V48" s="51">
        <v>0</v>
      </c>
      <c r="W48" s="51">
        <v>0</v>
      </c>
      <c r="Y48" s="52">
        <v>0</v>
      </c>
      <c r="Z48" s="52">
        <v>0</v>
      </c>
      <c r="AA48" s="52">
        <v>0</v>
      </c>
      <c r="AD48" s="27">
        <v>0</v>
      </c>
      <c r="AE48" s="51">
        <v>0</v>
      </c>
      <c r="AF48" s="51">
        <v>0</v>
      </c>
      <c r="AG48" s="51">
        <v>0</v>
      </c>
      <c r="AI48" s="52">
        <v>0</v>
      </c>
      <c r="AJ48" s="52">
        <v>0</v>
      </c>
      <c r="AK48" s="52">
        <v>0</v>
      </c>
      <c r="AM48" s="27">
        <v>0</v>
      </c>
      <c r="AN48" s="51">
        <v>0</v>
      </c>
      <c r="AO48" s="51">
        <v>0</v>
      </c>
      <c r="AP48" s="51">
        <v>0</v>
      </c>
      <c r="AR48" s="52">
        <v>0</v>
      </c>
      <c r="AS48" s="52">
        <v>0</v>
      </c>
      <c r="AT48" s="52">
        <v>0</v>
      </c>
      <c r="AV48" s="27">
        <v>0</v>
      </c>
      <c r="AW48" s="51">
        <v>0</v>
      </c>
      <c r="AX48" s="51">
        <v>0</v>
      </c>
      <c r="AY48" s="51">
        <v>0</v>
      </c>
      <c r="BA48" s="52">
        <v>0</v>
      </c>
      <c r="BB48" s="52">
        <v>0</v>
      </c>
      <c r="BC48" s="52">
        <v>0</v>
      </c>
    </row>
    <row r="49" spans="1:55" s="51" customFormat="1" x14ac:dyDescent="0.2">
      <c r="A49" s="50" t="s">
        <v>48</v>
      </c>
      <c r="B49" s="27">
        <v>41947</v>
      </c>
      <c r="C49" s="51">
        <v>41278</v>
      </c>
      <c r="D49" s="51">
        <v>0</v>
      </c>
      <c r="E49" s="51">
        <v>669</v>
      </c>
      <c r="G49" s="52">
        <v>0.98405130283452924</v>
      </c>
      <c r="H49" s="52">
        <v>0</v>
      </c>
      <c r="I49" s="52">
        <v>1.5948697165470711E-2</v>
      </c>
      <c r="K49" s="27">
        <v>2249</v>
      </c>
      <c r="L49" s="51">
        <v>2141</v>
      </c>
      <c r="M49" s="51">
        <v>0</v>
      </c>
      <c r="N49" s="51">
        <v>108</v>
      </c>
      <c r="P49" s="52">
        <v>0.9519786571809693</v>
      </c>
      <c r="Q49" s="52">
        <v>0</v>
      </c>
      <c r="R49" s="52">
        <v>4.8021342819030678E-2</v>
      </c>
      <c r="T49" s="27">
        <v>53</v>
      </c>
      <c r="U49" s="51">
        <v>53</v>
      </c>
      <c r="V49" s="51">
        <v>0</v>
      </c>
      <c r="W49" s="51">
        <v>0</v>
      </c>
      <c r="Y49" s="52">
        <v>1</v>
      </c>
      <c r="Z49" s="52">
        <v>0</v>
      </c>
      <c r="AA49" s="52">
        <v>0</v>
      </c>
      <c r="AD49" s="27">
        <v>0</v>
      </c>
      <c r="AE49" s="51">
        <v>0</v>
      </c>
      <c r="AF49" s="51">
        <v>0</v>
      </c>
      <c r="AG49" s="51">
        <v>0</v>
      </c>
      <c r="AI49" s="52">
        <v>0</v>
      </c>
      <c r="AJ49" s="52">
        <v>0</v>
      </c>
      <c r="AK49" s="52">
        <v>0</v>
      </c>
      <c r="AM49" s="27">
        <v>0</v>
      </c>
      <c r="AN49" s="51">
        <v>0</v>
      </c>
      <c r="AO49" s="51">
        <v>0</v>
      </c>
      <c r="AP49" s="51">
        <v>0</v>
      </c>
      <c r="AR49" s="52">
        <v>0</v>
      </c>
      <c r="AS49" s="52">
        <v>0</v>
      </c>
      <c r="AT49" s="52">
        <v>0</v>
      </c>
      <c r="AV49" s="27">
        <v>0</v>
      </c>
      <c r="AW49" s="51">
        <v>0</v>
      </c>
      <c r="AX49" s="51">
        <v>0</v>
      </c>
      <c r="AY49" s="51">
        <v>0</v>
      </c>
      <c r="BA49" s="52">
        <v>0</v>
      </c>
      <c r="BB49" s="52">
        <v>0</v>
      </c>
      <c r="BC49" s="52">
        <v>0</v>
      </c>
    </row>
    <row r="50" spans="1:55" s="51" customFormat="1" x14ac:dyDescent="0.2">
      <c r="A50" s="50" t="s">
        <v>88</v>
      </c>
      <c r="B50" s="27">
        <v>0</v>
      </c>
      <c r="C50" s="51">
        <v>0</v>
      </c>
      <c r="D50" s="51">
        <v>0</v>
      </c>
      <c r="E50" s="51">
        <v>0</v>
      </c>
      <c r="G50" s="52">
        <v>0</v>
      </c>
      <c r="H50" s="52">
        <v>0</v>
      </c>
      <c r="I50" s="52">
        <v>0</v>
      </c>
      <c r="K50" s="27">
        <v>0</v>
      </c>
      <c r="L50" s="51">
        <v>0</v>
      </c>
      <c r="M50" s="51">
        <v>0</v>
      </c>
      <c r="N50" s="51">
        <v>0</v>
      </c>
      <c r="P50" s="52">
        <v>0</v>
      </c>
      <c r="Q50" s="52">
        <v>0</v>
      </c>
      <c r="R50" s="52">
        <v>0</v>
      </c>
      <c r="T50" s="27">
        <v>165</v>
      </c>
      <c r="U50" s="51">
        <v>165</v>
      </c>
      <c r="V50" s="51">
        <v>0</v>
      </c>
      <c r="W50" s="51">
        <v>0</v>
      </c>
      <c r="Y50" s="52">
        <v>1</v>
      </c>
      <c r="Z50" s="52">
        <v>0</v>
      </c>
      <c r="AA50" s="52">
        <v>0</v>
      </c>
      <c r="AD50" s="27">
        <v>0</v>
      </c>
      <c r="AE50" s="51">
        <v>0</v>
      </c>
      <c r="AF50" s="51">
        <v>0</v>
      </c>
      <c r="AG50" s="51">
        <v>0</v>
      </c>
      <c r="AI50" s="52">
        <v>0</v>
      </c>
      <c r="AJ50" s="52">
        <v>0</v>
      </c>
      <c r="AK50" s="52">
        <v>0</v>
      </c>
      <c r="AM50" s="27">
        <v>0</v>
      </c>
      <c r="AN50" s="51">
        <v>0</v>
      </c>
      <c r="AO50" s="51">
        <v>0</v>
      </c>
      <c r="AP50" s="51">
        <v>0</v>
      </c>
      <c r="AR50" s="52">
        <v>0</v>
      </c>
      <c r="AS50" s="52">
        <v>0</v>
      </c>
      <c r="AT50" s="52">
        <v>0</v>
      </c>
      <c r="AV50" s="27">
        <v>0</v>
      </c>
      <c r="AW50" s="51">
        <v>0</v>
      </c>
      <c r="AX50" s="51">
        <v>0</v>
      </c>
      <c r="AY50" s="51">
        <v>0</v>
      </c>
      <c r="BA50" s="52">
        <v>0</v>
      </c>
      <c r="BB50" s="52">
        <v>0</v>
      </c>
      <c r="BC50" s="52">
        <v>0</v>
      </c>
    </row>
    <row r="51" spans="1:55" s="51" customFormat="1" x14ac:dyDescent="0.2">
      <c r="A51" s="50" t="s">
        <v>49</v>
      </c>
      <c r="B51" s="27">
        <v>5460</v>
      </c>
      <c r="C51" s="51">
        <v>5149</v>
      </c>
      <c r="D51" s="51">
        <v>309</v>
      </c>
      <c r="E51" s="51">
        <v>2</v>
      </c>
      <c r="G51" s="52">
        <v>0.94304029304029302</v>
      </c>
      <c r="H51" s="52">
        <v>5.6593406593406594E-2</v>
      </c>
      <c r="I51" s="52">
        <v>3.663003663003663E-4</v>
      </c>
      <c r="K51" s="27">
        <v>6991</v>
      </c>
      <c r="L51" s="51">
        <v>5138</v>
      </c>
      <c r="M51" s="51">
        <v>1838</v>
      </c>
      <c r="N51" s="51">
        <v>15</v>
      </c>
      <c r="P51" s="52">
        <v>0.73494492919467891</v>
      </c>
      <c r="Q51" s="52">
        <v>0.26290945501358892</v>
      </c>
      <c r="R51" s="52">
        <v>2.1456157917322271E-3</v>
      </c>
      <c r="T51" s="27">
        <v>55</v>
      </c>
      <c r="U51" s="51">
        <v>55</v>
      </c>
      <c r="V51" s="51">
        <v>0</v>
      </c>
      <c r="W51" s="51">
        <v>0</v>
      </c>
      <c r="Y51" s="52">
        <v>1</v>
      </c>
      <c r="Z51" s="52">
        <v>0</v>
      </c>
      <c r="AA51" s="52">
        <v>0</v>
      </c>
      <c r="AD51" s="27">
        <v>0</v>
      </c>
      <c r="AE51" s="51">
        <v>0</v>
      </c>
      <c r="AF51" s="51">
        <v>0</v>
      </c>
      <c r="AG51" s="51">
        <v>0</v>
      </c>
      <c r="AI51" s="52">
        <v>0</v>
      </c>
      <c r="AJ51" s="52">
        <v>0</v>
      </c>
      <c r="AK51" s="52">
        <v>0</v>
      </c>
      <c r="AM51" s="27">
        <v>0</v>
      </c>
      <c r="AN51" s="51">
        <v>0</v>
      </c>
      <c r="AO51" s="51">
        <v>0</v>
      </c>
      <c r="AP51" s="51">
        <v>0</v>
      </c>
      <c r="AR51" s="52">
        <v>0</v>
      </c>
      <c r="AS51" s="52">
        <v>0</v>
      </c>
      <c r="AT51" s="52">
        <v>0</v>
      </c>
      <c r="AV51" s="27">
        <v>0</v>
      </c>
      <c r="AW51" s="51">
        <v>0</v>
      </c>
      <c r="AX51" s="51">
        <v>0</v>
      </c>
      <c r="AY51" s="51">
        <v>0</v>
      </c>
      <c r="BA51" s="52">
        <v>0</v>
      </c>
      <c r="BB51" s="52">
        <v>0</v>
      </c>
      <c r="BC51" s="52">
        <v>0</v>
      </c>
    </row>
    <row r="52" spans="1:55" s="51" customFormat="1" x14ac:dyDescent="0.2">
      <c r="A52" s="50" t="s">
        <v>50</v>
      </c>
      <c r="B52" s="27">
        <v>588</v>
      </c>
      <c r="C52" s="51">
        <v>588</v>
      </c>
      <c r="D52" s="51">
        <v>0</v>
      </c>
      <c r="E52" s="51">
        <v>0</v>
      </c>
      <c r="G52" s="52">
        <v>1</v>
      </c>
      <c r="H52" s="52">
        <v>0</v>
      </c>
      <c r="I52" s="52">
        <v>0</v>
      </c>
      <c r="K52" s="27">
        <v>7</v>
      </c>
      <c r="L52" s="51">
        <v>7</v>
      </c>
      <c r="M52" s="51">
        <v>0</v>
      </c>
      <c r="N52" s="51">
        <v>0</v>
      </c>
      <c r="P52" s="52">
        <v>1</v>
      </c>
      <c r="Q52" s="52">
        <v>0</v>
      </c>
      <c r="R52" s="52">
        <v>0</v>
      </c>
      <c r="T52" s="27">
        <v>1</v>
      </c>
      <c r="U52" s="51">
        <v>1</v>
      </c>
      <c r="V52" s="51">
        <v>0</v>
      </c>
      <c r="W52" s="51">
        <v>0</v>
      </c>
      <c r="Y52" s="52">
        <v>1</v>
      </c>
      <c r="Z52" s="52">
        <v>0</v>
      </c>
      <c r="AA52" s="52">
        <v>0</v>
      </c>
      <c r="AD52" s="27">
        <v>229</v>
      </c>
      <c r="AE52" s="51">
        <v>229</v>
      </c>
      <c r="AF52" s="51">
        <v>0</v>
      </c>
      <c r="AG52" s="51">
        <v>0</v>
      </c>
      <c r="AI52" s="52">
        <v>1</v>
      </c>
      <c r="AJ52" s="52">
        <v>0</v>
      </c>
      <c r="AK52" s="52">
        <v>0</v>
      </c>
      <c r="AM52" s="27">
        <v>0</v>
      </c>
      <c r="AN52" s="51">
        <v>0</v>
      </c>
      <c r="AO52" s="51">
        <v>0</v>
      </c>
      <c r="AP52" s="51">
        <v>0</v>
      </c>
      <c r="AR52" s="52">
        <v>0</v>
      </c>
      <c r="AS52" s="52">
        <v>0</v>
      </c>
      <c r="AT52" s="52">
        <v>0</v>
      </c>
      <c r="AV52" s="27">
        <v>0</v>
      </c>
      <c r="AW52" s="51">
        <v>0</v>
      </c>
      <c r="AX52" s="51">
        <v>0</v>
      </c>
      <c r="AY52" s="51">
        <v>0</v>
      </c>
      <c r="BA52" s="52">
        <v>0</v>
      </c>
      <c r="BB52" s="52">
        <v>0</v>
      </c>
      <c r="BC52" s="52">
        <v>0</v>
      </c>
    </row>
    <row r="53" spans="1:55" s="51" customFormat="1" x14ac:dyDescent="0.2">
      <c r="A53" s="50" t="s">
        <v>51</v>
      </c>
      <c r="B53" s="27">
        <v>3042</v>
      </c>
      <c r="C53" s="51">
        <v>3042</v>
      </c>
      <c r="D53" s="51">
        <v>0</v>
      </c>
      <c r="E53" s="51">
        <v>0</v>
      </c>
      <c r="G53" s="52">
        <v>1</v>
      </c>
      <c r="H53" s="52">
        <v>0</v>
      </c>
      <c r="I53" s="52">
        <v>0</v>
      </c>
      <c r="K53" s="27">
        <v>0</v>
      </c>
      <c r="L53" s="51">
        <v>0</v>
      </c>
      <c r="M53" s="51">
        <v>0</v>
      </c>
      <c r="N53" s="51">
        <v>0</v>
      </c>
      <c r="P53" s="52">
        <v>0</v>
      </c>
      <c r="Q53" s="52">
        <v>0</v>
      </c>
      <c r="R53" s="52">
        <v>0</v>
      </c>
      <c r="T53" s="27">
        <v>0</v>
      </c>
      <c r="U53" s="51">
        <v>0</v>
      </c>
      <c r="V53" s="51">
        <v>0</v>
      </c>
      <c r="W53" s="51">
        <v>0</v>
      </c>
      <c r="Y53" s="52">
        <v>0</v>
      </c>
      <c r="Z53" s="52">
        <v>0</v>
      </c>
      <c r="AA53" s="52">
        <v>0</v>
      </c>
      <c r="AD53" s="27">
        <v>0</v>
      </c>
      <c r="AE53" s="51">
        <v>0</v>
      </c>
      <c r="AF53" s="51">
        <v>0</v>
      </c>
      <c r="AG53" s="51">
        <v>0</v>
      </c>
      <c r="AI53" s="52">
        <v>0</v>
      </c>
      <c r="AJ53" s="52">
        <v>0</v>
      </c>
      <c r="AK53" s="52">
        <v>0</v>
      </c>
      <c r="AM53" s="27">
        <v>0</v>
      </c>
      <c r="AN53" s="51">
        <v>0</v>
      </c>
      <c r="AO53" s="51">
        <v>0</v>
      </c>
      <c r="AP53" s="51">
        <v>0</v>
      </c>
      <c r="AR53" s="52">
        <v>0</v>
      </c>
      <c r="AS53" s="52">
        <v>0</v>
      </c>
      <c r="AT53" s="52">
        <v>0</v>
      </c>
      <c r="AV53" s="27">
        <v>0</v>
      </c>
      <c r="AW53" s="51">
        <v>0</v>
      </c>
      <c r="AX53" s="51">
        <v>0</v>
      </c>
      <c r="AY53" s="51">
        <v>0</v>
      </c>
      <c r="BA53" s="52">
        <v>0</v>
      </c>
      <c r="BB53" s="52">
        <v>0</v>
      </c>
      <c r="BC53" s="52">
        <v>0</v>
      </c>
    </row>
    <row r="54" spans="1:55" s="51" customFormat="1" x14ac:dyDescent="0.2">
      <c r="A54" s="50" t="s">
        <v>52</v>
      </c>
      <c r="B54" s="27">
        <v>288507</v>
      </c>
      <c r="C54" s="51">
        <v>287855</v>
      </c>
      <c r="D54" s="51">
        <v>652</v>
      </c>
      <c r="E54" s="51">
        <v>0</v>
      </c>
      <c r="G54" s="52">
        <v>0.99774008949522885</v>
      </c>
      <c r="H54" s="52">
        <v>2.2599105047711146E-3</v>
      </c>
      <c r="I54" s="52">
        <v>0</v>
      </c>
      <c r="K54" s="27">
        <v>9173</v>
      </c>
      <c r="L54" s="51">
        <v>9034</v>
      </c>
      <c r="M54" s="51">
        <v>139</v>
      </c>
      <c r="N54" s="51">
        <v>0</v>
      </c>
      <c r="P54" s="52">
        <v>0.98484683309713295</v>
      </c>
      <c r="Q54" s="52">
        <v>1.515316690286711E-2</v>
      </c>
      <c r="R54" s="52">
        <v>0</v>
      </c>
      <c r="T54" s="27">
        <v>598</v>
      </c>
      <c r="U54" s="51">
        <v>598</v>
      </c>
      <c r="V54" s="51">
        <v>0</v>
      </c>
      <c r="W54" s="51">
        <v>0</v>
      </c>
      <c r="Y54" s="52">
        <v>1</v>
      </c>
      <c r="Z54" s="52">
        <v>0</v>
      </c>
      <c r="AA54" s="52">
        <v>0</v>
      </c>
      <c r="AD54" s="27">
        <v>62400</v>
      </c>
      <c r="AE54" s="51">
        <v>62344</v>
      </c>
      <c r="AF54" s="51">
        <v>56</v>
      </c>
      <c r="AG54" s="51">
        <v>0</v>
      </c>
      <c r="AI54" s="52">
        <v>0.99910256410256415</v>
      </c>
      <c r="AJ54" s="52">
        <v>8.9743589743589744E-4</v>
      </c>
      <c r="AK54" s="52">
        <v>0</v>
      </c>
      <c r="AM54" s="27">
        <v>72</v>
      </c>
      <c r="AN54" s="51">
        <v>68</v>
      </c>
      <c r="AO54" s="51">
        <v>4</v>
      </c>
      <c r="AP54" s="51">
        <v>0</v>
      </c>
      <c r="AR54" s="52">
        <v>0.94444444444444442</v>
      </c>
      <c r="AS54" s="52">
        <v>5.5555555555555552E-2</v>
      </c>
      <c r="AT54" s="52">
        <v>0</v>
      </c>
      <c r="AV54" s="27">
        <v>3</v>
      </c>
      <c r="AW54" s="51">
        <v>3</v>
      </c>
      <c r="AX54" s="51">
        <v>0</v>
      </c>
      <c r="AY54" s="51">
        <v>0</v>
      </c>
      <c r="BA54" s="52">
        <v>1</v>
      </c>
      <c r="BB54" s="52">
        <v>0</v>
      </c>
      <c r="BC54" s="52">
        <v>0</v>
      </c>
    </row>
    <row r="55" spans="1:55" s="51" customFormat="1" x14ac:dyDescent="0.2">
      <c r="A55" s="50" t="s">
        <v>53</v>
      </c>
      <c r="B55" s="27">
        <v>1113</v>
      </c>
      <c r="C55" s="51">
        <v>986</v>
      </c>
      <c r="D55" s="51">
        <v>127</v>
      </c>
      <c r="E55" s="51">
        <v>0</v>
      </c>
      <c r="G55" s="52">
        <v>0.88589398023360288</v>
      </c>
      <c r="H55" s="52">
        <v>0.11410601976639713</v>
      </c>
      <c r="I55" s="52">
        <v>0</v>
      </c>
      <c r="K55" s="27">
        <v>0</v>
      </c>
      <c r="L55" s="51">
        <v>0</v>
      </c>
      <c r="M55" s="51">
        <v>0</v>
      </c>
      <c r="N55" s="51">
        <v>0</v>
      </c>
      <c r="P55" s="52">
        <v>0</v>
      </c>
      <c r="Q55" s="52">
        <v>0</v>
      </c>
      <c r="R55" s="52">
        <v>0</v>
      </c>
      <c r="T55" s="27">
        <v>0</v>
      </c>
      <c r="U55" s="51">
        <v>0</v>
      </c>
      <c r="V55" s="51">
        <v>0</v>
      </c>
      <c r="W55" s="51">
        <v>0</v>
      </c>
      <c r="Y55" s="52">
        <v>0</v>
      </c>
      <c r="Z55" s="52">
        <v>0</v>
      </c>
      <c r="AA55" s="52">
        <v>0</v>
      </c>
      <c r="AD55" s="27">
        <v>0</v>
      </c>
      <c r="AE55" s="51">
        <v>0</v>
      </c>
      <c r="AF55" s="51">
        <v>0</v>
      </c>
      <c r="AG55" s="51">
        <v>0</v>
      </c>
      <c r="AI55" s="52">
        <v>0</v>
      </c>
      <c r="AJ55" s="52">
        <v>0</v>
      </c>
      <c r="AK55" s="52">
        <v>0</v>
      </c>
      <c r="AM55" s="27">
        <v>0</v>
      </c>
      <c r="AN55" s="51">
        <v>0</v>
      </c>
      <c r="AO55" s="51">
        <v>0</v>
      </c>
      <c r="AP55" s="51">
        <v>0</v>
      </c>
      <c r="AR55" s="52">
        <v>0</v>
      </c>
      <c r="AS55" s="52">
        <v>0</v>
      </c>
      <c r="AT55" s="52">
        <v>0</v>
      </c>
      <c r="AV55" s="27">
        <v>0</v>
      </c>
      <c r="AW55" s="51">
        <v>0</v>
      </c>
      <c r="AX55" s="51">
        <v>0</v>
      </c>
      <c r="AY55" s="51">
        <v>0</v>
      </c>
      <c r="BA55" s="52">
        <v>0</v>
      </c>
      <c r="BB55" s="52">
        <v>0</v>
      </c>
      <c r="BC55" s="52">
        <v>0</v>
      </c>
    </row>
    <row r="56" spans="1:55" s="51" customFormat="1" x14ac:dyDescent="0.2">
      <c r="A56" s="50" t="s">
        <v>54</v>
      </c>
      <c r="B56" s="27">
        <v>2933</v>
      </c>
      <c r="C56" s="51">
        <v>2899</v>
      </c>
      <c r="D56" s="51">
        <v>0</v>
      </c>
      <c r="E56" s="51">
        <v>34</v>
      </c>
      <c r="G56" s="52">
        <v>0.98840777361063759</v>
      </c>
      <c r="H56" s="52">
        <v>0</v>
      </c>
      <c r="I56" s="52">
        <v>1.1592226389362428E-2</v>
      </c>
      <c r="K56" s="27">
        <v>198</v>
      </c>
      <c r="L56" s="51">
        <v>183</v>
      </c>
      <c r="M56" s="51">
        <v>0</v>
      </c>
      <c r="N56" s="51">
        <v>15</v>
      </c>
      <c r="P56" s="52">
        <v>0.9242424242424242</v>
      </c>
      <c r="Q56" s="52">
        <v>0</v>
      </c>
      <c r="R56" s="52">
        <v>7.575757575757576E-2</v>
      </c>
      <c r="T56" s="27">
        <v>0</v>
      </c>
      <c r="U56" s="51">
        <v>0</v>
      </c>
      <c r="V56" s="51">
        <v>0</v>
      </c>
      <c r="W56" s="51">
        <v>0</v>
      </c>
      <c r="Y56" s="52">
        <v>0</v>
      </c>
      <c r="Z56" s="52">
        <v>0</v>
      </c>
      <c r="AA56" s="52">
        <v>0</v>
      </c>
      <c r="AD56" s="27">
        <v>18</v>
      </c>
      <c r="AE56" s="51">
        <v>6</v>
      </c>
      <c r="AF56" s="51">
        <v>0</v>
      </c>
      <c r="AG56" s="51">
        <v>12</v>
      </c>
      <c r="AI56" s="52">
        <v>0.33333333333333331</v>
      </c>
      <c r="AJ56" s="52">
        <v>0</v>
      </c>
      <c r="AK56" s="52">
        <v>0.66666666666666663</v>
      </c>
      <c r="AM56" s="27">
        <v>1215</v>
      </c>
      <c r="AN56" s="51">
        <v>1215</v>
      </c>
      <c r="AO56" s="51">
        <v>0</v>
      </c>
      <c r="AP56" s="51">
        <v>0</v>
      </c>
      <c r="AR56" s="52">
        <v>1</v>
      </c>
      <c r="AS56" s="52">
        <v>0</v>
      </c>
      <c r="AT56" s="52">
        <v>0</v>
      </c>
      <c r="AV56" s="27">
        <v>0</v>
      </c>
      <c r="AW56" s="51">
        <v>0</v>
      </c>
      <c r="AX56" s="51">
        <v>0</v>
      </c>
      <c r="AY56" s="51">
        <v>0</v>
      </c>
      <c r="BA56" s="52">
        <v>0</v>
      </c>
      <c r="BB56" s="52">
        <v>0</v>
      </c>
      <c r="BC56" s="52">
        <v>0</v>
      </c>
    </row>
    <row r="57" spans="1:55" s="51" customFormat="1" x14ac:dyDescent="0.2">
      <c r="A57" s="50" t="s">
        <v>90</v>
      </c>
      <c r="B57" s="27">
        <v>0</v>
      </c>
      <c r="C57" s="51">
        <v>0</v>
      </c>
      <c r="D57" s="51">
        <v>0</v>
      </c>
      <c r="E57" s="51">
        <v>0</v>
      </c>
      <c r="G57" s="52">
        <v>0</v>
      </c>
      <c r="H57" s="52">
        <v>0</v>
      </c>
      <c r="I57" s="52">
        <v>0</v>
      </c>
      <c r="K57" s="27">
        <v>0</v>
      </c>
      <c r="L57" s="51">
        <v>0</v>
      </c>
      <c r="M57" s="51">
        <v>0</v>
      </c>
      <c r="N57" s="51">
        <v>0</v>
      </c>
      <c r="P57" s="52">
        <v>0</v>
      </c>
      <c r="Q57" s="52">
        <v>0</v>
      </c>
      <c r="R57" s="52">
        <v>0</v>
      </c>
      <c r="T57" s="27">
        <v>5525</v>
      </c>
      <c r="U57" s="51">
        <v>0</v>
      </c>
      <c r="V57" s="51">
        <v>5525</v>
      </c>
      <c r="W57" s="51">
        <v>0</v>
      </c>
      <c r="Y57" s="52">
        <v>0</v>
      </c>
      <c r="Z57" s="52">
        <v>1</v>
      </c>
      <c r="AA57" s="52">
        <v>0</v>
      </c>
      <c r="AD57" s="27">
        <v>0</v>
      </c>
      <c r="AE57" s="51">
        <v>0</v>
      </c>
      <c r="AF57" s="51">
        <v>0</v>
      </c>
      <c r="AG57" s="51">
        <v>0</v>
      </c>
      <c r="AI57" s="52">
        <v>0</v>
      </c>
      <c r="AJ57" s="52">
        <v>0</v>
      </c>
      <c r="AK57" s="52">
        <v>0</v>
      </c>
      <c r="AM57" s="27">
        <v>0</v>
      </c>
      <c r="AN57" s="51">
        <v>0</v>
      </c>
      <c r="AO57" s="51">
        <v>0</v>
      </c>
      <c r="AP57" s="51">
        <v>0</v>
      </c>
      <c r="AR57" s="52">
        <v>0</v>
      </c>
      <c r="AS57" s="52">
        <v>0</v>
      </c>
      <c r="AT57" s="52">
        <v>0</v>
      </c>
      <c r="AV57" s="27">
        <v>0</v>
      </c>
      <c r="AW57" s="51">
        <v>0</v>
      </c>
      <c r="AX57" s="51">
        <v>0</v>
      </c>
      <c r="AY57" s="51">
        <v>0</v>
      </c>
      <c r="BA57" s="52">
        <v>0</v>
      </c>
      <c r="BB57" s="52">
        <v>0</v>
      </c>
      <c r="BC57" s="52">
        <v>0</v>
      </c>
    </row>
    <row r="58" spans="1:55" s="51" customFormat="1" x14ac:dyDescent="0.2">
      <c r="A58" s="50" t="s">
        <v>55</v>
      </c>
      <c r="B58" s="27">
        <v>130500</v>
      </c>
      <c r="C58" s="51">
        <v>129497</v>
      </c>
      <c r="D58" s="51">
        <v>552</v>
      </c>
      <c r="E58" s="51">
        <v>451</v>
      </c>
      <c r="G58" s="52">
        <v>0.99231417624521068</v>
      </c>
      <c r="H58" s="52">
        <v>4.2298850574712648E-3</v>
      </c>
      <c r="I58" s="52">
        <v>3.4559386973180076E-3</v>
      </c>
      <c r="K58" s="27">
        <v>6537</v>
      </c>
      <c r="L58" s="51">
        <v>6400</v>
      </c>
      <c r="M58" s="51">
        <v>32</v>
      </c>
      <c r="N58" s="51">
        <v>105</v>
      </c>
      <c r="P58" s="52">
        <v>0.97904237417775741</v>
      </c>
      <c r="Q58" s="52">
        <v>4.8952118708887873E-3</v>
      </c>
      <c r="R58" s="52">
        <v>1.6062413951353834E-2</v>
      </c>
      <c r="T58" s="27">
        <v>309</v>
      </c>
      <c r="U58" s="51">
        <v>309</v>
      </c>
      <c r="V58" s="51">
        <v>0</v>
      </c>
      <c r="W58" s="51">
        <v>0</v>
      </c>
      <c r="Y58" s="52">
        <v>1</v>
      </c>
      <c r="Z58" s="52">
        <v>0</v>
      </c>
      <c r="AA58" s="52">
        <v>0</v>
      </c>
      <c r="AD58" s="27">
        <v>52108</v>
      </c>
      <c r="AE58" s="51">
        <v>51676</v>
      </c>
      <c r="AF58" s="51">
        <v>262</v>
      </c>
      <c r="AG58" s="51">
        <v>170</v>
      </c>
      <c r="AI58" s="52">
        <v>0.991709526368312</v>
      </c>
      <c r="AJ58" s="52">
        <v>5.0280187303293157E-3</v>
      </c>
      <c r="AK58" s="52">
        <v>3.2624549013587165E-3</v>
      </c>
      <c r="AM58" s="27">
        <v>320</v>
      </c>
      <c r="AN58" s="51">
        <v>316</v>
      </c>
      <c r="AO58" s="51">
        <v>1</v>
      </c>
      <c r="AP58" s="51">
        <v>3</v>
      </c>
      <c r="AR58" s="52">
        <v>0.98750000000000004</v>
      </c>
      <c r="AS58" s="52">
        <v>3.1250000000000002E-3</v>
      </c>
      <c r="AT58" s="52">
        <v>9.3749999999999997E-3</v>
      </c>
      <c r="AV58" s="27">
        <v>15</v>
      </c>
      <c r="AW58" s="51">
        <v>15</v>
      </c>
      <c r="AX58" s="51">
        <v>0</v>
      </c>
      <c r="AY58" s="51">
        <v>0</v>
      </c>
      <c r="BA58" s="52">
        <v>1</v>
      </c>
      <c r="BB58" s="52">
        <v>0</v>
      </c>
      <c r="BC58" s="52">
        <v>0</v>
      </c>
    </row>
    <row r="59" spans="1:55" s="51" customFormat="1" x14ac:dyDescent="0.2">
      <c r="A59" s="50" t="s">
        <v>91</v>
      </c>
      <c r="B59" s="27">
        <v>0</v>
      </c>
      <c r="C59" s="51">
        <v>0</v>
      </c>
      <c r="D59" s="51">
        <v>0</v>
      </c>
      <c r="E59" s="51">
        <v>0</v>
      </c>
      <c r="G59" s="52">
        <v>0</v>
      </c>
      <c r="H59" s="52">
        <v>0</v>
      </c>
      <c r="I59" s="52">
        <v>0</v>
      </c>
      <c r="K59" s="27">
        <v>0</v>
      </c>
      <c r="L59" s="51">
        <v>0</v>
      </c>
      <c r="M59" s="51">
        <v>0</v>
      </c>
      <c r="N59" s="51">
        <v>0</v>
      </c>
      <c r="P59" s="52">
        <v>0</v>
      </c>
      <c r="Q59" s="52">
        <v>0</v>
      </c>
      <c r="R59" s="52">
        <v>0</v>
      </c>
      <c r="T59" s="27">
        <v>1675</v>
      </c>
      <c r="U59" s="51">
        <v>1675</v>
      </c>
      <c r="V59" s="51">
        <v>0</v>
      </c>
      <c r="W59" s="51">
        <v>0</v>
      </c>
      <c r="Y59" s="52">
        <v>1</v>
      </c>
      <c r="Z59" s="52">
        <v>0</v>
      </c>
      <c r="AA59" s="52">
        <v>0</v>
      </c>
      <c r="AD59" s="27">
        <v>0</v>
      </c>
      <c r="AE59" s="51">
        <v>0</v>
      </c>
      <c r="AF59" s="51">
        <v>0</v>
      </c>
      <c r="AG59" s="51">
        <v>0</v>
      </c>
      <c r="AI59" s="52">
        <v>0</v>
      </c>
      <c r="AJ59" s="52">
        <v>0</v>
      </c>
      <c r="AK59" s="52">
        <v>0</v>
      </c>
      <c r="AM59" s="27">
        <v>0</v>
      </c>
      <c r="AN59" s="51">
        <v>0</v>
      </c>
      <c r="AO59" s="51">
        <v>0</v>
      </c>
      <c r="AP59" s="51">
        <v>0</v>
      </c>
      <c r="AR59" s="52">
        <v>0</v>
      </c>
      <c r="AS59" s="52">
        <v>0</v>
      </c>
      <c r="AT59" s="52">
        <v>0</v>
      </c>
      <c r="AV59" s="27">
        <v>0</v>
      </c>
      <c r="AW59" s="51">
        <v>0</v>
      </c>
      <c r="AX59" s="51">
        <v>0</v>
      </c>
      <c r="AY59" s="51">
        <v>0</v>
      </c>
      <c r="BA59" s="52">
        <v>0</v>
      </c>
      <c r="BB59" s="52">
        <v>0</v>
      </c>
      <c r="BC59" s="52">
        <v>0</v>
      </c>
    </row>
    <row r="60" spans="1:55" s="51" customFormat="1" x14ac:dyDescent="0.2">
      <c r="A60" s="50" t="s">
        <v>56</v>
      </c>
      <c r="B60" s="27">
        <v>5451</v>
      </c>
      <c r="C60" s="51">
        <v>5413</v>
      </c>
      <c r="D60" s="51">
        <v>4</v>
      </c>
      <c r="E60" s="51">
        <v>34</v>
      </c>
      <c r="G60" s="52">
        <v>0.99302880205466881</v>
      </c>
      <c r="H60" s="52">
        <v>7.3381031003485597E-4</v>
      </c>
      <c r="I60" s="52">
        <v>6.2373876352962761E-3</v>
      </c>
      <c r="K60" s="27">
        <v>79</v>
      </c>
      <c r="L60" s="51">
        <v>65</v>
      </c>
      <c r="M60" s="51">
        <v>4</v>
      </c>
      <c r="N60" s="51">
        <v>10</v>
      </c>
      <c r="P60" s="52">
        <v>0.82278481012658233</v>
      </c>
      <c r="Q60" s="52">
        <v>5.0632911392405063E-2</v>
      </c>
      <c r="R60" s="52">
        <v>0.12658227848101267</v>
      </c>
      <c r="T60" s="27">
        <v>0</v>
      </c>
      <c r="U60" s="51">
        <v>0</v>
      </c>
      <c r="V60" s="51">
        <v>0</v>
      </c>
      <c r="W60" s="51">
        <v>0</v>
      </c>
      <c r="Y60" s="52">
        <v>0</v>
      </c>
      <c r="Z60" s="52">
        <v>0</v>
      </c>
      <c r="AA60" s="52">
        <v>0</v>
      </c>
      <c r="AD60" s="27">
        <v>0</v>
      </c>
      <c r="AE60" s="51">
        <v>0</v>
      </c>
      <c r="AF60" s="51">
        <v>0</v>
      </c>
      <c r="AG60" s="51">
        <v>0</v>
      </c>
      <c r="AI60" s="52">
        <v>0</v>
      </c>
      <c r="AJ60" s="52">
        <v>0</v>
      </c>
      <c r="AK60" s="52">
        <v>0</v>
      </c>
      <c r="AM60" s="27">
        <v>0</v>
      </c>
      <c r="AN60" s="51">
        <v>0</v>
      </c>
      <c r="AO60" s="51">
        <v>0</v>
      </c>
      <c r="AP60" s="51">
        <v>0</v>
      </c>
      <c r="AR60" s="52">
        <v>0</v>
      </c>
      <c r="AS60" s="52">
        <v>0</v>
      </c>
      <c r="AT60" s="52">
        <v>0</v>
      </c>
      <c r="AV60" s="27">
        <v>0</v>
      </c>
      <c r="AW60" s="51">
        <v>0</v>
      </c>
      <c r="AX60" s="51">
        <v>0</v>
      </c>
      <c r="AY60" s="51">
        <v>0</v>
      </c>
      <c r="BA60" s="52">
        <v>0</v>
      </c>
      <c r="BB60" s="52">
        <v>0</v>
      </c>
      <c r="BC60" s="52">
        <v>0</v>
      </c>
    </row>
    <row r="61" spans="1:55" s="51" customFormat="1" x14ac:dyDescent="0.2">
      <c r="A61" s="50" t="s">
        <v>176</v>
      </c>
      <c r="B61" s="27">
        <v>30</v>
      </c>
      <c r="C61" s="51">
        <v>30</v>
      </c>
      <c r="D61" s="51">
        <v>0</v>
      </c>
      <c r="E61" s="51">
        <v>0</v>
      </c>
      <c r="G61" s="52">
        <v>1</v>
      </c>
      <c r="H61" s="52">
        <v>0</v>
      </c>
      <c r="I61" s="52">
        <v>0</v>
      </c>
      <c r="K61" s="27">
        <v>0</v>
      </c>
      <c r="L61" s="51">
        <v>0</v>
      </c>
      <c r="M61" s="51">
        <v>0</v>
      </c>
      <c r="N61" s="51">
        <v>0</v>
      </c>
      <c r="P61" s="52">
        <v>0</v>
      </c>
      <c r="Q61" s="52">
        <v>0</v>
      </c>
      <c r="R61" s="52">
        <v>0</v>
      </c>
      <c r="T61" s="27">
        <v>0</v>
      </c>
      <c r="U61" s="51">
        <v>0</v>
      </c>
      <c r="V61" s="51">
        <v>0</v>
      </c>
      <c r="W61" s="51">
        <v>0</v>
      </c>
      <c r="Y61" s="52">
        <v>0</v>
      </c>
      <c r="Z61" s="52">
        <v>0</v>
      </c>
      <c r="AA61" s="52">
        <v>0</v>
      </c>
      <c r="AD61" s="27">
        <v>0</v>
      </c>
      <c r="AE61" s="51">
        <v>0</v>
      </c>
      <c r="AF61" s="51">
        <v>0</v>
      </c>
      <c r="AG61" s="51">
        <v>0</v>
      </c>
      <c r="AI61" s="52">
        <v>0</v>
      </c>
      <c r="AJ61" s="52">
        <v>0</v>
      </c>
      <c r="AK61" s="52">
        <v>0</v>
      </c>
      <c r="AM61" s="27">
        <v>0</v>
      </c>
      <c r="AN61" s="51">
        <v>0</v>
      </c>
      <c r="AO61" s="51">
        <v>0</v>
      </c>
      <c r="AP61" s="51">
        <v>0</v>
      </c>
      <c r="AR61" s="52">
        <v>0</v>
      </c>
      <c r="AS61" s="52">
        <v>0</v>
      </c>
      <c r="AT61" s="52">
        <v>0</v>
      </c>
      <c r="AV61" s="27">
        <v>0</v>
      </c>
      <c r="AW61" s="51">
        <v>0</v>
      </c>
      <c r="AX61" s="51">
        <v>0</v>
      </c>
      <c r="AY61" s="51">
        <v>0</v>
      </c>
      <c r="BA61" s="52">
        <v>0</v>
      </c>
      <c r="BB61" s="52">
        <v>0</v>
      </c>
      <c r="BC61" s="52">
        <v>0</v>
      </c>
    </row>
    <row r="62" spans="1:55" s="51" customFormat="1" x14ac:dyDescent="0.2">
      <c r="A62" s="50" t="s">
        <v>58</v>
      </c>
      <c r="B62" s="27">
        <v>10</v>
      </c>
      <c r="C62" s="51">
        <v>7</v>
      </c>
      <c r="D62" s="51">
        <v>2</v>
      </c>
      <c r="E62" s="51">
        <v>1</v>
      </c>
      <c r="G62" s="52">
        <v>0.7</v>
      </c>
      <c r="H62" s="52">
        <v>0.2</v>
      </c>
      <c r="I62" s="52">
        <v>0.1</v>
      </c>
      <c r="K62" s="27">
        <v>23</v>
      </c>
      <c r="L62" s="51">
        <v>14</v>
      </c>
      <c r="M62" s="51">
        <v>9</v>
      </c>
      <c r="N62" s="51">
        <v>0</v>
      </c>
      <c r="P62" s="52">
        <v>0.60869565217391308</v>
      </c>
      <c r="Q62" s="52">
        <v>0.39130434782608697</v>
      </c>
      <c r="R62" s="52">
        <v>0</v>
      </c>
      <c r="T62" s="27">
        <v>129</v>
      </c>
      <c r="U62" s="51">
        <v>124</v>
      </c>
      <c r="V62" s="51">
        <v>3</v>
      </c>
      <c r="W62" s="51">
        <v>2</v>
      </c>
      <c r="Y62" s="52">
        <v>0.96124031007751942</v>
      </c>
      <c r="Z62" s="52">
        <v>2.3255813953488372E-2</v>
      </c>
      <c r="AA62" s="52">
        <v>1.5503875968992248E-2</v>
      </c>
      <c r="AD62" s="27">
        <v>0</v>
      </c>
      <c r="AE62" s="51">
        <v>0</v>
      </c>
      <c r="AF62" s="51">
        <v>0</v>
      </c>
      <c r="AG62" s="51">
        <v>0</v>
      </c>
      <c r="AI62" s="52">
        <v>0</v>
      </c>
      <c r="AJ62" s="52">
        <v>0</v>
      </c>
      <c r="AK62" s="52">
        <v>0</v>
      </c>
      <c r="AM62" s="27">
        <v>0</v>
      </c>
      <c r="AN62" s="51">
        <v>0</v>
      </c>
      <c r="AO62" s="51">
        <v>0</v>
      </c>
      <c r="AP62" s="51">
        <v>0</v>
      </c>
      <c r="AR62" s="52">
        <v>0</v>
      </c>
      <c r="AS62" s="52">
        <v>0</v>
      </c>
      <c r="AT62" s="52">
        <v>0</v>
      </c>
      <c r="AV62" s="27">
        <v>0</v>
      </c>
      <c r="AW62" s="51">
        <v>0</v>
      </c>
      <c r="AX62" s="51">
        <v>0</v>
      </c>
      <c r="AY62" s="51">
        <v>0</v>
      </c>
      <c r="BA62" s="52">
        <v>0</v>
      </c>
      <c r="BB62" s="52">
        <v>0</v>
      </c>
      <c r="BC62" s="52">
        <v>0</v>
      </c>
    </row>
    <row r="63" spans="1:55" s="51" customFormat="1" x14ac:dyDescent="0.2">
      <c r="A63" s="50" t="s">
        <v>59</v>
      </c>
      <c r="B63" s="27">
        <v>52</v>
      </c>
      <c r="C63" s="51">
        <v>52</v>
      </c>
      <c r="D63" s="51">
        <v>0</v>
      </c>
      <c r="E63" s="51">
        <v>0</v>
      </c>
      <c r="G63" s="52">
        <v>1</v>
      </c>
      <c r="H63" s="52">
        <v>0</v>
      </c>
      <c r="I63" s="52">
        <v>0</v>
      </c>
      <c r="K63" s="27">
        <v>4</v>
      </c>
      <c r="L63" s="51">
        <v>4</v>
      </c>
      <c r="M63" s="51">
        <v>0</v>
      </c>
      <c r="N63" s="51">
        <v>0</v>
      </c>
      <c r="P63" s="52">
        <v>1</v>
      </c>
      <c r="Q63" s="52">
        <v>0</v>
      </c>
      <c r="R63" s="52">
        <v>0</v>
      </c>
      <c r="T63" s="27">
        <v>0</v>
      </c>
      <c r="U63" s="51">
        <v>0</v>
      </c>
      <c r="V63" s="51">
        <v>0</v>
      </c>
      <c r="W63" s="51">
        <v>0</v>
      </c>
      <c r="Y63" s="52">
        <v>0</v>
      </c>
      <c r="Z63" s="52">
        <v>0</v>
      </c>
      <c r="AA63" s="52">
        <v>0</v>
      </c>
      <c r="AD63" s="27">
        <v>0</v>
      </c>
      <c r="AE63" s="51">
        <v>0</v>
      </c>
      <c r="AF63" s="51">
        <v>0</v>
      </c>
      <c r="AG63" s="51">
        <v>0</v>
      </c>
      <c r="AI63" s="52">
        <v>0</v>
      </c>
      <c r="AJ63" s="52">
        <v>0</v>
      </c>
      <c r="AK63" s="52">
        <v>0</v>
      </c>
      <c r="AM63" s="27">
        <v>0</v>
      </c>
      <c r="AN63" s="51">
        <v>0</v>
      </c>
      <c r="AO63" s="51">
        <v>0</v>
      </c>
      <c r="AP63" s="51">
        <v>0</v>
      </c>
      <c r="AR63" s="52">
        <v>0</v>
      </c>
      <c r="AS63" s="52">
        <v>0</v>
      </c>
      <c r="AT63" s="52">
        <v>0</v>
      </c>
      <c r="AV63" s="27">
        <v>0</v>
      </c>
      <c r="AW63" s="51">
        <v>0</v>
      </c>
      <c r="AX63" s="51">
        <v>0</v>
      </c>
      <c r="AY63" s="51">
        <v>0</v>
      </c>
      <c r="BA63" s="52">
        <v>0</v>
      </c>
      <c r="BB63" s="52">
        <v>0</v>
      </c>
      <c r="BC63" s="52">
        <v>0</v>
      </c>
    </row>
    <row r="64" spans="1:55" s="51" customFormat="1" x14ac:dyDescent="0.2">
      <c r="A64" s="50" t="s">
        <v>93</v>
      </c>
      <c r="B64" s="27">
        <v>0</v>
      </c>
      <c r="C64" s="51">
        <v>0</v>
      </c>
      <c r="D64" s="51">
        <v>0</v>
      </c>
      <c r="E64" s="51">
        <v>0</v>
      </c>
      <c r="G64" s="52">
        <v>0</v>
      </c>
      <c r="H64" s="52">
        <v>0</v>
      </c>
      <c r="I64" s="52">
        <v>0</v>
      </c>
      <c r="K64" s="27">
        <v>0</v>
      </c>
      <c r="L64" s="51">
        <v>0</v>
      </c>
      <c r="M64" s="51">
        <v>0</v>
      </c>
      <c r="N64" s="51">
        <v>0</v>
      </c>
      <c r="P64" s="52">
        <v>0</v>
      </c>
      <c r="Q64" s="52">
        <v>0</v>
      </c>
      <c r="R64" s="52">
        <v>0</v>
      </c>
      <c r="T64" s="27">
        <v>0</v>
      </c>
      <c r="U64" s="51">
        <v>0</v>
      </c>
      <c r="V64" s="51">
        <v>0</v>
      </c>
      <c r="W64" s="51">
        <v>0</v>
      </c>
      <c r="Y64" s="52">
        <v>0</v>
      </c>
      <c r="Z64" s="52">
        <v>0</v>
      </c>
      <c r="AA64" s="52">
        <v>0</v>
      </c>
      <c r="AD64" s="27">
        <v>0</v>
      </c>
      <c r="AE64" s="51">
        <v>0</v>
      </c>
      <c r="AF64" s="51">
        <v>0</v>
      </c>
      <c r="AG64" s="51">
        <v>0</v>
      </c>
      <c r="AI64" s="52">
        <v>0</v>
      </c>
      <c r="AJ64" s="52">
        <v>0</v>
      </c>
      <c r="AK64" s="52">
        <v>0</v>
      </c>
      <c r="AM64" s="27">
        <v>0</v>
      </c>
      <c r="AN64" s="51">
        <v>0</v>
      </c>
      <c r="AO64" s="51">
        <v>0</v>
      </c>
      <c r="AP64" s="51">
        <v>0</v>
      </c>
      <c r="AR64" s="52">
        <v>0</v>
      </c>
      <c r="AS64" s="52">
        <v>0</v>
      </c>
      <c r="AT64" s="52">
        <v>0</v>
      </c>
      <c r="AV64" s="27">
        <v>107</v>
      </c>
      <c r="AW64" s="51">
        <v>107</v>
      </c>
      <c r="AX64" s="51">
        <v>0</v>
      </c>
      <c r="AY64" s="51">
        <v>0</v>
      </c>
      <c r="BA64" s="52">
        <v>1</v>
      </c>
      <c r="BB64" s="52">
        <v>0</v>
      </c>
      <c r="BC64" s="52">
        <v>0</v>
      </c>
    </row>
    <row r="65" spans="1:56" s="51" customFormat="1" x14ac:dyDescent="0.2">
      <c r="A65" s="50" t="s">
        <v>61</v>
      </c>
      <c r="B65" s="27">
        <v>2598</v>
      </c>
      <c r="C65" s="51">
        <v>2598</v>
      </c>
      <c r="D65" s="51">
        <v>0</v>
      </c>
      <c r="E65" s="51">
        <v>0</v>
      </c>
      <c r="G65" s="52">
        <v>1</v>
      </c>
      <c r="H65" s="52">
        <v>0</v>
      </c>
      <c r="I65" s="52">
        <v>0</v>
      </c>
      <c r="K65" s="27">
        <v>57</v>
      </c>
      <c r="L65" s="51">
        <v>57</v>
      </c>
      <c r="M65" s="51">
        <v>0</v>
      </c>
      <c r="N65" s="51">
        <v>0</v>
      </c>
      <c r="P65" s="52">
        <v>1</v>
      </c>
      <c r="Q65" s="52">
        <v>0</v>
      </c>
      <c r="R65" s="52">
        <v>0</v>
      </c>
      <c r="T65" s="27">
        <v>52</v>
      </c>
      <c r="U65" s="51">
        <v>52</v>
      </c>
      <c r="V65" s="51">
        <v>0</v>
      </c>
      <c r="W65" s="51">
        <v>0</v>
      </c>
      <c r="Y65" s="52">
        <v>1</v>
      </c>
      <c r="Z65" s="52">
        <v>0</v>
      </c>
      <c r="AA65" s="52">
        <v>0</v>
      </c>
      <c r="AD65" s="27">
        <v>0</v>
      </c>
      <c r="AE65" s="51">
        <v>0</v>
      </c>
      <c r="AF65" s="51">
        <v>0</v>
      </c>
      <c r="AG65" s="51">
        <v>0</v>
      </c>
      <c r="AI65" s="52">
        <v>0</v>
      </c>
      <c r="AJ65" s="52">
        <v>0</v>
      </c>
      <c r="AK65" s="52">
        <v>0</v>
      </c>
      <c r="AM65" s="27">
        <v>5</v>
      </c>
      <c r="AN65" s="51">
        <v>5</v>
      </c>
      <c r="AO65" s="51">
        <v>0</v>
      </c>
      <c r="AP65" s="51">
        <v>0</v>
      </c>
      <c r="AR65" s="52">
        <v>1</v>
      </c>
      <c r="AS65" s="52">
        <v>0</v>
      </c>
      <c r="AT65" s="52">
        <v>0</v>
      </c>
      <c r="AV65" s="27">
        <v>0</v>
      </c>
      <c r="AW65" s="51">
        <v>0</v>
      </c>
      <c r="AX65" s="51">
        <v>0</v>
      </c>
      <c r="AY65" s="51">
        <v>0</v>
      </c>
      <c r="BA65" s="52">
        <v>0</v>
      </c>
      <c r="BB65" s="52">
        <v>0</v>
      </c>
      <c r="BC65" s="52">
        <v>0</v>
      </c>
    </row>
    <row r="66" spans="1:56" s="21" customFormat="1" x14ac:dyDescent="0.2">
      <c r="A66" s="1" t="s">
        <v>62</v>
      </c>
      <c r="B66" s="27">
        <v>6489284</v>
      </c>
      <c r="C66" s="27">
        <v>4925490</v>
      </c>
      <c r="D66" s="27">
        <v>1550468</v>
      </c>
      <c r="E66" s="27">
        <v>13326</v>
      </c>
      <c r="G66" s="53">
        <v>0.75901902274580679</v>
      </c>
      <c r="H66" s="53">
        <v>0.23892743791148607</v>
      </c>
      <c r="I66" s="53">
        <v>2.0535393427071461E-3</v>
      </c>
      <c r="K66" s="27">
        <v>658674</v>
      </c>
      <c r="L66" s="27">
        <v>423059</v>
      </c>
      <c r="M66" s="27">
        <v>228412</v>
      </c>
      <c r="N66" s="27">
        <v>7203</v>
      </c>
      <c r="P66" s="53">
        <v>0.64228890164178332</v>
      </c>
      <c r="Q66" s="53">
        <v>0.34677549136598684</v>
      </c>
      <c r="R66" s="53">
        <v>1.0935606992229844E-2</v>
      </c>
      <c r="T66" s="27">
        <v>63816</v>
      </c>
      <c r="U66" s="27">
        <v>52285</v>
      </c>
      <c r="V66" s="27">
        <v>11510</v>
      </c>
      <c r="W66" s="27">
        <v>21</v>
      </c>
      <c r="Y66" s="53">
        <v>0.8193086373323305</v>
      </c>
      <c r="Z66" s="53">
        <v>0.1803622915883164</v>
      </c>
      <c r="AA66" s="53">
        <v>3.2907107935314028E-4</v>
      </c>
      <c r="AD66" s="27">
        <v>2171630</v>
      </c>
      <c r="AE66" s="27">
        <v>1858548</v>
      </c>
      <c r="AF66" s="27">
        <v>291527</v>
      </c>
      <c r="AG66" s="27">
        <v>21555</v>
      </c>
      <c r="AI66" s="53">
        <v>0.85583087358343735</v>
      </c>
      <c r="AJ66" s="53">
        <v>0.13424340242122276</v>
      </c>
      <c r="AK66" s="53">
        <v>9.9257239953399051E-3</v>
      </c>
      <c r="AM66" s="27">
        <v>81566</v>
      </c>
      <c r="AN66" s="27">
        <v>61895</v>
      </c>
      <c r="AO66" s="27">
        <v>16607</v>
      </c>
      <c r="AP66" s="27">
        <v>3064</v>
      </c>
      <c r="AR66" s="53">
        <v>0.75883333742000347</v>
      </c>
      <c r="AS66" s="53">
        <v>0.20360199102567247</v>
      </c>
      <c r="AT66" s="53">
        <v>3.7564671554324108E-2</v>
      </c>
      <c r="AV66" s="27">
        <v>4913</v>
      </c>
      <c r="AW66" s="27">
        <v>4239</v>
      </c>
      <c r="AX66" s="27">
        <v>648</v>
      </c>
      <c r="AY66" s="27">
        <v>26</v>
      </c>
      <c r="BA66" s="53">
        <v>0.86281294524730312</v>
      </c>
      <c r="BB66" s="53">
        <v>0.13189497252188073</v>
      </c>
      <c r="BC66" s="53">
        <v>5.2920822308162021E-3</v>
      </c>
      <c r="BD66" s="27"/>
    </row>
    <row r="67" spans="1:56" x14ac:dyDescent="0.2">
      <c r="A67" s="23"/>
      <c r="G67" s="19"/>
      <c r="H67" s="19"/>
      <c r="I67" s="19"/>
      <c r="P67" s="19"/>
      <c r="Q67" s="19"/>
      <c r="R67" s="19"/>
      <c r="Y67" s="19"/>
      <c r="Z67" s="19"/>
      <c r="AA67" s="19"/>
      <c r="AI67" s="19"/>
      <c r="AJ67" s="19"/>
      <c r="AK67" s="19"/>
      <c r="AR67" s="19"/>
      <c r="AS67" s="19"/>
      <c r="AT67" s="19"/>
      <c r="BA67" s="19"/>
      <c r="BB67" s="19"/>
      <c r="BC67" s="19"/>
      <c r="BD67" s="51"/>
    </row>
    <row r="68" spans="1:56" s="21" customFormat="1" ht="15" x14ac:dyDescent="0.25">
      <c r="A68" s="1" t="s">
        <v>63</v>
      </c>
      <c r="G68" s="116"/>
      <c r="H68" s="116"/>
      <c r="I68" s="116"/>
      <c r="P68" s="116"/>
      <c r="Q68" s="116"/>
      <c r="R68" s="116"/>
      <c r="Y68" s="116"/>
      <c r="Z68" s="116"/>
      <c r="AA68" s="116"/>
      <c r="AI68" s="116"/>
      <c r="AJ68" s="116"/>
      <c r="AK68" s="116"/>
      <c r="AR68" s="116"/>
      <c r="AS68" s="116"/>
      <c r="AT68" s="116"/>
      <c r="BA68" s="116"/>
      <c r="BB68" s="116"/>
      <c r="BC68" s="116"/>
      <c r="BD68" s="51"/>
    </row>
    <row r="69" spans="1:56" s="21" customFormat="1" x14ac:dyDescent="0.2">
      <c r="A69" s="24" t="s">
        <v>64</v>
      </c>
      <c r="B69" s="25" t="s">
        <v>77</v>
      </c>
      <c r="C69" s="25" t="s">
        <v>105</v>
      </c>
      <c r="D69" s="25" t="s">
        <v>106</v>
      </c>
      <c r="E69" s="25" t="s">
        <v>114</v>
      </c>
      <c r="F69" s="25"/>
      <c r="G69" s="49" t="s">
        <v>105</v>
      </c>
      <c r="H69" s="49" t="s">
        <v>106</v>
      </c>
      <c r="I69" s="49" t="s">
        <v>114</v>
      </c>
      <c r="J69" s="25"/>
      <c r="K69" s="25" t="s">
        <v>77</v>
      </c>
      <c r="L69" s="25" t="s">
        <v>105</v>
      </c>
      <c r="M69" s="25" t="s">
        <v>106</v>
      </c>
      <c r="N69" s="25" t="s">
        <v>114</v>
      </c>
      <c r="O69" s="25"/>
      <c r="P69" s="49" t="s">
        <v>105</v>
      </c>
      <c r="Q69" s="49" t="s">
        <v>106</v>
      </c>
      <c r="R69" s="49" t="s">
        <v>114</v>
      </c>
      <c r="S69" s="25"/>
      <c r="T69" s="25" t="s">
        <v>77</v>
      </c>
      <c r="U69" s="25" t="s">
        <v>105</v>
      </c>
      <c r="V69" s="25" t="s">
        <v>106</v>
      </c>
      <c r="W69" s="25" t="s">
        <v>114</v>
      </c>
      <c r="X69" s="25"/>
      <c r="Y69" s="49" t="s">
        <v>105</v>
      </c>
      <c r="Z69" s="49" t="s">
        <v>106</v>
      </c>
      <c r="AA69" s="49" t="s">
        <v>114</v>
      </c>
      <c r="AB69" s="25"/>
      <c r="AC69" s="25"/>
      <c r="AD69" s="25" t="s">
        <v>77</v>
      </c>
      <c r="AE69" s="25" t="s">
        <v>105</v>
      </c>
      <c r="AF69" s="25" t="s">
        <v>106</v>
      </c>
      <c r="AG69" s="25" t="s">
        <v>114</v>
      </c>
      <c r="AH69" s="25"/>
      <c r="AI69" s="49" t="s">
        <v>105</v>
      </c>
      <c r="AJ69" s="49" t="s">
        <v>106</v>
      </c>
      <c r="AK69" s="49" t="s">
        <v>114</v>
      </c>
      <c r="AL69" s="25"/>
      <c r="AM69" s="25" t="s">
        <v>77</v>
      </c>
      <c r="AN69" s="25" t="s">
        <v>105</v>
      </c>
      <c r="AO69" s="25" t="s">
        <v>106</v>
      </c>
      <c r="AP69" s="25" t="s">
        <v>114</v>
      </c>
      <c r="AQ69" s="25"/>
      <c r="AR69" s="49" t="s">
        <v>105</v>
      </c>
      <c r="AS69" s="49" t="s">
        <v>106</v>
      </c>
      <c r="AT69" s="49" t="s">
        <v>114</v>
      </c>
      <c r="AU69" s="25"/>
      <c r="AV69" s="25" t="s">
        <v>77</v>
      </c>
      <c r="AW69" s="25" t="s">
        <v>105</v>
      </c>
      <c r="AX69" s="25" t="s">
        <v>106</v>
      </c>
      <c r="AY69" s="25" t="s">
        <v>114</v>
      </c>
      <c r="AZ69" s="25"/>
      <c r="BA69" s="49" t="s">
        <v>105</v>
      </c>
      <c r="BB69" s="49" t="s">
        <v>106</v>
      </c>
      <c r="BC69" s="49" t="s">
        <v>114</v>
      </c>
      <c r="BD69" s="51"/>
    </row>
    <row r="70" spans="1:56" s="51" customFormat="1" x14ac:dyDescent="0.2">
      <c r="A70" s="50" t="s">
        <v>18</v>
      </c>
      <c r="B70" s="27">
        <v>143641</v>
      </c>
      <c r="C70" s="51">
        <v>65845</v>
      </c>
      <c r="D70" s="51">
        <v>77796</v>
      </c>
      <c r="E70" s="51">
        <v>0</v>
      </c>
      <c r="G70" s="52">
        <v>0.45839976051405934</v>
      </c>
      <c r="H70" s="52">
        <v>0.5416002394859406</v>
      </c>
      <c r="I70" s="52">
        <v>0</v>
      </c>
      <c r="K70" s="27">
        <v>10583</v>
      </c>
      <c r="L70" s="51">
        <v>2201</v>
      </c>
      <c r="M70" s="51">
        <v>8382</v>
      </c>
      <c r="N70" s="51">
        <v>0</v>
      </c>
      <c r="P70" s="52">
        <v>0.20797505433241992</v>
      </c>
      <c r="Q70" s="52">
        <v>0.79202494566758008</v>
      </c>
      <c r="R70" s="52">
        <v>0</v>
      </c>
      <c r="T70" s="27">
        <v>1345</v>
      </c>
      <c r="U70" s="51">
        <v>1345</v>
      </c>
      <c r="V70" s="51">
        <v>0</v>
      </c>
      <c r="W70" s="51">
        <v>0</v>
      </c>
      <c r="Y70" s="52">
        <v>1</v>
      </c>
      <c r="Z70" s="52">
        <v>0</v>
      </c>
      <c r="AA70" s="52">
        <v>0</v>
      </c>
      <c r="AD70" s="27">
        <v>101880</v>
      </c>
      <c r="AE70" s="51">
        <v>46480</v>
      </c>
      <c r="AF70" s="51">
        <v>55098</v>
      </c>
      <c r="AG70" s="51">
        <v>302</v>
      </c>
      <c r="AI70" s="52">
        <v>0.45622300745975658</v>
      </c>
      <c r="AJ70" s="52">
        <v>0.54081272084805654</v>
      </c>
      <c r="AK70" s="52">
        <v>2.9642716921868865E-3</v>
      </c>
      <c r="AM70" s="27">
        <v>1755</v>
      </c>
      <c r="AN70" s="51">
        <v>378</v>
      </c>
      <c r="AO70" s="51">
        <v>1377</v>
      </c>
      <c r="AP70" s="51">
        <v>0</v>
      </c>
      <c r="AR70" s="52">
        <v>0.2153846153846154</v>
      </c>
      <c r="AS70" s="52">
        <v>0.7846153846153846</v>
      </c>
      <c r="AT70" s="52">
        <v>0</v>
      </c>
      <c r="AV70" s="27">
        <v>14</v>
      </c>
      <c r="AW70" s="51">
        <v>14</v>
      </c>
      <c r="AX70" s="51">
        <v>0</v>
      </c>
      <c r="AY70" s="51">
        <v>0</v>
      </c>
      <c r="BA70" s="52">
        <v>1</v>
      </c>
      <c r="BB70" s="52">
        <v>0</v>
      </c>
      <c r="BC70" s="52">
        <v>0</v>
      </c>
    </row>
    <row r="71" spans="1:56" s="51" customFormat="1" x14ac:dyDescent="0.2">
      <c r="A71" s="50" t="s">
        <v>19</v>
      </c>
      <c r="B71" s="27">
        <v>0</v>
      </c>
      <c r="C71" s="51">
        <v>0</v>
      </c>
      <c r="D71" s="51">
        <v>0</v>
      </c>
      <c r="E71" s="51">
        <v>0</v>
      </c>
      <c r="G71" s="52">
        <v>0</v>
      </c>
      <c r="H71" s="52">
        <v>0</v>
      </c>
      <c r="I71" s="52">
        <v>0</v>
      </c>
      <c r="K71" s="27">
        <v>0</v>
      </c>
      <c r="L71" s="51">
        <v>0</v>
      </c>
      <c r="M71" s="51">
        <v>0</v>
      </c>
      <c r="N71" s="51">
        <v>0</v>
      </c>
      <c r="P71" s="52">
        <v>0</v>
      </c>
      <c r="Q71" s="52">
        <v>0</v>
      </c>
      <c r="R71" s="52">
        <v>0</v>
      </c>
      <c r="T71" s="27">
        <v>6</v>
      </c>
      <c r="U71" s="51">
        <v>6</v>
      </c>
      <c r="V71" s="51">
        <v>0</v>
      </c>
      <c r="W71" s="51">
        <v>0</v>
      </c>
      <c r="Y71" s="52">
        <v>1</v>
      </c>
      <c r="Z71" s="52">
        <v>0</v>
      </c>
      <c r="AA71" s="52">
        <v>0</v>
      </c>
      <c r="AD71" s="27">
        <v>0</v>
      </c>
      <c r="AE71" s="51">
        <v>0</v>
      </c>
      <c r="AF71" s="51">
        <v>0</v>
      </c>
      <c r="AG71" s="51">
        <v>0</v>
      </c>
      <c r="AI71" s="52">
        <v>0</v>
      </c>
      <c r="AJ71" s="52">
        <v>0</v>
      </c>
      <c r="AK71" s="52">
        <v>0</v>
      </c>
      <c r="AM71" s="27">
        <v>0</v>
      </c>
      <c r="AN71" s="51">
        <v>0</v>
      </c>
      <c r="AO71" s="51">
        <v>0</v>
      </c>
      <c r="AP71" s="51">
        <v>0</v>
      </c>
      <c r="AR71" s="52">
        <v>0</v>
      </c>
      <c r="AS71" s="52">
        <v>0</v>
      </c>
      <c r="AT71" s="52">
        <v>0</v>
      </c>
      <c r="AV71" s="27">
        <v>0</v>
      </c>
      <c r="AW71" s="51">
        <v>0</v>
      </c>
      <c r="AX71" s="51">
        <v>0</v>
      </c>
      <c r="AY71" s="51">
        <v>0</v>
      </c>
      <c r="BA71" s="52">
        <v>0</v>
      </c>
      <c r="BB71" s="52">
        <v>0</v>
      </c>
      <c r="BC71" s="52">
        <v>0</v>
      </c>
    </row>
    <row r="72" spans="1:56" s="51" customFormat="1" x14ac:dyDescent="0.2">
      <c r="A72" s="50" t="s">
        <v>29</v>
      </c>
      <c r="B72" s="27">
        <v>466</v>
      </c>
      <c r="C72" s="51">
        <v>462</v>
      </c>
      <c r="D72" s="51">
        <v>4</v>
      </c>
      <c r="E72" s="51">
        <v>0</v>
      </c>
      <c r="G72" s="52">
        <v>0.99141630901287559</v>
      </c>
      <c r="H72" s="52">
        <v>8.5836909871244635E-3</v>
      </c>
      <c r="I72" s="52">
        <v>0</v>
      </c>
      <c r="K72" s="27">
        <v>3</v>
      </c>
      <c r="L72" s="51">
        <v>3</v>
      </c>
      <c r="M72" s="51">
        <v>0</v>
      </c>
      <c r="N72" s="51">
        <v>0</v>
      </c>
      <c r="P72" s="52">
        <v>1</v>
      </c>
      <c r="Q72" s="52">
        <v>0</v>
      </c>
      <c r="R72" s="52">
        <v>0</v>
      </c>
      <c r="T72" s="27">
        <v>0</v>
      </c>
      <c r="U72" s="51">
        <v>0</v>
      </c>
      <c r="V72" s="51">
        <v>0</v>
      </c>
      <c r="W72" s="51">
        <v>0</v>
      </c>
      <c r="Y72" s="52">
        <v>0</v>
      </c>
      <c r="Z72" s="52">
        <v>0</v>
      </c>
      <c r="AA72" s="52">
        <v>0</v>
      </c>
      <c r="AD72" s="27">
        <v>0</v>
      </c>
      <c r="AE72" s="51">
        <v>0</v>
      </c>
      <c r="AF72" s="51">
        <v>0</v>
      </c>
      <c r="AG72" s="51">
        <v>0</v>
      </c>
      <c r="AI72" s="52">
        <v>0</v>
      </c>
      <c r="AJ72" s="52">
        <v>0</v>
      </c>
      <c r="AK72" s="52">
        <v>0</v>
      </c>
      <c r="AM72" s="27">
        <v>0</v>
      </c>
      <c r="AN72" s="51">
        <v>0</v>
      </c>
      <c r="AO72" s="51">
        <v>0</v>
      </c>
      <c r="AP72" s="51">
        <v>0</v>
      </c>
      <c r="AR72" s="52">
        <v>0</v>
      </c>
      <c r="AS72" s="52">
        <v>0</v>
      </c>
      <c r="AT72" s="52">
        <v>0</v>
      </c>
      <c r="AV72" s="27">
        <v>0</v>
      </c>
      <c r="AW72" s="51">
        <v>0</v>
      </c>
      <c r="AX72" s="51">
        <v>0</v>
      </c>
      <c r="AY72" s="51">
        <v>0</v>
      </c>
      <c r="BA72" s="52">
        <v>0</v>
      </c>
      <c r="BB72" s="52">
        <v>0</v>
      </c>
      <c r="BC72" s="52">
        <v>0</v>
      </c>
    </row>
    <row r="73" spans="1:56" s="51" customFormat="1" x14ac:dyDescent="0.2">
      <c r="A73" s="50" t="s">
        <v>30</v>
      </c>
      <c r="B73" s="27">
        <v>7484</v>
      </c>
      <c r="C73" s="51">
        <v>7261</v>
      </c>
      <c r="D73" s="51">
        <v>223</v>
      </c>
      <c r="E73" s="51">
        <v>0</v>
      </c>
      <c r="G73" s="52">
        <v>0.97020309994655263</v>
      </c>
      <c r="H73" s="52">
        <v>2.9796900053447355E-2</v>
      </c>
      <c r="I73" s="52">
        <v>0</v>
      </c>
      <c r="K73" s="27">
        <v>367</v>
      </c>
      <c r="L73" s="51">
        <v>358</v>
      </c>
      <c r="M73" s="51">
        <v>9</v>
      </c>
      <c r="N73" s="51">
        <v>0</v>
      </c>
      <c r="P73" s="52">
        <v>0.97547683923705719</v>
      </c>
      <c r="Q73" s="52">
        <v>2.4523160762942781E-2</v>
      </c>
      <c r="R73" s="52">
        <v>0</v>
      </c>
      <c r="T73" s="27">
        <v>165</v>
      </c>
      <c r="U73" s="51">
        <v>164</v>
      </c>
      <c r="V73" s="51">
        <v>1</v>
      </c>
      <c r="W73" s="51">
        <v>0</v>
      </c>
      <c r="Y73" s="52">
        <v>0.9939393939393939</v>
      </c>
      <c r="Z73" s="52">
        <v>6.0606060606060606E-3</v>
      </c>
      <c r="AA73" s="52">
        <v>0</v>
      </c>
      <c r="AD73" s="27">
        <v>5311</v>
      </c>
      <c r="AE73" s="51">
        <v>5104</v>
      </c>
      <c r="AF73" s="51">
        <v>207</v>
      </c>
      <c r="AG73" s="51">
        <v>0</v>
      </c>
      <c r="AI73" s="52">
        <v>0.96102428921107141</v>
      </c>
      <c r="AJ73" s="52">
        <v>3.8975710788928641E-2</v>
      </c>
      <c r="AK73" s="52">
        <v>0</v>
      </c>
      <c r="AM73" s="27">
        <v>81</v>
      </c>
      <c r="AN73" s="51">
        <v>77</v>
      </c>
      <c r="AO73" s="51">
        <v>4</v>
      </c>
      <c r="AP73" s="51">
        <v>0</v>
      </c>
      <c r="AR73" s="52">
        <v>0.95061728395061729</v>
      </c>
      <c r="AS73" s="52">
        <v>4.9382716049382713E-2</v>
      </c>
      <c r="AT73" s="52">
        <v>0</v>
      </c>
      <c r="AV73" s="27">
        <v>18</v>
      </c>
      <c r="AW73" s="51">
        <v>18</v>
      </c>
      <c r="AX73" s="51">
        <v>0</v>
      </c>
      <c r="AY73" s="51">
        <v>0</v>
      </c>
      <c r="BA73" s="52">
        <v>1</v>
      </c>
      <c r="BB73" s="52">
        <v>0</v>
      </c>
      <c r="BC73" s="52">
        <v>0</v>
      </c>
    </row>
    <row r="74" spans="1:56" s="51" customFormat="1" x14ac:dyDescent="0.2">
      <c r="A74" s="50" t="s">
        <v>80</v>
      </c>
      <c r="B74" s="27">
        <v>0</v>
      </c>
      <c r="C74" s="51">
        <v>0</v>
      </c>
      <c r="D74" s="51">
        <v>0</v>
      </c>
      <c r="E74" s="51">
        <v>0</v>
      </c>
      <c r="G74" s="52">
        <v>0</v>
      </c>
      <c r="H74" s="52">
        <v>0</v>
      </c>
      <c r="I74" s="52">
        <v>0</v>
      </c>
      <c r="K74" s="27">
        <v>37</v>
      </c>
      <c r="L74" s="51">
        <v>30</v>
      </c>
      <c r="M74" s="51">
        <v>5</v>
      </c>
      <c r="N74" s="51">
        <v>2</v>
      </c>
      <c r="P74" s="52">
        <v>0.81081081081081086</v>
      </c>
      <c r="Q74" s="52">
        <v>0.13513513513513514</v>
      </c>
      <c r="R74" s="52">
        <v>5.4054054054054057E-2</v>
      </c>
      <c r="T74" s="27">
        <v>64</v>
      </c>
      <c r="U74" s="51">
        <v>64</v>
      </c>
      <c r="V74" s="51">
        <v>0</v>
      </c>
      <c r="W74" s="51">
        <v>0</v>
      </c>
      <c r="Y74" s="52">
        <v>1</v>
      </c>
      <c r="Z74" s="52">
        <v>0</v>
      </c>
      <c r="AA74" s="52">
        <v>0</v>
      </c>
      <c r="AD74" s="27">
        <v>0</v>
      </c>
      <c r="AE74" s="51">
        <v>0</v>
      </c>
      <c r="AF74" s="51">
        <v>0</v>
      </c>
      <c r="AG74" s="51">
        <v>0</v>
      </c>
      <c r="AI74" s="52">
        <v>0</v>
      </c>
      <c r="AJ74" s="52">
        <v>0</v>
      </c>
      <c r="AK74" s="52">
        <v>0</v>
      </c>
      <c r="AM74" s="27">
        <v>0</v>
      </c>
      <c r="AN74" s="51">
        <v>0</v>
      </c>
      <c r="AO74" s="51">
        <v>0</v>
      </c>
      <c r="AP74" s="51">
        <v>0</v>
      </c>
      <c r="AR74" s="52">
        <v>0</v>
      </c>
      <c r="AS74" s="52">
        <v>0</v>
      </c>
      <c r="AT74" s="52">
        <v>0</v>
      </c>
      <c r="AV74" s="27">
        <v>0</v>
      </c>
      <c r="AW74" s="51">
        <v>0</v>
      </c>
      <c r="AX74" s="51">
        <v>0</v>
      </c>
      <c r="AY74" s="51">
        <v>0</v>
      </c>
      <c r="BA74" s="52">
        <v>0</v>
      </c>
      <c r="BB74" s="52">
        <v>0</v>
      </c>
      <c r="BC74" s="52">
        <v>0</v>
      </c>
    </row>
    <row r="75" spans="1:56" s="51" customFormat="1" x14ac:dyDescent="0.2">
      <c r="A75" s="50" t="s">
        <v>40</v>
      </c>
      <c r="B75" s="27">
        <v>0</v>
      </c>
      <c r="C75" s="51">
        <v>0</v>
      </c>
      <c r="D75" s="51">
        <v>0</v>
      </c>
      <c r="E75" s="51">
        <v>0</v>
      </c>
      <c r="G75" s="52">
        <v>0</v>
      </c>
      <c r="H75" s="52">
        <v>0</v>
      </c>
      <c r="I75" s="52">
        <v>0</v>
      </c>
      <c r="K75" s="27">
        <v>0</v>
      </c>
      <c r="L75" s="51">
        <v>0</v>
      </c>
      <c r="M75" s="51">
        <v>0</v>
      </c>
      <c r="N75" s="51">
        <v>0</v>
      </c>
      <c r="P75" s="52">
        <v>0</v>
      </c>
      <c r="Q75" s="52">
        <v>0</v>
      </c>
      <c r="R75" s="52">
        <v>0</v>
      </c>
      <c r="T75" s="27">
        <v>53</v>
      </c>
      <c r="U75" s="51">
        <v>53</v>
      </c>
      <c r="V75" s="51">
        <v>0</v>
      </c>
      <c r="W75" s="51">
        <v>0</v>
      </c>
      <c r="Y75" s="52">
        <v>1</v>
      </c>
      <c r="Z75" s="52">
        <v>0</v>
      </c>
      <c r="AA75" s="52">
        <v>0</v>
      </c>
      <c r="AD75" s="27">
        <v>0</v>
      </c>
      <c r="AE75" s="51">
        <v>0</v>
      </c>
      <c r="AF75" s="51">
        <v>0</v>
      </c>
      <c r="AG75" s="51">
        <v>0</v>
      </c>
      <c r="AI75" s="52">
        <v>0</v>
      </c>
      <c r="AJ75" s="52">
        <v>0</v>
      </c>
      <c r="AK75" s="52">
        <v>0</v>
      </c>
      <c r="AM75" s="27">
        <v>0</v>
      </c>
      <c r="AN75" s="51">
        <v>0</v>
      </c>
      <c r="AO75" s="51">
        <v>0</v>
      </c>
      <c r="AP75" s="51">
        <v>0</v>
      </c>
      <c r="AR75" s="52">
        <v>0</v>
      </c>
      <c r="AS75" s="52">
        <v>0</v>
      </c>
      <c r="AT75" s="52">
        <v>0</v>
      </c>
      <c r="AV75" s="27">
        <v>0</v>
      </c>
      <c r="AW75" s="51">
        <v>0</v>
      </c>
      <c r="AX75" s="51">
        <v>0</v>
      </c>
      <c r="AY75" s="51">
        <v>0</v>
      </c>
      <c r="BA75" s="52">
        <v>0</v>
      </c>
      <c r="BB75" s="52">
        <v>0</v>
      </c>
      <c r="BC75" s="52">
        <v>0</v>
      </c>
    </row>
    <row r="76" spans="1:56" s="51" customFormat="1" x14ac:dyDescent="0.2">
      <c r="A76" s="50" t="s">
        <v>41</v>
      </c>
      <c r="B76" s="27">
        <v>0</v>
      </c>
      <c r="C76" s="51">
        <v>0</v>
      </c>
      <c r="D76" s="51">
        <v>0</v>
      </c>
      <c r="E76" s="51">
        <v>0</v>
      </c>
      <c r="G76" s="52">
        <v>0</v>
      </c>
      <c r="H76" s="52">
        <v>0</v>
      </c>
      <c r="I76" s="52">
        <v>0</v>
      </c>
      <c r="K76" s="27">
        <v>85</v>
      </c>
      <c r="L76" s="51">
        <v>82</v>
      </c>
      <c r="M76" s="51">
        <v>2</v>
      </c>
      <c r="N76" s="51">
        <v>1</v>
      </c>
      <c r="P76" s="52">
        <v>0.96470588235294119</v>
      </c>
      <c r="Q76" s="52">
        <v>2.3529411764705882E-2</v>
      </c>
      <c r="R76" s="52">
        <v>1.1764705882352941E-2</v>
      </c>
      <c r="T76" s="27">
        <v>4</v>
      </c>
      <c r="U76" s="51">
        <v>4</v>
      </c>
      <c r="V76" s="51">
        <v>0</v>
      </c>
      <c r="W76" s="51">
        <v>0</v>
      </c>
      <c r="Y76" s="52">
        <v>1</v>
      </c>
      <c r="Z76" s="52">
        <v>0</v>
      </c>
      <c r="AA76" s="52">
        <v>0</v>
      </c>
      <c r="AD76" s="27">
        <v>0</v>
      </c>
      <c r="AE76" s="51">
        <v>0</v>
      </c>
      <c r="AF76" s="51">
        <v>0</v>
      </c>
      <c r="AG76" s="51">
        <v>0</v>
      </c>
      <c r="AI76" s="52">
        <v>0</v>
      </c>
      <c r="AJ76" s="52">
        <v>0</v>
      </c>
      <c r="AK76" s="52">
        <v>0</v>
      </c>
      <c r="AM76" s="27">
        <v>0</v>
      </c>
      <c r="AN76" s="51">
        <v>0</v>
      </c>
      <c r="AO76" s="51">
        <v>0</v>
      </c>
      <c r="AP76" s="51">
        <v>0</v>
      </c>
      <c r="AR76" s="52">
        <v>0</v>
      </c>
      <c r="AS76" s="52">
        <v>0</v>
      </c>
      <c r="AT76" s="52">
        <v>0</v>
      </c>
      <c r="AV76" s="27">
        <v>0</v>
      </c>
      <c r="AW76" s="51">
        <v>0</v>
      </c>
      <c r="AX76" s="51">
        <v>0</v>
      </c>
      <c r="AY76" s="51">
        <v>0</v>
      </c>
      <c r="BA76" s="52">
        <v>0</v>
      </c>
      <c r="BB76" s="52">
        <v>0</v>
      </c>
      <c r="BC76" s="52">
        <v>0</v>
      </c>
    </row>
    <row r="77" spans="1:56" s="51" customFormat="1" x14ac:dyDescent="0.2">
      <c r="A77" s="50" t="s">
        <v>43</v>
      </c>
      <c r="B77" s="27">
        <v>25522</v>
      </c>
      <c r="C77" s="51">
        <v>24579</v>
      </c>
      <c r="D77" s="51">
        <v>882</v>
      </c>
      <c r="E77" s="51">
        <v>61</v>
      </c>
      <c r="G77" s="52">
        <v>0.96305148499333904</v>
      </c>
      <c r="H77" s="52">
        <v>3.4558420186505762E-2</v>
      </c>
      <c r="I77" s="52">
        <v>2.3900948201551601E-3</v>
      </c>
      <c r="K77" s="27">
        <v>1902</v>
      </c>
      <c r="L77" s="51">
        <v>1751</v>
      </c>
      <c r="M77" s="51">
        <v>132</v>
      </c>
      <c r="N77" s="51">
        <v>19</v>
      </c>
      <c r="P77" s="52">
        <v>0.92060988433228186</v>
      </c>
      <c r="Q77" s="52">
        <v>6.9400630914826497E-2</v>
      </c>
      <c r="R77" s="52">
        <v>9.9894847528916933E-3</v>
      </c>
      <c r="T77" s="27">
        <v>257</v>
      </c>
      <c r="U77" s="51">
        <v>256</v>
      </c>
      <c r="V77" s="51">
        <v>1</v>
      </c>
      <c r="W77" s="51">
        <v>0</v>
      </c>
      <c r="Y77" s="52">
        <v>0.99610894941634243</v>
      </c>
      <c r="Z77" s="52">
        <v>3.8910505836575876E-3</v>
      </c>
      <c r="AA77" s="52">
        <v>0</v>
      </c>
      <c r="AD77" s="27">
        <v>17396</v>
      </c>
      <c r="AE77" s="51">
        <v>16779</v>
      </c>
      <c r="AF77" s="51">
        <v>354</v>
      </c>
      <c r="AG77" s="51">
        <v>263</v>
      </c>
      <c r="AI77" s="52">
        <v>0.96453207633938831</v>
      </c>
      <c r="AJ77" s="52">
        <v>2.0349505633478961E-2</v>
      </c>
      <c r="AK77" s="52">
        <v>1.5118418027132674E-2</v>
      </c>
      <c r="AM77" s="27">
        <v>931</v>
      </c>
      <c r="AN77" s="51">
        <v>827</v>
      </c>
      <c r="AO77" s="51">
        <v>57</v>
      </c>
      <c r="AP77" s="51">
        <v>47</v>
      </c>
      <c r="AR77" s="52">
        <v>0.88829215896885072</v>
      </c>
      <c r="AS77" s="52">
        <v>6.1224489795918366E-2</v>
      </c>
      <c r="AT77" s="52">
        <v>5.0483351235230935E-2</v>
      </c>
      <c r="AV77" s="27">
        <v>78</v>
      </c>
      <c r="AW77" s="51">
        <v>76</v>
      </c>
      <c r="AX77" s="51">
        <v>2</v>
      </c>
      <c r="AY77" s="51">
        <v>0</v>
      </c>
      <c r="BA77" s="52">
        <v>0.97435897435897434</v>
      </c>
      <c r="BB77" s="52">
        <v>2.564102564102564E-2</v>
      </c>
      <c r="BC77" s="52">
        <v>0</v>
      </c>
    </row>
    <row r="78" spans="1:56" s="51" customFormat="1" x14ac:dyDescent="0.2">
      <c r="A78" s="50" t="s">
        <v>46</v>
      </c>
      <c r="B78" s="27">
        <v>4</v>
      </c>
      <c r="C78" s="51">
        <v>4</v>
      </c>
      <c r="D78" s="51">
        <v>0</v>
      </c>
      <c r="E78" s="51">
        <v>0</v>
      </c>
      <c r="G78" s="52">
        <v>1</v>
      </c>
      <c r="H78" s="52">
        <v>0</v>
      </c>
      <c r="I78" s="52">
        <v>0</v>
      </c>
      <c r="K78" s="27">
        <v>0</v>
      </c>
      <c r="L78" s="51">
        <v>0</v>
      </c>
      <c r="M78" s="51">
        <v>0</v>
      </c>
      <c r="N78" s="51">
        <v>0</v>
      </c>
      <c r="P78" s="52">
        <v>0</v>
      </c>
      <c r="Q78" s="52">
        <v>0</v>
      </c>
      <c r="R78" s="52">
        <v>0</v>
      </c>
      <c r="T78" s="27">
        <v>0</v>
      </c>
      <c r="U78" s="51">
        <v>0</v>
      </c>
      <c r="V78" s="51">
        <v>0</v>
      </c>
      <c r="W78" s="51">
        <v>0</v>
      </c>
      <c r="Y78" s="52">
        <v>0</v>
      </c>
      <c r="Z78" s="52">
        <v>0</v>
      </c>
      <c r="AA78" s="52">
        <v>0</v>
      </c>
      <c r="AD78" s="27">
        <v>0</v>
      </c>
      <c r="AE78" s="51">
        <v>0</v>
      </c>
      <c r="AF78" s="51">
        <v>0</v>
      </c>
      <c r="AG78" s="51">
        <v>0</v>
      </c>
      <c r="AI78" s="52">
        <v>0</v>
      </c>
      <c r="AJ78" s="52">
        <v>0</v>
      </c>
      <c r="AK78" s="52">
        <v>0</v>
      </c>
      <c r="AM78" s="27">
        <v>0</v>
      </c>
      <c r="AN78" s="51">
        <v>0</v>
      </c>
      <c r="AO78" s="51">
        <v>0</v>
      </c>
      <c r="AP78" s="51">
        <v>0</v>
      </c>
      <c r="AR78" s="52">
        <v>0</v>
      </c>
      <c r="AS78" s="52">
        <v>0</v>
      </c>
      <c r="AT78" s="52">
        <v>0</v>
      </c>
      <c r="AV78" s="27">
        <v>0</v>
      </c>
      <c r="AW78" s="51">
        <v>0</v>
      </c>
      <c r="AX78" s="51">
        <v>0</v>
      </c>
      <c r="AY78" s="51">
        <v>0</v>
      </c>
      <c r="BA78" s="52">
        <v>0</v>
      </c>
      <c r="BB78" s="52">
        <v>0</v>
      </c>
      <c r="BC78" s="52">
        <v>0</v>
      </c>
    </row>
    <row r="79" spans="1:56" s="51" customFormat="1" x14ac:dyDescent="0.2">
      <c r="A79" s="50" t="s">
        <v>126</v>
      </c>
      <c r="B79" s="27">
        <v>0</v>
      </c>
      <c r="C79" s="51">
        <v>0</v>
      </c>
      <c r="D79" s="51">
        <v>0</v>
      </c>
      <c r="E79" s="51">
        <v>0</v>
      </c>
      <c r="G79" s="52">
        <v>0</v>
      </c>
      <c r="H79" s="52">
        <v>0</v>
      </c>
      <c r="I79" s="52">
        <v>0</v>
      </c>
      <c r="K79" s="27">
        <v>55</v>
      </c>
      <c r="L79" s="51">
        <v>51</v>
      </c>
      <c r="M79" s="51">
        <v>4</v>
      </c>
      <c r="N79" s="51">
        <v>0</v>
      </c>
      <c r="P79" s="52">
        <v>0.92727272727272725</v>
      </c>
      <c r="Q79" s="52">
        <v>7.2727272727272724E-2</v>
      </c>
      <c r="R79" s="52">
        <v>0</v>
      </c>
      <c r="T79" s="27">
        <v>3</v>
      </c>
      <c r="U79" s="51">
        <v>3</v>
      </c>
      <c r="V79" s="51">
        <v>0</v>
      </c>
      <c r="W79" s="51">
        <v>0</v>
      </c>
      <c r="Y79" s="52">
        <v>1</v>
      </c>
      <c r="Z79" s="52">
        <v>0</v>
      </c>
      <c r="AA79" s="52">
        <v>0</v>
      </c>
      <c r="AD79" s="27">
        <v>0</v>
      </c>
      <c r="AE79" s="51">
        <v>0</v>
      </c>
      <c r="AF79" s="51">
        <v>0</v>
      </c>
      <c r="AG79" s="51">
        <v>0</v>
      </c>
      <c r="AI79" s="52">
        <v>0</v>
      </c>
      <c r="AJ79" s="52">
        <v>0</v>
      </c>
      <c r="AK79" s="52">
        <v>0</v>
      </c>
      <c r="AM79" s="27">
        <v>0</v>
      </c>
      <c r="AN79" s="51">
        <v>0</v>
      </c>
      <c r="AO79" s="51">
        <v>0</v>
      </c>
      <c r="AP79" s="51">
        <v>0</v>
      </c>
      <c r="AR79" s="52">
        <v>0</v>
      </c>
      <c r="AS79" s="52">
        <v>0</v>
      </c>
      <c r="AT79" s="52">
        <v>0</v>
      </c>
      <c r="AV79" s="27">
        <v>0</v>
      </c>
      <c r="AW79" s="51">
        <v>0</v>
      </c>
      <c r="AX79" s="51">
        <v>0</v>
      </c>
      <c r="AY79" s="51">
        <v>0</v>
      </c>
      <c r="BA79" s="52">
        <v>0</v>
      </c>
      <c r="BB79" s="52">
        <v>0</v>
      </c>
      <c r="BC79" s="52">
        <v>0</v>
      </c>
    </row>
    <row r="80" spans="1:56" s="51" customFormat="1" x14ac:dyDescent="0.2">
      <c r="A80" s="50" t="s">
        <v>52</v>
      </c>
      <c r="B80" s="27">
        <v>54</v>
      </c>
      <c r="C80" s="51">
        <v>54</v>
      </c>
      <c r="D80" s="51">
        <v>0</v>
      </c>
      <c r="E80" s="51">
        <v>0</v>
      </c>
      <c r="G80" s="52">
        <v>1</v>
      </c>
      <c r="H80" s="52">
        <v>0</v>
      </c>
      <c r="I80" s="52">
        <v>0</v>
      </c>
      <c r="K80" s="27">
        <v>15</v>
      </c>
      <c r="L80" s="51">
        <v>15</v>
      </c>
      <c r="M80" s="51">
        <v>0</v>
      </c>
      <c r="N80" s="51">
        <v>0</v>
      </c>
      <c r="P80" s="52">
        <v>1</v>
      </c>
      <c r="Q80" s="52">
        <v>0</v>
      </c>
      <c r="R80" s="52">
        <v>0</v>
      </c>
      <c r="T80" s="27">
        <v>26</v>
      </c>
      <c r="U80" s="51">
        <v>26</v>
      </c>
      <c r="V80" s="51">
        <v>0</v>
      </c>
      <c r="W80" s="51">
        <v>0</v>
      </c>
      <c r="Y80" s="52">
        <v>1</v>
      </c>
      <c r="Z80" s="52">
        <v>0</v>
      </c>
      <c r="AA80" s="52">
        <v>0</v>
      </c>
      <c r="AD80" s="27">
        <v>0</v>
      </c>
      <c r="AE80" s="51">
        <v>0</v>
      </c>
      <c r="AF80" s="51">
        <v>0</v>
      </c>
      <c r="AG80" s="51">
        <v>0</v>
      </c>
      <c r="AI80" s="52">
        <v>0</v>
      </c>
      <c r="AJ80" s="52">
        <v>0</v>
      </c>
      <c r="AK80" s="52">
        <v>0</v>
      </c>
      <c r="AM80" s="27">
        <v>0</v>
      </c>
      <c r="AN80" s="51">
        <v>0</v>
      </c>
      <c r="AO80" s="51">
        <v>0</v>
      </c>
      <c r="AP80" s="51">
        <v>0</v>
      </c>
      <c r="AR80" s="52">
        <v>0</v>
      </c>
      <c r="AS80" s="52">
        <v>0</v>
      </c>
      <c r="AT80" s="52">
        <v>0</v>
      </c>
      <c r="AV80" s="27">
        <v>0</v>
      </c>
      <c r="AW80" s="51">
        <v>0</v>
      </c>
      <c r="AX80" s="51">
        <v>0</v>
      </c>
      <c r="AY80" s="51">
        <v>0</v>
      </c>
      <c r="BA80" s="52">
        <v>0</v>
      </c>
      <c r="BB80" s="52">
        <v>0</v>
      </c>
      <c r="BC80" s="52">
        <v>0</v>
      </c>
    </row>
    <row r="81" spans="1:56" s="51" customFormat="1" x14ac:dyDescent="0.2">
      <c r="A81" s="50" t="s">
        <v>55</v>
      </c>
      <c r="B81" s="27">
        <v>37</v>
      </c>
      <c r="C81" s="51">
        <v>37</v>
      </c>
      <c r="D81" s="51">
        <v>0</v>
      </c>
      <c r="E81" s="51">
        <v>0</v>
      </c>
      <c r="G81" s="52">
        <v>1</v>
      </c>
      <c r="H81" s="52">
        <v>0</v>
      </c>
      <c r="I81" s="52">
        <v>0</v>
      </c>
      <c r="K81" s="27">
        <v>7</v>
      </c>
      <c r="L81" s="51">
        <v>7</v>
      </c>
      <c r="M81" s="51">
        <v>0</v>
      </c>
      <c r="N81" s="51">
        <v>0</v>
      </c>
      <c r="P81" s="52">
        <v>1</v>
      </c>
      <c r="Q81" s="52">
        <v>0</v>
      </c>
      <c r="R81" s="52">
        <v>0</v>
      </c>
      <c r="T81" s="27">
        <v>3</v>
      </c>
      <c r="U81" s="51">
        <v>3</v>
      </c>
      <c r="V81" s="51">
        <v>0</v>
      </c>
      <c r="W81" s="51">
        <v>0</v>
      </c>
      <c r="Y81" s="52">
        <v>1</v>
      </c>
      <c r="Z81" s="52">
        <v>0</v>
      </c>
      <c r="AA81" s="52">
        <v>0</v>
      </c>
      <c r="AD81" s="27">
        <v>0</v>
      </c>
      <c r="AE81" s="51">
        <v>0</v>
      </c>
      <c r="AF81" s="51">
        <v>0</v>
      </c>
      <c r="AG81" s="51">
        <v>0</v>
      </c>
      <c r="AI81" s="52">
        <v>0</v>
      </c>
      <c r="AJ81" s="52">
        <v>0</v>
      </c>
      <c r="AK81" s="52">
        <v>0</v>
      </c>
      <c r="AM81" s="27">
        <v>0</v>
      </c>
      <c r="AN81" s="51">
        <v>0</v>
      </c>
      <c r="AO81" s="51">
        <v>0</v>
      </c>
      <c r="AP81" s="51">
        <v>0</v>
      </c>
      <c r="AR81" s="52">
        <v>0</v>
      </c>
      <c r="AS81" s="52">
        <v>0</v>
      </c>
      <c r="AT81" s="52">
        <v>0</v>
      </c>
      <c r="AV81" s="27">
        <v>0</v>
      </c>
      <c r="AW81" s="51">
        <v>0</v>
      </c>
      <c r="AX81" s="51">
        <v>0</v>
      </c>
      <c r="AY81" s="51">
        <v>0</v>
      </c>
      <c r="BA81" s="52">
        <v>0</v>
      </c>
      <c r="BB81" s="52">
        <v>0</v>
      </c>
      <c r="BC81" s="52">
        <v>0</v>
      </c>
    </row>
    <row r="82" spans="1:56" s="51" customFormat="1" x14ac:dyDescent="0.2">
      <c r="A82" s="50" t="s">
        <v>91</v>
      </c>
      <c r="B82" s="27">
        <v>0</v>
      </c>
      <c r="C82" s="51">
        <v>0</v>
      </c>
      <c r="D82" s="51">
        <v>0</v>
      </c>
      <c r="E82" s="51">
        <v>0</v>
      </c>
      <c r="G82" s="52">
        <v>0</v>
      </c>
      <c r="H82" s="52">
        <v>0</v>
      </c>
      <c r="I82" s="52">
        <v>0</v>
      </c>
      <c r="K82" s="27">
        <v>0</v>
      </c>
      <c r="L82" s="51">
        <v>0</v>
      </c>
      <c r="M82" s="51">
        <v>0</v>
      </c>
      <c r="N82" s="51">
        <v>0</v>
      </c>
      <c r="P82" s="52">
        <v>0</v>
      </c>
      <c r="Q82" s="52">
        <v>0</v>
      </c>
      <c r="R82" s="52">
        <v>0</v>
      </c>
      <c r="T82" s="27">
        <v>4</v>
      </c>
      <c r="U82" s="51">
        <v>4</v>
      </c>
      <c r="V82" s="51">
        <v>0</v>
      </c>
      <c r="W82" s="51">
        <v>0</v>
      </c>
      <c r="Y82" s="52">
        <v>1</v>
      </c>
      <c r="Z82" s="52">
        <v>0</v>
      </c>
      <c r="AA82" s="52">
        <v>0</v>
      </c>
      <c r="AD82" s="27">
        <v>0</v>
      </c>
      <c r="AE82" s="51">
        <v>0</v>
      </c>
      <c r="AF82" s="51">
        <v>0</v>
      </c>
      <c r="AG82" s="51">
        <v>0</v>
      </c>
      <c r="AI82" s="52">
        <v>0</v>
      </c>
      <c r="AJ82" s="52">
        <v>0</v>
      </c>
      <c r="AK82" s="52">
        <v>0</v>
      </c>
      <c r="AM82" s="27">
        <v>0</v>
      </c>
      <c r="AN82" s="51">
        <v>0</v>
      </c>
      <c r="AO82" s="51">
        <v>0</v>
      </c>
      <c r="AP82" s="51">
        <v>0</v>
      </c>
      <c r="AR82" s="52">
        <v>0</v>
      </c>
      <c r="AS82" s="52">
        <v>0</v>
      </c>
      <c r="AT82" s="52">
        <v>0</v>
      </c>
      <c r="AV82" s="27">
        <v>0</v>
      </c>
      <c r="AW82" s="51">
        <v>0</v>
      </c>
      <c r="AX82" s="51">
        <v>0</v>
      </c>
      <c r="AY82" s="51">
        <v>0</v>
      </c>
      <c r="BA82" s="52">
        <v>0</v>
      </c>
      <c r="BB82" s="52">
        <v>0</v>
      </c>
      <c r="BC82" s="52">
        <v>0</v>
      </c>
    </row>
    <row r="83" spans="1:56" s="51" customFormat="1" x14ac:dyDescent="0.2">
      <c r="A83" s="50" t="s">
        <v>93</v>
      </c>
      <c r="B83" s="27">
        <v>0</v>
      </c>
      <c r="C83" s="51">
        <v>0</v>
      </c>
      <c r="D83" s="51">
        <v>0</v>
      </c>
      <c r="E83" s="51">
        <v>0</v>
      </c>
      <c r="G83" s="52">
        <v>0</v>
      </c>
      <c r="H83" s="52">
        <v>0</v>
      </c>
      <c r="I83" s="52">
        <v>0</v>
      </c>
      <c r="K83" s="27">
        <v>0</v>
      </c>
      <c r="L83" s="51">
        <v>0</v>
      </c>
      <c r="M83" s="51">
        <v>0</v>
      </c>
      <c r="N83" s="51">
        <v>0</v>
      </c>
      <c r="P83" s="52">
        <v>0</v>
      </c>
      <c r="Q83" s="52">
        <v>0</v>
      </c>
      <c r="R83" s="52">
        <v>0</v>
      </c>
      <c r="T83" s="27">
        <v>0</v>
      </c>
      <c r="U83" s="51">
        <v>0</v>
      </c>
      <c r="V83" s="51">
        <v>0</v>
      </c>
      <c r="W83" s="51">
        <v>0</v>
      </c>
      <c r="Y83" s="52">
        <v>0</v>
      </c>
      <c r="Z83" s="52">
        <v>0</v>
      </c>
      <c r="AA83" s="52">
        <v>0</v>
      </c>
      <c r="AD83" s="27">
        <v>0</v>
      </c>
      <c r="AE83" s="51">
        <v>0</v>
      </c>
      <c r="AF83" s="51">
        <v>0</v>
      </c>
      <c r="AG83" s="51">
        <v>0</v>
      </c>
      <c r="AI83" s="52">
        <v>0</v>
      </c>
      <c r="AJ83" s="52">
        <v>0</v>
      </c>
      <c r="AK83" s="52">
        <v>0</v>
      </c>
      <c r="AM83" s="27">
        <v>0</v>
      </c>
      <c r="AN83" s="51">
        <v>0</v>
      </c>
      <c r="AO83" s="51">
        <v>0</v>
      </c>
      <c r="AP83" s="51">
        <v>0</v>
      </c>
      <c r="AR83" s="52">
        <v>0</v>
      </c>
      <c r="AS83" s="52">
        <v>0</v>
      </c>
      <c r="AT83" s="52">
        <v>0</v>
      </c>
      <c r="AV83" s="27">
        <v>26</v>
      </c>
      <c r="AW83" s="51">
        <v>26</v>
      </c>
      <c r="AX83" s="51">
        <v>0</v>
      </c>
      <c r="AY83" s="51">
        <v>0</v>
      </c>
      <c r="BA83" s="52">
        <v>1</v>
      </c>
      <c r="BB83" s="52">
        <v>0</v>
      </c>
      <c r="BC83" s="52">
        <v>0</v>
      </c>
    </row>
    <row r="84" spans="1:56" s="21" customFormat="1" x14ac:dyDescent="0.2">
      <c r="A84" s="26" t="s">
        <v>65</v>
      </c>
      <c r="B84" s="27">
        <v>177208</v>
      </c>
      <c r="C84" s="27">
        <v>98242</v>
      </c>
      <c r="D84" s="27">
        <v>78905</v>
      </c>
      <c r="E84" s="27">
        <v>61</v>
      </c>
      <c r="G84" s="53">
        <v>0.5543880637443005</v>
      </c>
      <c r="H84" s="53">
        <v>0.44526770800415333</v>
      </c>
      <c r="I84" s="53">
        <v>3.442282515462056E-4</v>
      </c>
      <c r="K84" s="27">
        <v>13054</v>
      </c>
      <c r="L84" s="27">
        <v>4498</v>
      </c>
      <c r="M84" s="27">
        <v>8534</v>
      </c>
      <c r="N84" s="27">
        <v>22</v>
      </c>
      <c r="P84" s="53">
        <v>0.34456871457024668</v>
      </c>
      <c r="Q84" s="53">
        <v>0.65374597824421632</v>
      </c>
      <c r="R84" s="53">
        <v>1.6853071855370001E-3</v>
      </c>
      <c r="T84" s="27">
        <v>1930</v>
      </c>
      <c r="U84" s="27">
        <v>1928</v>
      </c>
      <c r="V84" s="27">
        <v>2</v>
      </c>
      <c r="W84" s="27">
        <v>0</v>
      </c>
      <c r="Y84" s="53">
        <v>0.99896373056994814</v>
      </c>
      <c r="Z84" s="53">
        <v>1.0362694300518134E-3</v>
      </c>
      <c r="AA84" s="53">
        <v>0</v>
      </c>
      <c r="AD84" s="27">
        <v>124587</v>
      </c>
      <c r="AE84" s="27">
        <v>68363</v>
      </c>
      <c r="AF84" s="27">
        <v>55659</v>
      </c>
      <c r="AG84" s="27">
        <v>565</v>
      </c>
      <c r="AI84" s="53">
        <v>0.54871696083861077</v>
      </c>
      <c r="AJ84" s="53">
        <v>0.44674805557562186</v>
      </c>
      <c r="AK84" s="53">
        <v>4.5349835857673758E-3</v>
      </c>
      <c r="AM84" s="27">
        <v>2767</v>
      </c>
      <c r="AN84" s="27">
        <v>1282</v>
      </c>
      <c r="AO84" s="27">
        <v>1438</v>
      </c>
      <c r="AP84" s="27">
        <v>47</v>
      </c>
      <c r="AR84" s="53">
        <v>0.4633176725695699</v>
      </c>
      <c r="AS84" s="53">
        <v>0.51969642211781708</v>
      </c>
      <c r="AT84" s="53">
        <v>1.6985905312612938E-2</v>
      </c>
      <c r="AV84" s="27">
        <v>136</v>
      </c>
      <c r="AW84" s="27">
        <v>134</v>
      </c>
      <c r="AX84" s="27">
        <v>2</v>
      </c>
      <c r="AY84" s="27">
        <v>0</v>
      </c>
      <c r="BA84" s="53">
        <v>0.98529411764705888</v>
      </c>
      <c r="BB84" s="53">
        <v>1.4705882352941176E-2</v>
      </c>
      <c r="BC84" s="53">
        <v>0</v>
      </c>
      <c r="BD84" s="27"/>
    </row>
    <row r="85" spans="1:56" ht="15" x14ac:dyDescent="0.25">
      <c r="A85" s="18"/>
      <c r="G85" s="148"/>
      <c r="H85" s="148"/>
      <c r="I85" s="148"/>
      <c r="P85" s="148"/>
      <c r="Q85" s="148"/>
      <c r="R85" s="148"/>
      <c r="Y85" s="148"/>
      <c r="Z85" s="148"/>
      <c r="AA85" s="148"/>
      <c r="AI85" s="148"/>
      <c r="AJ85" s="148"/>
      <c r="AK85" s="148"/>
      <c r="AR85" s="148"/>
      <c r="AS85" s="148"/>
      <c r="AT85" s="148"/>
      <c r="BA85" s="148"/>
      <c r="BB85" s="148"/>
      <c r="BC85" s="148"/>
      <c r="BD85" s="51"/>
    </row>
    <row r="86" spans="1:56" s="21" customFormat="1" x14ac:dyDescent="0.2">
      <c r="A86" s="28" t="s">
        <v>66</v>
      </c>
      <c r="B86" s="25" t="s">
        <v>77</v>
      </c>
      <c r="C86" s="25" t="s">
        <v>105</v>
      </c>
      <c r="D86" s="25" t="s">
        <v>106</v>
      </c>
      <c r="E86" s="25" t="s">
        <v>114</v>
      </c>
      <c r="F86" s="25"/>
      <c r="G86" s="49" t="s">
        <v>105</v>
      </c>
      <c r="H86" s="49" t="s">
        <v>106</v>
      </c>
      <c r="I86" s="49" t="s">
        <v>114</v>
      </c>
      <c r="J86" s="25"/>
      <c r="K86" s="25" t="s">
        <v>77</v>
      </c>
      <c r="L86" s="25" t="s">
        <v>105</v>
      </c>
      <c r="M86" s="25" t="s">
        <v>106</v>
      </c>
      <c r="N86" s="25" t="s">
        <v>114</v>
      </c>
      <c r="O86" s="25"/>
      <c r="P86" s="49" t="s">
        <v>105</v>
      </c>
      <c r="Q86" s="49" t="s">
        <v>106</v>
      </c>
      <c r="R86" s="49" t="s">
        <v>114</v>
      </c>
      <c r="S86" s="25"/>
      <c r="T86" s="25" t="s">
        <v>77</v>
      </c>
      <c r="U86" s="25" t="s">
        <v>105</v>
      </c>
      <c r="V86" s="25" t="s">
        <v>106</v>
      </c>
      <c r="W86" s="25" t="s">
        <v>114</v>
      </c>
      <c r="X86" s="25"/>
      <c r="Y86" s="49" t="s">
        <v>105</v>
      </c>
      <c r="Z86" s="49" t="s">
        <v>106</v>
      </c>
      <c r="AA86" s="49" t="s">
        <v>114</v>
      </c>
      <c r="AB86" s="25"/>
      <c r="AC86" s="25"/>
      <c r="AD86" s="25" t="s">
        <v>77</v>
      </c>
      <c r="AE86" s="25" t="s">
        <v>105</v>
      </c>
      <c r="AF86" s="25" t="s">
        <v>106</v>
      </c>
      <c r="AG86" s="25" t="s">
        <v>114</v>
      </c>
      <c r="AH86" s="25"/>
      <c r="AI86" s="49" t="s">
        <v>105</v>
      </c>
      <c r="AJ86" s="49" t="s">
        <v>106</v>
      </c>
      <c r="AK86" s="49" t="s">
        <v>114</v>
      </c>
      <c r="AL86" s="25"/>
      <c r="AM86" s="25" t="s">
        <v>77</v>
      </c>
      <c r="AN86" s="25" t="s">
        <v>105</v>
      </c>
      <c r="AO86" s="25" t="s">
        <v>106</v>
      </c>
      <c r="AP86" s="25" t="s">
        <v>114</v>
      </c>
      <c r="AQ86" s="25"/>
      <c r="AR86" s="49" t="s">
        <v>105</v>
      </c>
      <c r="AS86" s="49" t="s">
        <v>106</v>
      </c>
      <c r="AT86" s="49" t="s">
        <v>114</v>
      </c>
      <c r="AU86" s="25"/>
      <c r="AV86" s="25" t="s">
        <v>77</v>
      </c>
      <c r="AW86" s="25" t="s">
        <v>105</v>
      </c>
      <c r="AX86" s="25" t="s">
        <v>106</v>
      </c>
      <c r="AY86" s="25" t="s">
        <v>114</v>
      </c>
      <c r="AZ86" s="25"/>
      <c r="BA86" s="49" t="s">
        <v>105</v>
      </c>
      <c r="BB86" s="49" t="s">
        <v>106</v>
      </c>
      <c r="BC86" s="49" t="s">
        <v>114</v>
      </c>
      <c r="BD86" s="51"/>
    </row>
    <row r="87" spans="1:56" s="51" customFormat="1" x14ac:dyDescent="0.2">
      <c r="A87" s="50" t="s">
        <v>17</v>
      </c>
      <c r="B87" s="27">
        <v>8642</v>
      </c>
      <c r="C87" s="51">
        <v>8085</v>
      </c>
      <c r="D87" s="51">
        <v>436</v>
      </c>
      <c r="E87" s="51">
        <v>121</v>
      </c>
      <c r="G87" s="52">
        <v>0.9355473270076371</v>
      </c>
      <c r="H87" s="52">
        <v>5.0451284424901641E-2</v>
      </c>
      <c r="I87" s="52">
        <v>1.4001388567461236E-2</v>
      </c>
      <c r="K87" s="27">
        <v>1265</v>
      </c>
      <c r="L87" s="51">
        <v>1108</v>
      </c>
      <c r="M87" s="51">
        <v>108</v>
      </c>
      <c r="N87" s="51">
        <v>49</v>
      </c>
      <c r="P87" s="52">
        <v>0.87588932806324116</v>
      </c>
      <c r="Q87" s="52">
        <v>8.5375494071146252E-2</v>
      </c>
      <c r="R87" s="52">
        <v>3.8735177865612647E-2</v>
      </c>
      <c r="T87" s="27">
        <v>15</v>
      </c>
      <c r="U87" s="51">
        <v>15</v>
      </c>
      <c r="V87" s="51">
        <v>0</v>
      </c>
      <c r="W87" s="51">
        <v>0</v>
      </c>
      <c r="Y87" s="52">
        <v>1</v>
      </c>
      <c r="Z87" s="52">
        <v>0</v>
      </c>
      <c r="AA87" s="52">
        <v>0</v>
      </c>
      <c r="AD87" s="27">
        <v>0</v>
      </c>
      <c r="AE87" s="51">
        <v>0</v>
      </c>
      <c r="AF87" s="51">
        <v>0</v>
      </c>
      <c r="AG87" s="51">
        <v>0</v>
      </c>
      <c r="AI87" s="52">
        <v>0</v>
      </c>
      <c r="AJ87" s="52">
        <v>0</v>
      </c>
      <c r="AK87" s="52">
        <v>0</v>
      </c>
      <c r="AM87" s="27">
        <v>0</v>
      </c>
      <c r="AN87" s="51">
        <v>0</v>
      </c>
      <c r="AO87" s="51">
        <v>0</v>
      </c>
      <c r="AP87" s="51">
        <v>0</v>
      </c>
      <c r="AR87" s="52">
        <v>0</v>
      </c>
      <c r="AS87" s="52">
        <v>0</v>
      </c>
      <c r="AT87" s="52">
        <v>0</v>
      </c>
      <c r="AV87" s="27">
        <v>0</v>
      </c>
      <c r="AW87" s="51">
        <v>0</v>
      </c>
      <c r="AX87" s="51">
        <v>0</v>
      </c>
      <c r="AY87" s="51">
        <v>0</v>
      </c>
      <c r="BA87" s="52">
        <v>0</v>
      </c>
      <c r="BB87" s="52">
        <v>0</v>
      </c>
      <c r="BC87" s="52">
        <v>0</v>
      </c>
    </row>
    <row r="88" spans="1:56" s="51" customFormat="1" x14ac:dyDescent="0.2">
      <c r="A88" s="50" t="s">
        <v>18</v>
      </c>
      <c r="B88" s="27">
        <v>26748</v>
      </c>
      <c r="C88" s="51">
        <v>19751</v>
      </c>
      <c r="D88" s="51">
        <v>6997</v>
      </c>
      <c r="E88" s="51">
        <v>0</v>
      </c>
      <c r="G88" s="52">
        <v>0.73841034843726638</v>
      </c>
      <c r="H88" s="52">
        <v>0.26158965156273367</v>
      </c>
      <c r="I88" s="52">
        <v>0</v>
      </c>
      <c r="K88" s="27">
        <v>1272</v>
      </c>
      <c r="L88" s="51">
        <v>660</v>
      </c>
      <c r="M88" s="51">
        <v>612</v>
      </c>
      <c r="N88" s="51">
        <v>0</v>
      </c>
      <c r="P88" s="52">
        <v>0.51886792452830188</v>
      </c>
      <c r="Q88" s="52">
        <v>0.48113207547169812</v>
      </c>
      <c r="R88" s="52">
        <v>0</v>
      </c>
      <c r="T88" s="27">
        <v>196</v>
      </c>
      <c r="U88" s="51">
        <v>196</v>
      </c>
      <c r="V88" s="51">
        <v>0</v>
      </c>
      <c r="W88" s="51">
        <v>0</v>
      </c>
      <c r="Y88" s="52">
        <v>1</v>
      </c>
      <c r="Z88" s="52">
        <v>0</v>
      </c>
      <c r="AA88" s="52">
        <v>0</v>
      </c>
      <c r="AD88" s="27">
        <v>18627</v>
      </c>
      <c r="AE88" s="51">
        <v>8737</v>
      </c>
      <c r="AF88" s="51">
        <v>9831</v>
      </c>
      <c r="AG88" s="51">
        <v>59</v>
      </c>
      <c r="AI88" s="52">
        <v>0.46905030332313308</v>
      </c>
      <c r="AJ88" s="52">
        <v>0.52778225157030123</v>
      </c>
      <c r="AK88" s="52">
        <v>3.1674451065657381E-3</v>
      </c>
      <c r="AM88" s="27">
        <v>578</v>
      </c>
      <c r="AN88" s="51">
        <v>63</v>
      </c>
      <c r="AO88" s="51">
        <v>515</v>
      </c>
      <c r="AP88" s="51">
        <v>0</v>
      </c>
      <c r="AR88" s="52">
        <v>0.10899653979238755</v>
      </c>
      <c r="AS88" s="52">
        <v>0.89100346020761245</v>
      </c>
      <c r="AT88" s="52">
        <v>0</v>
      </c>
      <c r="AV88" s="27">
        <v>2</v>
      </c>
      <c r="AW88" s="51">
        <v>2</v>
      </c>
      <c r="AX88" s="51">
        <v>0</v>
      </c>
      <c r="AY88" s="51">
        <v>0</v>
      </c>
      <c r="BA88" s="52">
        <v>1</v>
      </c>
      <c r="BB88" s="52">
        <v>0</v>
      </c>
      <c r="BC88" s="52">
        <v>0</v>
      </c>
    </row>
    <row r="89" spans="1:56" s="51" customFormat="1" x14ac:dyDescent="0.2">
      <c r="A89" s="50" t="s">
        <v>19</v>
      </c>
      <c r="B89" s="27">
        <v>746512</v>
      </c>
      <c r="C89" s="51">
        <v>707098</v>
      </c>
      <c r="D89" s="51">
        <v>36869</v>
      </c>
      <c r="E89" s="51">
        <v>2545</v>
      </c>
      <c r="G89" s="52">
        <v>0.94720245622307475</v>
      </c>
      <c r="H89" s="52">
        <v>4.9388355445056473E-2</v>
      </c>
      <c r="I89" s="52">
        <v>3.4091883318687444E-3</v>
      </c>
      <c r="K89" s="27">
        <v>64471</v>
      </c>
      <c r="L89" s="51">
        <v>57538</v>
      </c>
      <c r="M89" s="51">
        <v>5694</v>
      </c>
      <c r="N89" s="51">
        <v>1239</v>
      </c>
      <c r="P89" s="52">
        <v>0.89246327806300507</v>
      </c>
      <c r="Q89" s="52">
        <v>8.8318778985900639E-2</v>
      </c>
      <c r="R89" s="52">
        <v>1.9217942951094292E-2</v>
      </c>
      <c r="T89" s="27">
        <v>6330</v>
      </c>
      <c r="U89" s="51">
        <v>6295</v>
      </c>
      <c r="V89" s="51">
        <v>34</v>
      </c>
      <c r="W89" s="51">
        <v>1</v>
      </c>
      <c r="Y89" s="52">
        <v>0.99447077409162721</v>
      </c>
      <c r="Z89" s="52">
        <v>5.371248025276461E-3</v>
      </c>
      <c r="AA89" s="52">
        <v>1.579778830963665E-4</v>
      </c>
      <c r="AD89" s="27">
        <v>614073</v>
      </c>
      <c r="AE89" s="51">
        <v>502217</v>
      </c>
      <c r="AF89" s="51">
        <v>102193</v>
      </c>
      <c r="AG89" s="51">
        <v>9663</v>
      </c>
      <c r="AI89" s="52">
        <v>0.8178457610088703</v>
      </c>
      <c r="AJ89" s="52">
        <v>0.16641832485714239</v>
      </c>
      <c r="AK89" s="52">
        <v>1.5735914133987328E-2</v>
      </c>
      <c r="AM89" s="27">
        <v>17172</v>
      </c>
      <c r="AN89" s="51">
        <v>13117</v>
      </c>
      <c r="AO89" s="51">
        <v>3170</v>
      </c>
      <c r="AP89" s="51">
        <v>885</v>
      </c>
      <c r="AR89" s="52">
        <v>0.76385977172140695</v>
      </c>
      <c r="AS89" s="52">
        <v>0.18460284183554623</v>
      </c>
      <c r="AT89" s="52">
        <v>5.1537386443046819E-2</v>
      </c>
      <c r="AV89" s="27">
        <v>1424</v>
      </c>
      <c r="AW89" s="51">
        <v>1266</v>
      </c>
      <c r="AX89" s="51">
        <v>154</v>
      </c>
      <c r="AY89" s="51">
        <v>4</v>
      </c>
      <c r="BA89" s="52">
        <v>0.8890449438202247</v>
      </c>
      <c r="BB89" s="52">
        <v>0.10814606741573034</v>
      </c>
      <c r="BC89" s="52">
        <v>2.8089887640449437E-3</v>
      </c>
    </row>
    <row r="90" spans="1:56" s="51" customFormat="1" x14ac:dyDescent="0.2">
      <c r="A90" s="50" t="s">
        <v>20</v>
      </c>
      <c r="B90" s="27">
        <v>95738</v>
      </c>
      <c r="C90" s="51">
        <v>93618</v>
      </c>
      <c r="D90" s="51">
        <v>1686</v>
      </c>
      <c r="E90" s="51">
        <v>434</v>
      </c>
      <c r="G90" s="52">
        <v>0.9778562326348994</v>
      </c>
      <c r="H90" s="52">
        <v>1.7610562159226222E-2</v>
      </c>
      <c r="I90" s="52">
        <v>4.5332052058743655E-3</v>
      </c>
      <c r="K90" s="27">
        <v>10461</v>
      </c>
      <c r="L90" s="51">
        <v>9833</v>
      </c>
      <c r="M90" s="51">
        <v>437</v>
      </c>
      <c r="N90" s="51">
        <v>191</v>
      </c>
      <c r="P90" s="52">
        <v>0.93996749832711979</v>
      </c>
      <c r="Q90" s="52">
        <v>4.1774208966637992E-2</v>
      </c>
      <c r="R90" s="52">
        <v>1.8258292706242234E-2</v>
      </c>
      <c r="T90" s="27">
        <v>58</v>
      </c>
      <c r="U90" s="51">
        <v>58</v>
      </c>
      <c r="V90" s="51">
        <v>0</v>
      </c>
      <c r="W90" s="51">
        <v>0</v>
      </c>
      <c r="Y90" s="52">
        <v>1</v>
      </c>
      <c r="Z90" s="52">
        <v>0</v>
      </c>
      <c r="AA90" s="52">
        <v>0</v>
      </c>
      <c r="AD90" s="27">
        <v>28731</v>
      </c>
      <c r="AE90" s="51">
        <v>27604</v>
      </c>
      <c r="AF90" s="51">
        <v>864</v>
      </c>
      <c r="AG90" s="51">
        <v>263</v>
      </c>
      <c r="AI90" s="52">
        <v>0.9607740767811771</v>
      </c>
      <c r="AJ90" s="52">
        <v>3.0072047614075389E-2</v>
      </c>
      <c r="AK90" s="52">
        <v>9.1538756047474853E-3</v>
      </c>
      <c r="AM90" s="27">
        <v>112</v>
      </c>
      <c r="AN90" s="51">
        <v>73</v>
      </c>
      <c r="AO90" s="51">
        <v>38</v>
      </c>
      <c r="AP90" s="51">
        <v>1</v>
      </c>
      <c r="AR90" s="52">
        <v>0.6517857142857143</v>
      </c>
      <c r="AS90" s="52">
        <v>0.3392857142857143</v>
      </c>
      <c r="AT90" s="52">
        <v>8.9285714285714281E-3</v>
      </c>
      <c r="AV90" s="27">
        <v>34</v>
      </c>
      <c r="AW90" s="51">
        <v>34</v>
      </c>
      <c r="AX90" s="51">
        <v>0</v>
      </c>
      <c r="AY90" s="51">
        <v>0</v>
      </c>
      <c r="BA90" s="52">
        <v>1</v>
      </c>
      <c r="BB90" s="52">
        <v>0</v>
      </c>
      <c r="BC90" s="52">
        <v>0</v>
      </c>
    </row>
    <row r="91" spans="1:56" s="51" customFormat="1" x14ac:dyDescent="0.2">
      <c r="A91" s="50" t="s">
        <v>21</v>
      </c>
      <c r="B91" s="27">
        <v>51518</v>
      </c>
      <c r="C91" s="51">
        <v>49811</v>
      </c>
      <c r="D91" s="51">
        <v>1201</v>
      </c>
      <c r="E91" s="51">
        <v>506</v>
      </c>
      <c r="G91" s="52">
        <v>0.96686594976513063</v>
      </c>
      <c r="H91" s="52">
        <v>2.3312240382002407E-2</v>
      </c>
      <c r="I91" s="52">
        <v>9.8218098528669584E-3</v>
      </c>
      <c r="K91" s="27">
        <v>1882</v>
      </c>
      <c r="L91" s="51">
        <v>1710</v>
      </c>
      <c r="M91" s="51">
        <v>99</v>
      </c>
      <c r="N91" s="51">
        <v>73</v>
      </c>
      <c r="P91" s="52">
        <v>0.90860786397449522</v>
      </c>
      <c r="Q91" s="52">
        <v>5.2603613177470775E-2</v>
      </c>
      <c r="R91" s="52">
        <v>3.8788522848034003E-2</v>
      </c>
      <c r="T91" s="27">
        <v>0</v>
      </c>
      <c r="U91" s="51">
        <v>0</v>
      </c>
      <c r="V91" s="51">
        <v>0</v>
      </c>
      <c r="W91" s="51">
        <v>0</v>
      </c>
      <c r="Y91" s="52">
        <v>0</v>
      </c>
      <c r="Z91" s="52">
        <v>0</v>
      </c>
      <c r="AA91" s="52">
        <v>0</v>
      </c>
      <c r="AD91" s="27">
        <v>21760</v>
      </c>
      <c r="AE91" s="51">
        <v>20571</v>
      </c>
      <c r="AF91" s="51">
        <v>845</v>
      </c>
      <c r="AG91" s="51">
        <v>344</v>
      </c>
      <c r="AI91" s="52">
        <v>0.9453584558823529</v>
      </c>
      <c r="AJ91" s="52">
        <v>3.8832720588235295E-2</v>
      </c>
      <c r="AK91" s="52">
        <v>1.5808823529411764E-2</v>
      </c>
      <c r="AM91" s="27">
        <v>356</v>
      </c>
      <c r="AN91" s="51">
        <v>301</v>
      </c>
      <c r="AO91" s="51">
        <v>32</v>
      </c>
      <c r="AP91" s="51">
        <v>23</v>
      </c>
      <c r="AR91" s="52">
        <v>0.8455056179775281</v>
      </c>
      <c r="AS91" s="52">
        <v>8.98876404494382E-2</v>
      </c>
      <c r="AT91" s="52">
        <v>6.4606741573033713E-2</v>
      </c>
      <c r="AV91" s="27">
        <v>0</v>
      </c>
      <c r="AW91" s="51">
        <v>0</v>
      </c>
      <c r="AX91" s="51">
        <v>0</v>
      </c>
      <c r="AY91" s="51">
        <v>0</v>
      </c>
      <c r="BA91" s="52">
        <v>0</v>
      </c>
      <c r="BB91" s="52">
        <v>0</v>
      </c>
      <c r="BC91" s="52">
        <v>0</v>
      </c>
    </row>
    <row r="92" spans="1:56" s="51" customFormat="1" x14ac:dyDescent="0.2">
      <c r="A92" s="50" t="s">
        <v>196</v>
      </c>
      <c r="B92" s="27">
        <v>3441</v>
      </c>
      <c r="C92" s="51">
        <v>3441</v>
      </c>
      <c r="D92" s="51">
        <v>0</v>
      </c>
      <c r="E92" s="51">
        <v>0</v>
      </c>
      <c r="G92" s="52">
        <v>1</v>
      </c>
      <c r="H92" s="52">
        <v>0</v>
      </c>
      <c r="I92" s="52">
        <v>0</v>
      </c>
      <c r="K92" s="27">
        <v>278</v>
      </c>
      <c r="L92" s="51">
        <v>278</v>
      </c>
      <c r="M92" s="51">
        <v>0</v>
      </c>
      <c r="N92" s="51">
        <v>0</v>
      </c>
      <c r="P92" s="52">
        <v>1</v>
      </c>
      <c r="Q92" s="52">
        <v>0</v>
      </c>
      <c r="R92" s="52">
        <v>0</v>
      </c>
      <c r="T92" s="27">
        <v>0</v>
      </c>
      <c r="U92" s="51">
        <v>0</v>
      </c>
      <c r="V92" s="51">
        <v>0</v>
      </c>
      <c r="W92" s="51">
        <v>0</v>
      </c>
      <c r="Y92" s="52">
        <v>0</v>
      </c>
      <c r="Z92" s="52">
        <v>0</v>
      </c>
      <c r="AA92" s="52">
        <v>0</v>
      </c>
      <c r="AD92" s="27">
        <v>0</v>
      </c>
      <c r="AE92" s="51">
        <v>0</v>
      </c>
      <c r="AF92" s="51">
        <v>0</v>
      </c>
      <c r="AG92" s="51">
        <v>0</v>
      </c>
      <c r="AI92" s="52">
        <v>0</v>
      </c>
      <c r="AJ92" s="52">
        <v>0</v>
      </c>
      <c r="AK92" s="52">
        <v>0</v>
      </c>
      <c r="AM92" s="27">
        <v>0</v>
      </c>
      <c r="AN92" s="51">
        <v>0</v>
      </c>
      <c r="AO92" s="51">
        <v>0</v>
      </c>
      <c r="AP92" s="51">
        <v>0</v>
      </c>
      <c r="AR92" s="52">
        <v>0</v>
      </c>
      <c r="AS92" s="52">
        <v>0</v>
      </c>
      <c r="AT92" s="52">
        <v>0</v>
      </c>
      <c r="AV92" s="27">
        <v>0</v>
      </c>
      <c r="AW92" s="51">
        <v>0</v>
      </c>
      <c r="AX92" s="51">
        <v>0</v>
      </c>
      <c r="AY92" s="51">
        <v>0</v>
      </c>
      <c r="BA92" s="52">
        <v>0</v>
      </c>
      <c r="BB92" s="52">
        <v>0</v>
      </c>
      <c r="BC92" s="52">
        <v>0</v>
      </c>
    </row>
    <row r="93" spans="1:56" s="51" customFormat="1" x14ac:dyDescent="0.2">
      <c r="A93" s="50" t="s">
        <v>24</v>
      </c>
      <c r="B93" s="27">
        <v>0</v>
      </c>
      <c r="C93" s="51">
        <v>0</v>
      </c>
      <c r="D93" s="51">
        <v>0</v>
      </c>
      <c r="E93" s="51">
        <v>0</v>
      </c>
      <c r="G93" s="52">
        <v>0</v>
      </c>
      <c r="H93" s="52">
        <v>0</v>
      </c>
      <c r="I93" s="52">
        <v>0</v>
      </c>
      <c r="K93" s="27">
        <v>4545</v>
      </c>
      <c r="L93" s="51">
        <v>4535</v>
      </c>
      <c r="M93" s="51">
        <v>10</v>
      </c>
      <c r="N93" s="51">
        <v>0</v>
      </c>
      <c r="P93" s="52">
        <v>0.99779977997799785</v>
      </c>
      <c r="Q93" s="52">
        <v>2.2002200220022001E-3</v>
      </c>
      <c r="R93" s="52">
        <v>0</v>
      </c>
      <c r="T93" s="27">
        <v>367</v>
      </c>
      <c r="U93" s="51">
        <v>367</v>
      </c>
      <c r="V93" s="51">
        <v>0</v>
      </c>
      <c r="W93" s="51">
        <v>0</v>
      </c>
      <c r="Y93" s="52">
        <v>1</v>
      </c>
      <c r="Z93" s="52">
        <v>0</v>
      </c>
      <c r="AA93" s="52">
        <v>0</v>
      </c>
      <c r="AD93" s="27">
        <v>0</v>
      </c>
      <c r="AE93" s="51">
        <v>0</v>
      </c>
      <c r="AF93" s="51">
        <v>0</v>
      </c>
      <c r="AG93" s="51">
        <v>0</v>
      </c>
      <c r="AI93" s="52">
        <v>0</v>
      </c>
      <c r="AJ93" s="52">
        <v>0</v>
      </c>
      <c r="AK93" s="52">
        <v>0</v>
      </c>
      <c r="AM93" s="27">
        <v>0</v>
      </c>
      <c r="AN93" s="51">
        <v>0</v>
      </c>
      <c r="AO93" s="51">
        <v>0</v>
      </c>
      <c r="AP93" s="51">
        <v>0</v>
      </c>
      <c r="AR93" s="52">
        <v>0</v>
      </c>
      <c r="AS93" s="52">
        <v>0</v>
      </c>
      <c r="AT93" s="52">
        <v>0</v>
      </c>
      <c r="AV93" s="27">
        <v>0</v>
      </c>
      <c r="AW93" s="51">
        <v>0</v>
      </c>
      <c r="AX93" s="51">
        <v>0</v>
      </c>
      <c r="AY93" s="51">
        <v>0</v>
      </c>
      <c r="BA93" s="52">
        <v>0</v>
      </c>
      <c r="BB93" s="52">
        <v>0</v>
      </c>
      <c r="BC93" s="52">
        <v>0</v>
      </c>
    </row>
    <row r="94" spans="1:56" s="51" customFormat="1" x14ac:dyDescent="0.2">
      <c r="A94" s="50" t="s">
        <v>198</v>
      </c>
      <c r="B94" s="27">
        <v>0</v>
      </c>
      <c r="C94" s="51">
        <v>0</v>
      </c>
      <c r="D94" s="51">
        <v>0</v>
      </c>
      <c r="E94" s="51">
        <v>0</v>
      </c>
      <c r="G94" s="52">
        <v>0</v>
      </c>
      <c r="H94" s="52">
        <v>0</v>
      </c>
      <c r="I94" s="52">
        <v>0</v>
      </c>
      <c r="K94" s="27">
        <v>18</v>
      </c>
      <c r="L94" s="51">
        <v>18</v>
      </c>
      <c r="M94" s="51">
        <v>0</v>
      </c>
      <c r="N94" s="51">
        <v>0</v>
      </c>
      <c r="P94" s="52">
        <v>1</v>
      </c>
      <c r="Q94" s="52">
        <v>0</v>
      </c>
      <c r="R94" s="52">
        <v>0</v>
      </c>
      <c r="T94" s="27">
        <v>2</v>
      </c>
      <c r="U94" s="51">
        <v>2</v>
      </c>
      <c r="V94" s="51">
        <v>0</v>
      </c>
      <c r="W94" s="51">
        <v>0</v>
      </c>
      <c r="Y94" s="52">
        <v>1</v>
      </c>
      <c r="Z94" s="52">
        <v>0</v>
      </c>
      <c r="AA94" s="52">
        <v>0</v>
      </c>
      <c r="AD94" s="27">
        <v>0</v>
      </c>
      <c r="AE94" s="51">
        <v>0</v>
      </c>
      <c r="AF94" s="51">
        <v>0</v>
      </c>
      <c r="AG94" s="51">
        <v>0</v>
      </c>
      <c r="AI94" s="52">
        <v>0</v>
      </c>
      <c r="AJ94" s="52">
        <v>0</v>
      </c>
      <c r="AK94" s="52">
        <v>0</v>
      </c>
      <c r="AM94" s="27">
        <v>0</v>
      </c>
      <c r="AN94" s="51">
        <v>0</v>
      </c>
      <c r="AO94" s="51">
        <v>0</v>
      </c>
      <c r="AP94" s="51">
        <v>0</v>
      </c>
      <c r="AR94" s="52">
        <v>0</v>
      </c>
      <c r="AS94" s="52">
        <v>0</v>
      </c>
      <c r="AT94" s="52">
        <v>0</v>
      </c>
      <c r="AV94" s="27">
        <v>0</v>
      </c>
      <c r="AW94" s="51">
        <v>0</v>
      </c>
      <c r="AX94" s="51">
        <v>0</v>
      </c>
      <c r="AY94" s="51">
        <v>0</v>
      </c>
      <c r="BA94" s="52">
        <v>0</v>
      </c>
      <c r="BB94" s="52">
        <v>0</v>
      </c>
      <c r="BC94" s="52">
        <v>0</v>
      </c>
    </row>
    <row r="95" spans="1:56" s="51" customFormat="1" x14ac:dyDescent="0.2">
      <c r="A95" s="50" t="s">
        <v>25</v>
      </c>
      <c r="B95" s="27">
        <v>3688</v>
      </c>
      <c r="C95" s="51">
        <v>3564</v>
      </c>
      <c r="D95" s="51">
        <v>94</v>
      </c>
      <c r="E95" s="51">
        <v>30</v>
      </c>
      <c r="G95" s="52">
        <v>0.96637744034707163</v>
      </c>
      <c r="H95" s="52">
        <v>2.5488069414316701E-2</v>
      </c>
      <c r="I95" s="52">
        <v>8.1344902386117132E-3</v>
      </c>
      <c r="K95" s="27">
        <v>4877</v>
      </c>
      <c r="L95" s="51">
        <v>4523</v>
      </c>
      <c r="M95" s="51">
        <v>228</v>
      </c>
      <c r="N95" s="51">
        <v>126</v>
      </c>
      <c r="P95" s="52">
        <v>0.92741439409473037</v>
      </c>
      <c r="Q95" s="52">
        <v>4.6750051261021122E-2</v>
      </c>
      <c r="R95" s="52">
        <v>2.5835554644248512E-2</v>
      </c>
      <c r="T95" s="27">
        <v>154</v>
      </c>
      <c r="U95" s="51">
        <v>153</v>
      </c>
      <c r="V95" s="51">
        <v>1</v>
      </c>
      <c r="W95" s="51">
        <v>0</v>
      </c>
      <c r="Y95" s="52">
        <v>0.99350649350649356</v>
      </c>
      <c r="Z95" s="52">
        <v>6.4935064935064939E-3</v>
      </c>
      <c r="AA95" s="52">
        <v>0</v>
      </c>
      <c r="AD95" s="27">
        <v>2305</v>
      </c>
      <c r="AE95" s="51">
        <v>2187</v>
      </c>
      <c r="AF95" s="51">
        <v>77</v>
      </c>
      <c r="AG95" s="51">
        <v>41</v>
      </c>
      <c r="AI95" s="52">
        <v>0.94880694143167033</v>
      </c>
      <c r="AJ95" s="52">
        <v>3.3405639913232102E-2</v>
      </c>
      <c r="AK95" s="52">
        <v>1.7787418655097614E-2</v>
      </c>
      <c r="AM95" s="27">
        <v>2594</v>
      </c>
      <c r="AN95" s="51">
        <v>2374</v>
      </c>
      <c r="AO95" s="51">
        <v>137</v>
      </c>
      <c r="AP95" s="51">
        <v>83</v>
      </c>
      <c r="AR95" s="52">
        <v>0.91518889745566689</v>
      </c>
      <c r="AS95" s="52">
        <v>5.2814186584425597E-2</v>
      </c>
      <c r="AT95" s="52">
        <v>3.1996915959907481E-2</v>
      </c>
      <c r="AV95" s="27">
        <v>0</v>
      </c>
      <c r="AW95" s="51">
        <v>0</v>
      </c>
      <c r="AX95" s="51">
        <v>0</v>
      </c>
      <c r="AY95" s="51">
        <v>0</v>
      </c>
      <c r="BA95" s="52">
        <v>0</v>
      </c>
      <c r="BB95" s="52">
        <v>0</v>
      </c>
      <c r="BC95" s="52">
        <v>0</v>
      </c>
    </row>
    <row r="96" spans="1:56" s="51" customFormat="1" x14ac:dyDescent="0.2">
      <c r="A96" s="50" t="s">
        <v>84</v>
      </c>
      <c r="B96" s="27">
        <v>0</v>
      </c>
      <c r="C96" s="51">
        <v>0</v>
      </c>
      <c r="D96" s="51">
        <v>0</v>
      </c>
      <c r="E96" s="51">
        <v>0</v>
      </c>
      <c r="G96" s="52">
        <v>0</v>
      </c>
      <c r="H96" s="52">
        <v>0</v>
      </c>
      <c r="I96" s="52">
        <v>0</v>
      </c>
      <c r="K96" s="27">
        <v>0</v>
      </c>
      <c r="L96" s="51">
        <v>0</v>
      </c>
      <c r="M96" s="51">
        <v>0</v>
      </c>
      <c r="N96" s="51">
        <v>0</v>
      </c>
      <c r="P96" s="52">
        <v>0</v>
      </c>
      <c r="Q96" s="52">
        <v>0</v>
      </c>
      <c r="R96" s="52">
        <v>0</v>
      </c>
      <c r="T96" s="27">
        <v>3</v>
      </c>
      <c r="U96" s="51">
        <v>3</v>
      </c>
      <c r="V96" s="51">
        <v>0</v>
      </c>
      <c r="W96" s="51">
        <v>0</v>
      </c>
      <c r="Y96" s="52">
        <v>1</v>
      </c>
      <c r="Z96" s="52">
        <v>0</v>
      </c>
      <c r="AA96" s="52">
        <v>0</v>
      </c>
      <c r="AD96" s="27">
        <v>0</v>
      </c>
      <c r="AE96" s="51">
        <v>0</v>
      </c>
      <c r="AF96" s="51">
        <v>0</v>
      </c>
      <c r="AG96" s="51">
        <v>0</v>
      </c>
      <c r="AI96" s="52">
        <v>0</v>
      </c>
      <c r="AJ96" s="52">
        <v>0</v>
      </c>
      <c r="AK96" s="52">
        <v>0</v>
      </c>
      <c r="AM96" s="27">
        <v>0</v>
      </c>
      <c r="AN96" s="51">
        <v>0</v>
      </c>
      <c r="AO96" s="51">
        <v>0</v>
      </c>
      <c r="AP96" s="51">
        <v>0</v>
      </c>
      <c r="AR96" s="52">
        <v>0</v>
      </c>
      <c r="AS96" s="52">
        <v>0</v>
      </c>
      <c r="AT96" s="52">
        <v>0</v>
      </c>
      <c r="AV96" s="27">
        <v>0</v>
      </c>
      <c r="AW96" s="51">
        <v>0</v>
      </c>
      <c r="AX96" s="51">
        <v>0</v>
      </c>
      <c r="AY96" s="51">
        <v>0</v>
      </c>
      <c r="BA96" s="52">
        <v>0</v>
      </c>
      <c r="BB96" s="52">
        <v>0</v>
      </c>
      <c r="BC96" s="52">
        <v>0</v>
      </c>
    </row>
    <row r="97" spans="1:55" s="51" customFormat="1" x14ac:dyDescent="0.2">
      <c r="A97" s="50" t="s">
        <v>26</v>
      </c>
      <c r="B97" s="27">
        <v>3348</v>
      </c>
      <c r="C97" s="51">
        <v>3292</v>
      </c>
      <c r="D97" s="51">
        <v>28</v>
      </c>
      <c r="E97" s="51">
        <v>28</v>
      </c>
      <c r="G97" s="52">
        <v>0.98327359617682197</v>
      </c>
      <c r="H97" s="52">
        <v>8.3632019115890081E-3</v>
      </c>
      <c r="I97" s="52">
        <v>8.3632019115890081E-3</v>
      </c>
      <c r="K97" s="27">
        <v>195</v>
      </c>
      <c r="L97" s="51">
        <v>183</v>
      </c>
      <c r="M97" s="51">
        <v>6</v>
      </c>
      <c r="N97" s="51">
        <v>6</v>
      </c>
      <c r="P97" s="52">
        <v>0.93846153846153846</v>
      </c>
      <c r="Q97" s="52">
        <v>3.0769230769230771E-2</v>
      </c>
      <c r="R97" s="52">
        <v>3.0769230769230771E-2</v>
      </c>
      <c r="T97" s="27">
        <v>4</v>
      </c>
      <c r="U97" s="51">
        <v>4</v>
      </c>
      <c r="V97" s="51">
        <v>0</v>
      </c>
      <c r="W97" s="51">
        <v>0</v>
      </c>
      <c r="Y97" s="52">
        <v>1</v>
      </c>
      <c r="Z97" s="52">
        <v>0</v>
      </c>
      <c r="AA97" s="52">
        <v>0</v>
      </c>
      <c r="AD97" s="27">
        <v>0</v>
      </c>
      <c r="AE97" s="51">
        <v>0</v>
      </c>
      <c r="AF97" s="51">
        <v>0</v>
      </c>
      <c r="AG97" s="51">
        <v>0</v>
      </c>
      <c r="AI97" s="52">
        <v>0</v>
      </c>
      <c r="AJ97" s="52">
        <v>0</v>
      </c>
      <c r="AK97" s="52">
        <v>0</v>
      </c>
      <c r="AM97" s="27">
        <v>0</v>
      </c>
      <c r="AN97" s="51">
        <v>0</v>
      </c>
      <c r="AO97" s="51">
        <v>0</v>
      </c>
      <c r="AP97" s="51">
        <v>0</v>
      </c>
      <c r="AR97" s="52">
        <v>0</v>
      </c>
      <c r="AS97" s="52">
        <v>0</v>
      </c>
      <c r="AT97" s="52">
        <v>0</v>
      </c>
      <c r="AV97" s="27">
        <v>0</v>
      </c>
      <c r="AW97" s="51">
        <v>0</v>
      </c>
      <c r="AX97" s="51">
        <v>0</v>
      </c>
      <c r="AY97" s="51">
        <v>0</v>
      </c>
      <c r="BA97" s="52">
        <v>0</v>
      </c>
      <c r="BB97" s="52">
        <v>0</v>
      </c>
      <c r="BC97" s="52">
        <v>0</v>
      </c>
    </row>
    <row r="98" spans="1:55" s="51" customFormat="1" x14ac:dyDescent="0.2">
      <c r="A98" s="50" t="s">
        <v>27</v>
      </c>
      <c r="B98" s="27">
        <v>55</v>
      </c>
      <c r="C98" s="51">
        <v>54</v>
      </c>
      <c r="D98" s="51">
        <v>0</v>
      </c>
      <c r="E98" s="51">
        <v>1</v>
      </c>
      <c r="G98" s="52">
        <v>0.98181818181818181</v>
      </c>
      <c r="H98" s="52">
        <v>0</v>
      </c>
      <c r="I98" s="52">
        <v>1.8181818181818181E-2</v>
      </c>
      <c r="K98" s="27">
        <v>11</v>
      </c>
      <c r="L98" s="51">
        <v>11</v>
      </c>
      <c r="M98" s="51">
        <v>0</v>
      </c>
      <c r="N98" s="51">
        <v>0</v>
      </c>
      <c r="P98" s="52">
        <v>1</v>
      </c>
      <c r="Q98" s="52">
        <v>0</v>
      </c>
      <c r="R98" s="52">
        <v>0</v>
      </c>
      <c r="T98" s="27">
        <v>0</v>
      </c>
      <c r="U98" s="51">
        <v>0</v>
      </c>
      <c r="V98" s="51">
        <v>0</v>
      </c>
      <c r="W98" s="51">
        <v>0</v>
      </c>
      <c r="Y98" s="52">
        <v>0</v>
      </c>
      <c r="Z98" s="52">
        <v>0</v>
      </c>
      <c r="AA98" s="52">
        <v>0</v>
      </c>
      <c r="AD98" s="27">
        <v>0</v>
      </c>
      <c r="AE98" s="51">
        <v>0</v>
      </c>
      <c r="AF98" s="51">
        <v>0</v>
      </c>
      <c r="AG98" s="51">
        <v>0</v>
      </c>
      <c r="AI98" s="52">
        <v>0</v>
      </c>
      <c r="AJ98" s="52">
        <v>0</v>
      </c>
      <c r="AK98" s="52">
        <v>0</v>
      </c>
      <c r="AM98" s="27">
        <v>0</v>
      </c>
      <c r="AN98" s="51">
        <v>0</v>
      </c>
      <c r="AO98" s="51">
        <v>0</v>
      </c>
      <c r="AP98" s="51">
        <v>0</v>
      </c>
      <c r="AR98" s="52">
        <v>0</v>
      </c>
      <c r="AS98" s="52">
        <v>0</v>
      </c>
      <c r="AT98" s="52">
        <v>0</v>
      </c>
      <c r="AV98" s="27">
        <v>0</v>
      </c>
      <c r="AW98" s="51">
        <v>0</v>
      </c>
      <c r="AX98" s="51">
        <v>0</v>
      </c>
      <c r="AY98" s="51">
        <v>0</v>
      </c>
      <c r="BA98" s="52">
        <v>0</v>
      </c>
      <c r="BB98" s="52">
        <v>0</v>
      </c>
      <c r="BC98" s="52">
        <v>0</v>
      </c>
    </row>
    <row r="99" spans="1:55" s="51" customFormat="1" x14ac:dyDescent="0.2">
      <c r="A99" s="50" t="s">
        <v>28</v>
      </c>
      <c r="B99" s="27">
        <v>30974</v>
      </c>
      <c r="C99" s="51">
        <v>30132</v>
      </c>
      <c r="D99" s="51">
        <v>842</v>
      </c>
      <c r="E99" s="51">
        <v>0</v>
      </c>
      <c r="G99" s="52">
        <v>0.9728159101181636</v>
      </c>
      <c r="H99" s="52">
        <v>2.718408988183638E-2</v>
      </c>
      <c r="I99" s="52">
        <v>0</v>
      </c>
      <c r="K99" s="27">
        <v>1334</v>
      </c>
      <c r="L99" s="51">
        <v>1201</v>
      </c>
      <c r="M99" s="51">
        <v>133</v>
      </c>
      <c r="N99" s="51">
        <v>0</v>
      </c>
      <c r="P99" s="52">
        <v>0.90029985007496249</v>
      </c>
      <c r="Q99" s="52">
        <v>9.9700149925037479E-2</v>
      </c>
      <c r="R99" s="52">
        <v>0</v>
      </c>
      <c r="T99" s="27">
        <v>0</v>
      </c>
      <c r="U99" s="51">
        <v>0</v>
      </c>
      <c r="V99" s="51">
        <v>0</v>
      </c>
      <c r="W99" s="51">
        <v>0</v>
      </c>
      <c r="Y99" s="52">
        <v>0</v>
      </c>
      <c r="Z99" s="52">
        <v>0</v>
      </c>
      <c r="AA99" s="52">
        <v>0</v>
      </c>
      <c r="AD99" s="27">
        <v>11709</v>
      </c>
      <c r="AE99" s="51">
        <v>11122</v>
      </c>
      <c r="AF99" s="51">
        <v>587</v>
      </c>
      <c r="AG99" s="51">
        <v>0</v>
      </c>
      <c r="AI99" s="52">
        <v>0.94986762319583229</v>
      </c>
      <c r="AJ99" s="52">
        <v>5.0132376804167732E-2</v>
      </c>
      <c r="AK99" s="52">
        <v>0</v>
      </c>
      <c r="AM99" s="27">
        <v>0</v>
      </c>
      <c r="AN99" s="51">
        <v>0</v>
      </c>
      <c r="AO99" s="51">
        <v>0</v>
      </c>
      <c r="AP99" s="51">
        <v>0</v>
      </c>
      <c r="AR99" s="52">
        <v>0</v>
      </c>
      <c r="AS99" s="52">
        <v>0</v>
      </c>
      <c r="AT99" s="52">
        <v>0</v>
      </c>
      <c r="AV99" s="27">
        <v>0</v>
      </c>
      <c r="AW99" s="51">
        <v>0</v>
      </c>
      <c r="AX99" s="51">
        <v>0</v>
      </c>
      <c r="AY99" s="51">
        <v>0</v>
      </c>
      <c r="BA99" s="52">
        <v>0</v>
      </c>
      <c r="BB99" s="52">
        <v>0</v>
      </c>
      <c r="BC99" s="52">
        <v>0</v>
      </c>
    </row>
    <row r="100" spans="1:55" s="51" customFormat="1" x14ac:dyDescent="0.2">
      <c r="A100" s="50" t="s">
        <v>197</v>
      </c>
      <c r="B100" s="27">
        <v>3</v>
      </c>
      <c r="C100" s="51">
        <v>3</v>
      </c>
      <c r="D100" s="51">
        <v>0</v>
      </c>
      <c r="E100" s="51">
        <v>0</v>
      </c>
      <c r="G100" s="52">
        <v>1</v>
      </c>
      <c r="H100" s="52">
        <v>0</v>
      </c>
      <c r="I100" s="52">
        <v>0</v>
      </c>
      <c r="K100" s="27">
        <v>0</v>
      </c>
      <c r="L100" s="51">
        <v>0</v>
      </c>
      <c r="M100" s="51">
        <v>0</v>
      </c>
      <c r="N100" s="51">
        <v>0</v>
      </c>
      <c r="P100" s="52">
        <v>0</v>
      </c>
      <c r="Q100" s="52">
        <v>0</v>
      </c>
      <c r="R100" s="52">
        <v>0</v>
      </c>
      <c r="T100" s="27">
        <v>0</v>
      </c>
      <c r="U100" s="51">
        <v>0</v>
      </c>
      <c r="V100" s="51">
        <v>0</v>
      </c>
      <c r="W100" s="51">
        <v>0</v>
      </c>
      <c r="Y100" s="52">
        <v>0</v>
      </c>
      <c r="Z100" s="52">
        <v>0</v>
      </c>
      <c r="AA100" s="52">
        <v>0</v>
      </c>
      <c r="AD100" s="27">
        <v>0</v>
      </c>
      <c r="AE100" s="51">
        <v>0</v>
      </c>
      <c r="AF100" s="51">
        <v>0</v>
      </c>
      <c r="AG100" s="51">
        <v>0</v>
      </c>
      <c r="AI100" s="52">
        <v>0</v>
      </c>
      <c r="AJ100" s="52">
        <v>0</v>
      </c>
      <c r="AK100" s="52">
        <v>0</v>
      </c>
      <c r="AM100" s="27">
        <v>0</v>
      </c>
      <c r="AN100" s="51">
        <v>0</v>
      </c>
      <c r="AO100" s="51">
        <v>0</v>
      </c>
      <c r="AP100" s="51">
        <v>0</v>
      </c>
      <c r="AR100" s="52">
        <v>0</v>
      </c>
      <c r="AS100" s="52">
        <v>0</v>
      </c>
      <c r="AT100" s="52">
        <v>0</v>
      </c>
      <c r="AV100" s="27">
        <v>0</v>
      </c>
      <c r="AW100" s="51">
        <v>0</v>
      </c>
      <c r="AX100" s="51">
        <v>0</v>
      </c>
      <c r="AY100" s="51">
        <v>0</v>
      </c>
      <c r="BA100" s="52">
        <v>0</v>
      </c>
      <c r="BB100" s="52">
        <v>0</v>
      </c>
      <c r="BC100" s="52">
        <v>0</v>
      </c>
    </row>
    <row r="101" spans="1:55" s="51" customFormat="1" x14ac:dyDescent="0.2">
      <c r="A101" s="50" t="s">
        <v>29</v>
      </c>
      <c r="B101" s="27">
        <v>13505</v>
      </c>
      <c r="C101" s="51">
        <v>13403</v>
      </c>
      <c r="D101" s="51">
        <v>102</v>
      </c>
      <c r="E101" s="51">
        <v>0</v>
      </c>
      <c r="G101" s="52">
        <v>0.99244724176231025</v>
      </c>
      <c r="H101" s="52">
        <v>7.5527582376897443E-3</v>
      </c>
      <c r="I101" s="52">
        <v>0</v>
      </c>
      <c r="K101" s="27">
        <v>750</v>
      </c>
      <c r="L101" s="51">
        <v>740</v>
      </c>
      <c r="M101" s="51">
        <v>10</v>
      </c>
      <c r="N101" s="51">
        <v>0</v>
      </c>
      <c r="P101" s="52">
        <v>0.98666666666666669</v>
      </c>
      <c r="Q101" s="52">
        <v>1.3333333333333334E-2</v>
      </c>
      <c r="R101" s="52">
        <v>0</v>
      </c>
      <c r="T101" s="27">
        <v>0</v>
      </c>
      <c r="U101" s="51">
        <v>0</v>
      </c>
      <c r="V101" s="51">
        <v>0</v>
      </c>
      <c r="W101" s="51">
        <v>0</v>
      </c>
      <c r="Y101" s="52">
        <v>0</v>
      </c>
      <c r="Z101" s="52">
        <v>0</v>
      </c>
      <c r="AA101" s="52">
        <v>0</v>
      </c>
      <c r="AD101" s="27">
        <v>0</v>
      </c>
      <c r="AE101" s="51">
        <v>0</v>
      </c>
      <c r="AF101" s="51">
        <v>0</v>
      </c>
      <c r="AG101" s="51">
        <v>0</v>
      </c>
      <c r="AI101" s="52">
        <v>0</v>
      </c>
      <c r="AJ101" s="52">
        <v>0</v>
      </c>
      <c r="AK101" s="52">
        <v>0</v>
      </c>
      <c r="AM101" s="27">
        <v>0</v>
      </c>
      <c r="AN101" s="51">
        <v>0</v>
      </c>
      <c r="AO101" s="51">
        <v>0</v>
      </c>
      <c r="AP101" s="51">
        <v>0</v>
      </c>
      <c r="AR101" s="52">
        <v>0</v>
      </c>
      <c r="AS101" s="52">
        <v>0</v>
      </c>
      <c r="AT101" s="52">
        <v>0</v>
      </c>
      <c r="AV101" s="27">
        <v>0</v>
      </c>
      <c r="AW101" s="51">
        <v>0</v>
      </c>
      <c r="AX101" s="51">
        <v>0</v>
      </c>
      <c r="AY101" s="51">
        <v>0</v>
      </c>
      <c r="BA101" s="52">
        <v>0</v>
      </c>
      <c r="BB101" s="52">
        <v>0</v>
      </c>
      <c r="BC101" s="52">
        <v>0</v>
      </c>
    </row>
    <row r="102" spans="1:55" s="51" customFormat="1" x14ac:dyDescent="0.2">
      <c r="A102" s="50" t="s">
        <v>30</v>
      </c>
      <c r="B102" s="27">
        <v>893490</v>
      </c>
      <c r="C102" s="51">
        <v>762767</v>
      </c>
      <c r="D102" s="51">
        <v>130723</v>
      </c>
      <c r="E102" s="51">
        <v>0</v>
      </c>
      <c r="G102" s="52">
        <v>0.85369394173409885</v>
      </c>
      <c r="H102" s="52">
        <v>0.14630605826590112</v>
      </c>
      <c r="I102" s="52">
        <v>0</v>
      </c>
      <c r="K102" s="27">
        <v>79068</v>
      </c>
      <c r="L102" s="51">
        <v>58377</v>
      </c>
      <c r="M102" s="51">
        <v>20691</v>
      </c>
      <c r="N102" s="51">
        <v>0</v>
      </c>
      <c r="P102" s="52">
        <v>0.73831385642737901</v>
      </c>
      <c r="Q102" s="52">
        <v>0.26168614357262104</v>
      </c>
      <c r="R102" s="52">
        <v>0</v>
      </c>
      <c r="T102" s="27">
        <v>7352</v>
      </c>
      <c r="U102" s="51">
        <v>7059</v>
      </c>
      <c r="V102" s="51">
        <v>293</v>
      </c>
      <c r="W102" s="51">
        <v>0</v>
      </c>
      <c r="Y102" s="52">
        <v>0.96014689880304682</v>
      </c>
      <c r="Z102" s="52">
        <v>3.9853101196953213E-2</v>
      </c>
      <c r="AA102" s="52">
        <v>0</v>
      </c>
      <c r="AD102" s="27">
        <v>370732</v>
      </c>
      <c r="AE102" s="51">
        <v>352983</v>
      </c>
      <c r="AF102" s="51">
        <v>17749</v>
      </c>
      <c r="AG102" s="51">
        <v>0</v>
      </c>
      <c r="AI102" s="52">
        <v>0.95212444569122712</v>
      </c>
      <c r="AJ102" s="52">
        <v>4.7875554308772911E-2</v>
      </c>
      <c r="AK102" s="52">
        <v>0</v>
      </c>
      <c r="AM102" s="27">
        <v>6826</v>
      </c>
      <c r="AN102" s="51">
        <v>5227</v>
      </c>
      <c r="AO102" s="51">
        <v>1599</v>
      </c>
      <c r="AP102" s="51">
        <v>0</v>
      </c>
      <c r="AR102" s="52">
        <v>0.76574860826252567</v>
      </c>
      <c r="AS102" s="52">
        <v>0.23425139173747436</v>
      </c>
      <c r="AT102" s="52">
        <v>0</v>
      </c>
      <c r="AV102" s="27">
        <v>440</v>
      </c>
      <c r="AW102" s="51">
        <v>383</v>
      </c>
      <c r="AX102" s="51">
        <v>57</v>
      </c>
      <c r="AY102" s="51">
        <v>0</v>
      </c>
      <c r="BA102" s="52">
        <v>0.87045454545454548</v>
      </c>
      <c r="BB102" s="52">
        <v>0.12954545454545455</v>
      </c>
      <c r="BC102" s="52">
        <v>0</v>
      </c>
    </row>
    <row r="103" spans="1:55" s="51" customFormat="1" x14ac:dyDescent="0.2">
      <c r="A103" s="50" t="s">
        <v>31</v>
      </c>
      <c r="B103" s="27">
        <v>5974</v>
      </c>
      <c r="C103" s="51">
        <v>5921</v>
      </c>
      <c r="D103" s="51">
        <v>0</v>
      </c>
      <c r="E103" s="51">
        <v>53</v>
      </c>
      <c r="G103" s="52">
        <v>0.99112822229661868</v>
      </c>
      <c r="H103" s="52">
        <v>0</v>
      </c>
      <c r="I103" s="52">
        <v>8.8717777033813193E-3</v>
      </c>
      <c r="K103" s="27">
        <v>427</v>
      </c>
      <c r="L103" s="51">
        <v>417</v>
      </c>
      <c r="M103" s="51">
        <v>0</v>
      </c>
      <c r="N103" s="51">
        <v>10</v>
      </c>
      <c r="P103" s="52">
        <v>0.97658079625292737</v>
      </c>
      <c r="Q103" s="52">
        <v>0</v>
      </c>
      <c r="R103" s="52">
        <v>2.3419203747072601E-2</v>
      </c>
      <c r="T103" s="27">
        <v>0</v>
      </c>
      <c r="U103" s="51">
        <v>0</v>
      </c>
      <c r="V103" s="51">
        <v>0</v>
      </c>
      <c r="W103" s="51">
        <v>0</v>
      </c>
      <c r="Y103" s="52">
        <v>0</v>
      </c>
      <c r="Z103" s="52">
        <v>0</v>
      </c>
      <c r="AA103" s="52">
        <v>0</v>
      </c>
      <c r="AD103" s="27">
        <v>0</v>
      </c>
      <c r="AE103" s="51">
        <v>0</v>
      </c>
      <c r="AF103" s="51">
        <v>0</v>
      </c>
      <c r="AG103" s="51">
        <v>0</v>
      </c>
      <c r="AI103" s="52">
        <v>0</v>
      </c>
      <c r="AJ103" s="52">
        <v>0</v>
      </c>
      <c r="AK103" s="52">
        <v>0</v>
      </c>
      <c r="AM103" s="27">
        <v>0</v>
      </c>
      <c r="AN103" s="51">
        <v>0</v>
      </c>
      <c r="AO103" s="51">
        <v>0</v>
      </c>
      <c r="AP103" s="51">
        <v>0</v>
      </c>
      <c r="AR103" s="52">
        <v>0</v>
      </c>
      <c r="AS103" s="52">
        <v>0</v>
      </c>
      <c r="AT103" s="52">
        <v>0</v>
      </c>
      <c r="AV103" s="27">
        <v>0</v>
      </c>
      <c r="AW103" s="51">
        <v>0</v>
      </c>
      <c r="AX103" s="51">
        <v>0</v>
      </c>
      <c r="AY103" s="51">
        <v>0</v>
      </c>
      <c r="BA103" s="52">
        <v>0</v>
      </c>
      <c r="BB103" s="52">
        <v>0</v>
      </c>
      <c r="BC103" s="52">
        <v>0</v>
      </c>
    </row>
    <row r="104" spans="1:55" s="51" customFormat="1" x14ac:dyDescent="0.2">
      <c r="A104" s="50" t="s">
        <v>79</v>
      </c>
      <c r="B104" s="27">
        <v>0</v>
      </c>
      <c r="C104" s="51">
        <v>0</v>
      </c>
      <c r="D104" s="51">
        <v>0</v>
      </c>
      <c r="E104" s="51">
        <v>0</v>
      </c>
      <c r="G104" s="52">
        <v>0</v>
      </c>
      <c r="H104" s="52">
        <v>0</v>
      </c>
      <c r="I104" s="52">
        <v>0</v>
      </c>
      <c r="K104" s="27">
        <v>20</v>
      </c>
      <c r="L104" s="51">
        <v>20</v>
      </c>
      <c r="M104" s="51">
        <v>0</v>
      </c>
      <c r="N104" s="51">
        <v>0</v>
      </c>
      <c r="P104" s="52">
        <v>1</v>
      </c>
      <c r="Q104" s="52">
        <v>0</v>
      </c>
      <c r="R104" s="52">
        <v>0</v>
      </c>
      <c r="T104" s="27">
        <v>3</v>
      </c>
      <c r="U104" s="51">
        <v>3</v>
      </c>
      <c r="V104" s="51">
        <v>0</v>
      </c>
      <c r="W104" s="51">
        <v>0</v>
      </c>
      <c r="Y104" s="52">
        <v>1</v>
      </c>
      <c r="Z104" s="52">
        <v>0</v>
      </c>
      <c r="AA104" s="52">
        <v>0</v>
      </c>
      <c r="AD104" s="27">
        <v>0</v>
      </c>
      <c r="AE104" s="51">
        <v>0</v>
      </c>
      <c r="AF104" s="51">
        <v>0</v>
      </c>
      <c r="AG104" s="51">
        <v>0</v>
      </c>
      <c r="AI104" s="52">
        <v>0</v>
      </c>
      <c r="AJ104" s="52">
        <v>0</v>
      </c>
      <c r="AK104" s="52">
        <v>0</v>
      </c>
      <c r="AM104" s="27">
        <v>0</v>
      </c>
      <c r="AN104" s="51">
        <v>0</v>
      </c>
      <c r="AO104" s="51">
        <v>0</v>
      </c>
      <c r="AP104" s="51">
        <v>0</v>
      </c>
      <c r="AR104" s="52">
        <v>0</v>
      </c>
      <c r="AS104" s="52">
        <v>0</v>
      </c>
      <c r="AT104" s="52">
        <v>0</v>
      </c>
      <c r="AV104" s="27">
        <v>0</v>
      </c>
      <c r="AW104" s="51">
        <v>0</v>
      </c>
      <c r="AX104" s="51">
        <v>0</v>
      </c>
      <c r="AY104" s="51">
        <v>0</v>
      </c>
      <c r="BA104" s="52">
        <v>0</v>
      </c>
      <c r="BB104" s="52">
        <v>0</v>
      </c>
      <c r="BC104" s="52">
        <v>0</v>
      </c>
    </row>
    <row r="105" spans="1:55" s="51" customFormat="1" x14ac:dyDescent="0.2">
      <c r="A105" s="50" t="s">
        <v>80</v>
      </c>
      <c r="B105" s="27">
        <v>0</v>
      </c>
      <c r="C105" s="51">
        <v>0</v>
      </c>
      <c r="D105" s="51">
        <v>0</v>
      </c>
      <c r="E105" s="51">
        <v>0</v>
      </c>
      <c r="G105" s="52">
        <v>0</v>
      </c>
      <c r="H105" s="52">
        <v>0</v>
      </c>
      <c r="I105" s="52">
        <v>0</v>
      </c>
      <c r="K105" s="27">
        <v>1771</v>
      </c>
      <c r="L105" s="51">
        <v>134</v>
      </c>
      <c r="M105" s="51">
        <v>858</v>
      </c>
      <c r="N105" s="51">
        <v>779</v>
      </c>
      <c r="P105" s="52">
        <v>7.5663466967814799E-2</v>
      </c>
      <c r="Q105" s="52">
        <v>0.48447204968944102</v>
      </c>
      <c r="R105" s="52">
        <v>0.43986448334274419</v>
      </c>
      <c r="T105" s="27">
        <v>1548</v>
      </c>
      <c r="U105" s="51">
        <v>1548</v>
      </c>
      <c r="V105" s="51">
        <v>0</v>
      </c>
      <c r="W105" s="51">
        <v>0</v>
      </c>
      <c r="Y105" s="52">
        <v>1</v>
      </c>
      <c r="Z105" s="52">
        <v>0</v>
      </c>
      <c r="AA105" s="52">
        <v>0</v>
      </c>
      <c r="AD105" s="27">
        <v>0</v>
      </c>
      <c r="AE105" s="51">
        <v>0</v>
      </c>
      <c r="AF105" s="51">
        <v>0</v>
      </c>
      <c r="AG105" s="51">
        <v>0</v>
      </c>
      <c r="AI105" s="52">
        <v>0</v>
      </c>
      <c r="AJ105" s="52">
        <v>0</v>
      </c>
      <c r="AK105" s="52">
        <v>0</v>
      </c>
      <c r="AM105" s="27">
        <v>0</v>
      </c>
      <c r="AN105" s="51">
        <v>0</v>
      </c>
      <c r="AO105" s="51">
        <v>0</v>
      </c>
      <c r="AP105" s="51">
        <v>0</v>
      </c>
      <c r="AR105" s="52">
        <v>0</v>
      </c>
      <c r="AS105" s="52">
        <v>0</v>
      </c>
      <c r="AT105" s="52">
        <v>0</v>
      </c>
      <c r="AV105" s="27">
        <v>0</v>
      </c>
      <c r="AW105" s="51">
        <v>0</v>
      </c>
      <c r="AX105" s="51">
        <v>0</v>
      </c>
      <c r="AY105" s="51">
        <v>0</v>
      </c>
      <c r="BA105" s="52">
        <v>0</v>
      </c>
      <c r="BB105" s="52">
        <v>0</v>
      </c>
      <c r="BC105" s="52">
        <v>0</v>
      </c>
    </row>
    <row r="106" spans="1:55" s="51" customFormat="1" x14ac:dyDescent="0.2">
      <c r="A106" s="50" t="s">
        <v>33</v>
      </c>
      <c r="B106" s="27">
        <v>628</v>
      </c>
      <c r="C106" s="51">
        <v>628</v>
      </c>
      <c r="D106" s="51">
        <v>0</v>
      </c>
      <c r="E106" s="51">
        <v>0</v>
      </c>
      <c r="G106" s="52">
        <v>1</v>
      </c>
      <c r="H106" s="52">
        <v>0</v>
      </c>
      <c r="I106" s="52">
        <v>0</v>
      </c>
      <c r="K106" s="27">
        <v>2</v>
      </c>
      <c r="L106" s="51">
        <v>2</v>
      </c>
      <c r="M106" s="51">
        <v>0</v>
      </c>
      <c r="N106" s="51">
        <v>0</v>
      </c>
      <c r="P106" s="52">
        <v>1</v>
      </c>
      <c r="Q106" s="52">
        <v>0</v>
      </c>
      <c r="R106" s="52">
        <v>0</v>
      </c>
      <c r="T106" s="27">
        <v>2</v>
      </c>
      <c r="U106" s="51">
        <v>2</v>
      </c>
      <c r="V106" s="51">
        <v>0</v>
      </c>
      <c r="W106" s="51">
        <v>0</v>
      </c>
      <c r="Y106" s="52">
        <v>1</v>
      </c>
      <c r="Z106" s="52">
        <v>0</v>
      </c>
      <c r="AA106" s="52">
        <v>0</v>
      </c>
      <c r="AD106" s="27">
        <v>0</v>
      </c>
      <c r="AE106" s="51">
        <v>0</v>
      </c>
      <c r="AF106" s="51">
        <v>0</v>
      </c>
      <c r="AG106" s="51">
        <v>0</v>
      </c>
      <c r="AI106" s="52">
        <v>0</v>
      </c>
      <c r="AJ106" s="52">
        <v>0</v>
      </c>
      <c r="AK106" s="52">
        <v>0</v>
      </c>
      <c r="AM106" s="27">
        <v>0</v>
      </c>
      <c r="AN106" s="51">
        <v>0</v>
      </c>
      <c r="AO106" s="51">
        <v>0</v>
      </c>
      <c r="AP106" s="51">
        <v>0</v>
      </c>
      <c r="AR106" s="52">
        <v>0</v>
      </c>
      <c r="AS106" s="52">
        <v>0</v>
      </c>
      <c r="AT106" s="52">
        <v>0</v>
      </c>
      <c r="AV106" s="27">
        <v>0</v>
      </c>
      <c r="AW106" s="51">
        <v>0</v>
      </c>
      <c r="AX106" s="51">
        <v>0</v>
      </c>
      <c r="AY106" s="51">
        <v>0</v>
      </c>
      <c r="BA106" s="52">
        <v>0</v>
      </c>
      <c r="BB106" s="52">
        <v>0</v>
      </c>
      <c r="BC106" s="52">
        <v>0</v>
      </c>
    </row>
    <row r="107" spans="1:55" s="51" customFormat="1" x14ac:dyDescent="0.2">
      <c r="A107" s="50" t="s">
        <v>34</v>
      </c>
      <c r="B107" s="27">
        <v>1627</v>
      </c>
      <c r="C107" s="51">
        <v>1627</v>
      </c>
      <c r="D107" s="51">
        <v>0</v>
      </c>
      <c r="E107" s="51">
        <v>0</v>
      </c>
      <c r="G107" s="52">
        <v>1</v>
      </c>
      <c r="H107" s="52">
        <v>0</v>
      </c>
      <c r="I107" s="52">
        <v>0</v>
      </c>
      <c r="K107" s="27">
        <v>9</v>
      </c>
      <c r="L107" s="51">
        <v>9</v>
      </c>
      <c r="M107" s="51">
        <v>0</v>
      </c>
      <c r="N107" s="51">
        <v>0</v>
      </c>
      <c r="P107" s="52">
        <v>1</v>
      </c>
      <c r="Q107" s="52">
        <v>0</v>
      </c>
      <c r="R107" s="52">
        <v>0</v>
      </c>
      <c r="T107" s="27">
        <v>11</v>
      </c>
      <c r="U107" s="51">
        <v>11</v>
      </c>
      <c r="V107" s="51">
        <v>0</v>
      </c>
      <c r="W107" s="51">
        <v>0</v>
      </c>
      <c r="Y107" s="52">
        <v>1</v>
      </c>
      <c r="Z107" s="52">
        <v>0</v>
      </c>
      <c r="AA107" s="52">
        <v>0</v>
      </c>
      <c r="AD107" s="27">
        <v>0</v>
      </c>
      <c r="AE107" s="51">
        <v>0</v>
      </c>
      <c r="AF107" s="51">
        <v>0</v>
      </c>
      <c r="AG107" s="51">
        <v>0</v>
      </c>
      <c r="AI107" s="52">
        <v>0</v>
      </c>
      <c r="AJ107" s="52">
        <v>0</v>
      </c>
      <c r="AK107" s="52">
        <v>0</v>
      </c>
      <c r="AM107" s="27">
        <v>0</v>
      </c>
      <c r="AN107" s="51">
        <v>0</v>
      </c>
      <c r="AO107" s="51">
        <v>0</v>
      </c>
      <c r="AP107" s="51">
        <v>0</v>
      </c>
      <c r="AR107" s="52">
        <v>0</v>
      </c>
      <c r="AS107" s="52">
        <v>0</v>
      </c>
      <c r="AT107" s="52">
        <v>0</v>
      </c>
      <c r="AV107" s="27">
        <v>0</v>
      </c>
      <c r="AW107" s="51">
        <v>0</v>
      </c>
      <c r="AX107" s="51">
        <v>0</v>
      </c>
      <c r="AY107" s="51">
        <v>0</v>
      </c>
      <c r="BA107" s="52">
        <v>0</v>
      </c>
      <c r="BB107" s="52">
        <v>0</v>
      </c>
      <c r="BC107" s="52">
        <v>0</v>
      </c>
    </row>
    <row r="108" spans="1:55" s="51" customFormat="1" x14ac:dyDescent="0.2">
      <c r="A108" s="50" t="s">
        <v>166</v>
      </c>
      <c r="B108" s="27">
        <v>42</v>
      </c>
      <c r="C108" s="51">
        <v>42</v>
      </c>
      <c r="D108" s="51">
        <v>0</v>
      </c>
      <c r="E108" s="51">
        <v>0</v>
      </c>
      <c r="G108" s="52">
        <v>1</v>
      </c>
      <c r="H108" s="52">
        <v>0</v>
      </c>
      <c r="I108" s="52">
        <v>0</v>
      </c>
      <c r="K108" s="27">
        <v>25</v>
      </c>
      <c r="L108" s="51">
        <v>25</v>
      </c>
      <c r="M108" s="51">
        <v>0</v>
      </c>
      <c r="N108" s="51">
        <v>0</v>
      </c>
      <c r="P108" s="52">
        <v>1</v>
      </c>
      <c r="Q108" s="52">
        <v>0</v>
      </c>
      <c r="R108" s="52">
        <v>0</v>
      </c>
      <c r="T108" s="27">
        <v>0</v>
      </c>
      <c r="U108" s="51">
        <v>0</v>
      </c>
      <c r="V108" s="51">
        <v>0</v>
      </c>
      <c r="W108" s="51">
        <v>0</v>
      </c>
      <c r="Y108" s="52">
        <v>0</v>
      </c>
      <c r="Z108" s="52">
        <v>0</v>
      </c>
      <c r="AA108" s="52">
        <v>0</v>
      </c>
      <c r="AD108" s="27">
        <v>0</v>
      </c>
      <c r="AE108" s="51">
        <v>0</v>
      </c>
      <c r="AF108" s="51">
        <v>0</v>
      </c>
      <c r="AG108" s="51">
        <v>0</v>
      </c>
      <c r="AI108" s="52">
        <v>0</v>
      </c>
      <c r="AJ108" s="52">
        <v>0</v>
      </c>
      <c r="AK108" s="52">
        <v>0</v>
      </c>
      <c r="AM108" s="27">
        <v>0</v>
      </c>
      <c r="AN108" s="51">
        <v>0</v>
      </c>
      <c r="AO108" s="51">
        <v>0</v>
      </c>
      <c r="AP108" s="51">
        <v>0</v>
      </c>
      <c r="AR108" s="52">
        <v>0</v>
      </c>
      <c r="AS108" s="52">
        <v>0</v>
      </c>
      <c r="AT108" s="52">
        <v>0</v>
      </c>
      <c r="AV108" s="27">
        <v>0</v>
      </c>
      <c r="AW108" s="51">
        <v>0</v>
      </c>
      <c r="AX108" s="51">
        <v>0</v>
      </c>
      <c r="AY108" s="51">
        <v>0</v>
      </c>
      <c r="BA108" s="52">
        <v>0</v>
      </c>
      <c r="BB108" s="52">
        <v>0</v>
      </c>
      <c r="BC108" s="52">
        <v>0</v>
      </c>
    </row>
    <row r="109" spans="1:55" s="51" customFormat="1" x14ac:dyDescent="0.2">
      <c r="A109" s="50" t="s">
        <v>172</v>
      </c>
      <c r="B109" s="27">
        <v>2</v>
      </c>
      <c r="C109" s="51">
        <v>2</v>
      </c>
      <c r="D109" s="51">
        <v>0</v>
      </c>
      <c r="E109" s="51">
        <v>0</v>
      </c>
      <c r="G109" s="52">
        <v>1</v>
      </c>
      <c r="H109" s="52">
        <v>0</v>
      </c>
      <c r="I109" s="52">
        <v>0</v>
      </c>
      <c r="K109" s="27">
        <v>0</v>
      </c>
      <c r="L109" s="51">
        <v>0</v>
      </c>
      <c r="M109" s="51">
        <v>0</v>
      </c>
      <c r="N109" s="51">
        <v>0</v>
      </c>
      <c r="P109" s="52">
        <v>0</v>
      </c>
      <c r="Q109" s="52">
        <v>0</v>
      </c>
      <c r="R109" s="52">
        <v>0</v>
      </c>
      <c r="T109" s="27">
        <v>0</v>
      </c>
      <c r="U109" s="51">
        <v>0</v>
      </c>
      <c r="V109" s="51">
        <v>0</v>
      </c>
      <c r="W109" s="51">
        <v>0</v>
      </c>
      <c r="Y109" s="52">
        <v>0</v>
      </c>
      <c r="Z109" s="52">
        <v>0</v>
      </c>
      <c r="AA109" s="52">
        <v>0</v>
      </c>
      <c r="AD109" s="27">
        <v>0</v>
      </c>
      <c r="AE109" s="51">
        <v>0</v>
      </c>
      <c r="AF109" s="51">
        <v>0</v>
      </c>
      <c r="AG109" s="51">
        <v>0</v>
      </c>
      <c r="AI109" s="52">
        <v>0</v>
      </c>
      <c r="AJ109" s="52">
        <v>0</v>
      </c>
      <c r="AK109" s="52">
        <v>0</v>
      </c>
      <c r="AM109" s="27">
        <v>0</v>
      </c>
      <c r="AN109" s="51">
        <v>0</v>
      </c>
      <c r="AO109" s="51">
        <v>0</v>
      </c>
      <c r="AP109" s="51">
        <v>0</v>
      </c>
      <c r="AR109" s="52">
        <v>0</v>
      </c>
      <c r="AS109" s="52">
        <v>0</v>
      </c>
      <c r="AT109" s="52">
        <v>0</v>
      </c>
      <c r="AV109" s="27">
        <v>0</v>
      </c>
      <c r="AW109" s="51">
        <v>0</v>
      </c>
      <c r="AX109" s="51">
        <v>0</v>
      </c>
      <c r="AY109" s="51">
        <v>0</v>
      </c>
      <c r="BA109" s="52">
        <v>0</v>
      </c>
      <c r="BB109" s="52">
        <v>0</v>
      </c>
      <c r="BC109" s="52">
        <v>0</v>
      </c>
    </row>
    <row r="110" spans="1:55" s="51" customFormat="1" x14ac:dyDescent="0.2">
      <c r="A110" s="50" t="s">
        <v>85</v>
      </c>
      <c r="B110" s="27">
        <v>0</v>
      </c>
      <c r="C110" s="51">
        <v>0</v>
      </c>
      <c r="D110" s="51">
        <v>0</v>
      </c>
      <c r="E110" s="51">
        <v>0</v>
      </c>
      <c r="G110" s="52">
        <v>0</v>
      </c>
      <c r="H110" s="52">
        <v>0</v>
      </c>
      <c r="I110" s="52">
        <v>0</v>
      </c>
      <c r="K110" s="27">
        <v>0</v>
      </c>
      <c r="L110" s="51">
        <v>0</v>
      </c>
      <c r="M110" s="51">
        <v>0</v>
      </c>
      <c r="N110" s="51">
        <v>0</v>
      </c>
      <c r="P110" s="52">
        <v>0</v>
      </c>
      <c r="Q110" s="52">
        <v>0</v>
      </c>
      <c r="R110" s="52">
        <v>0</v>
      </c>
      <c r="T110" s="27">
        <v>6</v>
      </c>
      <c r="U110" s="51">
        <v>6</v>
      </c>
      <c r="V110" s="51">
        <v>0</v>
      </c>
      <c r="W110" s="51">
        <v>0</v>
      </c>
      <c r="Y110" s="52">
        <v>1</v>
      </c>
      <c r="Z110" s="52">
        <v>0</v>
      </c>
      <c r="AA110" s="52">
        <v>0</v>
      </c>
      <c r="AD110" s="27">
        <v>0</v>
      </c>
      <c r="AE110" s="51">
        <v>0</v>
      </c>
      <c r="AF110" s="51">
        <v>0</v>
      </c>
      <c r="AG110" s="51">
        <v>0</v>
      </c>
      <c r="AI110" s="52">
        <v>0</v>
      </c>
      <c r="AJ110" s="52">
        <v>0</v>
      </c>
      <c r="AK110" s="52">
        <v>0</v>
      </c>
      <c r="AM110" s="27">
        <v>0</v>
      </c>
      <c r="AN110" s="51">
        <v>0</v>
      </c>
      <c r="AO110" s="51">
        <v>0</v>
      </c>
      <c r="AP110" s="51">
        <v>0</v>
      </c>
      <c r="AR110" s="52">
        <v>0</v>
      </c>
      <c r="AS110" s="52">
        <v>0</v>
      </c>
      <c r="AT110" s="52">
        <v>0</v>
      </c>
      <c r="AV110" s="27">
        <v>0</v>
      </c>
      <c r="AW110" s="51">
        <v>0</v>
      </c>
      <c r="AX110" s="51">
        <v>0</v>
      </c>
      <c r="AY110" s="51">
        <v>0</v>
      </c>
      <c r="BA110" s="52">
        <v>0</v>
      </c>
      <c r="BB110" s="52">
        <v>0</v>
      </c>
      <c r="BC110" s="52">
        <v>0</v>
      </c>
    </row>
    <row r="111" spans="1:55" s="51" customFormat="1" x14ac:dyDescent="0.2">
      <c r="A111" s="50" t="s">
        <v>36</v>
      </c>
      <c r="B111" s="27">
        <v>519</v>
      </c>
      <c r="C111" s="51">
        <v>519</v>
      </c>
      <c r="D111" s="51">
        <v>0</v>
      </c>
      <c r="E111" s="51">
        <v>0</v>
      </c>
      <c r="G111" s="52">
        <v>1</v>
      </c>
      <c r="H111" s="52">
        <v>0</v>
      </c>
      <c r="I111" s="52">
        <v>0</v>
      </c>
      <c r="K111" s="27">
        <v>89</v>
      </c>
      <c r="L111" s="51">
        <v>89</v>
      </c>
      <c r="M111" s="51">
        <v>0</v>
      </c>
      <c r="N111" s="51">
        <v>0</v>
      </c>
      <c r="P111" s="52">
        <v>1</v>
      </c>
      <c r="Q111" s="52">
        <v>0</v>
      </c>
      <c r="R111" s="52">
        <v>0</v>
      </c>
      <c r="T111" s="27">
        <v>1</v>
      </c>
      <c r="U111" s="51">
        <v>1</v>
      </c>
      <c r="V111" s="51">
        <v>0</v>
      </c>
      <c r="W111" s="51">
        <v>0</v>
      </c>
      <c r="Y111" s="52">
        <v>1</v>
      </c>
      <c r="Z111" s="52">
        <v>0</v>
      </c>
      <c r="AA111" s="52">
        <v>0</v>
      </c>
      <c r="AD111" s="27">
        <v>0</v>
      </c>
      <c r="AE111" s="51">
        <v>0</v>
      </c>
      <c r="AF111" s="51">
        <v>0</v>
      </c>
      <c r="AG111" s="51">
        <v>0</v>
      </c>
      <c r="AI111" s="52">
        <v>0</v>
      </c>
      <c r="AJ111" s="52">
        <v>0</v>
      </c>
      <c r="AK111" s="52">
        <v>0</v>
      </c>
      <c r="AM111" s="27">
        <v>0</v>
      </c>
      <c r="AN111" s="51">
        <v>0</v>
      </c>
      <c r="AO111" s="51">
        <v>0</v>
      </c>
      <c r="AP111" s="51">
        <v>0</v>
      </c>
      <c r="AR111" s="52">
        <v>0</v>
      </c>
      <c r="AS111" s="52">
        <v>0</v>
      </c>
      <c r="AT111" s="52">
        <v>0</v>
      </c>
      <c r="AV111" s="27">
        <v>0</v>
      </c>
      <c r="AW111" s="51">
        <v>0</v>
      </c>
      <c r="AX111" s="51">
        <v>0</v>
      </c>
      <c r="AY111" s="51">
        <v>0</v>
      </c>
      <c r="BA111" s="52">
        <v>0</v>
      </c>
      <c r="BB111" s="52">
        <v>0</v>
      </c>
      <c r="BC111" s="52">
        <v>0</v>
      </c>
    </row>
    <row r="112" spans="1:55" s="51" customFormat="1" x14ac:dyDescent="0.2">
      <c r="A112" s="50" t="s">
        <v>37</v>
      </c>
      <c r="B112" s="27">
        <v>0</v>
      </c>
      <c r="C112" s="51">
        <v>0</v>
      </c>
      <c r="D112" s="51">
        <v>0</v>
      </c>
      <c r="E112" s="51">
        <v>0</v>
      </c>
      <c r="G112" s="52">
        <v>0</v>
      </c>
      <c r="H112" s="52">
        <v>0</v>
      </c>
      <c r="I112" s="52">
        <v>0</v>
      </c>
      <c r="K112" s="27">
        <v>0</v>
      </c>
      <c r="L112" s="51">
        <v>0</v>
      </c>
      <c r="M112" s="51">
        <v>0</v>
      </c>
      <c r="N112" s="51">
        <v>0</v>
      </c>
      <c r="P112" s="52">
        <v>0</v>
      </c>
      <c r="Q112" s="52">
        <v>0</v>
      </c>
      <c r="R112" s="52">
        <v>0</v>
      </c>
      <c r="T112" s="27">
        <v>0</v>
      </c>
      <c r="U112" s="51">
        <v>0</v>
      </c>
      <c r="V112" s="51">
        <v>0</v>
      </c>
      <c r="W112" s="51">
        <v>0</v>
      </c>
      <c r="Y112" s="52">
        <v>0</v>
      </c>
      <c r="Z112" s="52">
        <v>0</v>
      </c>
      <c r="AA112" s="52">
        <v>0</v>
      </c>
      <c r="AD112" s="27">
        <v>0</v>
      </c>
      <c r="AE112" s="51">
        <v>0</v>
      </c>
      <c r="AF112" s="51">
        <v>0</v>
      </c>
      <c r="AG112" s="51">
        <v>0</v>
      </c>
      <c r="AI112" s="52">
        <v>0</v>
      </c>
      <c r="AJ112" s="52">
        <v>0</v>
      </c>
      <c r="AK112" s="52">
        <v>0</v>
      </c>
      <c r="AM112" s="27">
        <v>0</v>
      </c>
      <c r="AN112" s="51">
        <v>0</v>
      </c>
      <c r="AO112" s="51">
        <v>0</v>
      </c>
      <c r="AP112" s="51">
        <v>0</v>
      </c>
      <c r="AR112" s="52">
        <v>0</v>
      </c>
      <c r="AS112" s="52">
        <v>0</v>
      </c>
      <c r="AT112" s="52">
        <v>0</v>
      </c>
      <c r="AV112" s="27">
        <v>17</v>
      </c>
      <c r="AW112" s="51">
        <v>17</v>
      </c>
      <c r="AX112" s="51">
        <v>0</v>
      </c>
      <c r="AY112" s="51">
        <v>0</v>
      </c>
      <c r="BA112" s="52">
        <v>1</v>
      </c>
      <c r="BB112" s="52">
        <v>0</v>
      </c>
      <c r="BC112" s="52">
        <v>0</v>
      </c>
    </row>
    <row r="113" spans="1:55" s="51" customFormat="1" x14ac:dyDescent="0.2">
      <c r="A113" s="50" t="s">
        <v>86</v>
      </c>
      <c r="B113" s="27">
        <v>0</v>
      </c>
      <c r="C113" s="51">
        <v>0</v>
      </c>
      <c r="D113" s="51">
        <v>0</v>
      </c>
      <c r="E113" s="51">
        <v>0</v>
      </c>
      <c r="G113" s="52">
        <v>0</v>
      </c>
      <c r="H113" s="52">
        <v>0</v>
      </c>
      <c r="I113" s="52">
        <v>0</v>
      </c>
      <c r="K113" s="27">
        <v>0</v>
      </c>
      <c r="L113" s="51">
        <v>0</v>
      </c>
      <c r="M113" s="51">
        <v>0</v>
      </c>
      <c r="N113" s="51">
        <v>0</v>
      </c>
      <c r="P113" s="52">
        <v>0</v>
      </c>
      <c r="Q113" s="52">
        <v>0</v>
      </c>
      <c r="R113" s="52">
        <v>0</v>
      </c>
      <c r="T113" s="27">
        <v>2</v>
      </c>
      <c r="U113" s="51">
        <v>2</v>
      </c>
      <c r="V113" s="51">
        <v>0</v>
      </c>
      <c r="W113" s="51">
        <v>0</v>
      </c>
      <c r="Y113" s="52">
        <v>1</v>
      </c>
      <c r="Z113" s="52">
        <v>0</v>
      </c>
      <c r="AA113" s="52">
        <v>0</v>
      </c>
      <c r="AD113" s="27">
        <v>0</v>
      </c>
      <c r="AE113" s="51">
        <v>0</v>
      </c>
      <c r="AF113" s="51">
        <v>0</v>
      </c>
      <c r="AG113" s="51">
        <v>0</v>
      </c>
      <c r="AI113" s="52">
        <v>0</v>
      </c>
      <c r="AJ113" s="52">
        <v>0</v>
      </c>
      <c r="AK113" s="52">
        <v>0</v>
      </c>
      <c r="AM113" s="27">
        <v>0</v>
      </c>
      <c r="AN113" s="51">
        <v>0</v>
      </c>
      <c r="AO113" s="51">
        <v>0</v>
      </c>
      <c r="AP113" s="51">
        <v>0</v>
      </c>
      <c r="AR113" s="52">
        <v>0</v>
      </c>
      <c r="AS113" s="52">
        <v>0</v>
      </c>
      <c r="AT113" s="52">
        <v>0</v>
      </c>
      <c r="AV113" s="27">
        <v>0</v>
      </c>
      <c r="AW113" s="51">
        <v>0</v>
      </c>
      <c r="AX113" s="51">
        <v>0</v>
      </c>
      <c r="AY113" s="51">
        <v>0</v>
      </c>
      <c r="BA113" s="52">
        <v>0</v>
      </c>
      <c r="BB113" s="52">
        <v>0</v>
      </c>
      <c r="BC113" s="52">
        <v>0</v>
      </c>
    </row>
    <row r="114" spans="1:55" s="51" customFormat="1" x14ac:dyDescent="0.2">
      <c r="A114" s="50" t="s">
        <v>39</v>
      </c>
      <c r="B114" s="27">
        <v>2656</v>
      </c>
      <c r="C114" s="51">
        <v>2617</v>
      </c>
      <c r="D114" s="51">
        <v>39</v>
      </c>
      <c r="E114" s="51">
        <v>0</v>
      </c>
      <c r="G114" s="52">
        <v>0.98531626506024095</v>
      </c>
      <c r="H114" s="52">
        <v>1.4683734939759037E-2</v>
      </c>
      <c r="I114" s="52">
        <v>0</v>
      </c>
      <c r="K114" s="27">
        <v>10</v>
      </c>
      <c r="L114" s="51">
        <v>9</v>
      </c>
      <c r="M114" s="51">
        <v>1</v>
      </c>
      <c r="N114" s="51">
        <v>0</v>
      </c>
      <c r="P114" s="52">
        <v>0.9</v>
      </c>
      <c r="Q114" s="52">
        <v>0.1</v>
      </c>
      <c r="R114" s="52">
        <v>0</v>
      </c>
      <c r="T114" s="27">
        <v>0</v>
      </c>
      <c r="U114" s="51">
        <v>0</v>
      </c>
      <c r="V114" s="51">
        <v>0</v>
      </c>
      <c r="W114" s="51">
        <v>0</v>
      </c>
      <c r="Y114" s="52">
        <v>0</v>
      </c>
      <c r="Z114" s="52">
        <v>0</v>
      </c>
      <c r="AA114" s="52">
        <v>0</v>
      </c>
      <c r="AD114" s="27">
        <v>0</v>
      </c>
      <c r="AE114" s="51">
        <v>0</v>
      </c>
      <c r="AF114" s="51">
        <v>0</v>
      </c>
      <c r="AG114" s="51">
        <v>0</v>
      </c>
      <c r="AI114" s="52">
        <v>0</v>
      </c>
      <c r="AJ114" s="52">
        <v>0</v>
      </c>
      <c r="AK114" s="52">
        <v>0</v>
      </c>
      <c r="AM114" s="27">
        <v>0</v>
      </c>
      <c r="AN114" s="51">
        <v>0</v>
      </c>
      <c r="AO114" s="51">
        <v>0</v>
      </c>
      <c r="AP114" s="51">
        <v>0</v>
      </c>
      <c r="AR114" s="52">
        <v>0</v>
      </c>
      <c r="AS114" s="52">
        <v>0</v>
      </c>
      <c r="AT114" s="52">
        <v>0</v>
      </c>
      <c r="AV114" s="27">
        <v>0</v>
      </c>
      <c r="AW114" s="51">
        <v>0</v>
      </c>
      <c r="AX114" s="51">
        <v>0</v>
      </c>
      <c r="AY114" s="51">
        <v>0</v>
      </c>
      <c r="BA114" s="52">
        <v>0</v>
      </c>
      <c r="BB114" s="52">
        <v>0</v>
      </c>
      <c r="BC114" s="52">
        <v>0</v>
      </c>
    </row>
    <row r="115" spans="1:55" s="51" customFormat="1" x14ac:dyDescent="0.2">
      <c r="A115" s="50" t="s">
        <v>40</v>
      </c>
      <c r="B115" s="27">
        <v>19790</v>
      </c>
      <c r="C115" s="51">
        <v>19761</v>
      </c>
      <c r="D115" s="51">
        <v>3</v>
      </c>
      <c r="E115" s="51">
        <v>26</v>
      </c>
      <c r="G115" s="52">
        <v>0.99853461344113192</v>
      </c>
      <c r="H115" s="52">
        <v>1.5159171298635674E-4</v>
      </c>
      <c r="I115" s="52">
        <v>1.3137948458817584E-3</v>
      </c>
      <c r="K115" s="27">
        <v>5439</v>
      </c>
      <c r="L115" s="51">
        <v>5334</v>
      </c>
      <c r="M115" s="51">
        <v>2</v>
      </c>
      <c r="N115" s="51">
        <v>103</v>
      </c>
      <c r="P115" s="52">
        <v>0.98069498069498073</v>
      </c>
      <c r="Q115" s="52">
        <v>3.6771465342893915E-4</v>
      </c>
      <c r="R115" s="52">
        <v>1.8937304651590367E-2</v>
      </c>
      <c r="T115" s="27">
        <v>2152</v>
      </c>
      <c r="U115" s="51">
        <v>2152</v>
      </c>
      <c r="V115" s="51">
        <v>0</v>
      </c>
      <c r="W115" s="51">
        <v>0</v>
      </c>
      <c r="Y115" s="52">
        <v>1</v>
      </c>
      <c r="Z115" s="52">
        <v>0</v>
      </c>
      <c r="AA115" s="52">
        <v>0</v>
      </c>
      <c r="AD115" s="27">
        <v>0</v>
      </c>
      <c r="AE115" s="51">
        <v>0</v>
      </c>
      <c r="AF115" s="51">
        <v>0</v>
      </c>
      <c r="AG115" s="51">
        <v>0</v>
      </c>
      <c r="AI115" s="52">
        <v>0</v>
      </c>
      <c r="AJ115" s="52">
        <v>0</v>
      </c>
      <c r="AK115" s="52">
        <v>0</v>
      </c>
      <c r="AM115" s="27">
        <v>0</v>
      </c>
      <c r="AN115" s="51">
        <v>0</v>
      </c>
      <c r="AO115" s="51">
        <v>0</v>
      </c>
      <c r="AP115" s="51">
        <v>0</v>
      </c>
      <c r="AR115" s="52">
        <v>0</v>
      </c>
      <c r="AS115" s="52">
        <v>0</v>
      </c>
      <c r="AT115" s="52">
        <v>0</v>
      </c>
      <c r="AV115" s="27">
        <v>0</v>
      </c>
      <c r="AW115" s="51">
        <v>0</v>
      </c>
      <c r="AX115" s="51">
        <v>0</v>
      </c>
      <c r="AY115" s="51">
        <v>0</v>
      </c>
      <c r="BA115" s="52">
        <v>0</v>
      </c>
      <c r="BB115" s="52">
        <v>0</v>
      </c>
      <c r="BC115" s="52">
        <v>0</v>
      </c>
    </row>
    <row r="116" spans="1:55" s="51" customFormat="1" x14ac:dyDescent="0.2">
      <c r="A116" s="50" t="s">
        <v>41</v>
      </c>
      <c r="B116" s="27">
        <v>81</v>
      </c>
      <c r="C116" s="51">
        <v>78</v>
      </c>
      <c r="D116" s="51">
        <v>2</v>
      </c>
      <c r="E116" s="51">
        <v>1</v>
      </c>
      <c r="G116" s="52">
        <v>0.96296296296296291</v>
      </c>
      <c r="H116" s="52">
        <v>2.4691358024691357E-2</v>
      </c>
      <c r="I116" s="52">
        <v>1.2345679012345678E-2</v>
      </c>
      <c r="K116" s="27">
        <v>6081</v>
      </c>
      <c r="L116" s="51">
        <v>5769</v>
      </c>
      <c r="M116" s="51">
        <v>202</v>
      </c>
      <c r="N116" s="51">
        <v>110</v>
      </c>
      <c r="P116" s="52">
        <v>0.94869264923532315</v>
      </c>
      <c r="Q116" s="52">
        <v>3.3218220687386946E-2</v>
      </c>
      <c r="R116" s="52">
        <v>1.8089130077289919E-2</v>
      </c>
      <c r="T116" s="27">
        <v>385</v>
      </c>
      <c r="U116" s="51">
        <v>384</v>
      </c>
      <c r="V116" s="51">
        <v>1</v>
      </c>
      <c r="W116" s="51">
        <v>0</v>
      </c>
      <c r="Y116" s="52">
        <v>0.9974025974025974</v>
      </c>
      <c r="Z116" s="52">
        <v>2.5974025974025974E-3</v>
      </c>
      <c r="AA116" s="52">
        <v>0</v>
      </c>
      <c r="AD116" s="27">
        <v>0</v>
      </c>
      <c r="AE116" s="51">
        <v>0</v>
      </c>
      <c r="AF116" s="51">
        <v>0</v>
      </c>
      <c r="AG116" s="51">
        <v>0</v>
      </c>
      <c r="AI116" s="52">
        <v>0</v>
      </c>
      <c r="AJ116" s="52">
        <v>0</v>
      </c>
      <c r="AK116" s="52">
        <v>0</v>
      </c>
      <c r="AM116" s="27">
        <v>0</v>
      </c>
      <c r="AN116" s="51">
        <v>0</v>
      </c>
      <c r="AO116" s="51">
        <v>0</v>
      </c>
      <c r="AP116" s="51">
        <v>0</v>
      </c>
      <c r="AR116" s="52">
        <v>0</v>
      </c>
      <c r="AS116" s="52">
        <v>0</v>
      </c>
      <c r="AT116" s="52">
        <v>0</v>
      </c>
      <c r="AV116" s="27">
        <v>0</v>
      </c>
      <c r="AW116" s="51">
        <v>0</v>
      </c>
      <c r="AX116" s="51">
        <v>0</v>
      </c>
      <c r="AY116" s="51">
        <v>0</v>
      </c>
      <c r="BA116" s="52">
        <v>0</v>
      </c>
      <c r="BB116" s="52">
        <v>0</v>
      </c>
      <c r="BC116" s="52">
        <v>0</v>
      </c>
    </row>
    <row r="117" spans="1:55" s="51" customFormat="1" x14ac:dyDescent="0.2">
      <c r="A117" s="50" t="s">
        <v>42</v>
      </c>
      <c r="B117" s="27">
        <v>5316</v>
      </c>
      <c r="C117" s="51">
        <v>5316</v>
      </c>
      <c r="D117" s="51">
        <v>0</v>
      </c>
      <c r="E117" s="51">
        <v>0</v>
      </c>
      <c r="G117" s="52">
        <v>1</v>
      </c>
      <c r="H117" s="52">
        <v>0</v>
      </c>
      <c r="I117" s="52">
        <v>0</v>
      </c>
      <c r="K117" s="27">
        <v>483</v>
      </c>
      <c r="L117" s="51">
        <v>483</v>
      </c>
      <c r="M117" s="51">
        <v>0</v>
      </c>
      <c r="N117" s="51">
        <v>0</v>
      </c>
      <c r="P117" s="52">
        <v>1</v>
      </c>
      <c r="Q117" s="52">
        <v>0</v>
      </c>
      <c r="R117" s="52">
        <v>0</v>
      </c>
      <c r="T117" s="27">
        <v>0</v>
      </c>
      <c r="U117" s="51">
        <v>0</v>
      </c>
      <c r="V117" s="51">
        <v>0</v>
      </c>
      <c r="W117" s="51">
        <v>0</v>
      </c>
      <c r="Y117" s="52">
        <v>0</v>
      </c>
      <c r="Z117" s="52">
        <v>0</v>
      </c>
      <c r="AA117" s="52">
        <v>0</v>
      </c>
      <c r="AD117" s="27">
        <v>0</v>
      </c>
      <c r="AE117" s="51">
        <v>0</v>
      </c>
      <c r="AF117" s="51">
        <v>0</v>
      </c>
      <c r="AG117" s="51">
        <v>0</v>
      </c>
      <c r="AI117" s="52">
        <v>0</v>
      </c>
      <c r="AJ117" s="52">
        <v>0</v>
      </c>
      <c r="AK117" s="52">
        <v>0</v>
      </c>
      <c r="AM117" s="27">
        <v>0</v>
      </c>
      <c r="AN117" s="51">
        <v>0</v>
      </c>
      <c r="AO117" s="51">
        <v>0</v>
      </c>
      <c r="AP117" s="51">
        <v>0</v>
      </c>
      <c r="AR117" s="52">
        <v>0</v>
      </c>
      <c r="AS117" s="52">
        <v>0</v>
      </c>
      <c r="AT117" s="52">
        <v>0</v>
      </c>
      <c r="AV117" s="27">
        <v>0</v>
      </c>
      <c r="AW117" s="51">
        <v>0</v>
      </c>
      <c r="AX117" s="51">
        <v>0</v>
      </c>
      <c r="AY117" s="51">
        <v>0</v>
      </c>
      <c r="BA117" s="52">
        <v>0</v>
      </c>
      <c r="BB117" s="52">
        <v>0</v>
      </c>
      <c r="BC117" s="52">
        <v>0</v>
      </c>
    </row>
    <row r="118" spans="1:55" s="51" customFormat="1" x14ac:dyDescent="0.2">
      <c r="A118" s="50" t="s">
        <v>43</v>
      </c>
      <c r="B118" s="27">
        <v>996938</v>
      </c>
      <c r="C118" s="51">
        <v>798878</v>
      </c>
      <c r="D118" s="51">
        <v>193989</v>
      </c>
      <c r="E118" s="51">
        <v>4071</v>
      </c>
      <c r="G118" s="52">
        <v>0.80133167759680135</v>
      </c>
      <c r="H118" s="52">
        <v>0.19458481871490504</v>
      </c>
      <c r="I118" s="52">
        <v>4.0835036882935546E-3</v>
      </c>
      <c r="K118" s="27">
        <v>124301</v>
      </c>
      <c r="L118" s="51">
        <v>88029</v>
      </c>
      <c r="M118" s="51">
        <v>34242</v>
      </c>
      <c r="N118" s="51">
        <v>2030</v>
      </c>
      <c r="P118" s="52">
        <v>0.7081922108430343</v>
      </c>
      <c r="Q118" s="52">
        <v>0.27547646438886253</v>
      </c>
      <c r="R118" s="52">
        <v>1.6331324768103232E-2</v>
      </c>
      <c r="T118" s="27">
        <v>10569</v>
      </c>
      <c r="U118" s="51">
        <v>10261</v>
      </c>
      <c r="V118" s="51">
        <v>301</v>
      </c>
      <c r="W118" s="51">
        <v>7</v>
      </c>
      <c r="Y118" s="52">
        <v>0.97085817012016273</v>
      </c>
      <c r="Z118" s="52">
        <v>2.8479515564386413E-2</v>
      </c>
      <c r="AA118" s="52">
        <v>6.6231431545084687E-4</v>
      </c>
      <c r="AD118" s="27">
        <v>284271</v>
      </c>
      <c r="AE118" s="51">
        <v>257276</v>
      </c>
      <c r="AF118" s="51">
        <v>20853</v>
      </c>
      <c r="AG118" s="51">
        <v>6142</v>
      </c>
      <c r="AI118" s="52">
        <v>0.90503779843881371</v>
      </c>
      <c r="AJ118" s="52">
        <v>7.3356058127631726E-2</v>
      </c>
      <c r="AK118" s="52">
        <v>2.16061434335546E-2</v>
      </c>
      <c r="AM118" s="27">
        <v>22529</v>
      </c>
      <c r="AN118" s="51">
        <v>18677</v>
      </c>
      <c r="AO118" s="51">
        <v>2701</v>
      </c>
      <c r="AP118" s="51">
        <v>1151</v>
      </c>
      <c r="AR118" s="52">
        <v>0.82902037374051218</v>
      </c>
      <c r="AS118" s="52">
        <v>0.11988991965910605</v>
      </c>
      <c r="AT118" s="52">
        <v>5.1089706600381729E-2</v>
      </c>
      <c r="AV118" s="27">
        <v>1160</v>
      </c>
      <c r="AW118" s="51">
        <v>1105</v>
      </c>
      <c r="AX118" s="51">
        <v>47</v>
      </c>
      <c r="AY118" s="51">
        <v>8</v>
      </c>
      <c r="BA118" s="52">
        <v>0.95258620689655171</v>
      </c>
      <c r="BB118" s="52">
        <v>4.0517241379310343E-2</v>
      </c>
      <c r="BC118" s="52">
        <v>6.8965517241379309E-3</v>
      </c>
    </row>
    <row r="119" spans="1:55" s="51" customFormat="1" x14ac:dyDescent="0.2">
      <c r="A119" s="50" t="s">
        <v>44</v>
      </c>
      <c r="B119" s="27">
        <v>362</v>
      </c>
      <c r="C119" s="51">
        <v>360</v>
      </c>
      <c r="D119" s="51">
        <v>2</v>
      </c>
      <c r="E119" s="51">
        <v>0</v>
      </c>
      <c r="G119" s="52">
        <v>0.99447513812154698</v>
      </c>
      <c r="H119" s="52">
        <v>5.5248618784530384E-3</v>
      </c>
      <c r="I119" s="52">
        <v>0</v>
      </c>
      <c r="K119" s="27">
        <v>6</v>
      </c>
      <c r="L119" s="51">
        <v>5</v>
      </c>
      <c r="M119" s="51">
        <v>1</v>
      </c>
      <c r="N119" s="51">
        <v>0</v>
      </c>
      <c r="P119" s="52">
        <v>0.83333333333333337</v>
      </c>
      <c r="Q119" s="52">
        <v>0.16666666666666666</v>
      </c>
      <c r="R119" s="52">
        <v>0</v>
      </c>
      <c r="T119" s="27">
        <v>2</v>
      </c>
      <c r="U119" s="51">
        <v>2</v>
      </c>
      <c r="V119" s="51">
        <v>0</v>
      </c>
      <c r="W119" s="51">
        <v>0</v>
      </c>
      <c r="Y119" s="52">
        <v>1</v>
      </c>
      <c r="Z119" s="52">
        <v>0</v>
      </c>
      <c r="AA119" s="52">
        <v>0</v>
      </c>
      <c r="AD119" s="27">
        <v>0</v>
      </c>
      <c r="AE119" s="51">
        <v>0</v>
      </c>
      <c r="AF119" s="51">
        <v>0</v>
      </c>
      <c r="AG119" s="51">
        <v>0</v>
      </c>
      <c r="AI119" s="52">
        <v>0</v>
      </c>
      <c r="AJ119" s="52">
        <v>0</v>
      </c>
      <c r="AK119" s="52">
        <v>0</v>
      </c>
      <c r="AM119" s="27">
        <v>0</v>
      </c>
      <c r="AN119" s="51">
        <v>0</v>
      </c>
      <c r="AO119" s="51">
        <v>0</v>
      </c>
      <c r="AP119" s="51">
        <v>0</v>
      </c>
      <c r="AR119" s="52">
        <v>0</v>
      </c>
      <c r="AS119" s="52">
        <v>0</v>
      </c>
      <c r="AT119" s="52">
        <v>0</v>
      </c>
      <c r="AV119" s="27">
        <v>0</v>
      </c>
      <c r="AW119" s="51">
        <v>0</v>
      </c>
      <c r="AX119" s="51">
        <v>0</v>
      </c>
      <c r="AY119" s="51">
        <v>0</v>
      </c>
      <c r="BA119" s="52">
        <v>0</v>
      </c>
      <c r="BB119" s="52">
        <v>0</v>
      </c>
      <c r="BC119" s="52">
        <v>0</v>
      </c>
    </row>
    <row r="120" spans="1:55" s="51" customFormat="1" x14ac:dyDescent="0.2">
      <c r="A120" s="50" t="s">
        <v>45</v>
      </c>
      <c r="B120" s="27">
        <v>1364</v>
      </c>
      <c r="C120" s="51">
        <v>1364</v>
      </c>
      <c r="D120" s="51">
        <v>0</v>
      </c>
      <c r="E120" s="51">
        <v>0</v>
      </c>
      <c r="G120" s="52">
        <v>1</v>
      </c>
      <c r="H120" s="52">
        <v>0</v>
      </c>
      <c r="I120" s="52">
        <v>0</v>
      </c>
      <c r="K120" s="27">
        <v>11</v>
      </c>
      <c r="L120" s="51">
        <v>11</v>
      </c>
      <c r="M120" s="51">
        <v>0</v>
      </c>
      <c r="N120" s="51">
        <v>0</v>
      </c>
      <c r="P120" s="52">
        <v>1</v>
      </c>
      <c r="Q120" s="52">
        <v>0</v>
      </c>
      <c r="R120" s="52">
        <v>0</v>
      </c>
      <c r="T120" s="27">
        <v>0</v>
      </c>
      <c r="U120" s="51">
        <v>0</v>
      </c>
      <c r="V120" s="51">
        <v>0</v>
      </c>
      <c r="W120" s="51">
        <v>0</v>
      </c>
      <c r="Y120" s="52">
        <v>0</v>
      </c>
      <c r="Z120" s="52">
        <v>0</v>
      </c>
      <c r="AA120" s="52">
        <v>0</v>
      </c>
      <c r="AD120" s="27">
        <v>0</v>
      </c>
      <c r="AE120" s="51">
        <v>0</v>
      </c>
      <c r="AF120" s="51">
        <v>0</v>
      </c>
      <c r="AG120" s="51">
        <v>0</v>
      </c>
      <c r="AI120" s="52">
        <v>0</v>
      </c>
      <c r="AJ120" s="52">
        <v>0</v>
      </c>
      <c r="AK120" s="52">
        <v>0</v>
      </c>
      <c r="AM120" s="27">
        <v>0</v>
      </c>
      <c r="AN120" s="51">
        <v>0</v>
      </c>
      <c r="AO120" s="51">
        <v>0</v>
      </c>
      <c r="AP120" s="51">
        <v>0</v>
      </c>
      <c r="AR120" s="52">
        <v>0</v>
      </c>
      <c r="AS120" s="52">
        <v>0</v>
      </c>
      <c r="AT120" s="52">
        <v>0</v>
      </c>
      <c r="AV120" s="27">
        <v>0</v>
      </c>
      <c r="AW120" s="51">
        <v>0</v>
      </c>
      <c r="AX120" s="51">
        <v>0</v>
      </c>
      <c r="AY120" s="51">
        <v>0</v>
      </c>
      <c r="BA120" s="52">
        <v>0</v>
      </c>
      <c r="BB120" s="52">
        <v>0</v>
      </c>
      <c r="BC120" s="52">
        <v>0</v>
      </c>
    </row>
    <row r="121" spans="1:55" s="51" customFormat="1" x14ac:dyDescent="0.2">
      <c r="A121" s="50" t="s">
        <v>46</v>
      </c>
      <c r="B121" s="27">
        <v>63</v>
      </c>
      <c r="C121" s="51">
        <v>63</v>
      </c>
      <c r="D121" s="51">
        <v>0</v>
      </c>
      <c r="E121" s="51">
        <v>0</v>
      </c>
      <c r="G121" s="52">
        <v>1</v>
      </c>
      <c r="H121" s="52">
        <v>0</v>
      </c>
      <c r="I121" s="52">
        <v>0</v>
      </c>
      <c r="K121" s="27">
        <v>9</v>
      </c>
      <c r="L121" s="51">
        <v>9</v>
      </c>
      <c r="M121" s="51">
        <v>0</v>
      </c>
      <c r="N121" s="51">
        <v>0</v>
      </c>
      <c r="P121" s="52">
        <v>1</v>
      </c>
      <c r="Q121" s="52">
        <v>0</v>
      </c>
      <c r="R121" s="52">
        <v>0</v>
      </c>
      <c r="T121" s="27">
        <v>0</v>
      </c>
      <c r="U121" s="51">
        <v>0</v>
      </c>
      <c r="V121" s="51">
        <v>0</v>
      </c>
      <c r="W121" s="51">
        <v>0</v>
      </c>
      <c r="Y121" s="52">
        <v>0</v>
      </c>
      <c r="Z121" s="52">
        <v>0</v>
      </c>
      <c r="AA121" s="52">
        <v>0</v>
      </c>
      <c r="AD121" s="27">
        <v>0</v>
      </c>
      <c r="AE121" s="51">
        <v>0</v>
      </c>
      <c r="AF121" s="51">
        <v>0</v>
      </c>
      <c r="AG121" s="51">
        <v>0</v>
      </c>
      <c r="AI121" s="52">
        <v>0</v>
      </c>
      <c r="AJ121" s="52">
        <v>0</v>
      </c>
      <c r="AK121" s="52">
        <v>0</v>
      </c>
      <c r="AM121" s="27">
        <v>0</v>
      </c>
      <c r="AN121" s="51">
        <v>0</v>
      </c>
      <c r="AO121" s="51">
        <v>0</v>
      </c>
      <c r="AP121" s="51">
        <v>0</v>
      </c>
      <c r="AR121" s="52">
        <v>0</v>
      </c>
      <c r="AS121" s="52">
        <v>0</v>
      </c>
      <c r="AT121" s="52">
        <v>0</v>
      </c>
      <c r="AV121" s="27">
        <v>0</v>
      </c>
      <c r="AW121" s="51">
        <v>0</v>
      </c>
      <c r="AX121" s="51">
        <v>0</v>
      </c>
      <c r="AY121" s="51">
        <v>0</v>
      </c>
      <c r="BA121" s="52">
        <v>0</v>
      </c>
      <c r="BB121" s="52">
        <v>0</v>
      </c>
      <c r="BC121" s="52">
        <v>0</v>
      </c>
    </row>
    <row r="122" spans="1:55" s="51" customFormat="1" x14ac:dyDescent="0.2">
      <c r="A122" s="50" t="s">
        <v>126</v>
      </c>
      <c r="B122" s="27">
        <v>18082</v>
      </c>
      <c r="C122" s="51">
        <v>17641</v>
      </c>
      <c r="D122" s="51">
        <v>357</v>
      </c>
      <c r="E122" s="51">
        <v>84</v>
      </c>
      <c r="G122" s="52">
        <v>0.9756111049662648</v>
      </c>
      <c r="H122" s="52">
        <v>1.9743391217785643E-2</v>
      </c>
      <c r="I122" s="52">
        <v>4.6455038159495627E-3</v>
      </c>
      <c r="K122" s="27">
        <v>3611</v>
      </c>
      <c r="L122" s="51">
        <v>3082</v>
      </c>
      <c r="M122" s="51">
        <v>369</v>
      </c>
      <c r="N122" s="51">
        <v>160</v>
      </c>
      <c r="P122" s="52">
        <v>0.85350318471337583</v>
      </c>
      <c r="Q122" s="52">
        <v>0.10218775962337302</v>
      </c>
      <c r="R122" s="52">
        <v>4.4309055663251176E-2</v>
      </c>
      <c r="T122" s="27">
        <v>86</v>
      </c>
      <c r="U122" s="51">
        <v>81</v>
      </c>
      <c r="V122" s="51">
        <v>5</v>
      </c>
      <c r="W122" s="51">
        <v>0</v>
      </c>
      <c r="Y122" s="52">
        <v>0.94186046511627908</v>
      </c>
      <c r="Z122" s="52">
        <v>5.8139534883720929E-2</v>
      </c>
      <c r="AA122" s="52">
        <v>0</v>
      </c>
      <c r="AD122" s="27">
        <v>0</v>
      </c>
      <c r="AE122" s="51">
        <v>0</v>
      </c>
      <c r="AF122" s="51">
        <v>0</v>
      </c>
      <c r="AG122" s="51">
        <v>0</v>
      </c>
      <c r="AI122" s="52">
        <v>0</v>
      </c>
      <c r="AJ122" s="52">
        <v>0</v>
      </c>
      <c r="AK122" s="52">
        <v>0</v>
      </c>
      <c r="AM122" s="27">
        <v>0</v>
      </c>
      <c r="AN122" s="51">
        <v>0</v>
      </c>
      <c r="AO122" s="51">
        <v>0</v>
      </c>
      <c r="AP122" s="51">
        <v>0</v>
      </c>
      <c r="AR122" s="52">
        <v>0</v>
      </c>
      <c r="AS122" s="52">
        <v>0</v>
      </c>
      <c r="AT122" s="52">
        <v>0</v>
      </c>
      <c r="AV122" s="27">
        <v>0</v>
      </c>
      <c r="AW122" s="51">
        <v>0</v>
      </c>
      <c r="AX122" s="51">
        <v>0</v>
      </c>
      <c r="AY122" s="51">
        <v>0</v>
      </c>
      <c r="BA122" s="52">
        <v>0</v>
      </c>
      <c r="BB122" s="52">
        <v>0</v>
      </c>
      <c r="BC122" s="52">
        <v>0</v>
      </c>
    </row>
    <row r="123" spans="1:55" s="51" customFormat="1" x14ac:dyDescent="0.2">
      <c r="A123" s="50" t="s">
        <v>48</v>
      </c>
      <c r="B123" s="27">
        <v>32675</v>
      </c>
      <c r="C123" s="51">
        <v>32079</v>
      </c>
      <c r="D123" s="51">
        <v>0</v>
      </c>
      <c r="E123" s="51">
        <v>596</v>
      </c>
      <c r="G123" s="52">
        <v>0.98175975516449887</v>
      </c>
      <c r="H123" s="52">
        <v>0</v>
      </c>
      <c r="I123" s="52">
        <v>1.8240244835501147E-2</v>
      </c>
      <c r="K123" s="27">
        <v>2119</v>
      </c>
      <c r="L123" s="51">
        <v>2035</v>
      </c>
      <c r="M123" s="51">
        <v>0</v>
      </c>
      <c r="N123" s="51">
        <v>84</v>
      </c>
      <c r="P123" s="52">
        <v>0.96035865974516277</v>
      </c>
      <c r="Q123" s="52">
        <v>0</v>
      </c>
      <c r="R123" s="52">
        <v>3.964134025483719E-2</v>
      </c>
      <c r="T123" s="27">
        <v>45</v>
      </c>
      <c r="U123" s="51">
        <v>45</v>
      </c>
      <c r="V123" s="51">
        <v>0</v>
      </c>
      <c r="W123" s="51">
        <v>0</v>
      </c>
      <c r="Y123" s="52">
        <v>1</v>
      </c>
      <c r="Z123" s="52">
        <v>0</v>
      </c>
      <c r="AA123" s="52">
        <v>0</v>
      </c>
      <c r="AD123" s="27">
        <v>0</v>
      </c>
      <c r="AE123" s="51">
        <v>0</v>
      </c>
      <c r="AF123" s="51">
        <v>0</v>
      </c>
      <c r="AG123" s="51">
        <v>0</v>
      </c>
      <c r="AI123" s="52">
        <v>0</v>
      </c>
      <c r="AJ123" s="52">
        <v>0</v>
      </c>
      <c r="AK123" s="52">
        <v>0</v>
      </c>
      <c r="AM123" s="27">
        <v>0</v>
      </c>
      <c r="AN123" s="51">
        <v>0</v>
      </c>
      <c r="AO123" s="51">
        <v>0</v>
      </c>
      <c r="AP123" s="51">
        <v>0</v>
      </c>
      <c r="AR123" s="52">
        <v>0</v>
      </c>
      <c r="AS123" s="52">
        <v>0</v>
      </c>
      <c r="AT123" s="52">
        <v>0</v>
      </c>
      <c r="AV123" s="27">
        <v>0</v>
      </c>
      <c r="AW123" s="51">
        <v>0</v>
      </c>
      <c r="AX123" s="51">
        <v>0</v>
      </c>
      <c r="AY123" s="51">
        <v>0</v>
      </c>
      <c r="BA123" s="52">
        <v>0</v>
      </c>
      <c r="BB123" s="52">
        <v>0</v>
      </c>
      <c r="BC123" s="52">
        <v>0</v>
      </c>
    </row>
    <row r="124" spans="1:55" s="51" customFormat="1" x14ac:dyDescent="0.2">
      <c r="A124" s="50" t="s">
        <v>88</v>
      </c>
      <c r="B124" s="27">
        <v>0</v>
      </c>
      <c r="C124" s="51">
        <v>0</v>
      </c>
      <c r="D124" s="51">
        <v>0</v>
      </c>
      <c r="E124" s="51">
        <v>0</v>
      </c>
      <c r="G124" s="52">
        <v>0</v>
      </c>
      <c r="H124" s="52">
        <v>0</v>
      </c>
      <c r="I124" s="52">
        <v>0</v>
      </c>
      <c r="K124" s="27">
        <v>0</v>
      </c>
      <c r="L124" s="51">
        <v>0</v>
      </c>
      <c r="M124" s="51">
        <v>0</v>
      </c>
      <c r="N124" s="51">
        <v>0</v>
      </c>
      <c r="P124" s="52">
        <v>0</v>
      </c>
      <c r="Q124" s="52">
        <v>0</v>
      </c>
      <c r="R124" s="52">
        <v>0</v>
      </c>
      <c r="T124" s="27">
        <v>62</v>
      </c>
      <c r="U124" s="51">
        <v>62</v>
      </c>
      <c r="V124" s="51">
        <v>0</v>
      </c>
      <c r="W124" s="51">
        <v>0</v>
      </c>
      <c r="Y124" s="52">
        <v>1</v>
      </c>
      <c r="Z124" s="52">
        <v>0</v>
      </c>
      <c r="AA124" s="52">
        <v>0</v>
      </c>
      <c r="AD124" s="27">
        <v>0</v>
      </c>
      <c r="AE124" s="51">
        <v>0</v>
      </c>
      <c r="AF124" s="51">
        <v>0</v>
      </c>
      <c r="AG124" s="51">
        <v>0</v>
      </c>
      <c r="AI124" s="52">
        <v>0</v>
      </c>
      <c r="AJ124" s="52">
        <v>0</v>
      </c>
      <c r="AK124" s="52">
        <v>0</v>
      </c>
      <c r="AM124" s="27">
        <v>0</v>
      </c>
      <c r="AN124" s="51">
        <v>0</v>
      </c>
      <c r="AO124" s="51">
        <v>0</v>
      </c>
      <c r="AP124" s="51">
        <v>0</v>
      </c>
      <c r="AR124" s="52">
        <v>0</v>
      </c>
      <c r="AS124" s="52">
        <v>0</v>
      </c>
      <c r="AT124" s="52">
        <v>0</v>
      </c>
      <c r="AV124" s="27">
        <v>0</v>
      </c>
      <c r="AW124" s="51">
        <v>0</v>
      </c>
      <c r="AX124" s="51">
        <v>0</v>
      </c>
      <c r="AY124" s="51">
        <v>0</v>
      </c>
      <c r="BA124" s="52">
        <v>0</v>
      </c>
      <c r="BB124" s="52">
        <v>0</v>
      </c>
      <c r="BC124" s="52">
        <v>0</v>
      </c>
    </row>
    <row r="125" spans="1:55" s="51" customFormat="1" x14ac:dyDescent="0.2">
      <c r="A125" s="50" t="s">
        <v>49</v>
      </c>
      <c r="B125" s="27">
        <v>3378</v>
      </c>
      <c r="C125" s="51">
        <v>3281</v>
      </c>
      <c r="D125" s="51">
        <v>95</v>
      </c>
      <c r="E125" s="51">
        <v>2</v>
      </c>
      <c r="G125" s="52">
        <v>0.97128478389579631</v>
      </c>
      <c r="H125" s="52">
        <v>2.8123149792776792E-2</v>
      </c>
      <c r="I125" s="52">
        <v>5.9206631142687976E-4</v>
      </c>
      <c r="K125" s="27">
        <v>2730</v>
      </c>
      <c r="L125" s="51">
        <v>2451</v>
      </c>
      <c r="M125" s="51">
        <v>270</v>
      </c>
      <c r="N125" s="51">
        <v>9</v>
      </c>
      <c r="P125" s="52">
        <v>0.89780219780219783</v>
      </c>
      <c r="Q125" s="52">
        <v>9.8901098901098897E-2</v>
      </c>
      <c r="R125" s="52">
        <v>3.2967032967032967E-3</v>
      </c>
      <c r="T125" s="27">
        <v>14</v>
      </c>
      <c r="U125" s="51">
        <v>14</v>
      </c>
      <c r="V125" s="51">
        <v>0</v>
      </c>
      <c r="W125" s="51">
        <v>0</v>
      </c>
      <c r="Y125" s="52">
        <v>1</v>
      </c>
      <c r="Z125" s="52">
        <v>0</v>
      </c>
      <c r="AA125" s="52">
        <v>0</v>
      </c>
      <c r="AD125" s="27">
        <v>0</v>
      </c>
      <c r="AE125" s="51">
        <v>0</v>
      </c>
      <c r="AF125" s="51">
        <v>0</v>
      </c>
      <c r="AG125" s="51">
        <v>0</v>
      </c>
      <c r="AI125" s="52">
        <v>0</v>
      </c>
      <c r="AJ125" s="52">
        <v>0</v>
      </c>
      <c r="AK125" s="52">
        <v>0</v>
      </c>
      <c r="AM125" s="27">
        <v>0</v>
      </c>
      <c r="AN125" s="51">
        <v>0</v>
      </c>
      <c r="AO125" s="51">
        <v>0</v>
      </c>
      <c r="AP125" s="51">
        <v>0</v>
      </c>
      <c r="AR125" s="52">
        <v>0</v>
      </c>
      <c r="AS125" s="52">
        <v>0</v>
      </c>
      <c r="AT125" s="52">
        <v>0</v>
      </c>
      <c r="AV125" s="27">
        <v>0</v>
      </c>
      <c r="AW125" s="51">
        <v>0</v>
      </c>
      <c r="AX125" s="51">
        <v>0</v>
      </c>
      <c r="AY125" s="51">
        <v>0</v>
      </c>
      <c r="BA125" s="52">
        <v>0</v>
      </c>
      <c r="BB125" s="52">
        <v>0</v>
      </c>
      <c r="BC125" s="52">
        <v>0</v>
      </c>
    </row>
    <row r="126" spans="1:55" s="51" customFormat="1" x14ac:dyDescent="0.2">
      <c r="A126" s="50" t="s">
        <v>50</v>
      </c>
      <c r="B126" s="27">
        <v>588</v>
      </c>
      <c r="C126" s="51">
        <v>588</v>
      </c>
      <c r="D126" s="51">
        <v>0</v>
      </c>
      <c r="E126" s="51">
        <v>0</v>
      </c>
      <c r="G126" s="52">
        <v>1</v>
      </c>
      <c r="H126" s="52">
        <v>0</v>
      </c>
      <c r="I126" s="52">
        <v>0</v>
      </c>
      <c r="K126" s="27">
        <v>7</v>
      </c>
      <c r="L126" s="51">
        <v>7</v>
      </c>
      <c r="M126" s="51">
        <v>0</v>
      </c>
      <c r="N126" s="51">
        <v>0</v>
      </c>
      <c r="P126" s="52">
        <v>1</v>
      </c>
      <c r="Q126" s="52">
        <v>0</v>
      </c>
      <c r="R126" s="52">
        <v>0</v>
      </c>
      <c r="T126" s="27">
        <v>1</v>
      </c>
      <c r="U126" s="51">
        <v>1</v>
      </c>
      <c r="V126" s="51">
        <v>0</v>
      </c>
      <c r="W126" s="51">
        <v>0</v>
      </c>
      <c r="Y126" s="52">
        <v>1</v>
      </c>
      <c r="Z126" s="52">
        <v>0</v>
      </c>
      <c r="AA126" s="52">
        <v>0</v>
      </c>
      <c r="AD126" s="27">
        <v>229</v>
      </c>
      <c r="AE126" s="51">
        <v>229</v>
      </c>
      <c r="AF126" s="51">
        <v>0</v>
      </c>
      <c r="AG126" s="51">
        <v>0</v>
      </c>
      <c r="AI126" s="52">
        <v>1</v>
      </c>
      <c r="AJ126" s="52">
        <v>0</v>
      </c>
      <c r="AK126" s="52">
        <v>0</v>
      </c>
      <c r="AM126" s="27">
        <v>0</v>
      </c>
      <c r="AN126" s="51">
        <v>0</v>
      </c>
      <c r="AO126" s="51">
        <v>0</v>
      </c>
      <c r="AP126" s="51">
        <v>0</v>
      </c>
      <c r="AR126" s="52">
        <v>0</v>
      </c>
      <c r="AS126" s="52">
        <v>0</v>
      </c>
      <c r="AT126" s="52">
        <v>0</v>
      </c>
      <c r="AV126" s="27">
        <v>0</v>
      </c>
      <c r="AW126" s="51">
        <v>0</v>
      </c>
      <c r="AX126" s="51">
        <v>0</v>
      </c>
      <c r="AY126" s="51">
        <v>0</v>
      </c>
      <c r="BA126" s="52">
        <v>0</v>
      </c>
      <c r="BB126" s="52">
        <v>0</v>
      </c>
      <c r="BC126" s="52">
        <v>0</v>
      </c>
    </row>
    <row r="127" spans="1:55" s="51" customFormat="1" x14ac:dyDescent="0.2">
      <c r="A127" s="50" t="s">
        <v>51</v>
      </c>
      <c r="B127" s="27">
        <v>1737</v>
      </c>
      <c r="C127" s="51">
        <v>1737</v>
      </c>
      <c r="D127" s="51">
        <v>0</v>
      </c>
      <c r="E127" s="51">
        <v>0</v>
      </c>
      <c r="G127" s="52">
        <v>1</v>
      </c>
      <c r="H127" s="52">
        <v>0</v>
      </c>
      <c r="I127" s="52">
        <v>0</v>
      </c>
      <c r="K127" s="27">
        <v>0</v>
      </c>
      <c r="L127" s="51">
        <v>0</v>
      </c>
      <c r="M127" s="51">
        <v>0</v>
      </c>
      <c r="N127" s="51">
        <v>0</v>
      </c>
      <c r="P127" s="52">
        <v>0</v>
      </c>
      <c r="Q127" s="52">
        <v>0</v>
      </c>
      <c r="R127" s="52">
        <v>0</v>
      </c>
      <c r="T127" s="27">
        <v>0</v>
      </c>
      <c r="U127" s="51">
        <v>0</v>
      </c>
      <c r="V127" s="51">
        <v>0</v>
      </c>
      <c r="W127" s="51">
        <v>0</v>
      </c>
      <c r="Y127" s="52">
        <v>0</v>
      </c>
      <c r="Z127" s="52">
        <v>0</v>
      </c>
      <c r="AA127" s="52">
        <v>0</v>
      </c>
      <c r="AD127" s="27">
        <v>0</v>
      </c>
      <c r="AE127" s="51">
        <v>0</v>
      </c>
      <c r="AF127" s="51">
        <v>0</v>
      </c>
      <c r="AG127" s="51">
        <v>0</v>
      </c>
      <c r="AI127" s="52">
        <v>0</v>
      </c>
      <c r="AJ127" s="52">
        <v>0</v>
      </c>
      <c r="AK127" s="52">
        <v>0</v>
      </c>
      <c r="AM127" s="27">
        <v>0</v>
      </c>
      <c r="AN127" s="51">
        <v>0</v>
      </c>
      <c r="AO127" s="51">
        <v>0</v>
      </c>
      <c r="AP127" s="51">
        <v>0</v>
      </c>
      <c r="AR127" s="52">
        <v>0</v>
      </c>
      <c r="AS127" s="52">
        <v>0</v>
      </c>
      <c r="AT127" s="52">
        <v>0</v>
      </c>
      <c r="AV127" s="27">
        <v>0</v>
      </c>
      <c r="AW127" s="51">
        <v>0</v>
      </c>
      <c r="AX127" s="51">
        <v>0</v>
      </c>
      <c r="AY127" s="51">
        <v>0</v>
      </c>
      <c r="BA127" s="52">
        <v>0</v>
      </c>
      <c r="BB127" s="52">
        <v>0</v>
      </c>
      <c r="BC127" s="52">
        <v>0</v>
      </c>
    </row>
    <row r="128" spans="1:55" s="51" customFormat="1" x14ac:dyDescent="0.2">
      <c r="A128" s="50" t="s">
        <v>52</v>
      </c>
      <c r="B128" s="27">
        <v>236955</v>
      </c>
      <c r="C128" s="51">
        <v>236544</v>
      </c>
      <c r="D128" s="51">
        <v>411</v>
      </c>
      <c r="E128" s="51">
        <v>0</v>
      </c>
      <c r="G128" s="52">
        <v>0.9982654934481231</v>
      </c>
      <c r="H128" s="52">
        <v>1.7345065518769387E-3</v>
      </c>
      <c r="I128" s="52">
        <v>0</v>
      </c>
      <c r="K128" s="27">
        <v>7000</v>
      </c>
      <c r="L128" s="51">
        <v>6890</v>
      </c>
      <c r="M128" s="51">
        <v>110</v>
      </c>
      <c r="N128" s="51">
        <v>0</v>
      </c>
      <c r="P128" s="52">
        <v>0.98428571428571432</v>
      </c>
      <c r="Q128" s="52">
        <v>1.5714285714285715E-2</v>
      </c>
      <c r="R128" s="52">
        <v>0</v>
      </c>
      <c r="T128" s="27">
        <v>486</v>
      </c>
      <c r="U128" s="51">
        <v>486</v>
      </c>
      <c r="V128" s="51">
        <v>0</v>
      </c>
      <c r="W128" s="51">
        <v>0</v>
      </c>
      <c r="Y128" s="52">
        <v>1</v>
      </c>
      <c r="Z128" s="52">
        <v>0</v>
      </c>
      <c r="AA128" s="52">
        <v>0</v>
      </c>
      <c r="AD128" s="27">
        <v>57074</v>
      </c>
      <c r="AE128" s="51">
        <v>57019</v>
      </c>
      <c r="AF128" s="51">
        <v>55</v>
      </c>
      <c r="AG128" s="51">
        <v>0</v>
      </c>
      <c r="AI128" s="52">
        <v>0.99903633878823983</v>
      </c>
      <c r="AJ128" s="52">
        <v>9.6366121176017102E-4</v>
      </c>
      <c r="AK128" s="52">
        <v>0</v>
      </c>
      <c r="AM128" s="27">
        <v>61</v>
      </c>
      <c r="AN128" s="51">
        <v>57</v>
      </c>
      <c r="AO128" s="51">
        <v>4</v>
      </c>
      <c r="AP128" s="51">
        <v>0</v>
      </c>
      <c r="AR128" s="52">
        <v>0.93442622950819676</v>
      </c>
      <c r="AS128" s="52">
        <v>6.5573770491803282E-2</v>
      </c>
      <c r="AT128" s="52">
        <v>0</v>
      </c>
      <c r="AV128" s="27">
        <v>3</v>
      </c>
      <c r="AW128" s="51">
        <v>3</v>
      </c>
      <c r="AX128" s="51">
        <v>0</v>
      </c>
      <c r="AY128" s="51">
        <v>0</v>
      </c>
      <c r="BA128" s="52">
        <v>1</v>
      </c>
      <c r="BB128" s="52">
        <v>0</v>
      </c>
      <c r="BC128" s="52">
        <v>0</v>
      </c>
    </row>
    <row r="129" spans="1:56" s="51" customFormat="1" x14ac:dyDescent="0.2">
      <c r="A129" s="50" t="s">
        <v>53</v>
      </c>
      <c r="B129" s="27">
        <v>397</v>
      </c>
      <c r="C129" s="51">
        <v>358</v>
      </c>
      <c r="D129" s="51">
        <v>39</v>
      </c>
      <c r="E129" s="51">
        <v>0</v>
      </c>
      <c r="G129" s="52">
        <v>0.90176322418136023</v>
      </c>
      <c r="H129" s="52">
        <v>9.8236775818639793E-2</v>
      </c>
      <c r="I129" s="52">
        <v>0</v>
      </c>
      <c r="K129" s="27">
        <v>0</v>
      </c>
      <c r="L129" s="51">
        <v>0</v>
      </c>
      <c r="M129" s="51">
        <v>0</v>
      </c>
      <c r="N129" s="51">
        <v>0</v>
      </c>
      <c r="P129" s="52">
        <v>0</v>
      </c>
      <c r="Q129" s="52">
        <v>0</v>
      </c>
      <c r="R129" s="52">
        <v>0</v>
      </c>
      <c r="T129" s="27">
        <v>0</v>
      </c>
      <c r="U129" s="51">
        <v>0</v>
      </c>
      <c r="V129" s="51">
        <v>0</v>
      </c>
      <c r="W129" s="51">
        <v>0</v>
      </c>
      <c r="Y129" s="52">
        <v>0</v>
      </c>
      <c r="Z129" s="52">
        <v>0</v>
      </c>
      <c r="AA129" s="52">
        <v>0</v>
      </c>
      <c r="AD129" s="27">
        <v>0</v>
      </c>
      <c r="AE129" s="51">
        <v>0</v>
      </c>
      <c r="AF129" s="51">
        <v>0</v>
      </c>
      <c r="AG129" s="51">
        <v>0</v>
      </c>
      <c r="AI129" s="52">
        <v>0</v>
      </c>
      <c r="AJ129" s="52">
        <v>0</v>
      </c>
      <c r="AK129" s="52">
        <v>0</v>
      </c>
      <c r="AM129" s="27">
        <v>0</v>
      </c>
      <c r="AN129" s="51">
        <v>0</v>
      </c>
      <c r="AO129" s="51">
        <v>0</v>
      </c>
      <c r="AP129" s="51">
        <v>0</v>
      </c>
      <c r="AR129" s="52">
        <v>0</v>
      </c>
      <c r="AS129" s="52">
        <v>0</v>
      </c>
      <c r="AT129" s="52">
        <v>0</v>
      </c>
      <c r="AV129" s="27">
        <v>0</v>
      </c>
      <c r="AW129" s="51">
        <v>0</v>
      </c>
      <c r="AX129" s="51">
        <v>0</v>
      </c>
      <c r="AY129" s="51">
        <v>0</v>
      </c>
      <c r="BA129" s="52">
        <v>0</v>
      </c>
      <c r="BB129" s="52">
        <v>0</v>
      </c>
      <c r="BC129" s="52">
        <v>0</v>
      </c>
    </row>
    <row r="130" spans="1:56" s="51" customFormat="1" x14ac:dyDescent="0.2">
      <c r="A130" s="50" t="s">
        <v>54</v>
      </c>
      <c r="B130" s="27">
        <v>210</v>
      </c>
      <c r="C130" s="51">
        <v>210</v>
      </c>
      <c r="D130" s="51">
        <v>0</v>
      </c>
      <c r="E130" s="51">
        <v>0</v>
      </c>
      <c r="G130" s="52">
        <v>1</v>
      </c>
      <c r="H130" s="52">
        <v>0</v>
      </c>
      <c r="I130" s="52">
        <v>0</v>
      </c>
      <c r="K130" s="27">
        <v>16</v>
      </c>
      <c r="L130" s="51">
        <v>14</v>
      </c>
      <c r="M130" s="51">
        <v>0</v>
      </c>
      <c r="N130" s="51">
        <v>2</v>
      </c>
      <c r="P130" s="52">
        <v>0.875</v>
      </c>
      <c r="Q130" s="52">
        <v>0</v>
      </c>
      <c r="R130" s="52">
        <v>0.125</v>
      </c>
      <c r="T130" s="27">
        <v>0</v>
      </c>
      <c r="U130" s="51">
        <v>0</v>
      </c>
      <c r="V130" s="51">
        <v>0</v>
      </c>
      <c r="W130" s="51">
        <v>0</v>
      </c>
      <c r="Y130" s="52">
        <v>0</v>
      </c>
      <c r="Z130" s="52">
        <v>0</v>
      </c>
      <c r="AA130" s="52">
        <v>0</v>
      </c>
      <c r="AD130" s="27">
        <v>0</v>
      </c>
      <c r="AE130" s="51">
        <v>0</v>
      </c>
      <c r="AF130" s="51">
        <v>0</v>
      </c>
      <c r="AG130" s="51">
        <v>0</v>
      </c>
      <c r="AI130" s="52">
        <v>0</v>
      </c>
      <c r="AJ130" s="52">
        <v>0</v>
      </c>
      <c r="AK130" s="52">
        <v>0</v>
      </c>
      <c r="AM130" s="27">
        <v>0</v>
      </c>
      <c r="AN130" s="51">
        <v>0</v>
      </c>
      <c r="AO130" s="51">
        <v>0</v>
      </c>
      <c r="AP130" s="51">
        <v>0</v>
      </c>
      <c r="AR130" s="52">
        <v>0</v>
      </c>
      <c r="AS130" s="52">
        <v>0</v>
      </c>
      <c r="AT130" s="52">
        <v>0</v>
      </c>
      <c r="AV130" s="27">
        <v>0</v>
      </c>
      <c r="AW130" s="51">
        <v>0</v>
      </c>
      <c r="AX130" s="51">
        <v>0</v>
      </c>
      <c r="AY130" s="51">
        <v>0</v>
      </c>
      <c r="BA130" s="52">
        <v>0</v>
      </c>
      <c r="BB130" s="52">
        <v>0</v>
      </c>
      <c r="BC130" s="52">
        <v>0</v>
      </c>
    </row>
    <row r="131" spans="1:56" s="51" customFormat="1" x14ac:dyDescent="0.2">
      <c r="A131" s="50" t="s">
        <v>55</v>
      </c>
      <c r="B131" s="27">
        <v>32279</v>
      </c>
      <c r="C131" s="51">
        <v>31917</v>
      </c>
      <c r="D131" s="51">
        <v>100</v>
      </c>
      <c r="E131" s="51">
        <v>262</v>
      </c>
      <c r="G131" s="52">
        <v>0.98878527835434804</v>
      </c>
      <c r="H131" s="52">
        <v>3.0979894048762352E-3</v>
      </c>
      <c r="I131" s="52">
        <v>8.1167322407757359E-3</v>
      </c>
      <c r="K131" s="27">
        <v>2401</v>
      </c>
      <c r="L131" s="51">
        <v>2331</v>
      </c>
      <c r="M131" s="51">
        <v>3</v>
      </c>
      <c r="N131" s="51">
        <v>67</v>
      </c>
      <c r="P131" s="52">
        <v>0.9708454810495627</v>
      </c>
      <c r="Q131" s="52">
        <v>1.2494793835901709E-3</v>
      </c>
      <c r="R131" s="52">
        <v>2.7905039566847149E-2</v>
      </c>
      <c r="T131" s="27">
        <v>84</v>
      </c>
      <c r="U131" s="51">
        <v>84</v>
      </c>
      <c r="V131" s="51">
        <v>0</v>
      </c>
      <c r="W131" s="51">
        <v>0</v>
      </c>
      <c r="Y131" s="52">
        <v>1</v>
      </c>
      <c r="Z131" s="52">
        <v>0</v>
      </c>
      <c r="AA131" s="52">
        <v>0</v>
      </c>
      <c r="AD131" s="27">
        <v>6696</v>
      </c>
      <c r="AE131" s="51">
        <v>6626</v>
      </c>
      <c r="AF131" s="51">
        <v>10</v>
      </c>
      <c r="AG131" s="51">
        <v>60</v>
      </c>
      <c r="AI131" s="52">
        <v>0.98954599761051376</v>
      </c>
      <c r="AJ131" s="52">
        <v>1.4934289127837516E-3</v>
      </c>
      <c r="AK131" s="52">
        <v>8.9605734767025085E-3</v>
      </c>
      <c r="AM131" s="27">
        <v>101</v>
      </c>
      <c r="AN131" s="51">
        <v>100</v>
      </c>
      <c r="AO131" s="51">
        <v>0</v>
      </c>
      <c r="AP131" s="51">
        <v>1</v>
      </c>
      <c r="AR131" s="52">
        <v>0.99009900990099009</v>
      </c>
      <c r="AS131" s="52">
        <v>0</v>
      </c>
      <c r="AT131" s="52">
        <v>9.9009900990099011E-3</v>
      </c>
      <c r="AV131" s="27">
        <v>0</v>
      </c>
      <c r="AW131" s="51">
        <v>0</v>
      </c>
      <c r="AX131" s="51">
        <v>0</v>
      </c>
      <c r="AY131" s="51">
        <v>0</v>
      </c>
      <c r="BA131" s="52">
        <v>0</v>
      </c>
      <c r="BB131" s="52">
        <v>0</v>
      </c>
      <c r="BC131" s="52">
        <v>0</v>
      </c>
    </row>
    <row r="132" spans="1:56" s="51" customFormat="1" x14ac:dyDescent="0.2">
      <c r="A132" s="50" t="s">
        <v>91</v>
      </c>
      <c r="B132" s="27">
        <v>0</v>
      </c>
      <c r="C132" s="51">
        <v>0</v>
      </c>
      <c r="D132" s="51">
        <v>0</v>
      </c>
      <c r="E132" s="51">
        <v>0</v>
      </c>
      <c r="G132" s="52">
        <v>0</v>
      </c>
      <c r="H132" s="52">
        <v>0</v>
      </c>
      <c r="I132" s="52">
        <v>0</v>
      </c>
      <c r="K132" s="27">
        <v>0</v>
      </c>
      <c r="L132" s="51">
        <v>0</v>
      </c>
      <c r="M132" s="51">
        <v>0</v>
      </c>
      <c r="N132" s="51">
        <v>0</v>
      </c>
      <c r="P132" s="52">
        <v>0</v>
      </c>
      <c r="Q132" s="52">
        <v>0</v>
      </c>
      <c r="R132" s="52">
        <v>0</v>
      </c>
      <c r="T132" s="27">
        <v>480</v>
      </c>
      <c r="U132" s="51">
        <v>480</v>
      </c>
      <c r="V132" s="51">
        <v>0</v>
      </c>
      <c r="W132" s="51">
        <v>0</v>
      </c>
      <c r="Y132" s="52">
        <v>1</v>
      </c>
      <c r="Z132" s="52">
        <v>0</v>
      </c>
      <c r="AA132" s="52">
        <v>0</v>
      </c>
      <c r="AD132" s="27">
        <v>0</v>
      </c>
      <c r="AE132" s="51">
        <v>0</v>
      </c>
      <c r="AF132" s="51">
        <v>0</v>
      </c>
      <c r="AG132" s="51">
        <v>0</v>
      </c>
      <c r="AI132" s="52">
        <v>0</v>
      </c>
      <c r="AJ132" s="52">
        <v>0</v>
      </c>
      <c r="AK132" s="52">
        <v>0</v>
      </c>
      <c r="AM132" s="27">
        <v>0</v>
      </c>
      <c r="AN132" s="51">
        <v>0</v>
      </c>
      <c r="AO132" s="51">
        <v>0</v>
      </c>
      <c r="AP132" s="51">
        <v>0</v>
      </c>
      <c r="AR132" s="52">
        <v>0</v>
      </c>
      <c r="AS132" s="52">
        <v>0</v>
      </c>
      <c r="AT132" s="52">
        <v>0</v>
      </c>
      <c r="AV132" s="27">
        <v>0</v>
      </c>
      <c r="AW132" s="51">
        <v>0</v>
      </c>
      <c r="AX132" s="51">
        <v>0</v>
      </c>
      <c r="AY132" s="51">
        <v>0</v>
      </c>
      <c r="BA132" s="52">
        <v>0</v>
      </c>
      <c r="BB132" s="52">
        <v>0</v>
      </c>
      <c r="BC132" s="52">
        <v>0</v>
      </c>
    </row>
    <row r="133" spans="1:56" s="51" customFormat="1" x14ac:dyDescent="0.2">
      <c r="A133" s="50" t="s">
        <v>56</v>
      </c>
      <c r="B133" s="27">
        <v>5451</v>
      </c>
      <c r="C133" s="51">
        <v>5413</v>
      </c>
      <c r="D133" s="51">
        <v>4</v>
      </c>
      <c r="E133" s="51">
        <v>34</v>
      </c>
      <c r="G133" s="52">
        <v>0.99302880205466881</v>
      </c>
      <c r="H133" s="52">
        <v>7.3381031003485597E-4</v>
      </c>
      <c r="I133" s="52">
        <v>6.2373876352962761E-3</v>
      </c>
      <c r="K133" s="27">
        <v>79</v>
      </c>
      <c r="L133" s="51">
        <v>65</v>
      </c>
      <c r="M133" s="51">
        <v>4</v>
      </c>
      <c r="N133" s="51">
        <v>10</v>
      </c>
      <c r="P133" s="52">
        <v>0.82278481012658233</v>
      </c>
      <c r="Q133" s="52">
        <v>5.0632911392405063E-2</v>
      </c>
      <c r="R133" s="52">
        <v>0.12658227848101267</v>
      </c>
      <c r="T133" s="27">
        <v>0</v>
      </c>
      <c r="U133" s="51">
        <v>0</v>
      </c>
      <c r="V133" s="51">
        <v>0</v>
      </c>
      <c r="W133" s="51">
        <v>0</v>
      </c>
      <c r="Y133" s="52">
        <v>0</v>
      </c>
      <c r="Z133" s="52">
        <v>0</v>
      </c>
      <c r="AA133" s="52">
        <v>0</v>
      </c>
      <c r="AD133" s="27">
        <v>0</v>
      </c>
      <c r="AE133" s="51">
        <v>0</v>
      </c>
      <c r="AF133" s="51">
        <v>0</v>
      </c>
      <c r="AG133" s="51">
        <v>0</v>
      </c>
      <c r="AI133" s="52">
        <v>0</v>
      </c>
      <c r="AJ133" s="52">
        <v>0</v>
      </c>
      <c r="AK133" s="52">
        <v>0</v>
      </c>
      <c r="AM133" s="27">
        <v>0</v>
      </c>
      <c r="AN133" s="51">
        <v>0</v>
      </c>
      <c r="AO133" s="51">
        <v>0</v>
      </c>
      <c r="AP133" s="51">
        <v>0</v>
      </c>
      <c r="AR133" s="52">
        <v>0</v>
      </c>
      <c r="AS133" s="52">
        <v>0</v>
      </c>
      <c r="AT133" s="52">
        <v>0</v>
      </c>
      <c r="AV133" s="27">
        <v>0</v>
      </c>
      <c r="AW133" s="51">
        <v>0</v>
      </c>
      <c r="AX133" s="51">
        <v>0</v>
      </c>
      <c r="AY133" s="51">
        <v>0</v>
      </c>
      <c r="BA133" s="52">
        <v>0</v>
      </c>
      <c r="BB133" s="52">
        <v>0</v>
      </c>
      <c r="BC133" s="52">
        <v>0</v>
      </c>
    </row>
    <row r="134" spans="1:56" s="51" customFormat="1" x14ac:dyDescent="0.2">
      <c r="A134" s="50" t="s">
        <v>58</v>
      </c>
      <c r="B134" s="27">
        <v>0</v>
      </c>
      <c r="C134" s="51">
        <v>0</v>
      </c>
      <c r="D134" s="51">
        <v>0</v>
      </c>
      <c r="E134" s="51">
        <v>0</v>
      </c>
      <c r="G134" s="52">
        <v>0</v>
      </c>
      <c r="H134" s="52">
        <v>0</v>
      </c>
      <c r="I134" s="52">
        <v>0</v>
      </c>
      <c r="K134" s="27">
        <v>1</v>
      </c>
      <c r="L134" s="51">
        <v>1</v>
      </c>
      <c r="M134" s="51">
        <v>0</v>
      </c>
      <c r="N134" s="51">
        <v>0</v>
      </c>
      <c r="P134" s="52">
        <v>1</v>
      </c>
      <c r="Q134" s="52">
        <v>0</v>
      </c>
      <c r="R134" s="52">
        <v>0</v>
      </c>
      <c r="T134" s="27">
        <v>65</v>
      </c>
      <c r="U134" s="51">
        <v>65</v>
      </c>
      <c r="V134" s="51">
        <v>0</v>
      </c>
      <c r="W134" s="51">
        <v>0</v>
      </c>
      <c r="Y134" s="52">
        <v>1</v>
      </c>
      <c r="Z134" s="52">
        <v>0</v>
      </c>
      <c r="AA134" s="52">
        <v>0</v>
      </c>
      <c r="AD134" s="27">
        <v>0</v>
      </c>
      <c r="AE134" s="51">
        <v>0</v>
      </c>
      <c r="AF134" s="51">
        <v>0</v>
      </c>
      <c r="AG134" s="51">
        <v>0</v>
      </c>
      <c r="AI134" s="52">
        <v>0</v>
      </c>
      <c r="AJ134" s="52">
        <v>0</v>
      </c>
      <c r="AK134" s="52">
        <v>0</v>
      </c>
      <c r="AM134" s="27">
        <v>0</v>
      </c>
      <c r="AN134" s="51">
        <v>0</v>
      </c>
      <c r="AO134" s="51">
        <v>0</v>
      </c>
      <c r="AP134" s="51">
        <v>0</v>
      </c>
      <c r="AR134" s="52">
        <v>0</v>
      </c>
      <c r="AS134" s="52">
        <v>0</v>
      </c>
      <c r="AT134" s="52">
        <v>0</v>
      </c>
      <c r="AV134" s="27">
        <v>0</v>
      </c>
      <c r="AW134" s="51">
        <v>0</v>
      </c>
      <c r="AX134" s="51">
        <v>0</v>
      </c>
      <c r="AY134" s="51">
        <v>0</v>
      </c>
      <c r="BA134" s="52">
        <v>0</v>
      </c>
      <c r="BB134" s="52">
        <v>0</v>
      </c>
      <c r="BC134" s="52">
        <v>0</v>
      </c>
    </row>
    <row r="135" spans="1:56" s="51" customFormat="1" x14ac:dyDescent="0.2">
      <c r="A135" s="50" t="s">
        <v>59</v>
      </c>
      <c r="B135" s="27">
        <v>35</v>
      </c>
      <c r="C135" s="51">
        <v>35</v>
      </c>
      <c r="D135" s="51">
        <v>0</v>
      </c>
      <c r="E135" s="51">
        <v>0</v>
      </c>
      <c r="G135" s="52">
        <v>1</v>
      </c>
      <c r="H135" s="52">
        <v>0</v>
      </c>
      <c r="I135" s="52">
        <v>0</v>
      </c>
      <c r="K135" s="27">
        <v>0</v>
      </c>
      <c r="L135" s="51">
        <v>0</v>
      </c>
      <c r="M135" s="51">
        <v>0</v>
      </c>
      <c r="N135" s="51">
        <v>0</v>
      </c>
      <c r="P135" s="52">
        <v>0</v>
      </c>
      <c r="Q135" s="52">
        <v>0</v>
      </c>
      <c r="R135" s="52">
        <v>0</v>
      </c>
      <c r="T135" s="27">
        <v>0</v>
      </c>
      <c r="U135" s="51">
        <v>0</v>
      </c>
      <c r="V135" s="51">
        <v>0</v>
      </c>
      <c r="W135" s="51">
        <v>0</v>
      </c>
      <c r="Y135" s="52">
        <v>0</v>
      </c>
      <c r="Z135" s="52">
        <v>0</v>
      </c>
      <c r="AA135" s="52">
        <v>0</v>
      </c>
      <c r="AD135" s="27">
        <v>0</v>
      </c>
      <c r="AE135" s="51">
        <v>0</v>
      </c>
      <c r="AF135" s="51">
        <v>0</v>
      </c>
      <c r="AG135" s="51">
        <v>0</v>
      </c>
      <c r="AI135" s="52">
        <v>0</v>
      </c>
      <c r="AJ135" s="52">
        <v>0</v>
      </c>
      <c r="AK135" s="52">
        <v>0</v>
      </c>
      <c r="AM135" s="27">
        <v>0</v>
      </c>
      <c r="AN135" s="51">
        <v>0</v>
      </c>
      <c r="AO135" s="51">
        <v>0</v>
      </c>
      <c r="AP135" s="51">
        <v>0</v>
      </c>
      <c r="AR135" s="52">
        <v>0</v>
      </c>
      <c r="AS135" s="52">
        <v>0</v>
      </c>
      <c r="AT135" s="52">
        <v>0</v>
      </c>
      <c r="AV135" s="27">
        <v>0</v>
      </c>
      <c r="AW135" s="51">
        <v>0</v>
      </c>
      <c r="AX135" s="51">
        <v>0</v>
      </c>
      <c r="AY135" s="51">
        <v>0</v>
      </c>
      <c r="BA135" s="52">
        <v>0</v>
      </c>
      <c r="BB135" s="52">
        <v>0</v>
      </c>
      <c r="BC135" s="52">
        <v>0</v>
      </c>
    </row>
    <row r="136" spans="1:56" s="51" customFormat="1" x14ac:dyDescent="0.2">
      <c r="A136" s="50" t="s">
        <v>93</v>
      </c>
      <c r="B136" s="27">
        <v>0</v>
      </c>
      <c r="C136" s="51">
        <v>0</v>
      </c>
      <c r="D136" s="51">
        <v>0</v>
      </c>
      <c r="E136" s="51">
        <v>0</v>
      </c>
      <c r="G136" s="52">
        <v>0</v>
      </c>
      <c r="H136" s="52">
        <v>0</v>
      </c>
      <c r="I136" s="52">
        <v>0</v>
      </c>
      <c r="K136" s="27">
        <v>0</v>
      </c>
      <c r="L136" s="51">
        <v>0</v>
      </c>
      <c r="M136" s="51">
        <v>0</v>
      </c>
      <c r="N136" s="51">
        <v>0</v>
      </c>
      <c r="P136" s="52">
        <v>0</v>
      </c>
      <c r="Q136" s="52">
        <v>0</v>
      </c>
      <c r="R136" s="52">
        <v>0</v>
      </c>
      <c r="T136" s="27">
        <v>0</v>
      </c>
      <c r="U136" s="51">
        <v>0</v>
      </c>
      <c r="V136" s="51">
        <v>0</v>
      </c>
      <c r="W136" s="51">
        <v>0</v>
      </c>
      <c r="Y136" s="52">
        <v>0</v>
      </c>
      <c r="Z136" s="52">
        <v>0</v>
      </c>
      <c r="AA136" s="52">
        <v>0</v>
      </c>
      <c r="AD136" s="27">
        <v>0</v>
      </c>
      <c r="AE136" s="51">
        <v>0</v>
      </c>
      <c r="AF136" s="51">
        <v>0</v>
      </c>
      <c r="AG136" s="51">
        <v>0</v>
      </c>
      <c r="AI136" s="52">
        <v>0</v>
      </c>
      <c r="AJ136" s="52">
        <v>0</v>
      </c>
      <c r="AK136" s="52">
        <v>0</v>
      </c>
      <c r="AM136" s="27">
        <v>0</v>
      </c>
      <c r="AN136" s="51">
        <v>0</v>
      </c>
      <c r="AO136" s="51">
        <v>0</v>
      </c>
      <c r="AP136" s="51">
        <v>0</v>
      </c>
      <c r="AR136" s="52">
        <v>0</v>
      </c>
      <c r="AS136" s="52">
        <v>0</v>
      </c>
      <c r="AT136" s="52">
        <v>0</v>
      </c>
      <c r="AV136" s="27">
        <v>56</v>
      </c>
      <c r="AW136" s="51">
        <v>56</v>
      </c>
      <c r="AX136" s="51">
        <v>0</v>
      </c>
      <c r="AY136" s="51">
        <v>0</v>
      </c>
      <c r="BA136" s="52">
        <v>1</v>
      </c>
      <c r="BB136" s="52">
        <v>0</v>
      </c>
      <c r="BC136" s="52">
        <v>0</v>
      </c>
    </row>
    <row r="137" spans="1:56" s="51" customFormat="1" x14ac:dyDescent="0.2">
      <c r="A137" s="50" t="s">
        <v>61</v>
      </c>
      <c r="B137" s="27">
        <v>2320</v>
      </c>
      <c r="C137" s="51">
        <v>2320</v>
      </c>
      <c r="D137" s="51">
        <v>0</v>
      </c>
      <c r="E137" s="51">
        <v>0</v>
      </c>
      <c r="G137" s="52">
        <v>1</v>
      </c>
      <c r="H137" s="52">
        <v>0</v>
      </c>
      <c r="I137" s="52">
        <v>0</v>
      </c>
      <c r="K137" s="27">
        <v>50</v>
      </c>
      <c r="L137" s="51">
        <v>50</v>
      </c>
      <c r="M137" s="51">
        <v>0</v>
      </c>
      <c r="N137" s="51">
        <v>0</v>
      </c>
      <c r="P137" s="52">
        <v>1</v>
      </c>
      <c r="Q137" s="52">
        <v>0</v>
      </c>
      <c r="R137" s="52">
        <v>0</v>
      </c>
      <c r="T137" s="27">
        <v>49</v>
      </c>
      <c r="U137" s="51">
        <v>49</v>
      </c>
      <c r="V137" s="51">
        <v>0</v>
      </c>
      <c r="W137" s="51">
        <v>0</v>
      </c>
      <c r="Y137" s="52">
        <v>1</v>
      </c>
      <c r="Z137" s="52">
        <v>0</v>
      </c>
      <c r="AA137" s="52">
        <v>0</v>
      </c>
      <c r="AD137" s="27">
        <v>0</v>
      </c>
      <c r="AE137" s="51">
        <v>0</v>
      </c>
      <c r="AF137" s="51">
        <v>0</v>
      </c>
      <c r="AG137" s="51">
        <v>0</v>
      </c>
      <c r="AI137" s="52">
        <v>0</v>
      </c>
      <c r="AJ137" s="52">
        <v>0</v>
      </c>
      <c r="AK137" s="52">
        <v>0</v>
      </c>
      <c r="AM137" s="27">
        <v>2</v>
      </c>
      <c r="AN137" s="51">
        <v>2</v>
      </c>
      <c r="AO137" s="51">
        <v>0</v>
      </c>
      <c r="AP137" s="51">
        <v>0</v>
      </c>
      <c r="AR137" s="52">
        <v>1</v>
      </c>
      <c r="AS137" s="52">
        <v>0</v>
      </c>
      <c r="AT137" s="52">
        <v>0</v>
      </c>
      <c r="AV137" s="27">
        <v>0</v>
      </c>
      <c r="AW137" s="51">
        <v>0</v>
      </c>
      <c r="AX137" s="51">
        <v>0</v>
      </c>
      <c r="AY137" s="51">
        <v>0</v>
      </c>
      <c r="BA137" s="52">
        <v>0</v>
      </c>
      <c r="BB137" s="52">
        <v>0</v>
      </c>
      <c r="BC137" s="52">
        <v>0</v>
      </c>
    </row>
    <row r="138" spans="1:56" s="21" customFormat="1" x14ac:dyDescent="0.2">
      <c r="A138" s="29" t="s">
        <v>67</v>
      </c>
      <c r="B138" s="27">
        <v>3247131</v>
      </c>
      <c r="C138" s="27">
        <v>2864318</v>
      </c>
      <c r="D138" s="27">
        <v>374019</v>
      </c>
      <c r="E138" s="27">
        <v>8794</v>
      </c>
      <c r="G138" s="53">
        <v>0.88210731257839614</v>
      </c>
      <c r="H138" s="53">
        <v>0.11518445051955095</v>
      </c>
      <c r="I138" s="53">
        <v>2.7082369020529199E-3</v>
      </c>
      <c r="K138" s="27">
        <v>327124</v>
      </c>
      <c r="L138" s="27">
        <v>257986</v>
      </c>
      <c r="M138" s="27">
        <v>64090</v>
      </c>
      <c r="N138" s="27">
        <v>5048</v>
      </c>
      <c r="P138" s="53">
        <v>0.78864895269072277</v>
      </c>
      <c r="Q138" s="53">
        <v>0.19591959012484561</v>
      </c>
      <c r="R138" s="53">
        <v>1.5431457184431592E-2</v>
      </c>
      <c r="T138" s="27">
        <v>30534</v>
      </c>
      <c r="U138" s="27">
        <v>29891</v>
      </c>
      <c r="V138" s="27">
        <v>635</v>
      </c>
      <c r="W138" s="27">
        <v>8</v>
      </c>
      <c r="Y138" s="53">
        <v>0.97894150782734002</v>
      </c>
      <c r="Z138" s="53">
        <v>2.0796489159625335E-2</v>
      </c>
      <c r="AA138" s="53">
        <v>2.6200301303464988E-4</v>
      </c>
      <c r="AD138" s="27">
        <v>1416207</v>
      </c>
      <c r="AE138" s="27">
        <v>1246571</v>
      </c>
      <c r="AF138" s="27">
        <v>153064</v>
      </c>
      <c r="AG138" s="27">
        <v>16572</v>
      </c>
      <c r="AI138" s="53">
        <v>0.88021807546495678</v>
      </c>
      <c r="AJ138" s="53">
        <v>0.10808024533136752</v>
      </c>
      <c r="AK138" s="53">
        <v>1.1701679203675734E-2</v>
      </c>
      <c r="AM138" s="27">
        <v>50331</v>
      </c>
      <c r="AN138" s="27">
        <v>39991</v>
      </c>
      <c r="AO138" s="27">
        <v>8196</v>
      </c>
      <c r="AP138" s="27">
        <v>2144</v>
      </c>
      <c r="AR138" s="53">
        <v>0.79456001271582122</v>
      </c>
      <c r="AS138" s="53">
        <v>0.16284198605233355</v>
      </c>
      <c r="AT138" s="53">
        <v>4.2598001231845185E-2</v>
      </c>
      <c r="AV138" s="27">
        <v>3136</v>
      </c>
      <c r="AW138" s="27">
        <v>2866</v>
      </c>
      <c r="AX138" s="27">
        <v>258</v>
      </c>
      <c r="AY138" s="27">
        <v>12</v>
      </c>
      <c r="BA138" s="53">
        <v>0.91390306122448983</v>
      </c>
      <c r="BB138" s="53">
        <v>8.2270408163265307E-2</v>
      </c>
      <c r="BC138" s="53">
        <v>3.8265306122448979E-3</v>
      </c>
      <c r="BD138" s="27"/>
    </row>
    <row r="139" spans="1:56" ht="15" x14ac:dyDescent="0.25">
      <c r="A139" s="18"/>
      <c r="G139" s="148"/>
      <c r="H139" s="148"/>
      <c r="I139" s="148"/>
      <c r="P139" s="148"/>
      <c r="Q139" s="148"/>
      <c r="R139" s="148"/>
      <c r="Y139" s="148"/>
      <c r="Z139" s="148"/>
      <c r="AA139" s="148"/>
      <c r="AI139" s="148"/>
      <c r="AJ139" s="148"/>
      <c r="AK139" s="148"/>
      <c r="AR139" s="148"/>
      <c r="AS139" s="148"/>
      <c r="AT139" s="148"/>
      <c r="BA139" s="148"/>
      <c r="BB139" s="148"/>
      <c r="BC139" s="148"/>
      <c r="BD139" s="51"/>
    </row>
    <row r="140" spans="1:56" s="21" customFormat="1" x14ac:dyDescent="0.2">
      <c r="A140" s="28" t="s">
        <v>68</v>
      </c>
      <c r="B140" s="25" t="s">
        <v>77</v>
      </c>
      <c r="C140" s="25" t="s">
        <v>105</v>
      </c>
      <c r="D140" s="25" t="s">
        <v>106</v>
      </c>
      <c r="E140" s="25" t="s">
        <v>114</v>
      </c>
      <c r="F140" s="25"/>
      <c r="G140" s="49" t="s">
        <v>105</v>
      </c>
      <c r="H140" s="49" t="s">
        <v>106</v>
      </c>
      <c r="I140" s="49" t="s">
        <v>114</v>
      </c>
      <c r="J140" s="25"/>
      <c r="K140" s="25" t="s">
        <v>77</v>
      </c>
      <c r="L140" s="25" t="s">
        <v>105</v>
      </c>
      <c r="M140" s="25" t="s">
        <v>106</v>
      </c>
      <c r="N140" s="25" t="s">
        <v>114</v>
      </c>
      <c r="O140" s="25"/>
      <c r="P140" s="49" t="s">
        <v>105</v>
      </c>
      <c r="Q140" s="49" t="s">
        <v>106</v>
      </c>
      <c r="R140" s="49" t="s">
        <v>114</v>
      </c>
      <c r="S140" s="25"/>
      <c r="T140" s="25" t="s">
        <v>77</v>
      </c>
      <c r="U140" s="25" t="s">
        <v>105</v>
      </c>
      <c r="V140" s="25" t="s">
        <v>106</v>
      </c>
      <c r="W140" s="25" t="s">
        <v>114</v>
      </c>
      <c r="X140" s="25"/>
      <c r="Y140" s="49" t="s">
        <v>105</v>
      </c>
      <c r="Z140" s="49" t="s">
        <v>106</v>
      </c>
      <c r="AA140" s="49" t="s">
        <v>114</v>
      </c>
      <c r="AB140" s="25"/>
      <c r="AC140" s="25"/>
      <c r="AD140" s="25" t="s">
        <v>77</v>
      </c>
      <c r="AE140" s="25" t="s">
        <v>105</v>
      </c>
      <c r="AF140" s="25" t="s">
        <v>106</v>
      </c>
      <c r="AG140" s="25" t="s">
        <v>114</v>
      </c>
      <c r="AH140" s="25"/>
      <c r="AI140" s="49" t="s">
        <v>105</v>
      </c>
      <c r="AJ140" s="49" t="s">
        <v>106</v>
      </c>
      <c r="AK140" s="49" t="s">
        <v>114</v>
      </c>
      <c r="AL140" s="25"/>
      <c r="AM140" s="25" t="s">
        <v>77</v>
      </c>
      <c r="AN140" s="25" t="s">
        <v>105</v>
      </c>
      <c r="AO140" s="25" t="s">
        <v>106</v>
      </c>
      <c r="AP140" s="25" t="s">
        <v>114</v>
      </c>
      <c r="AQ140" s="25"/>
      <c r="AR140" s="49" t="s">
        <v>105</v>
      </c>
      <c r="AS140" s="49" t="s">
        <v>106</v>
      </c>
      <c r="AT140" s="49" t="s">
        <v>114</v>
      </c>
      <c r="AU140" s="25"/>
      <c r="AV140" s="25" t="s">
        <v>77</v>
      </c>
      <c r="AW140" s="25" t="s">
        <v>105</v>
      </c>
      <c r="AX140" s="25" t="s">
        <v>106</v>
      </c>
      <c r="AY140" s="25" t="s">
        <v>114</v>
      </c>
      <c r="AZ140" s="25"/>
      <c r="BA140" s="49" t="s">
        <v>105</v>
      </c>
      <c r="BB140" s="49" t="s">
        <v>106</v>
      </c>
      <c r="BC140" s="49" t="s">
        <v>114</v>
      </c>
      <c r="BD140" s="51"/>
    </row>
    <row r="141" spans="1:56" s="51" customFormat="1" x14ac:dyDescent="0.2">
      <c r="A141" s="50" t="s">
        <v>17</v>
      </c>
      <c r="B141" s="27">
        <v>4253</v>
      </c>
      <c r="C141" s="51">
        <v>4129</v>
      </c>
      <c r="D141" s="51">
        <v>102</v>
      </c>
      <c r="E141" s="51">
        <v>22</v>
      </c>
      <c r="G141" s="52">
        <v>0.97084411003997173</v>
      </c>
      <c r="H141" s="52">
        <v>2.3983070773571598E-2</v>
      </c>
      <c r="I141" s="52">
        <v>5.1728191864566187E-3</v>
      </c>
      <c r="K141" s="27">
        <v>100</v>
      </c>
      <c r="L141" s="51">
        <v>90</v>
      </c>
      <c r="M141" s="51">
        <v>7</v>
      </c>
      <c r="N141" s="51">
        <v>3</v>
      </c>
      <c r="P141" s="52">
        <v>0.9</v>
      </c>
      <c r="Q141" s="52">
        <v>7.0000000000000007E-2</v>
      </c>
      <c r="R141" s="52">
        <v>0.03</v>
      </c>
      <c r="T141" s="27">
        <v>1</v>
      </c>
      <c r="U141" s="51">
        <v>1</v>
      </c>
      <c r="V141" s="51">
        <v>0</v>
      </c>
      <c r="W141" s="51">
        <v>0</v>
      </c>
      <c r="Y141" s="52">
        <v>1</v>
      </c>
      <c r="Z141" s="52">
        <v>0</v>
      </c>
      <c r="AA141" s="52">
        <v>0</v>
      </c>
      <c r="AD141" s="27">
        <v>0</v>
      </c>
      <c r="AE141" s="51">
        <v>0</v>
      </c>
      <c r="AF141" s="51">
        <v>0</v>
      </c>
      <c r="AG141" s="51">
        <v>0</v>
      </c>
      <c r="AI141" s="52">
        <v>0</v>
      </c>
      <c r="AJ141" s="52">
        <v>0</v>
      </c>
      <c r="AK141" s="52">
        <v>0</v>
      </c>
      <c r="AM141" s="27">
        <v>0</v>
      </c>
      <c r="AN141" s="51">
        <v>0</v>
      </c>
      <c r="AO141" s="51">
        <v>0</v>
      </c>
      <c r="AP141" s="51">
        <v>0</v>
      </c>
      <c r="AR141" s="52">
        <v>0</v>
      </c>
      <c r="AS141" s="52">
        <v>0</v>
      </c>
      <c r="AT141" s="52">
        <v>0</v>
      </c>
      <c r="AV141" s="27">
        <v>0</v>
      </c>
      <c r="AW141" s="51">
        <v>0</v>
      </c>
      <c r="AX141" s="51">
        <v>0</v>
      </c>
      <c r="AY141" s="51">
        <v>0</v>
      </c>
      <c r="BA141" s="52">
        <v>0</v>
      </c>
      <c r="BB141" s="52">
        <v>0</v>
      </c>
      <c r="BC141" s="52">
        <v>0</v>
      </c>
    </row>
    <row r="142" spans="1:56" s="51" customFormat="1" x14ac:dyDescent="0.2">
      <c r="A142" s="50" t="s">
        <v>19</v>
      </c>
      <c r="B142" s="27">
        <v>334961</v>
      </c>
      <c r="C142" s="51">
        <v>291269</v>
      </c>
      <c r="D142" s="51">
        <v>43117</v>
      </c>
      <c r="E142" s="51">
        <v>575</v>
      </c>
      <c r="G142" s="52">
        <v>0.86956093395947587</v>
      </c>
      <c r="H142" s="52">
        <v>0.12872244828502422</v>
      </c>
      <c r="I142" s="52">
        <v>1.7166177554998941E-3</v>
      </c>
      <c r="K142" s="27">
        <v>20618</v>
      </c>
      <c r="L142" s="51">
        <v>15544</v>
      </c>
      <c r="M142" s="51">
        <v>4858</v>
      </c>
      <c r="N142" s="51">
        <v>216</v>
      </c>
      <c r="P142" s="52">
        <v>0.75390435541759626</v>
      </c>
      <c r="Q142" s="52">
        <v>0.23561936172276651</v>
      </c>
      <c r="R142" s="52">
        <v>1.047628285963721E-2</v>
      </c>
      <c r="T142" s="27">
        <v>4047</v>
      </c>
      <c r="U142" s="51">
        <v>4014</v>
      </c>
      <c r="V142" s="51">
        <v>33</v>
      </c>
      <c r="W142" s="51">
        <v>0</v>
      </c>
      <c r="Y142" s="52">
        <v>0.99184581171237951</v>
      </c>
      <c r="Z142" s="52">
        <v>8.1541882876204601E-3</v>
      </c>
      <c r="AA142" s="52">
        <v>0</v>
      </c>
      <c r="AD142" s="27">
        <v>79920</v>
      </c>
      <c r="AE142" s="51">
        <v>68828</v>
      </c>
      <c r="AF142" s="51">
        <v>10587</v>
      </c>
      <c r="AG142" s="51">
        <v>505</v>
      </c>
      <c r="AI142" s="52">
        <v>0.86121121121121125</v>
      </c>
      <c r="AJ142" s="52">
        <v>0.13246996996996996</v>
      </c>
      <c r="AK142" s="52">
        <v>6.3188188188188187E-3</v>
      </c>
      <c r="AM142" s="27">
        <v>2919</v>
      </c>
      <c r="AN142" s="51">
        <v>1809</v>
      </c>
      <c r="AO142" s="51">
        <v>1062</v>
      </c>
      <c r="AP142" s="51">
        <v>48</v>
      </c>
      <c r="AR142" s="52">
        <v>0.61973278520041108</v>
      </c>
      <c r="AS142" s="52">
        <v>0.36382322713257964</v>
      </c>
      <c r="AT142" s="52">
        <v>1.644398766700925E-2</v>
      </c>
      <c r="AV142" s="27">
        <v>398</v>
      </c>
      <c r="AW142" s="51">
        <v>244</v>
      </c>
      <c r="AX142" s="51">
        <v>152</v>
      </c>
      <c r="AY142" s="51">
        <v>2</v>
      </c>
      <c r="BA142" s="52">
        <v>0.61306532663316582</v>
      </c>
      <c r="BB142" s="52">
        <v>0.38190954773869346</v>
      </c>
      <c r="BC142" s="52">
        <v>5.0251256281407036E-3</v>
      </c>
    </row>
    <row r="143" spans="1:56" s="51" customFormat="1" x14ac:dyDescent="0.2">
      <c r="A143" s="50" t="s">
        <v>20</v>
      </c>
      <c r="B143" s="27">
        <v>199927</v>
      </c>
      <c r="C143" s="51">
        <v>198249</v>
      </c>
      <c r="D143" s="51">
        <v>1562</v>
      </c>
      <c r="E143" s="51">
        <v>116</v>
      </c>
      <c r="G143" s="52">
        <v>0.99160693653183407</v>
      </c>
      <c r="H143" s="52">
        <v>7.8128516908671664E-3</v>
      </c>
      <c r="I143" s="52">
        <v>5.8021177729871407E-4</v>
      </c>
      <c r="K143" s="27">
        <v>10081</v>
      </c>
      <c r="L143" s="51">
        <v>9737</v>
      </c>
      <c r="M143" s="51">
        <v>277</v>
      </c>
      <c r="N143" s="51">
        <v>67</v>
      </c>
      <c r="P143" s="52">
        <v>0.96587640115067952</v>
      </c>
      <c r="Q143" s="52">
        <v>2.7477432794365639E-2</v>
      </c>
      <c r="R143" s="52">
        <v>6.6461660549548655E-3</v>
      </c>
      <c r="T143" s="27">
        <v>46</v>
      </c>
      <c r="U143" s="51">
        <v>45</v>
      </c>
      <c r="V143" s="51">
        <v>0</v>
      </c>
      <c r="W143" s="51">
        <v>1</v>
      </c>
      <c r="Y143" s="52">
        <v>0.97826086956521741</v>
      </c>
      <c r="Z143" s="52">
        <v>0</v>
      </c>
      <c r="AA143" s="52">
        <v>2.1739130434782608E-2</v>
      </c>
      <c r="AD143" s="27">
        <v>0</v>
      </c>
      <c r="AE143" s="51">
        <v>0</v>
      </c>
      <c r="AF143" s="51">
        <v>0</v>
      </c>
      <c r="AG143" s="51">
        <v>0</v>
      </c>
      <c r="AI143" s="52">
        <v>0</v>
      </c>
      <c r="AJ143" s="52">
        <v>0</v>
      </c>
      <c r="AK143" s="52">
        <v>0</v>
      </c>
      <c r="AM143" s="27">
        <v>0</v>
      </c>
      <c r="AN143" s="51">
        <v>0</v>
      </c>
      <c r="AO143" s="51">
        <v>0</v>
      </c>
      <c r="AP143" s="51">
        <v>0</v>
      </c>
      <c r="AR143" s="52">
        <v>0</v>
      </c>
      <c r="AS143" s="52">
        <v>0</v>
      </c>
      <c r="AT143" s="52">
        <v>0</v>
      </c>
      <c r="AV143" s="27">
        <v>25</v>
      </c>
      <c r="AW143" s="51">
        <v>25</v>
      </c>
      <c r="AX143" s="51">
        <v>0</v>
      </c>
      <c r="AY143" s="51">
        <v>0</v>
      </c>
      <c r="BA143" s="52">
        <v>1</v>
      </c>
      <c r="BB143" s="52">
        <v>0</v>
      </c>
      <c r="BC143" s="52">
        <v>0</v>
      </c>
    </row>
    <row r="144" spans="1:56" s="51" customFormat="1" x14ac:dyDescent="0.2">
      <c r="A144" s="50" t="s">
        <v>21</v>
      </c>
      <c r="B144" s="27">
        <v>36859</v>
      </c>
      <c r="C144" s="51">
        <v>35930</v>
      </c>
      <c r="D144" s="51">
        <v>626</v>
      </c>
      <c r="E144" s="51">
        <v>303</v>
      </c>
      <c r="G144" s="52">
        <v>0.97479584362028271</v>
      </c>
      <c r="H144" s="52">
        <v>1.6983640359206707E-2</v>
      </c>
      <c r="I144" s="52">
        <v>8.2205160205105939E-3</v>
      </c>
      <c r="K144" s="27">
        <v>1406</v>
      </c>
      <c r="L144" s="51">
        <v>1159</v>
      </c>
      <c r="M144" s="51">
        <v>135</v>
      </c>
      <c r="N144" s="51">
        <v>112</v>
      </c>
      <c r="P144" s="52">
        <v>0.82432432432432434</v>
      </c>
      <c r="Q144" s="52">
        <v>9.6017069701280225E-2</v>
      </c>
      <c r="R144" s="52">
        <v>7.9658605974395447E-2</v>
      </c>
      <c r="T144" s="27">
        <v>0</v>
      </c>
      <c r="U144" s="51">
        <v>0</v>
      </c>
      <c r="V144" s="51">
        <v>0</v>
      </c>
      <c r="W144" s="51">
        <v>0</v>
      </c>
      <c r="Y144" s="52">
        <v>0</v>
      </c>
      <c r="Z144" s="52">
        <v>0</v>
      </c>
      <c r="AA144" s="52">
        <v>0</v>
      </c>
      <c r="AD144" s="27">
        <v>0</v>
      </c>
      <c r="AE144" s="51">
        <v>0</v>
      </c>
      <c r="AF144" s="51">
        <v>0</v>
      </c>
      <c r="AG144" s="51">
        <v>0</v>
      </c>
      <c r="AI144" s="52">
        <v>0</v>
      </c>
      <c r="AJ144" s="52">
        <v>0</v>
      </c>
      <c r="AK144" s="52">
        <v>0</v>
      </c>
      <c r="AM144" s="27">
        <v>0</v>
      </c>
      <c r="AN144" s="51">
        <v>0</v>
      </c>
      <c r="AO144" s="51">
        <v>0</v>
      </c>
      <c r="AP144" s="51">
        <v>0</v>
      </c>
      <c r="AR144" s="52">
        <v>0</v>
      </c>
      <c r="AS144" s="52">
        <v>0</v>
      </c>
      <c r="AT144" s="52">
        <v>0</v>
      </c>
      <c r="AV144" s="27">
        <v>0</v>
      </c>
      <c r="AW144" s="51">
        <v>0</v>
      </c>
      <c r="AX144" s="51">
        <v>0</v>
      </c>
      <c r="AY144" s="51">
        <v>0</v>
      </c>
      <c r="BA144" s="52">
        <v>0</v>
      </c>
      <c r="BB144" s="52">
        <v>0</v>
      </c>
      <c r="BC144" s="52">
        <v>0</v>
      </c>
    </row>
    <row r="145" spans="1:55" s="51" customFormat="1" x14ac:dyDescent="0.2">
      <c r="A145" s="50" t="s">
        <v>83</v>
      </c>
      <c r="B145" s="27">
        <v>0</v>
      </c>
      <c r="C145" s="51">
        <v>0</v>
      </c>
      <c r="D145" s="51">
        <v>0</v>
      </c>
      <c r="E145" s="51">
        <v>0</v>
      </c>
      <c r="G145" s="52">
        <v>0</v>
      </c>
      <c r="H145" s="52">
        <v>0</v>
      </c>
      <c r="I145" s="52">
        <v>0</v>
      </c>
      <c r="K145" s="27">
        <v>0</v>
      </c>
      <c r="L145" s="51">
        <v>0</v>
      </c>
      <c r="M145" s="51">
        <v>0</v>
      </c>
      <c r="N145" s="51">
        <v>0</v>
      </c>
      <c r="P145" s="52">
        <v>0</v>
      </c>
      <c r="Q145" s="52">
        <v>0</v>
      </c>
      <c r="R145" s="52">
        <v>0</v>
      </c>
      <c r="T145" s="27">
        <v>7</v>
      </c>
      <c r="U145" s="51">
        <v>7</v>
      </c>
      <c r="V145" s="51">
        <v>0</v>
      </c>
      <c r="W145" s="51">
        <v>0</v>
      </c>
      <c r="Y145" s="52">
        <v>1</v>
      </c>
      <c r="Z145" s="52">
        <v>0</v>
      </c>
      <c r="AA145" s="52">
        <v>0</v>
      </c>
      <c r="AD145" s="27">
        <v>0</v>
      </c>
      <c r="AE145" s="51">
        <v>0</v>
      </c>
      <c r="AF145" s="51">
        <v>0</v>
      </c>
      <c r="AG145" s="51">
        <v>0</v>
      </c>
      <c r="AI145" s="52">
        <v>0</v>
      </c>
      <c r="AJ145" s="52">
        <v>0</v>
      </c>
      <c r="AK145" s="52">
        <v>0</v>
      </c>
      <c r="AM145" s="27">
        <v>0</v>
      </c>
      <c r="AN145" s="51">
        <v>0</v>
      </c>
      <c r="AO145" s="51">
        <v>0</v>
      </c>
      <c r="AP145" s="51">
        <v>0</v>
      </c>
      <c r="AR145" s="52">
        <v>0</v>
      </c>
      <c r="AS145" s="52">
        <v>0</v>
      </c>
      <c r="AT145" s="52">
        <v>0</v>
      </c>
      <c r="AV145" s="27">
        <v>0</v>
      </c>
      <c r="AW145" s="51">
        <v>0</v>
      </c>
      <c r="AX145" s="51">
        <v>0</v>
      </c>
      <c r="AY145" s="51">
        <v>0</v>
      </c>
      <c r="BA145" s="52">
        <v>0</v>
      </c>
      <c r="BB145" s="52">
        <v>0</v>
      </c>
      <c r="BC145" s="52">
        <v>0</v>
      </c>
    </row>
    <row r="146" spans="1:55" s="51" customFormat="1" x14ac:dyDescent="0.2">
      <c r="A146" s="50" t="s">
        <v>84</v>
      </c>
      <c r="B146" s="27">
        <v>0</v>
      </c>
      <c r="C146" s="51">
        <v>0</v>
      </c>
      <c r="D146" s="51">
        <v>0</v>
      </c>
      <c r="E146" s="51">
        <v>0</v>
      </c>
      <c r="G146" s="52">
        <v>0</v>
      </c>
      <c r="H146" s="52">
        <v>0</v>
      </c>
      <c r="I146" s="52">
        <v>0</v>
      </c>
      <c r="K146" s="27">
        <v>0</v>
      </c>
      <c r="L146" s="51">
        <v>0</v>
      </c>
      <c r="M146" s="51">
        <v>0</v>
      </c>
      <c r="N146" s="51">
        <v>0</v>
      </c>
      <c r="P146" s="52">
        <v>0</v>
      </c>
      <c r="Q146" s="52">
        <v>0</v>
      </c>
      <c r="R146" s="52">
        <v>0</v>
      </c>
      <c r="T146" s="27">
        <v>1</v>
      </c>
      <c r="U146" s="51">
        <v>1</v>
      </c>
      <c r="V146" s="51">
        <v>0</v>
      </c>
      <c r="W146" s="51">
        <v>0</v>
      </c>
      <c r="Y146" s="52">
        <v>1</v>
      </c>
      <c r="Z146" s="52">
        <v>0</v>
      </c>
      <c r="AA146" s="52">
        <v>0</v>
      </c>
      <c r="AD146" s="27">
        <v>0</v>
      </c>
      <c r="AE146" s="51">
        <v>0</v>
      </c>
      <c r="AF146" s="51">
        <v>0</v>
      </c>
      <c r="AG146" s="51">
        <v>0</v>
      </c>
      <c r="AI146" s="52">
        <v>0</v>
      </c>
      <c r="AJ146" s="52">
        <v>0</v>
      </c>
      <c r="AK146" s="52">
        <v>0</v>
      </c>
      <c r="AM146" s="27">
        <v>0</v>
      </c>
      <c r="AN146" s="51">
        <v>0</v>
      </c>
      <c r="AO146" s="51">
        <v>0</v>
      </c>
      <c r="AP146" s="51">
        <v>0</v>
      </c>
      <c r="AR146" s="52">
        <v>0</v>
      </c>
      <c r="AS146" s="52">
        <v>0</v>
      </c>
      <c r="AT146" s="52">
        <v>0</v>
      </c>
      <c r="AV146" s="27">
        <v>0</v>
      </c>
      <c r="AW146" s="51">
        <v>0</v>
      </c>
      <c r="AX146" s="51">
        <v>0</v>
      </c>
      <c r="AY146" s="51">
        <v>0</v>
      </c>
      <c r="BA146" s="52">
        <v>0</v>
      </c>
      <c r="BB146" s="52">
        <v>0</v>
      </c>
      <c r="BC146" s="52">
        <v>0</v>
      </c>
    </row>
    <row r="147" spans="1:55" s="51" customFormat="1" x14ac:dyDescent="0.2">
      <c r="A147" s="50" t="s">
        <v>26</v>
      </c>
      <c r="B147" s="27">
        <v>4288</v>
      </c>
      <c r="C147" s="51">
        <v>1422</v>
      </c>
      <c r="D147" s="51">
        <v>2857</v>
      </c>
      <c r="E147" s="51">
        <v>9</v>
      </c>
      <c r="G147" s="52">
        <v>0.33162313432835822</v>
      </c>
      <c r="H147" s="52">
        <v>0.66627798507462688</v>
      </c>
      <c r="I147" s="52">
        <v>2.0988805970149254E-3</v>
      </c>
      <c r="K147" s="27">
        <v>580</v>
      </c>
      <c r="L147" s="51">
        <v>502</v>
      </c>
      <c r="M147" s="51">
        <v>77</v>
      </c>
      <c r="N147" s="51">
        <v>1</v>
      </c>
      <c r="P147" s="52">
        <v>0.8655172413793103</v>
      </c>
      <c r="Q147" s="52">
        <v>0.13275862068965516</v>
      </c>
      <c r="R147" s="52">
        <v>1.7241379310344827E-3</v>
      </c>
      <c r="T147" s="27">
        <v>36</v>
      </c>
      <c r="U147" s="51">
        <v>36</v>
      </c>
      <c r="V147" s="51">
        <v>0</v>
      </c>
      <c r="W147" s="51">
        <v>0</v>
      </c>
      <c r="Y147" s="52">
        <v>1</v>
      </c>
      <c r="Z147" s="52">
        <v>0</v>
      </c>
      <c r="AA147" s="52">
        <v>0</v>
      </c>
      <c r="AD147" s="27">
        <v>0</v>
      </c>
      <c r="AE147" s="51">
        <v>0</v>
      </c>
      <c r="AF147" s="51">
        <v>0</v>
      </c>
      <c r="AG147" s="51">
        <v>0</v>
      </c>
      <c r="AI147" s="52">
        <v>0</v>
      </c>
      <c r="AJ147" s="52">
        <v>0</v>
      </c>
      <c r="AK147" s="52">
        <v>0</v>
      </c>
      <c r="AM147" s="27">
        <v>0</v>
      </c>
      <c r="AN147" s="51">
        <v>0</v>
      </c>
      <c r="AO147" s="51">
        <v>0</v>
      </c>
      <c r="AP147" s="51">
        <v>0</v>
      </c>
      <c r="AR147" s="52">
        <v>0</v>
      </c>
      <c r="AS147" s="52">
        <v>0</v>
      </c>
      <c r="AT147" s="52">
        <v>0</v>
      </c>
      <c r="AV147" s="27">
        <v>0</v>
      </c>
      <c r="AW147" s="51">
        <v>0</v>
      </c>
      <c r="AX147" s="51">
        <v>0</v>
      </c>
      <c r="AY147" s="51">
        <v>0</v>
      </c>
      <c r="BA147" s="52">
        <v>0</v>
      </c>
      <c r="BB147" s="52">
        <v>0</v>
      </c>
      <c r="BC147" s="52">
        <v>0</v>
      </c>
    </row>
    <row r="148" spans="1:55" s="51" customFormat="1" x14ac:dyDescent="0.2">
      <c r="A148" s="50" t="s">
        <v>27</v>
      </c>
      <c r="B148" s="27">
        <v>4</v>
      </c>
      <c r="C148" s="51">
        <v>4</v>
      </c>
      <c r="D148" s="51">
        <v>0</v>
      </c>
      <c r="E148" s="51">
        <v>0</v>
      </c>
      <c r="G148" s="52">
        <v>1</v>
      </c>
      <c r="H148" s="52">
        <v>0</v>
      </c>
      <c r="I148" s="52">
        <v>0</v>
      </c>
      <c r="K148" s="27">
        <v>1</v>
      </c>
      <c r="L148" s="51">
        <v>1</v>
      </c>
      <c r="M148" s="51">
        <v>0</v>
      </c>
      <c r="N148" s="51">
        <v>0</v>
      </c>
      <c r="P148" s="52">
        <v>1</v>
      </c>
      <c r="Q148" s="52">
        <v>0</v>
      </c>
      <c r="R148" s="52">
        <v>0</v>
      </c>
      <c r="T148" s="27">
        <v>0</v>
      </c>
      <c r="U148" s="51">
        <v>0</v>
      </c>
      <c r="V148" s="51">
        <v>0</v>
      </c>
      <c r="W148" s="51">
        <v>0</v>
      </c>
      <c r="Y148" s="52">
        <v>0</v>
      </c>
      <c r="Z148" s="52">
        <v>0</v>
      </c>
      <c r="AA148" s="52">
        <v>0</v>
      </c>
      <c r="AD148" s="27">
        <v>0</v>
      </c>
      <c r="AE148" s="51">
        <v>0</v>
      </c>
      <c r="AF148" s="51">
        <v>0</v>
      </c>
      <c r="AG148" s="51">
        <v>0</v>
      </c>
      <c r="AI148" s="52">
        <v>0</v>
      </c>
      <c r="AJ148" s="52">
        <v>0</v>
      </c>
      <c r="AK148" s="52">
        <v>0</v>
      </c>
      <c r="AM148" s="27">
        <v>0</v>
      </c>
      <c r="AN148" s="51">
        <v>0</v>
      </c>
      <c r="AO148" s="51">
        <v>0</v>
      </c>
      <c r="AP148" s="51">
        <v>0</v>
      </c>
      <c r="AR148" s="52">
        <v>0</v>
      </c>
      <c r="AS148" s="52">
        <v>0</v>
      </c>
      <c r="AT148" s="52">
        <v>0</v>
      </c>
      <c r="AV148" s="27">
        <v>0</v>
      </c>
      <c r="AW148" s="51">
        <v>0</v>
      </c>
      <c r="AX148" s="51">
        <v>0</v>
      </c>
      <c r="AY148" s="51">
        <v>0</v>
      </c>
      <c r="BA148" s="52">
        <v>0</v>
      </c>
      <c r="BB148" s="52">
        <v>0</v>
      </c>
      <c r="BC148" s="52">
        <v>0</v>
      </c>
    </row>
    <row r="149" spans="1:55" s="51" customFormat="1" x14ac:dyDescent="0.2">
      <c r="A149" s="50" t="s">
        <v>28</v>
      </c>
      <c r="B149" s="27">
        <v>10765</v>
      </c>
      <c r="C149" s="51">
        <v>10452</v>
      </c>
      <c r="D149" s="51">
        <v>313</v>
      </c>
      <c r="E149" s="51">
        <v>0</v>
      </c>
      <c r="G149" s="52">
        <v>0.97092429168601946</v>
      </c>
      <c r="H149" s="52">
        <v>2.9075708313980493E-2</v>
      </c>
      <c r="I149" s="52">
        <v>0</v>
      </c>
      <c r="K149" s="27">
        <v>0</v>
      </c>
      <c r="L149" s="51">
        <v>0</v>
      </c>
      <c r="M149" s="51">
        <v>0</v>
      </c>
      <c r="N149" s="51">
        <v>0</v>
      </c>
      <c r="P149" s="52">
        <v>0</v>
      </c>
      <c r="Q149" s="52">
        <v>0</v>
      </c>
      <c r="R149" s="52">
        <v>0</v>
      </c>
      <c r="T149" s="27">
        <v>0</v>
      </c>
      <c r="U149" s="51">
        <v>0</v>
      </c>
      <c r="V149" s="51">
        <v>0</v>
      </c>
      <c r="W149" s="51">
        <v>0</v>
      </c>
      <c r="Y149" s="52">
        <v>0</v>
      </c>
      <c r="Z149" s="52">
        <v>0</v>
      </c>
      <c r="AA149" s="52">
        <v>0</v>
      </c>
      <c r="AD149" s="27">
        <v>0</v>
      </c>
      <c r="AE149" s="51">
        <v>0</v>
      </c>
      <c r="AF149" s="51">
        <v>0</v>
      </c>
      <c r="AG149" s="51">
        <v>0</v>
      </c>
      <c r="AI149" s="52">
        <v>0</v>
      </c>
      <c r="AJ149" s="52">
        <v>0</v>
      </c>
      <c r="AK149" s="52">
        <v>0</v>
      </c>
      <c r="AM149" s="27">
        <v>0</v>
      </c>
      <c r="AN149" s="51">
        <v>0</v>
      </c>
      <c r="AO149" s="51">
        <v>0</v>
      </c>
      <c r="AP149" s="51">
        <v>0</v>
      </c>
      <c r="AR149" s="52">
        <v>0</v>
      </c>
      <c r="AS149" s="52">
        <v>0</v>
      </c>
      <c r="AT149" s="52">
        <v>0</v>
      </c>
      <c r="AV149" s="27">
        <v>0</v>
      </c>
      <c r="AW149" s="51">
        <v>0</v>
      </c>
      <c r="AX149" s="51">
        <v>0</v>
      </c>
      <c r="AY149" s="51">
        <v>0</v>
      </c>
      <c r="BA149" s="52">
        <v>0</v>
      </c>
      <c r="BB149" s="52">
        <v>0</v>
      </c>
      <c r="BC149" s="52">
        <v>0</v>
      </c>
    </row>
    <row r="150" spans="1:55" s="51" customFormat="1" x14ac:dyDescent="0.2">
      <c r="A150" s="50" t="s">
        <v>29</v>
      </c>
      <c r="B150" s="27">
        <v>1705</v>
      </c>
      <c r="C150" s="51">
        <v>1685</v>
      </c>
      <c r="D150" s="51">
        <v>20</v>
      </c>
      <c r="E150" s="51">
        <v>0</v>
      </c>
      <c r="G150" s="52">
        <v>0.98826979472140764</v>
      </c>
      <c r="H150" s="52">
        <v>1.1730205278592375E-2</v>
      </c>
      <c r="I150" s="52">
        <v>0</v>
      </c>
      <c r="K150" s="27">
        <v>68</v>
      </c>
      <c r="L150" s="51">
        <v>66</v>
      </c>
      <c r="M150" s="51">
        <v>2</v>
      </c>
      <c r="N150" s="51">
        <v>0</v>
      </c>
      <c r="P150" s="52">
        <v>0.97058823529411764</v>
      </c>
      <c r="Q150" s="52">
        <v>2.9411764705882353E-2</v>
      </c>
      <c r="R150" s="52">
        <v>0</v>
      </c>
      <c r="T150" s="27">
        <v>0</v>
      </c>
      <c r="U150" s="51">
        <v>0</v>
      </c>
      <c r="V150" s="51">
        <v>0</v>
      </c>
      <c r="W150" s="51">
        <v>0</v>
      </c>
      <c r="Y150" s="52">
        <v>0</v>
      </c>
      <c r="Z150" s="52">
        <v>0</v>
      </c>
      <c r="AA150" s="52">
        <v>0</v>
      </c>
      <c r="AD150" s="27">
        <v>0</v>
      </c>
      <c r="AE150" s="51">
        <v>0</v>
      </c>
      <c r="AF150" s="51">
        <v>0</v>
      </c>
      <c r="AG150" s="51">
        <v>0</v>
      </c>
      <c r="AI150" s="52">
        <v>0</v>
      </c>
      <c r="AJ150" s="52">
        <v>0</v>
      </c>
      <c r="AK150" s="52">
        <v>0</v>
      </c>
      <c r="AM150" s="27">
        <v>0</v>
      </c>
      <c r="AN150" s="51">
        <v>0</v>
      </c>
      <c r="AO150" s="51">
        <v>0</v>
      </c>
      <c r="AP150" s="51">
        <v>0</v>
      </c>
      <c r="AR150" s="52">
        <v>0</v>
      </c>
      <c r="AS150" s="52">
        <v>0</v>
      </c>
      <c r="AT150" s="52">
        <v>0</v>
      </c>
      <c r="AV150" s="27">
        <v>0</v>
      </c>
      <c r="AW150" s="51">
        <v>0</v>
      </c>
      <c r="AX150" s="51">
        <v>0</v>
      </c>
      <c r="AY150" s="51">
        <v>0</v>
      </c>
      <c r="BA150" s="52">
        <v>0</v>
      </c>
      <c r="BB150" s="52">
        <v>0</v>
      </c>
      <c r="BC150" s="52">
        <v>0</v>
      </c>
    </row>
    <row r="151" spans="1:55" s="51" customFormat="1" x14ac:dyDescent="0.2">
      <c r="A151" s="50" t="s">
        <v>30</v>
      </c>
      <c r="B151" s="27">
        <v>105715</v>
      </c>
      <c r="C151" s="51">
        <v>104274</v>
      </c>
      <c r="D151" s="51">
        <v>1441</v>
      </c>
      <c r="E151" s="51">
        <v>0</v>
      </c>
      <c r="G151" s="52">
        <v>0.98636901102019581</v>
      </c>
      <c r="H151" s="52">
        <v>1.3630988979804191E-2</v>
      </c>
      <c r="I151" s="52">
        <v>0</v>
      </c>
      <c r="K151" s="27">
        <v>8229</v>
      </c>
      <c r="L151" s="51">
        <v>7718</v>
      </c>
      <c r="M151" s="51">
        <v>511</v>
      </c>
      <c r="N151" s="51">
        <v>0</v>
      </c>
      <c r="P151" s="52">
        <v>0.93790253979827443</v>
      </c>
      <c r="Q151" s="52">
        <v>6.2097460201725602E-2</v>
      </c>
      <c r="R151" s="52">
        <v>0</v>
      </c>
      <c r="T151" s="27">
        <v>1004</v>
      </c>
      <c r="U151" s="51">
        <v>979</v>
      </c>
      <c r="V151" s="51">
        <v>25</v>
      </c>
      <c r="W151" s="51">
        <v>0</v>
      </c>
      <c r="Y151" s="52">
        <v>0.97509960159362552</v>
      </c>
      <c r="Z151" s="52">
        <v>2.4900398406374501E-2</v>
      </c>
      <c r="AA151" s="52">
        <v>0</v>
      </c>
      <c r="AD151" s="27">
        <v>0</v>
      </c>
      <c r="AE151" s="51">
        <v>0</v>
      </c>
      <c r="AF151" s="51">
        <v>0</v>
      </c>
      <c r="AG151" s="51">
        <v>0</v>
      </c>
      <c r="AI151" s="52">
        <v>0</v>
      </c>
      <c r="AJ151" s="52">
        <v>0</v>
      </c>
      <c r="AK151" s="52">
        <v>0</v>
      </c>
      <c r="AM151" s="27">
        <v>0</v>
      </c>
      <c r="AN151" s="51">
        <v>0</v>
      </c>
      <c r="AO151" s="51">
        <v>0</v>
      </c>
      <c r="AP151" s="51">
        <v>0</v>
      </c>
      <c r="AR151" s="52">
        <v>0</v>
      </c>
      <c r="AS151" s="52">
        <v>0</v>
      </c>
      <c r="AT151" s="52">
        <v>0</v>
      </c>
      <c r="AV151" s="27">
        <v>0</v>
      </c>
      <c r="AW151" s="51">
        <v>0</v>
      </c>
      <c r="AX151" s="51">
        <v>0</v>
      </c>
      <c r="AY151" s="51">
        <v>0</v>
      </c>
      <c r="BA151" s="52">
        <v>0</v>
      </c>
      <c r="BB151" s="52">
        <v>0</v>
      </c>
      <c r="BC151" s="52">
        <v>0</v>
      </c>
    </row>
    <row r="152" spans="1:55" s="51" customFormat="1" x14ac:dyDescent="0.2">
      <c r="A152" s="50" t="s">
        <v>32</v>
      </c>
      <c r="B152" s="27">
        <v>620345</v>
      </c>
      <c r="C152" s="51">
        <v>0</v>
      </c>
      <c r="D152" s="51">
        <v>620345</v>
      </c>
      <c r="E152" s="51">
        <v>0</v>
      </c>
      <c r="G152" s="52">
        <v>0</v>
      </c>
      <c r="H152" s="52">
        <v>1</v>
      </c>
      <c r="I152" s="52">
        <v>0</v>
      </c>
      <c r="K152" s="27">
        <v>87565</v>
      </c>
      <c r="L152" s="51">
        <v>0</v>
      </c>
      <c r="M152" s="51">
        <v>87565</v>
      </c>
      <c r="N152" s="51">
        <v>0</v>
      </c>
      <c r="P152" s="52">
        <v>0</v>
      </c>
      <c r="Q152" s="52">
        <v>1</v>
      </c>
      <c r="R152" s="52">
        <v>0</v>
      </c>
      <c r="T152" s="27">
        <v>4905</v>
      </c>
      <c r="U152" s="51">
        <v>0</v>
      </c>
      <c r="V152" s="51">
        <v>4905</v>
      </c>
      <c r="W152" s="51">
        <v>0</v>
      </c>
      <c r="Y152" s="52">
        <v>0</v>
      </c>
      <c r="Z152" s="52">
        <v>1</v>
      </c>
      <c r="AA152" s="52">
        <v>0</v>
      </c>
      <c r="AD152" s="27">
        <v>0</v>
      </c>
      <c r="AE152" s="51">
        <v>0</v>
      </c>
      <c r="AF152" s="51">
        <v>0</v>
      </c>
      <c r="AG152" s="51">
        <v>0</v>
      </c>
      <c r="AI152" s="52">
        <v>0</v>
      </c>
      <c r="AJ152" s="52">
        <v>0</v>
      </c>
      <c r="AK152" s="52">
        <v>0</v>
      </c>
      <c r="AM152" s="27">
        <v>0</v>
      </c>
      <c r="AN152" s="51">
        <v>0</v>
      </c>
      <c r="AO152" s="51">
        <v>0</v>
      </c>
      <c r="AP152" s="51">
        <v>0</v>
      </c>
      <c r="AR152" s="52">
        <v>0</v>
      </c>
      <c r="AS152" s="52">
        <v>0</v>
      </c>
      <c r="AT152" s="52">
        <v>0</v>
      </c>
      <c r="AV152" s="27">
        <v>0</v>
      </c>
      <c r="AW152" s="51">
        <v>0</v>
      </c>
      <c r="AX152" s="51">
        <v>0</v>
      </c>
      <c r="AY152" s="51">
        <v>0</v>
      </c>
      <c r="BA152" s="52">
        <v>0</v>
      </c>
      <c r="BB152" s="52">
        <v>0</v>
      </c>
      <c r="BC152" s="52">
        <v>0</v>
      </c>
    </row>
    <row r="153" spans="1:55" s="51" customFormat="1" x14ac:dyDescent="0.2">
      <c r="A153" s="50" t="s">
        <v>80</v>
      </c>
      <c r="B153" s="27">
        <v>0</v>
      </c>
      <c r="C153" s="51">
        <v>0</v>
      </c>
      <c r="D153" s="51">
        <v>0</v>
      </c>
      <c r="E153" s="51">
        <v>0</v>
      </c>
      <c r="G153" s="52">
        <v>0</v>
      </c>
      <c r="H153" s="52">
        <v>0</v>
      </c>
      <c r="I153" s="52">
        <v>0</v>
      </c>
      <c r="K153" s="27">
        <v>54</v>
      </c>
      <c r="L153" s="51">
        <v>43</v>
      </c>
      <c r="M153" s="51">
        <v>9</v>
      </c>
      <c r="N153" s="51">
        <v>2</v>
      </c>
      <c r="P153" s="52">
        <v>0.79629629629629628</v>
      </c>
      <c r="Q153" s="52">
        <v>0.16666666666666666</v>
      </c>
      <c r="R153" s="52">
        <v>3.7037037037037035E-2</v>
      </c>
      <c r="T153" s="27">
        <v>1010</v>
      </c>
      <c r="U153" s="51">
        <v>1010</v>
      </c>
      <c r="V153" s="51">
        <v>0</v>
      </c>
      <c r="W153" s="51">
        <v>0</v>
      </c>
      <c r="Y153" s="52">
        <v>1</v>
      </c>
      <c r="Z153" s="52">
        <v>0</v>
      </c>
      <c r="AA153" s="52">
        <v>0</v>
      </c>
      <c r="AD153" s="27">
        <v>0</v>
      </c>
      <c r="AE153" s="51">
        <v>0</v>
      </c>
      <c r="AF153" s="51">
        <v>0</v>
      </c>
      <c r="AG153" s="51">
        <v>0</v>
      </c>
      <c r="AI153" s="52">
        <v>0</v>
      </c>
      <c r="AJ153" s="52">
        <v>0</v>
      </c>
      <c r="AK153" s="52">
        <v>0</v>
      </c>
      <c r="AM153" s="27">
        <v>0</v>
      </c>
      <c r="AN153" s="51">
        <v>0</v>
      </c>
      <c r="AO153" s="51">
        <v>0</v>
      </c>
      <c r="AP153" s="51">
        <v>0</v>
      </c>
      <c r="AR153" s="52">
        <v>0</v>
      </c>
      <c r="AS153" s="52">
        <v>0</v>
      </c>
      <c r="AT153" s="52">
        <v>0</v>
      </c>
      <c r="AV153" s="27">
        <v>0</v>
      </c>
      <c r="AW153" s="51">
        <v>0</v>
      </c>
      <c r="AX153" s="51">
        <v>0</v>
      </c>
      <c r="AY153" s="51">
        <v>0</v>
      </c>
      <c r="BA153" s="52">
        <v>0</v>
      </c>
      <c r="BB153" s="52">
        <v>0</v>
      </c>
      <c r="BC153" s="52">
        <v>0</v>
      </c>
    </row>
    <row r="154" spans="1:55" s="51" customFormat="1" x14ac:dyDescent="0.2">
      <c r="A154" s="50" t="s">
        <v>34</v>
      </c>
      <c r="B154" s="27">
        <v>2943</v>
      </c>
      <c r="C154" s="51">
        <v>2943</v>
      </c>
      <c r="D154" s="51">
        <v>0</v>
      </c>
      <c r="E154" s="51">
        <v>0</v>
      </c>
      <c r="G154" s="52">
        <v>1</v>
      </c>
      <c r="H154" s="52">
        <v>0</v>
      </c>
      <c r="I154" s="52">
        <v>0</v>
      </c>
      <c r="K154" s="27">
        <v>348</v>
      </c>
      <c r="L154" s="51">
        <v>348</v>
      </c>
      <c r="M154" s="51">
        <v>0</v>
      </c>
      <c r="N154" s="51">
        <v>0</v>
      </c>
      <c r="P154" s="52">
        <v>1</v>
      </c>
      <c r="Q154" s="52">
        <v>0</v>
      </c>
      <c r="R154" s="52">
        <v>0</v>
      </c>
      <c r="T154" s="27">
        <v>9</v>
      </c>
      <c r="U154" s="51">
        <v>9</v>
      </c>
      <c r="V154" s="51">
        <v>0</v>
      </c>
      <c r="W154" s="51">
        <v>0</v>
      </c>
      <c r="Y154" s="52">
        <v>1</v>
      </c>
      <c r="Z154" s="52">
        <v>0</v>
      </c>
      <c r="AA154" s="52">
        <v>0</v>
      </c>
      <c r="AD154" s="27">
        <v>0</v>
      </c>
      <c r="AE154" s="51">
        <v>0</v>
      </c>
      <c r="AF154" s="51">
        <v>0</v>
      </c>
      <c r="AG154" s="51">
        <v>0</v>
      </c>
      <c r="AI154" s="52">
        <v>0</v>
      </c>
      <c r="AJ154" s="52">
        <v>0</v>
      </c>
      <c r="AK154" s="52">
        <v>0</v>
      </c>
      <c r="AM154" s="27">
        <v>0</v>
      </c>
      <c r="AN154" s="51">
        <v>0</v>
      </c>
      <c r="AO154" s="51">
        <v>0</v>
      </c>
      <c r="AP154" s="51">
        <v>0</v>
      </c>
      <c r="AR154" s="52">
        <v>0</v>
      </c>
      <c r="AS154" s="52">
        <v>0</v>
      </c>
      <c r="AT154" s="52">
        <v>0</v>
      </c>
      <c r="AV154" s="27">
        <v>0</v>
      </c>
      <c r="AW154" s="51">
        <v>0</v>
      </c>
      <c r="AX154" s="51">
        <v>0</v>
      </c>
      <c r="AY154" s="51">
        <v>0</v>
      </c>
      <c r="BA154" s="52">
        <v>0</v>
      </c>
      <c r="BB154" s="52">
        <v>0</v>
      </c>
      <c r="BC154" s="52">
        <v>0</v>
      </c>
    </row>
    <row r="155" spans="1:55" s="51" customFormat="1" x14ac:dyDescent="0.2">
      <c r="A155" s="50" t="s">
        <v>166</v>
      </c>
      <c r="B155" s="27">
        <v>130</v>
      </c>
      <c r="C155" s="51">
        <v>130</v>
      </c>
      <c r="D155" s="51">
        <v>0</v>
      </c>
      <c r="E155" s="51">
        <v>0</v>
      </c>
      <c r="G155" s="52">
        <v>1</v>
      </c>
      <c r="H155" s="52">
        <v>0</v>
      </c>
      <c r="I155" s="52">
        <v>0</v>
      </c>
      <c r="K155" s="27">
        <v>27</v>
      </c>
      <c r="L155" s="51">
        <v>27</v>
      </c>
      <c r="M155" s="51">
        <v>0</v>
      </c>
      <c r="N155" s="51">
        <v>0</v>
      </c>
      <c r="P155" s="52">
        <v>1</v>
      </c>
      <c r="Q155" s="52">
        <v>0</v>
      </c>
      <c r="R155" s="52">
        <v>0</v>
      </c>
      <c r="T155" s="27">
        <v>0</v>
      </c>
      <c r="U155" s="51">
        <v>0</v>
      </c>
      <c r="V155" s="51">
        <v>0</v>
      </c>
      <c r="W155" s="51">
        <v>0</v>
      </c>
      <c r="Y155" s="52">
        <v>0</v>
      </c>
      <c r="Z155" s="52">
        <v>0</v>
      </c>
      <c r="AA155" s="52">
        <v>0</v>
      </c>
      <c r="AD155" s="27">
        <v>0</v>
      </c>
      <c r="AE155" s="51">
        <v>0</v>
      </c>
      <c r="AF155" s="51">
        <v>0</v>
      </c>
      <c r="AG155" s="51">
        <v>0</v>
      </c>
      <c r="AI155" s="52">
        <v>0</v>
      </c>
      <c r="AJ155" s="52">
        <v>0</v>
      </c>
      <c r="AK155" s="52">
        <v>0</v>
      </c>
      <c r="AM155" s="27">
        <v>0</v>
      </c>
      <c r="AN155" s="51">
        <v>0</v>
      </c>
      <c r="AO155" s="51">
        <v>0</v>
      </c>
      <c r="AP155" s="51">
        <v>0</v>
      </c>
      <c r="AR155" s="52">
        <v>0</v>
      </c>
      <c r="AS155" s="52">
        <v>0</v>
      </c>
      <c r="AT155" s="52">
        <v>0</v>
      </c>
      <c r="AV155" s="27">
        <v>0</v>
      </c>
      <c r="AW155" s="51">
        <v>0</v>
      </c>
      <c r="AX155" s="51">
        <v>0</v>
      </c>
      <c r="AY155" s="51">
        <v>0</v>
      </c>
      <c r="BA155" s="52">
        <v>0</v>
      </c>
      <c r="BB155" s="52">
        <v>0</v>
      </c>
      <c r="BC155" s="52">
        <v>0</v>
      </c>
    </row>
    <row r="156" spans="1:55" s="51" customFormat="1" x14ac:dyDescent="0.2">
      <c r="A156" s="50" t="s">
        <v>36</v>
      </c>
      <c r="B156" s="27">
        <v>20683</v>
      </c>
      <c r="C156" s="51">
        <v>20683</v>
      </c>
      <c r="D156" s="51">
        <v>0</v>
      </c>
      <c r="E156" s="51">
        <v>0</v>
      </c>
      <c r="G156" s="52">
        <v>1</v>
      </c>
      <c r="H156" s="52">
        <v>0</v>
      </c>
      <c r="I156" s="52">
        <v>0</v>
      </c>
      <c r="K156" s="27">
        <v>2898</v>
      </c>
      <c r="L156" s="51">
        <v>2898</v>
      </c>
      <c r="M156" s="51">
        <v>0</v>
      </c>
      <c r="N156" s="51">
        <v>0</v>
      </c>
      <c r="P156" s="52">
        <v>1</v>
      </c>
      <c r="Q156" s="52">
        <v>0</v>
      </c>
      <c r="R156" s="52">
        <v>0</v>
      </c>
      <c r="T156" s="27">
        <v>45</v>
      </c>
      <c r="U156" s="51">
        <v>45</v>
      </c>
      <c r="V156" s="51">
        <v>0</v>
      </c>
      <c r="W156" s="51">
        <v>0</v>
      </c>
      <c r="Y156" s="52">
        <v>1</v>
      </c>
      <c r="Z156" s="52">
        <v>0</v>
      </c>
      <c r="AA156" s="52">
        <v>0</v>
      </c>
      <c r="AD156" s="27">
        <v>0</v>
      </c>
      <c r="AE156" s="51">
        <v>0</v>
      </c>
      <c r="AF156" s="51">
        <v>0</v>
      </c>
      <c r="AG156" s="51">
        <v>0</v>
      </c>
      <c r="AI156" s="52">
        <v>0</v>
      </c>
      <c r="AJ156" s="52">
        <v>0</v>
      </c>
      <c r="AK156" s="52">
        <v>0</v>
      </c>
      <c r="AM156" s="27">
        <v>0</v>
      </c>
      <c r="AN156" s="51">
        <v>0</v>
      </c>
      <c r="AO156" s="51">
        <v>0</v>
      </c>
      <c r="AP156" s="51">
        <v>0</v>
      </c>
      <c r="AR156" s="52">
        <v>0</v>
      </c>
      <c r="AS156" s="52">
        <v>0</v>
      </c>
      <c r="AT156" s="52">
        <v>0</v>
      </c>
      <c r="AV156" s="27">
        <v>0</v>
      </c>
      <c r="AW156" s="51">
        <v>0</v>
      </c>
      <c r="AX156" s="51">
        <v>0</v>
      </c>
      <c r="AY156" s="51">
        <v>0</v>
      </c>
      <c r="BA156" s="52">
        <v>0</v>
      </c>
      <c r="BB156" s="52">
        <v>0</v>
      </c>
      <c r="BC156" s="52">
        <v>0</v>
      </c>
    </row>
    <row r="157" spans="1:55" s="51" customFormat="1" x14ac:dyDescent="0.2">
      <c r="A157" s="50" t="s">
        <v>86</v>
      </c>
      <c r="B157" s="27">
        <v>0</v>
      </c>
      <c r="C157" s="51">
        <v>0</v>
      </c>
      <c r="D157" s="51">
        <v>0</v>
      </c>
      <c r="E157" s="51">
        <v>0</v>
      </c>
      <c r="G157" s="52">
        <v>0</v>
      </c>
      <c r="H157" s="52">
        <v>0</v>
      </c>
      <c r="I157" s="52">
        <v>0</v>
      </c>
      <c r="K157" s="27">
        <v>0</v>
      </c>
      <c r="L157" s="51">
        <v>0</v>
      </c>
      <c r="M157" s="51">
        <v>0</v>
      </c>
      <c r="N157" s="51">
        <v>0</v>
      </c>
      <c r="P157" s="52">
        <v>0</v>
      </c>
      <c r="Q157" s="52">
        <v>0</v>
      </c>
      <c r="R157" s="52">
        <v>0</v>
      </c>
      <c r="T157" s="27">
        <v>1</v>
      </c>
      <c r="U157" s="51">
        <v>1</v>
      </c>
      <c r="V157" s="51">
        <v>0</v>
      </c>
      <c r="W157" s="51">
        <v>0</v>
      </c>
      <c r="Y157" s="52">
        <v>1</v>
      </c>
      <c r="Z157" s="52">
        <v>0</v>
      </c>
      <c r="AA157" s="52">
        <v>0</v>
      </c>
      <c r="AD157" s="27">
        <v>0</v>
      </c>
      <c r="AE157" s="51">
        <v>0</v>
      </c>
      <c r="AF157" s="51">
        <v>0</v>
      </c>
      <c r="AG157" s="51">
        <v>0</v>
      </c>
      <c r="AI157" s="52">
        <v>0</v>
      </c>
      <c r="AJ157" s="52">
        <v>0</v>
      </c>
      <c r="AK157" s="52">
        <v>0</v>
      </c>
      <c r="AM157" s="27">
        <v>0</v>
      </c>
      <c r="AN157" s="51">
        <v>0</v>
      </c>
      <c r="AO157" s="51">
        <v>0</v>
      </c>
      <c r="AP157" s="51">
        <v>0</v>
      </c>
      <c r="AR157" s="52">
        <v>0</v>
      </c>
      <c r="AS157" s="52">
        <v>0</v>
      </c>
      <c r="AT157" s="52">
        <v>0</v>
      </c>
      <c r="AV157" s="27">
        <v>0</v>
      </c>
      <c r="AW157" s="51">
        <v>0</v>
      </c>
      <c r="AX157" s="51">
        <v>0</v>
      </c>
      <c r="AY157" s="51">
        <v>0</v>
      </c>
      <c r="BA157" s="52">
        <v>0</v>
      </c>
      <c r="BB157" s="52">
        <v>0</v>
      </c>
      <c r="BC157" s="52">
        <v>0</v>
      </c>
    </row>
    <row r="158" spans="1:55" s="51" customFormat="1" x14ac:dyDescent="0.2">
      <c r="A158" s="50" t="s">
        <v>38</v>
      </c>
      <c r="B158" s="27">
        <v>13346</v>
      </c>
      <c r="C158" s="51">
        <v>0</v>
      </c>
      <c r="D158" s="51">
        <v>13346</v>
      </c>
      <c r="E158" s="51">
        <v>0</v>
      </c>
      <c r="G158" s="52">
        <v>0</v>
      </c>
      <c r="H158" s="52">
        <v>1</v>
      </c>
      <c r="I158" s="52">
        <v>0</v>
      </c>
      <c r="K158" s="27">
        <v>60</v>
      </c>
      <c r="L158" s="51">
        <v>0</v>
      </c>
      <c r="M158" s="51">
        <v>60</v>
      </c>
      <c r="N158" s="51">
        <v>0</v>
      </c>
      <c r="P158" s="52">
        <v>0</v>
      </c>
      <c r="Q158" s="52">
        <v>1</v>
      </c>
      <c r="R158" s="52">
        <v>0</v>
      </c>
      <c r="T158" s="27">
        <v>0</v>
      </c>
      <c r="U158" s="51">
        <v>0</v>
      </c>
      <c r="V158" s="51">
        <v>0</v>
      </c>
      <c r="W158" s="51">
        <v>0</v>
      </c>
      <c r="Y158" s="52">
        <v>0</v>
      </c>
      <c r="Z158" s="52">
        <v>0</v>
      </c>
      <c r="AA158" s="52">
        <v>0</v>
      </c>
      <c r="AD158" s="27">
        <v>8304</v>
      </c>
      <c r="AE158" s="51">
        <v>0</v>
      </c>
      <c r="AF158" s="51">
        <v>8304</v>
      </c>
      <c r="AG158" s="51">
        <v>0</v>
      </c>
      <c r="AI158" s="52">
        <v>0</v>
      </c>
      <c r="AJ158" s="52">
        <v>1</v>
      </c>
      <c r="AK158" s="52">
        <v>0</v>
      </c>
      <c r="AM158" s="27">
        <v>0</v>
      </c>
      <c r="AN158" s="51">
        <v>0</v>
      </c>
      <c r="AO158" s="51">
        <v>0</v>
      </c>
      <c r="AP158" s="51">
        <v>0</v>
      </c>
      <c r="AR158" s="52">
        <v>0</v>
      </c>
      <c r="AS158" s="52">
        <v>0</v>
      </c>
      <c r="AT158" s="52">
        <v>0</v>
      </c>
      <c r="AV158" s="27">
        <v>0</v>
      </c>
      <c r="AW158" s="51">
        <v>0</v>
      </c>
      <c r="AX158" s="51">
        <v>0</v>
      </c>
      <c r="AY158" s="51">
        <v>0</v>
      </c>
      <c r="BA158" s="52">
        <v>0</v>
      </c>
      <c r="BB158" s="52">
        <v>0</v>
      </c>
      <c r="BC158" s="52">
        <v>0</v>
      </c>
    </row>
    <row r="159" spans="1:55" s="51" customFormat="1" x14ac:dyDescent="0.2">
      <c r="A159" s="50" t="s">
        <v>39</v>
      </c>
      <c r="B159" s="27">
        <v>977</v>
      </c>
      <c r="C159" s="51">
        <v>894</v>
      </c>
      <c r="D159" s="51">
        <v>83</v>
      </c>
      <c r="E159" s="51">
        <v>0</v>
      </c>
      <c r="G159" s="52">
        <v>0.91504605936540429</v>
      </c>
      <c r="H159" s="52">
        <v>8.4953940634595701E-2</v>
      </c>
      <c r="I159" s="52">
        <v>0</v>
      </c>
      <c r="K159" s="27">
        <v>4</v>
      </c>
      <c r="L159" s="51">
        <v>2</v>
      </c>
      <c r="M159" s="51">
        <v>2</v>
      </c>
      <c r="N159" s="51">
        <v>0</v>
      </c>
      <c r="P159" s="52">
        <v>0.5</v>
      </c>
      <c r="Q159" s="52">
        <v>0.5</v>
      </c>
      <c r="R159" s="52">
        <v>0</v>
      </c>
      <c r="T159" s="27">
        <v>0</v>
      </c>
      <c r="U159" s="51">
        <v>0</v>
      </c>
      <c r="V159" s="51">
        <v>0</v>
      </c>
      <c r="W159" s="51">
        <v>0</v>
      </c>
      <c r="Y159" s="52">
        <v>0</v>
      </c>
      <c r="Z159" s="52">
        <v>0</v>
      </c>
      <c r="AA159" s="52">
        <v>0</v>
      </c>
      <c r="AD159" s="27">
        <v>0</v>
      </c>
      <c r="AE159" s="51">
        <v>0</v>
      </c>
      <c r="AF159" s="51">
        <v>0</v>
      </c>
      <c r="AG159" s="51">
        <v>0</v>
      </c>
      <c r="AI159" s="52">
        <v>0</v>
      </c>
      <c r="AJ159" s="52">
        <v>0</v>
      </c>
      <c r="AK159" s="52">
        <v>0</v>
      </c>
      <c r="AM159" s="27">
        <v>0</v>
      </c>
      <c r="AN159" s="51">
        <v>0</v>
      </c>
      <c r="AO159" s="51">
        <v>0</v>
      </c>
      <c r="AP159" s="51">
        <v>0</v>
      </c>
      <c r="AR159" s="52">
        <v>0</v>
      </c>
      <c r="AS159" s="52">
        <v>0</v>
      </c>
      <c r="AT159" s="52">
        <v>0</v>
      </c>
      <c r="AV159" s="27">
        <v>0</v>
      </c>
      <c r="AW159" s="51">
        <v>0</v>
      </c>
      <c r="AX159" s="51">
        <v>0</v>
      </c>
      <c r="AY159" s="51">
        <v>0</v>
      </c>
      <c r="BA159" s="52">
        <v>0</v>
      </c>
      <c r="BB159" s="52">
        <v>0</v>
      </c>
      <c r="BC159" s="52">
        <v>0</v>
      </c>
    </row>
    <row r="160" spans="1:55" s="51" customFormat="1" x14ac:dyDescent="0.2">
      <c r="A160" s="50" t="s">
        <v>40</v>
      </c>
      <c r="B160" s="27">
        <v>0</v>
      </c>
      <c r="C160" s="51">
        <v>0</v>
      </c>
      <c r="D160" s="51">
        <v>0</v>
      </c>
      <c r="E160" s="51">
        <v>0</v>
      </c>
      <c r="G160" s="52">
        <v>0</v>
      </c>
      <c r="H160" s="52">
        <v>0</v>
      </c>
      <c r="I160" s="52">
        <v>0</v>
      </c>
      <c r="K160" s="27">
        <v>20</v>
      </c>
      <c r="L160" s="51">
        <v>0</v>
      </c>
      <c r="M160" s="51">
        <v>20</v>
      </c>
      <c r="N160" s="51">
        <v>0</v>
      </c>
      <c r="P160" s="52">
        <v>0</v>
      </c>
      <c r="Q160" s="52">
        <v>1</v>
      </c>
      <c r="R160" s="52">
        <v>0</v>
      </c>
      <c r="T160" s="27">
        <v>471</v>
      </c>
      <c r="U160" s="51">
        <v>470</v>
      </c>
      <c r="V160" s="51">
        <v>1</v>
      </c>
      <c r="W160" s="51">
        <v>0</v>
      </c>
      <c r="Y160" s="52">
        <v>0.99787685774946921</v>
      </c>
      <c r="Z160" s="52">
        <v>2.1231422505307855E-3</v>
      </c>
      <c r="AA160" s="52">
        <v>0</v>
      </c>
      <c r="AD160" s="27">
        <v>0</v>
      </c>
      <c r="AE160" s="51">
        <v>0</v>
      </c>
      <c r="AF160" s="51">
        <v>0</v>
      </c>
      <c r="AG160" s="51">
        <v>0</v>
      </c>
      <c r="AI160" s="52">
        <v>0</v>
      </c>
      <c r="AJ160" s="52">
        <v>0</v>
      </c>
      <c r="AK160" s="52">
        <v>0</v>
      </c>
      <c r="AM160" s="27">
        <v>0</v>
      </c>
      <c r="AN160" s="51">
        <v>0</v>
      </c>
      <c r="AO160" s="51">
        <v>0</v>
      </c>
      <c r="AP160" s="51">
        <v>0</v>
      </c>
      <c r="AR160" s="52">
        <v>0</v>
      </c>
      <c r="AS160" s="52">
        <v>0</v>
      </c>
      <c r="AT160" s="52">
        <v>0</v>
      </c>
      <c r="AV160" s="27">
        <v>0</v>
      </c>
      <c r="AW160" s="51">
        <v>0</v>
      </c>
      <c r="AX160" s="51">
        <v>0</v>
      </c>
      <c r="AY160" s="51">
        <v>0</v>
      </c>
      <c r="BA160" s="52">
        <v>0</v>
      </c>
      <c r="BB160" s="52">
        <v>0</v>
      </c>
      <c r="BC160" s="52">
        <v>0</v>
      </c>
    </row>
    <row r="161" spans="1:55" s="51" customFormat="1" x14ac:dyDescent="0.2">
      <c r="A161" s="50" t="s">
        <v>41</v>
      </c>
      <c r="B161" s="27">
        <v>0</v>
      </c>
      <c r="C161" s="51">
        <v>0</v>
      </c>
      <c r="D161" s="51">
        <v>0</v>
      </c>
      <c r="E161" s="51">
        <v>0</v>
      </c>
      <c r="G161" s="52">
        <v>0</v>
      </c>
      <c r="H161" s="52">
        <v>0</v>
      </c>
      <c r="I161" s="52">
        <v>0</v>
      </c>
      <c r="K161" s="27">
        <v>964</v>
      </c>
      <c r="L161" s="51">
        <v>940</v>
      </c>
      <c r="M161" s="51">
        <v>19</v>
      </c>
      <c r="N161" s="51">
        <v>5</v>
      </c>
      <c r="P161" s="52">
        <v>0.975103734439834</v>
      </c>
      <c r="Q161" s="52">
        <v>1.970954356846473E-2</v>
      </c>
      <c r="R161" s="52">
        <v>5.1867219917012446E-3</v>
      </c>
      <c r="T161" s="27">
        <v>40</v>
      </c>
      <c r="U161" s="51">
        <v>40</v>
      </c>
      <c r="V161" s="51">
        <v>0</v>
      </c>
      <c r="W161" s="51">
        <v>0</v>
      </c>
      <c r="Y161" s="52">
        <v>1</v>
      </c>
      <c r="Z161" s="52">
        <v>0</v>
      </c>
      <c r="AA161" s="52">
        <v>0</v>
      </c>
      <c r="AD161" s="27">
        <v>0</v>
      </c>
      <c r="AE161" s="51">
        <v>0</v>
      </c>
      <c r="AF161" s="51">
        <v>0</v>
      </c>
      <c r="AG161" s="51">
        <v>0</v>
      </c>
      <c r="AI161" s="52">
        <v>0</v>
      </c>
      <c r="AJ161" s="52">
        <v>0</v>
      </c>
      <c r="AK161" s="52">
        <v>0</v>
      </c>
      <c r="AM161" s="27">
        <v>0</v>
      </c>
      <c r="AN161" s="51">
        <v>0</v>
      </c>
      <c r="AO161" s="51">
        <v>0</v>
      </c>
      <c r="AP161" s="51">
        <v>0</v>
      </c>
      <c r="AR161" s="52">
        <v>0</v>
      </c>
      <c r="AS161" s="52">
        <v>0</v>
      </c>
      <c r="AT161" s="52">
        <v>0</v>
      </c>
      <c r="AV161" s="27">
        <v>0</v>
      </c>
      <c r="AW161" s="51">
        <v>0</v>
      </c>
      <c r="AX161" s="51">
        <v>0</v>
      </c>
      <c r="AY161" s="51">
        <v>0</v>
      </c>
      <c r="BA161" s="52">
        <v>0</v>
      </c>
      <c r="BB161" s="52">
        <v>0</v>
      </c>
      <c r="BC161" s="52">
        <v>0</v>
      </c>
    </row>
    <row r="162" spans="1:55" s="51" customFormat="1" x14ac:dyDescent="0.2">
      <c r="A162" s="50" t="s">
        <v>42</v>
      </c>
      <c r="B162" s="27">
        <v>901</v>
      </c>
      <c r="C162" s="51">
        <v>901</v>
      </c>
      <c r="D162" s="51">
        <v>0</v>
      </c>
      <c r="E162" s="51">
        <v>0</v>
      </c>
      <c r="G162" s="52">
        <v>1</v>
      </c>
      <c r="H162" s="52">
        <v>0</v>
      </c>
      <c r="I162" s="52">
        <v>0</v>
      </c>
      <c r="K162" s="27">
        <v>93</v>
      </c>
      <c r="L162" s="51">
        <v>93</v>
      </c>
      <c r="M162" s="51">
        <v>0</v>
      </c>
      <c r="N162" s="51">
        <v>0</v>
      </c>
      <c r="P162" s="52">
        <v>1</v>
      </c>
      <c r="Q162" s="52">
        <v>0</v>
      </c>
      <c r="R162" s="52">
        <v>0</v>
      </c>
      <c r="T162" s="27">
        <v>0</v>
      </c>
      <c r="U162" s="51">
        <v>0</v>
      </c>
      <c r="V162" s="51">
        <v>0</v>
      </c>
      <c r="W162" s="51">
        <v>0</v>
      </c>
      <c r="Y162" s="52">
        <v>0</v>
      </c>
      <c r="Z162" s="52">
        <v>0</v>
      </c>
      <c r="AA162" s="52">
        <v>0</v>
      </c>
      <c r="AD162" s="27">
        <v>0</v>
      </c>
      <c r="AE162" s="51">
        <v>0</v>
      </c>
      <c r="AF162" s="51">
        <v>0</v>
      </c>
      <c r="AG162" s="51">
        <v>0</v>
      </c>
      <c r="AI162" s="52">
        <v>0</v>
      </c>
      <c r="AJ162" s="52">
        <v>0</v>
      </c>
      <c r="AK162" s="52">
        <v>0</v>
      </c>
      <c r="AM162" s="27">
        <v>0</v>
      </c>
      <c r="AN162" s="51">
        <v>0</v>
      </c>
      <c r="AO162" s="51">
        <v>0</v>
      </c>
      <c r="AP162" s="51">
        <v>0</v>
      </c>
      <c r="AR162" s="52">
        <v>0</v>
      </c>
      <c r="AS162" s="52">
        <v>0</v>
      </c>
      <c r="AT162" s="52">
        <v>0</v>
      </c>
      <c r="AV162" s="27">
        <v>0</v>
      </c>
      <c r="AW162" s="51">
        <v>0</v>
      </c>
      <c r="AX162" s="51">
        <v>0</v>
      </c>
      <c r="AY162" s="51">
        <v>0</v>
      </c>
      <c r="BA162" s="52">
        <v>0</v>
      </c>
      <c r="BB162" s="52">
        <v>0</v>
      </c>
      <c r="BC162" s="52">
        <v>0</v>
      </c>
    </row>
    <row r="163" spans="1:55" s="51" customFormat="1" x14ac:dyDescent="0.2">
      <c r="A163" s="50" t="s">
        <v>43</v>
      </c>
      <c r="B163" s="27">
        <v>593029</v>
      </c>
      <c r="C163" s="51">
        <v>482192</v>
      </c>
      <c r="D163" s="51">
        <v>109177</v>
      </c>
      <c r="E163" s="51">
        <v>1660</v>
      </c>
      <c r="G163" s="52">
        <v>0.81310020251960702</v>
      </c>
      <c r="H163" s="52">
        <v>0.18410060890782745</v>
      </c>
      <c r="I163" s="52">
        <v>2.7991885725655911E-3</v>
      </c>
      <c r="K163" s="27">
        <v>49666</v>
      </c>
      <c r="L163" s="51">
        <v>33192</v>
      </c>
      <c r="M163" s="51">
        <v>15866</v>
      </c>
      <c r="N163" s="51">
        <v>608</v>
      </c>
      <c r="P163" s="52">
        <v>0.66830427254057101</v>
      </c>
      <c r="Q163" s="52">
        <v>0.31945395240204566</v>
      </c>
      <c r="R163" s="52">
        <v>1.224177505738332E-2</v>
      </c>
      <c r="T163" s="27">
        <v>5349</v>
      </c>
      <c r="U163" s="51">
        <v>5051</v>
      </c>
      <c r="V163" s="51">
        <v>293</v>
      </c>
      <c r="W163" s="51">
        <v>5</v>
      </c>
      <c r="Y163" s="52">
        <v>0.94428865208450175</v>
      </c>
      <c r="Z163" s="52">
        <v>5.4776593755842214E-2</v>
      </c>
      <c r="AA163" s="52">
        <v>9.3475415965601051E-4</v>
      </c>
      <c r="AD163" s="27">
        <v>104149</v>
      </c>
      <c r="AE163" s="51">
        <v>80103</v>
      </c>
      <c r="AF163" s="51">
        <v>22170</v>
      </c>
      <c r="AG163" s="51">
        <v>1876</v>
      </c>
      <c r="AI163" s="52">
        <v>0.76911924262354892</v>
      </c>
      <c r="AJ163" s="52">
        <v>0.21286810243017215</v>
      </c>
      <c r="AK163" s="52">
        <v>1.8012654946278888E-2</v>
      </c>
      <c r="AM163" s="27">
        <v>14521</v>
      </c>
      <c r="AN163" s="51">
        <v>10518</v>
      </c>
      <c r="AO163" s="51">
        <v>3451</v>
      </c>
      <c r="AP163" s="51">
        <v>552</v>
      </c>
      <c r="AR163" s="52">
        <v>0.72433028028372703</v>
      </c>
      <c r="AS163" s="52">
        <v>0.23765580882859308</v>
      </c>
      <c r="AT163" s="52">
        <v>3.8013910887679914E-2</v>
      </c>
      <c r="AV163" s="27">
        <v>420</v>
      </c>
      <c r="AW163" s="51">
        <v>302</v>
      </c>
      <c r="AX163" s="51">
        <v>109</v>
      </c>
      <c r="AY163" s="51">
        <v>9</v>
      </c>
      <c r="BA163" s="52">
        <v>0.71904761904761905</v>
      </c>
      <c r="BB163" s="52">
        <v>0.25952380952380955</v>
      </c>
      <c r="BC163" s="52">
        <v>2.1428571428571429E-2</v>
      </c>
    </row>
    <row r="164" spans="1:55" s="51" customFormat="1" x14ac:dyDescent="0.2">
      <c r="A164" s="50" t="s">
        <v>87</v>
      </c>
      <c r="B164" s="27">
        <v>0</v>
      </c>
      <c r="C164" s="51">
        <v>0</v>
      </c>
      <c r="D164" s="51">
        <v>0</v>
      </c>
      <c r="E164" s="51">
        <v>0</v>
      </c>
      <c r="G164" s="52">
        <v>0</v>
      </c>
      <c r="H164" s="52">
        <v>0</v>
      </c>
      <c r="I164" s="52">
        <v>0</v>
      </c>
      <c r="K164" s="27">
        <v>0</v>
      </c>
      <c r="L164" s="51">
        <v>0</v>
      </c>
      <c r="M164" s="51">
        <v>0</v>
      </c>
      <c r="N164" s="51">
        <v>0</v>
      </c>
      <c r="P164" s="52">
        <v>0</v>
      </c>
      <c r="Q164" s="52">
        <v>0</v>
      </c>
      <c r="R164" s="52">
        <v>0</v>
      </c>
      <c r="T164" s="27">
        <v>18</v>
      </c>
      <c r="U164" s="51">
        <v>18</v>
      </c>
      <c r="V164" s="51">
        <v>0</v>
      </c>
      <c r="W164" s="51">
        <v>0</v>
      </c>
      <c r="Y164" s="52">
        <v>1</v>
      </c>
      <c r="Z164" s="52">
        <v>0</v>
      </c>
      <c r="AA164" s="52">
        <v>0</v>
      </c>
      <c r="AD164" s="27">
        <v>0</v>
      </c>
      <c r="AE164" s="51">
        <v>0</v>
      </c>
      <c r="AF164" s="51">
        <v>0</v>
      </c>
      <c r="AG164" s="51">
        <v>0</v>
      </c>
      <c r="AI164" s="52">
        <v>0</v>
      </c>
      <c r="AJ164" s="52">
        <v>0</v>
      </c>
      <c r="AK164" s="52">
        <v>0</v>
      </c>
      <c r="AM164" s="27">
        <v>0</v>
      </c>
      <c r="AN164" s="51">
        <v>0</v>
      </c>
      <c r="AO164" s="51">
        <v>0</v>
      </c>
      <c r="AP164" s="51">
        <v>0</v>
      </c>
      <c r="AR164" s="52">
        <v>0</v>
      </c>
      <c r="AS164" s="52">
        <v>0</v>
      </c>
      <c r="AT164" s="52">
        <v>0</v>
      </c>
      <c r="AV164" s="27">
        <v>0</v>
      </c>
      <c r="AW164" s="51">
        <v>0</v>
      </c>
      <c r="AX164" s="51">
        <v>0</v>
      </c>
      <c r="AY164" s="51">
        <v>0</v>
      </c>
      <c r="BA164" s="52">
        <v>0</v>
      </c>
      <c r="BB164" s="52">
        <v>0</v>
      </c>
      <c r="BC164" s="52">
        <v>0</v>
      </c>
    </row>
    <row r="165" spans="1:55" s="51" customFormat="1" x14ac:dyDescent="0.2">
      <c r="A165" s="50" t="s">
        <v>44</v>
      </c>
      <c r="B165" s="27">
        <v>97</v>
      </c>
      <c r="C165" s="51">
        <v>96</v>
      </c>
      <c r="D165" s="51">
        <v>1</v>
      </c>
      <c r="E165" s="51">
        <v>0</v>
      </c>
      <c r="G165" s="52">
        <v>0.98969072164948457</v>
      </c>
      <c r="H165" s="52">
        <v>1.0309278350515464E-2</v>
      </c>
      <c r="I165" s="52">
        <v>0</v>
      </c>
      <c r="K165" s="27">
        <v>0</v>
      </c>
      <c r="L165" s="51">
        <v>0</v>
      </c>
      <c r="M165" s="51">
        <v>0</v>
      </c>
      <c r="N165" s="51">
        <v>0</v>
      </c>
      <c r="P165" s="52">
        <v>0</v>
      </c>
      <c r="Q165" s="52">
        <v>0</v>
      </c>
      <c r="R165" s="52">
        <v>0</v>
      </c>
      <c r="T165" s="27">
        <v>0</v>
      </c>
      <c r="U165" s="51">
        <v>0</v>
      </c>
      <c r="V165" s="51">
        <v>0</v>
      </c>
      <c r="W165" s="51">
        <v>0</v>
      </c>
      <c r="Y165" s="52">
        <v>0</v>
      </c>
      <c r="Z165" s="52">
        <v>0</v>
      </c>
      <c r="AA165" s="52">
        <v>0</v>
      </c>
      <c r="AD165" s="27">
        <v>0</v>
      </c>
      <c r="AE165" s="51">
        <v>0</v>
      </c>
      <c r="AF165" s="51">
        <v>0</v>
      </c>
      <c r="AG165" s="51">
        <v>0</v>
      </c>
      <c r="AI165" s="52">
        <v>0</v>
      </c>
      <c r="AJ165" s="52">
        <v>0</v>
      </c>
      <c r="AK165" s="52">
        <v>0</v>
      </c>
      <c r="AM165" s="27">
        <v>0</v>
      </c>
      <c r="AN165" s="51">
        <v>0</v>
      </c>
      <c r="AO165" s="51">
        <v>0</v>
      </c>
      <c r="AP165" s="51">
        <v>0</v>
      </c>
      <c r="AR165" s="52">
        <v>0</v>
      </c>
      <c r="AS165" s="52">
        <v>0</v>
      </c>
      <c r="AT165" s="52">
        <v>0</v>
      </c>
      <c r="AV165" s="27">
        <v>0</v>
      </c>
      <c r="AW165" s="51">
        <v>0</v>
      </c>
      <c r="AX165" s="51">
        <v>0</v>
      </c>
      <c r="AY165" s="51">
        <v>0</v>
      </c>
      <c r="BA165" s="52">
        <v>0</v>
      </c>
      <c r="BB165" s="52">
        <v>0</v>
      </c>
      <c r="BC165" s="52">
        <v>0</v>
      </c>
    </row>
    <row r="166" spans="1:55" s="51" customFormat="1" x14ac:dyDescent="0.2">
      <c r="A166" s="50" t="s">
        <v>46</v>
      </c>
      <c r="B166" s="27">
        <v>166</v>
      </c>
      <c r="C166" s="51">
        <v>166</v>
      </c>
      <c r="D166" s="51">
        <v>0</v>
      </c>
      <c r="E166" s="51">
        <v>0</v>
      </c>
      <c r="G166" s="52">
        <v>1</v>
      </c>
      <c r="H166" s="52">
        <v>0</v>
      </c>
      <c r="I166" s="52">
        <v>0</v>
      </c>
      <c r="K166" s="27">
        <v>16</v>
      </c>
      <c r="L166" s="51">
        <v>16</v>
      </c>
      <c r="M166" s="51">
        <v>0</v>
      </c>
      <c r="N166" s="51">
        <v>0</v>
      </c>
      <c r="P166" s="52">
        <v>1</v>
      </c>
      <c r="Q166" s="52">
        <v>0</v>
      </c>
      <c r="R166" s="52">
        <v>0</v>
      </c>
      <c r="T166" s="27">
        <v>0</v>
      </c>
      <c r="U166" s="51">
        <v>0</v>
      </c>
      <c r="V166" s="51">
        <v>0</v>
      </c>
      <c r="W166" s="51">
        <v>0</v>
      </c>
      <c r="Y166" s="52">
        <v>0</v>
      </c>
      <c r="Z166" s="52">
        <v>0</v>
      </c>
      <c r="AA166" s="52">
        <v>0</v>
      </c>
      <c r="AD166" s="27">
        <v>0</v>
      </c>
      <c r="AE166" s="51">
        <v>0</v>
      </c>
      <c r="AF166" s="51">
        <v>0</v>
      </c>
      <c r="AG166" s="51">
        <v>0</v>
      </c>
      <c r="AI166" s="52">
        <v>0</v>
      </c>
      <c r="AJ166" s="52">
        <v>0</v>
      </c>
      <c r="AK166" s="52">
        <v>0</v>
      </c>
      <c r="AM166" s="27">
        <v>0</v>
      </c>
      <c r="AN166" s="51">
        <v>0</v>
      </c>
      <c r="AO166" s="51">
        <v>0</v>
      </c>
      <c r="AP166" s="51">
        <v>0</v>
      </c>
      <c r="AR166" s="52">
        <v>0</v>
      </c>
      <c r="AS166" s="52">
        <v>0</v>
      </c>
      <c r="AT166" s="52">
        <v>0</v>
      </c>
      <c r="AV166" s="27">
        <v>0</v>
      </c>
      <c r="AW166" s="51">
        <v>0</v>
      </c>
      <c r="AX166" s="51">
        <v>0</v>
      </c>
      <c r="AY166" s="51">
        <v>0</v>
      </c>
      <c r="BA166" s="52">
        <v>0</v>
      </c>
      <c r="BB166" s="52">
        <v>0</v>
      </c>
      <c r="BC166" s="52">
        <v>0</v>
      </c>
    </row>
    <row r="167" spans="1:55" s="51" customFormat="1" x14ac:dyDescent="0.2">
      <c r="A167" s="50" t="s">
        <v>126</v>
      </c>
      <c r="B167" s="27">
        <v>9281</v>
      </c>
      <c r="C167" s="51">
        <v>9051</v>
      </c>
      <c r="D167" s="51">
        <v>207</v>
      </c>
      <c r="E167" s="51">
        <v>23</v>
      </c>
      <c r="G167" s="52">
        <v>0.97521818769529145</v>
      </c>
      <c r="H167" s="52">
        <v>2.230363107423769E-2</v>
      </c>
      <c r="I167" s="52">
        <v>2.4781812304708545E-3</v>
      </c>
      <c r="K167" s="27">
        <v>5374</v>
      </c>
      <c r="L167" s="51">
        <v>4370</v>
      </c>
      <c r="M167" s="51">
        <v>942</v>
      </c>
      <c r="N167" s="51">
        <v>62</v>
      </c>
      <c r="P167" s="52">
        <v>0.81317454410122814</v>
      </c>
      <c r="Q167" s="52">
        <v>0.17528842575362857</v>
      </c>
      <c r="R167" s="52">
        <v>1.1537030145143283E-2</v>
      </c>
      <c r="T167" s="27">
        <v>60</v>
      </c>
      <c r="U167" s="51">
        <v>55</v>
      </c>
      <c r="V167" s="51">
        <v>5</v>
      </c>
      <c r="W167" s="51">
        <v>0</v>
      </c>
      <c r="Y167" s="52">
        <v>0.91666666666666663</v>
      </c>
      <c r="Z167" s="52">
        <v>8.3333333333333329E-2</v>
      </c>
      <c r="AA167" s="52">
        <v>0</v>
      </c>
      <c r="AD167" s="27">
        <v>0</v>
      </c>
      <c r="AE167" s="51">
        <v>0</v>
      </c>
      <c r="AF167" s="51">
        <v>0</v>
      </c>
      <c r="AG167" s="51">
        <v>0</v>
      </c>
      <c r="AI167" s="52">
        <v>0</v>
      </c>
      <c r="AJ167" s="52">
        <v>0</v>
      </c>
      <c r="AK167" s="52">
        <v>0</v>
      </c>
      <c r="AM167" s="27">
        <v>0</v>
      </c>
      <c r="AN167" s="51">
        <v>0</v>
      </c>
      <c r="AO167" s="51">
        <v>0</v>
      </c>
      <c r="AP167" s="51">
        <v>0</v>
      </c>
      <c r="AR167" s="52">
        <v>0</v>
      </c>
      <c r="AS167" s="52">
        <v>0</v>
      </c>
      <c r="AT167" s="52">
        <v>0</v>
      </c>
      <c r="AV167" s="27">
        <v>0</v>
      </c>
      <c r="AW167" s="51">
        <v>0</v>
      </c>
      <c r="AX167" s="51">
        <v>0</v>
      </c>
      <c r="AY167" s="51">
        <v>0</v>
      </c>
      <c r="BA167" s="52">
        <v>0</v>
      </c>
      <c r="BB167" s="52">
        <v>0</v>
      </c>
      <c r="BC167" s="52">
        <v>0</v>
      </c>
    </row>
    <row r="168" spans="1:55" s="51" customFormat="1" x14ac:dyDescent="0.2">
      <c r="A168" s="50" t="s">
        <v>47</v>
      </c>
      <c r="B168" s="27">
        <v>87</v>
      </c>
      <c r="C168" s="51">
        <v>83</v>
      </c>
      <c r="D168" s="51">
        <v>0</v>
      </c>
      <c r="E168" s="51">
        <v>4</v>
      </c>
      <c r="G168" s="52">
        <v>0.95402298850574707</v>
      </c>
      <c r="H168" s="52">
        <v>0</v>
      </c>
      <c r="I168" s="52">
        <v>4.5977011494252873E-2</v>
      </c>
      <c r="K168" s="27">
        <v>3</v>
      </c>
      <c r="L168" s="51">
        <v>3</v>
      </c>
      <c r="M168" s="51">
        <v>0</v>
      </c>
      <c r="N168" s="51">
        <v>0</v>
      </c>
      <c r="P168" s="52">
        <v>1</v>
      </c>
      <c r="Q168" s="52">
        <v>0</v>
      </c>
      <c r="R168" s="52">
        <v>0</v>
      </c>
      <c r="T168" s="27">
        <v>0</v>
      </c>
      <c r="U168" s="51">
        <v>0</v>
      </c>
      <c r="V168" s="51">
        <v>0</v>
      </c>
      <c r="W168" s="51">
        <v>0</v>
      </c>
      <c r="Y168" s="52">
        <v>0</v>
      </c>
      <c r="Z168" s="52">
        <v>0</v>
      </c>
      <c r="AA168" s="52">
        <v>0</v>
      </c>
      <c r="AD168" s="27">
        <v>0</v>
      </c>
      <c r="AE168" s="51">
        <v>0</v>
      </c>
      <c r="AF168" s="51">
        <v>0</v>
      </c>
      <c r="AG168" s="51">
        <v>0</v>
      </c>
      <c r="AI168" s="52">
        <v>0</v>
      </c>
      <c r="AJ168" s="52">
        <v>0</v>
      </c>
      <c r="AK168" s="52">
        <v>0</v>
      </c>
      <c r="AM168" s="27">
        <v>0</v>
      </c>
      <c r="AN168" s="51">
        <v>0</v>
      </c>
      <c r="AO168" s="51">
        <v>0</v>
      </c>
      <c r="AP168" s="51">
        <v>0</v>
      </c>
      <c r="AR168" s="52">
        <v>0</v>
      </c>
      <c r="AS168" s="52">
        <v>0</v>
      </c>
      <c r="AT168" s="52">
        <v>0</v>
      </c>
      <c r="AV168" s="27">
        <v>0</v>
      </c>
      <c r="AW168" s="51">
        <v>0</v>
      </c>
      <c r="AX168" s="51">
        <v>0</v>
      </c>
      <c r="AY168" s="51">
        <v>0</v>
      </c>
      <c r="BA168" s="52">
        <v>0</v>
      </c>
      <c r="BB168" s="52">
        <v>0</v>
      </c>
      <c r="BC168" s="52">
        <v>0</v>
      </c>
    </row>
    <row r="169" spans="1:55" s="51" customFormat="1" x14ac:dyDescent="0.2">
      <c r="A169" s="50" t="s">
        <v>48</v>
      </c>
      <c r="B169" s="27">
        <v>8995</v>
      </c>
      <c r="C169" s="51">
        <v>8923</v>
      </c>
      <c r="D169" s="51">
        <v>0</v>
      </c>
      <c r="E169" s="51">
        <v>72</v>
      </c>
      <c r="G169" s="52">
        <v>0.99199555308504728</v>
      </c>
      <c r="H169" s="52">
        <v>0</v>
      </c>
      <c r="I169" s="52">
        <v>8.0044469149527508E-3</v>
      </c>
      <c r="K169" s="27">
        <v>101</v>
      </c>
      <c r="L169" s="51">
        <v>77</v>
      </c>
      <c r="M169" s="51">
        <v>0</v>
      </c>
      <c r="N169" s="51">
        <v>24</v>
      </c>
      <c r="P169" s="52">
        <v>0.76237623762376239</v>
      </c>
      <c r="Q169" s="52">
        <v>0</v>
      </c>
      <c r="R169" s="52">
        <v>0.23762376237623761</v>
      </c>
      <c r="T169" s="27">
        <v>8</v>
      </c>
      <c r="U169" s="51">
        <v>8</v>
      </c>
      <c r="V169" s="51">
        <v>0</v>
      </c>
      <c r="W169" s="51">
        <v>0</v>
      </c>
      <c r="Y169" s="52">
        <v>1</v>
      </c>
      <c r="Z169" s="52">
        <v>0</v>
      </c>
      <c r="AA169" s="52">
        <v>0</v>
      </c>
      <c r="AD169" s="27">
        <v>0</v>
      </c>
      <c r="AE169" s="51">
        <v>0</v>
      </c>
      <c r="AF169" s="51">
        <v>0</v>
      </c>
      <c r="AG169" s="51">
        <v>0</v>
      </c>
      <c r="AI169" s="52">
        <v>0</v>
      </c>
      <c r="AJ169" s="52">
        <v>0</v>
      </c>
      <c r="AK169" s="52">
        <v>0</v>
      </c>
      <c r="AM169" s="27">
        <v>0</v>
      </c>
      <c r="AN169" s="51">
        <v>0</v>
      </c>
      <c r="AO169" s="51">
        <v>0</v>
      </c>
      <c r="AP169" s="51">
        <v>0</v>
      </c>
      <c r="AR169" s="52">
        <v>0</v>
      </c>
      <c r="AS169" s="52">
        <v>0</v>
      </c>
      <c r="AT169" s="52">
        <v>0</v>
      </c>
      <c r="AV169" s="27">
        <v>0</v>
      </c>
      <c r="AW169" s="51">
        <v>0</v>
      </c>
      <c r="AX169" s="51">
        <v>0</v>
      </c>
      <c r="AY169" s="51">
        <v>0</v>
      </c>
      <c r="BA169" s="52">
        <v>0</v>
      </c>
      <c r="BB169" s="52">
        <v>0</v>
      </c>
      <c r="BC169" s="52">
        <v>0</v>
      </c>
    </row>
    <row r="170" spans="1:55" s="51" customFormat="1" x14ac:dyDescent="0.2">
      <c r="A170" s="50" t="s">
        <v>88</v>
      </c>
      <c r="B170" s="27">
        <v>0</v>
      </c>
      <c r="C170" s="51">
        <v>0</v>
      </c>
      <c r="D170" s="51">
        <v>0</v>
      </c>
      <c r="E170" s="51">
        <v>0</v>
      </c>
      <c r="G170" s="52">
        <v>0</v>
      </c>
      <c r="H170" s="52">
        <v>0</v>
      </c>
      <c r="I170" s="52">
        <v>0</v>
      </c>
      <c r="K170" s="27">
        <v>0</v>
      </c>
      <c r="L170" s="51">
        <v>0</v>
      </c>
      <c r="M170" s="51">
        <v>0</v>
      </c>
      <c r="N170" s="51">
        <v>0</v>
      </c>
      <c r="P170" s="52">
        <v>0</v>
      </c>
      <c r="Q170" s="52">
        <v>0</v>
      </c>
      <c r="R170" s="52">
        <v>0</v>
      </c>
      <c r="T170" s="27">
        <v>18</v>
      </c>
      <c r="U170" s="51">
        <v>18</v>
      </c>
      <c r="V170" s="51">
        <v>0</v>
      </c>
      <c r="W170" s="51">
        <v>0</v>
      </c>
      <c r="Y170" s="52">
        <v>1</v>
      </c>
      <c r="Z170" s="52">
        <v>0</v>
      </c>
      <c r="AA170" s="52">
        <v>0</v>
      </c>
      <c r="AD170" s="27">
        <v>0</v>
      </c>
      <c r="AE170" s="51">
        <v>0</v>
      </c>
      <c r="AF170" s="51">
        <v>0</v>
      </c>
      <c r="AG170" s="51">
        <v>0</v>
      </c>
      <c r="AI170" s="52">
        <v>0</v>
      </c>
      <c r="AJ170" s="52">
        <v>0</v>
      </c>
      <c r="AK170" s="52">
        <v>0</v>
      </c>
      <c r="AM170" s="27">
        <v>0</v>
      </c>
      <c r="AN170" s="51">
        <v>0</v>
      </c>
      <c r="AO170" s="51">
        <v>0</v>
      </c>
      <c r="AP170" s="51">
        <v>0</v>
      </c>
      <c r="AR170" s="52">
        <v>0</v>
      </c>
      <c r="AS170" s="52">
        <v>0</v>
      </c>
      <c r="AT170" s="52">
        <v>0</v>
      </c>
      <c r="AV170" s="27">
        <v>0</v>
      </c>
      <c r="AW170" s="51">
        <v>0</v>
      </c>
      <c r="AX170" s="51">
        <v>0</v>
      </c>
      <c r="AY170" s="51">
        <v>0</v>
      </c>
      <c r="BA170" s="52">
        <v>0</v>
      </c>
      <c r="BB170" s="52">
        <v>0</v>
      </c>
      <c r="BC170" s="52">
        <v>0</v>
      </c>
    </row>
    <row r="171" spans="1:55" s="51" customFormat="1" x14ac:dyDescent="0.2">
      <c r="A171" s="50" t="s">
        <v>49</v>
      </c>
      <c r="B171" s="27">
        <v>1987</v>
      </c>
      <c r="C171" s="51">
        <v>1781</v>
      </c>
      <c r="D171" s="51">
        <v>206</v>
      </c>
      <c r="E171" s="51">
        <v>0</v>
      </c>
      <c r="G171" s="52">
        <v>0.89632611977856069</v>
      </c>
      <c r="H171" s="52">
        <v>0.10367388022143935</v>
      </c>
      <c r="I171" s="52">
        <v>0</v>
      </c>
      <c r="K171" s="27">
        <v>4101</v>
      </c>
      <c r="L171" s="51">
        <v>2562</v>
      </c>
      <c r="M171" s="51">
        <v>1533</v>
      </c>
      <c r="N171" s="51">
        <v>6</v>
      </c>
      <c r="P171" s="52">
        <v>0.62472567666422829</v>
      </c>
      <c r="Q171" s="52">
        <v>0.373811265544989</v>
      </c>
      <c r="R171" s="52">
        <v>1.463057790782736E-3</v>
      </c>
      <c r="T171" s="27">
        <v>40</v>
      </c>
      <c r="U171" s="51">
        <v>40</v>
      </c>
      <c r="V171" s="51">
        <v>0</v>
      </c>
      <c r="W171" s="51">
        <v>0</v>
      </c>
      <c r="Y171" s="52">
        <v>1</v>
      </c>
      <c r="Z171" s="52">
        <v>0</v>
      </c>
      <c r="AA171" s="52">
        <v>0</v>
      </c>
      <c r="AD171" s="27">
        <v>0</v>
      </c>
      <c r="AE171" s="51">
        <v>0</v>
      </c>
      <c r="AF171" s="51">
        <v>0</v>
      </c>
      <c r="AG171" s="51">
        <v>0</v>
      </c>
      <c r="AI171" s="52">
        <v>0</v>
      </c>
      <c r="AJ171" s="52">
        <v>0</v>
      </c>
      <c r="AK171" s="52">
        <v>0</v>
      </c>
      <c r="AM171" s="27">
        <v>0</v>
      </c>
      <c r="AN171" s="51">
        <v>0</v>
      </c>
      <c r="AO171" s="51">
        <v>0</v>
      </c>
      <c r="AP171" s="51">
        <v>0</v>
      </c>
      <c r="AR171" s="52">
        <v>0</v>
      </c>
      <c r="AS171" s="52">
        <v>0</v>
      </c>
      <c r="AT171" s="52">
        <v>0</v>
      </c>
      <c r="AV171" s="27">
        <v>0</v>
      </c>
      <c r="AW171" s="51">
        <v>0</v>
      </c>
      <c r="AX171" s="51">
        <v>0</v>
      </c>
      <c r="AY171" s="51">
        <v>0</v>
      </c>
      <c r="BA171" s="52">
        <v>0</v>
      </c>
      <c r="BB171" s="52">
        <v>0</v>
      </c>
      <c r="BC171" s="52">
        <v>0</v>
      </c>
    </row>
    <row r="172" spans="1:55" s="51" customFormat="1" x14ac:dyDescent="0.2">
      <c r="A172" s="50" t="s">
        <v>51</v>
      </c>
      <c r="B172" s="27">
        <v>1305</v>
      </c>
      <c r="C172" s="51">
        <v>1305</v>
      </c>
      <c r="D172" s="51">
        <v>0</v>
      </c>
      <c r="E172" s="51">
        <v>0</v>
      </c>
      <c r="G172" s="52">
        <v>1</v>
      </c>
      <c r="H172" s="52">
        <v>0</v>
      </c>
      <c r="I172" s="52">
        <v>0</v>
      </c>
      <c r="K172" s="27">
        <v>0</v>
      </c>
      <c r="L172" s="51">
        <v>0</v>
      </c>
      <c r="M172" s="51">
        <v>0</v>
      </c>
      <c r="N172" s="51">
        <v>0</v>
      </c>
      <c r="P172" s="52">
        <v>0</v>
      </c>
      <c r="Q172" s="52">
        <v>0</v>
      </c>
      <c r="R172" s="52">
        <v>0</v>
      </c>
      <c r="T172" s="27">
        <v>0</v>
      </c>
      <c r="U172" s="51">
        <v>0</v>
      </c>
      <c r="V172" s="51">
        <v>0</v>
      </c>
      <c r="W172" s="51">
        <v>0</v>
      </c>
      <c r="Y172" s="52">
        <v>0</v>
      </c>
      <c r="Z172" s="52">
        <v>0</v>
      </c>
      <c r="AA172" s="52">
        <v>0</v>
      </c>
      <c r="AD172" s="27">
        <v>0</v>
      </c>
      <c r="AE172" s="51">
        <v>0</v>
      </c>
      <c r="AF172" s="51">
        <v>0</v>
      </c>
      <c r="AG172" s="51">
        <v>0</v>
      </c>
      <c r="AI172" s="52">
        <v>0</v>
      </c>
      <c r="AJ172" s="52">
        <v>0</v>
      </c>
      <c r="AK172" s="52">
        <v>0</v>
      </c>
      <c r="AM172" s="27">
        <v>0</v>
      </c>
      <c r="AN172" s="51">
        <v>0</v>
      </c>
      <c r="AO172" s="51">
        <v>0</v>
      </c>
      <c r="AP172" s="51">
        <v>0</v>
      </c>
      <c r="AR172" s="52">
        <v>0</v>
      </c>
      <c r="AS172" s="52">
        <v>0</v>
      </c>
      <c r="AT172" s="52">
        <v>0</v>
      </c>
      <c r="AV172" s="27">
        <v>0</v>
      </c>
      <c r="AW172" s="51">
        <v>0</v>
      </c>
      <c r="AX172" s="51">
        <v>0</v>
      </c>
      <c r="AY172" s="51">
        <v>0</v>
      </c>
      <c r="BA172" s="52">
        <v>0</v>
      </c>
      <c r="BB172" s="52">
        <v>0</v>
      </c>
      <c r="BC172" s="52">
        <v>0</v>
      </c>
    </row>
    <row r="173" spans="1:55" s="51" customFormat="1" x14ac:dyDescent="0.2">
      <c r="A173" s="50" t="s">
        <v>52</v>
      </c>
      <c r="B173" s="27">
        <v>46442</v>
      </c>
      <c r="C173" s="51">
        <v>46204</v>
      </c>
      <c r="D173" s="51">
        <v>238</v>
      </c>
      <c r="E173" s="51">
        <v>0</v>
      </c>
      <c r="G173" s="52">
        <v>0.99487532836656478</v>
      </c>
      <c r="H173" s="52">
        <v>5.1246716334352529E-3</v>
      </c>
      <c r="I173" s="52">
        <v>0</v>
      </c>
      <c r="K173" s="27">
        <v>1803</v>
      </c>
      <c r="L173" s="51">
        <v>1778</v>
      </c>
      <c r="M173" s="51">
        <v>25</v>
      </c>
      <c r="N173" s="51">
        <v>0</v>
      </c>
      <c r="P173" s="52">
        <v>0.98613422074320578</v>
      </c>
      <c r="Q173" s="52">
        <v>1.3865779256794232E-2</v>
      </c>
      <c r="R173" s="52">
        <v>0</v>
      </c>
      <c r="T173" s="27">
        <v>70</v>
      </c>
      <c r="U173" s="51">
        <v>70</v>
      </c>
      <c r="V173" s="51">
        <v>0</v>
      </c>
      <c r="W173" s="51">
        <v>0</v>
      </c>
      <c r="Y173" s="52">
        <v>1</v>
      </c>
      <c r="Z173" s="52">
        <v>0</v>
      </c>
      <c r="AA173" s="52">
        <v>0</v>
      </c>
      <c r="AD173" s="27">
        <v>2918</v>
      </c>
      <c r="AE173" s="51">
        <v>2917</v>
      </c>
      <c r="AF173" s="51">
        <v>1</v>
      </c>
      <c r="AG173" s="51">
        <v>0</v>
      </c>
      <c r="AI173" s="52">
        <v>0.99965729952021931</v>
      </c>
      <c r="AJ173" s="52">
        <v>3.4270047978067172E-4</v>
      </c>
      <c r="AK173" s="52">
        <v>0</v>
      </c>
      <c r="AM173" s="27">
        <v>4</v>
      </c>
      <c r="AN173" s="51">
        <v>4</v>
      </c>
      <c r="AO173" s="51">
        <v>0</v>
      </c>
      <c r="AP173" s="51">
        <v>0</v>
      </c>
      <c r="AR173" s="52">
        <v>1</v>
      </c>
      <c r="AS173" s="52">
        <v>0</v>
      </c>
      <c r="AT173" s="52">
        <v>0</v>
      </c>
      <c r="AV173" s="27">
        <v>0</v>
      </c>
      <c r="AW173" s="51">
        <v>0</v>
      </c>
      <c r="AX173" s="51">
        <v>0</v>
      </c>
      <c r="AY173" s="51">
        <v>0</v>
      </c>
      <c r="BA173" s="52">
        <v>0</v>
      </c>
      <c r="BB173" s="52">
        <v>0</v>
      </c>
      <c r="BC173" s="52">
        <v>0</v>
      </c>
    </row>
    <row r="174" spans="1:55" s="51" customFormat="1" x14ac:dyDescent="0.2">
      <c r="A174" s="50" t="s">
        <v>53</v>
      </c>
      <c r="B174" s="27">
        <v>524</v>
      </c>
      <c r="C174" s="51">
        <v>441</v>
      </c>
      <c r="D174" s="51">
        <v>83</v>
      </c>
      <c r="E174" s="51">
        <v>0</v>
      </c>
      <c r="G174" s="52">
        <v>0.84160305343511455</v>
      </c>
      <c r="H174" s="52">
        <v>0.15839694656488548</v>
      </c>
      <c r="I174" s="52">
        <v>0</v>
      </c>
      <c r="K174" s="27">
        <v>0</v>
      </c>
      <c r="L174" s="51">
        <v>0</v>
      </c>
      <c r="M174" s="51">
        <v>0</v>
      </c>
      <c r="N174" s="51">
        <v>0</v>
      </c>
      <c r="P174" s="52">
        <v>0</v>
      </c>
      <c r="Q174" s="52">
        <v>0</v>
      </c>
      <c r="R174" s="52">
        <v>0</v>
      </c>
      <c r="T174" s="27">
        <v>0</v>
      </c>
      <c r="U174" s="51">
        <v>0</v>
      </c>
      <c r="V174" s="51">
        <v>0</v>
      </c>
      <c r="W174" s="51">
        <v>0</v>
      </c>
      <c r="Y174" s="52">
        <v>0</v>
      </c>
      <c r="Z174" s="52">
        <v>0</v>
      </c>
      <c r="AA174" s="52">
        <v>0</v>
      </c>
      <c r="AD174" s="27">
        <v>0</v>
      </c>
      <c r="AE174" s="51">
        <v>0</v>
      </c>
      <c r="AF174" s="51">
        <v>0</v>
      </c>
      <c r="AG174" s="51">
        <v>0</v>
      </c>
      <c r="AI174" s="52">
        <v>0</v>
      </c>
      <c r="AJ174" s="52">
        <v>0</v>
      </c>
      <c r="AK174" s="52">
        <v>0</v>
      </c>
      <c r="AM174" s="27">
        <v>0</v>
      </c>
      <c r="AN174" s="51">
        <v>0</v>
      </c>
      <c r="AO174" s="51">
        <v>0</v>
      </c>
      <c r="AP174" s="51">
        <v>0</v>
      </c>
      <c r="AR174" s="52">
        <v>0</v>
      </c>
      <c r="AS174" s="52">
        <v>0</v>
      </c>
      <c r="AT174" s="52">
        <v>0</v>
      </c>
      <c r="AV174" s="27">
        <v>0</v>
      </c>
      <c r="AW174" s="51">
        <v>0</v>
      </c>
      <c r="AX174" s="51">
        <v>0</v>
      </c>
      <c r="AY174" s="51">
        <v>0</v>
      </c>
      <c r="BA174" s="52">
        <v>0</v>
      </c>
      <c r="BB174" s="52">
        <v>0</v>
      </c>
      <c r="BC174" s="52">
        <v>0</v>
      </c>
    </row>
    <row r="175" spans="1:55" s="51" customFormat="1" x14ac:dyDescent="0.2">
      <c r="A175" s="50" t="s">
        <v>54</v>
      </c>
      <c r="B175" s="27">
        <v>765</v>
      </c>
      <c r="C175" s="51">
        <v>738</v>
      </c>
      <c r="D175" s="51">
        <v>0</v>
      </c>
      <c r="E175" s="51">
        <v>27</v>
      </c>
      <c r="G175" s="52">
        <v>0.96470588235294119</v>
      </c>
      <c r="H175" s="52">
        <v>0</v>
      </c>
      <c r="I175" s="52">
        <v>3.5294117647058823E-2</v>
      </c>
      <c r="K175" s="27">
        <v>141</v>
      </c>
      <c r="L175" s="51">
        <v>128</v>
      </c>
      <c r="M175" s="51">
        <v>0</v>
      </c>
      <c r="N175" s="51">
        <v>13</v>
      </c>
      <c r="P175" s="52">
        <v>0.90780141843971629</v>
      </c>
      <c r="Q175" s="52">
        <v>0</v>
      </c>
      <c r="R175" s="52">
        <v>9.2198581560283682E-2</v>
      </c>
      <c r="T175" s="27">
        <v>0</v>
      </c>
      <c r="U175" s="51">
        <v>0</v>
      </c>
      <c r="V175" s="51">
        <v>0</v>
      </c>
      <c r="W175" s="51">
        <v>0</v>
      </c>
      <c r="Y175" s="52">
        <v>0</v>
      </c>
      <c r="Z175" s="52">
        <v>0</v>
      </c>
      <c r="AA175" s="52">
        <v>0</v>
      </c>
      <c r="AD175" s="27">
        <v>4</v>
      </c>
      <c r="AE175" s="51">
        <v>0</v>
      </c>
      <c r="AF175" s="51">
        <v>0</v>
      </c>
      <c r="AG175" s="51">
        <v>4</v>
      </c>
      <c r="AI175" s="52">
        <v>0</v>
      </c>
      <c r="AJ175" s="52">
        <v>0</v>
      </c>
      <c r="AK175" s="52">
        <v>1</v>
      </c>
      <c r="AM175" s="27">
        <v>90</v>
      </c>
      <c r="AN175" s="51">
        <v>90</v>
      </c>
      <c r="AO175" s="51">
        <v>0</v>
      </c>
      <c r="AP175" s="51">
        <v>0</v>
      </c>
      <c r="AR175" s="52">
        <v>1</v>
      </c>
      <c r="AS175" s="52">
        <v>0</v>
      </c>
      <c r="AT175" s="52">
        <v>0</v>
      </c>
      <c r="AV175" s="27">
        <v>0</v>
      </c>
      <c r="AW175" s="51">
        <v>0</v>
      </c>
      <c r="AX175" s="51">
        <v>0</v>
      </c>
      <c r="AY175" s="51">
        <v>0</v>
      </c>
      <c r="BA175" s="52">
        <v>0</v>
      </c>
      <c r="BB175" s="52">
        <v>0</v>
      </c>
      <c r="BC175" s="52">
        <v>0</v>
      </c>
    </row>
    <row r="176" spans="1:55" s="51" customFormat="1" x14ac:dyDescent="0.2">
      <c r="A176" s="50" t="s">
        <v>55</v>
      </c>
      <c r="B176" s="27">
        <v>13989</v>
      </c>
      <c r="C176" s="51">
        <v>13938</v>
      </c>
      <c r="D176" s="51">
        <v>11</v>
      </c>
      <c r="E176" s="51">
        <v>40</v>
      </c>
      <c r="G176" s="52">
        <v>0.99635427836156976</v>
      </c>
      <c r="H176" s="52">
        <v>7.8633211809278722E-4</v>
      </c>
      <c r="I176" s="52">
        <v>2.8593895203374081E-3</v>
      </c>
      <c r="K176" s="27">
        <v>109</v>
      </c>
      <c r="L176" s="51">
        <v>108</v>
      </c>
      <c r="M176" s="51">
        <v>0</v>
      </c>
      <c r="N176" s="51">
        <v>1</v>
      </c>
      <c r="P176" s="52">
        <v>0.99082568807339455</v>
      </c>
      <c r="Q176" s="52">
        <v>0</v>
      </c>
      <c r="R176" s="52">
        <v>9.1743119266055051E-3</v>
      </c>
      <c r="T176" s="27">
        <v>63</v>
      </c>
      <c r="U176" s="51">
        <v>63</v>
      </c>
      <c r="V176" s="51">
        <v>0</v>
      </c>
      <c r="W176" s="51">
        <v>0</v>
      </c>
      <c r="Y176" s="52">
        <v>1</v>
      </c>
      <c r="Z176" s="52">
        <v>0</v>
      </c>
      <c r="AA176" s="52">
        <v>0</v>
      </c>
      <c r="AD176" s="27">
        <v>0</v>
      </c>
      <c r="AE176" s="51">
        <v>0</v>
      </c>
      <c r="AF176" s="51">
        <v>0</v>
      </c>
      <c r="AG176" s="51">
        <v>0</v>
      </c>
      <c r="AI176" s="52">
        <v>0</v>
      </c>
      <c r="AJ176" s="52">
        <v>0</v>
      </c>
      <c r="AK176" s="52">
        <v>0</v>
      </c>
      <c r="AM176" s="27">
        <v>0</v>
      </c>
      <c r="AN176" s="51">
        <v>0</v>
      </c>
      <c r="AO176" s="51">
        <v>0</v>
      </c>
      <c r="AP176" s="51">
        <v>0</v>
      </c>
      <c r="AR176" s="52">
        <v>0</v>
      </c>
      <c r="AS176" s="52">
        <v>0</v>
      </c>
      <c r="AT176" s="52">
        <v>0</v>
      </c>
      <c r="AV176" s="27">
        <v>0</v>
      </c>
      <c r="AW176" s="51">
        <v>0</v>
      </c>
      <c r="AX176" s="51">
        <v>0</v>
      </c>
      <c r="AY176" s="51">
        <v>0</v>
      </c>
      <c r="BA176" s="52">
        <v>0</v>
      </c>
      <c r="BB176" s="52">
        <v>0</v>
      </c>
      <c r="BC176" s="52">
        <v>0</v>
      </c>
    </row>
    <row r="177" spans="1:56" s="51" customFormat="1" x14ac:dyDescent="0.2">
      <c r="A177" s="50" t="s">
        <v>91</v>
      </c>
      <c r="B177" s="27">
        <v>0</v>
      </c>
      <c r="C177" s="51">
        <v>0</v>
      </c>
      <c r="D177" s="51">
        <v>0</v>
      </c>
      <c r="E177" s="51">
        <v>0</v>
      </c>
      <c r="G177" s="52">
        <v>0</v>
      </c>
      <c r="H177" s="52">
        <v>0</v>
      </c>
      <c r="I177" s="52">
        <v>0</v>
      </c>
      <c r="K177" s="27">
        <v>0</v>
      </c>
      <c r="L177" s="51">
        <v>0</v>
      </c>
      <c r="M177" s="51">
        <v>0</v>
      </c>
      <c r="N177" s="51">
        <v>0</v>
      </c>
      <c r="P177" s="52">
        <v>0</v>
      </c>
      <c r="Q177" s="52">
        <v>0</v>
      </c>
      <c r="R177" s="52">
        <v>0</v>
      </c>
      <c r="T177" s="27">
        <v>1191</v>
      </c>
      <c r="U177" s="51">
        <v>1191</v>
      </c>
      <c r="V177" s="51">
        <v>0</v>
      </c>
      <c r="W177" s="51">
        <v>0</v>
      </c>
      <c r="Y177" s="52">
        <v>1</v>
      </c>
      <c r="Z177" s="52">
        <v>0</v>
      </c>
      <c r="AA177" s="52">
        <v>0</v>
      </c>
      <c r="AD177" s="27">
        <v>0</v>
      </c>
      <c r="AE177" s="51">
        <v>0</v>
      </c>
      <c r="AF177" s="51">
        <v>0</v>
      </c>
      <c r="AG177" s="51">
        <v>0</v>
      </c>
      <c r="AI177" s="52">
        <v>0</v>
      </c>
      <c r="AJ177" s="52">
        <v>0</v>
      </c>
      <c r="AK177" s="52">
        <v>0</v>
      </c>
      <c r="AM177" s="27">
        <v>0</v>
      </c>
      <c r="AN177" s="51">
        <v>0</v>
      </c>
      <c r="AO177" s="51">
        <v>0</v>
      </c>
      <c r="AP177" s="51">
        <v>0</v>
      </c>
      <c r="AR177" s="52">
        <v>0</v>
      </c>
      <c r="AS177" s="52">
        <v>0</v>
      </c>
      <c r="AT177" s="52">
        <v>0</v>
      </c>
      <c r="AV177" s="27">
        <v>0</v>
      </c>
      <c r="AW177" s="51">
        <v>0</v>
      </c>
      <c r="AX177" s="51">
        <v>0</v>
      </c>
      <c r="AY177" s="51">
        <v>0</v>
      </c>
      <c r="BA177" s="52">
        <v>0</v>
      </c>
      <c r="BB177" s="52">
        <v>0</v>
      </c>
      <c r="BC177" s="52">
        <v>0</v>
      </c>
    </row>
    <row r="178" spans="1:56" s="51" customFormat="1" x14ac:dyDescent="0.2">
      <c r="A178" s="50" t="s">
        <v>58</v>
      </c>
      <c r="B178" s="27">
        <v>0</v>
      </c>
      <c r="C178" s="51">
        <v>0</v>
      </c>
      <c r="D178" s="51">
        <v>0</v>
      </c>
      <c r="E178" s="51">
        <v>0</v>
      </c>
      <c r="G178" s="52">
        <v>0</v>
      </c>
      <c r="H178" s="52">
        <v>0</v>
      </c>
      <c r="I178" s="52">
        <v>0</v>
      </c>
      <c r="K178" s="27">
        <v>1</v>
      </c>
      <c r="L178" s="51">
        <v>1</v>
      </c>
      <c r="M178" s="51">
        <v>0</v>
      </c>
      <c r="N178" s="51">
        <v>0</v>
      </c>
      <c r="P178" s="52">
        <v>1</v>
      </c>
      <c r="Q178" s="52">
        <v>0</v>
      </c>
      <c r="R178" s="52">
        <v>0</v>
      </c>
      <c r="T178" s="27">
        <v>24</v>
      </c>
      <c r="U178" s="51">
        <v>24</v>
      </c>
      <c r="V178" s="51">
        <v>0</v>
      </c>
      <c r="W178" s="51">
        <v>0</v>
      </c>
      <c r="Y178" s="52">
        <v>1</v>
      </c>
      <c r="Z178" s="52">
        <v>0</v>
      </c>
      <c r="AA178" s="52">
        <v>0</v>
      </c>
      <c r="AD178" s="27">
        <v>0</v>
      </c>
      <c r="AE178" s="51">
        <v>0</v>
      </c>
      <c r="AF178" s="51">
        <v>0</v>
      </c>
      <c r="AG178" s="51">
        <v>0</v>
      </c>
      <c r="AI178" s="52">
        <v>0</v>
      </c>
      <c r="AJ178" s="52">
        <v>0</v>
      </c>
      <c r="AK178" s="52">
        <v>0</v>
      </c>
      <c r="AM178" s="27">
        <v>0</v>
      </c>
      <c r="AN178" s="51">
        <v>0</v>
      </c>
      <c r="AO178" s="51">
        <v>0</v>
      </c>
      <c r="AP178" s="51">
        <v>0</v>
      </c>
      <c r="AR178" s="52">
        <v>0</v>
      </c>
      <c r="AS178" s="52">
        <v>0</v>
      </c>
      <c r="AT178" s="52">
        <v>0</v>
      </c>
      <c r="AV178" s="27">
        <v>0</v>
      </c>
      <c r="AW178" s="51">
        <v>0</v>
      </c>
      <c r="AX178" s="51">
        <v>0</v>
      </c>
      <c r="AY178" s="51">
        <v>0</v>
      </c>
      <c r="BA178" s="52">
        <v>0</v>
      </c>
      <c r="BB178" s="52">
        <v>0</v>
      </c>
      <c r="BC178" s="52">
        <v>0</v>
      </c>
    </row>
    <row r="179" spans="1:56" s="51" customFormat="1" x14ac:dyDescent="0.2">
      <c r="A179" s="50" t="s">
        <v>59</v>
      </c>
      <c r="B179" s="27">
        <v>17</v>
      </c>
      <c r="C179" s="51">
        <v>17</v>
      </c>
      <c r="D179" s="51">
        <v>0</v>
      </c>
      <c r="E179" s="51">
        <v>0</v>
      </c>
      <c r="G179" s="52">
        <v>1</v>
      </c>
      <c r="H179" s="52">
        <v>0</v>
      </c>
      <c r="I179" s="52">
        <v>0</v>
      </c>
      <c r="K179" s="27">
        <v>4</v>
      </c>
      <c r="L179" s="51">
        <v>4</v>
      </c>
      <c r="M179" s="51">
        <v>0</v>
      </c>
      <c r="N179" s="51">
        <v>0</v>
      </c>
      <c r="P179" s="52">
        <v>1</v>
      </c>
      <c r="Q179" s="52">
        <v>0</v>
      </c>
      <c r="R179" s="52">
        <v>0</v>
      </c>
      <c r="T179" s="27">
        <v>0</v>
      </c>
      <c r="U179" s="51">
        <v>0</v>
      </c>
      <c r="V179" s="51">
        <v>0</v>
      </c>
      <c r="W179" s="51">
        <v>0</v>
      </c>
      <c r="Y179" s="52">
        <v>0</v>
      </c>
      <c r="Z179" s="52">
        <v>0</v>
      </c>
      <c r="AA179" s="52">
        <v>0</v>
      </c>
      <c r="AD179" s="27">
        <v>0</v>
      </c>
      <c r="AE179" s="51">
        <v>0</v>
      </c>
      <c r="AF179" s="51">
        <v>0</v>
      </c>
      <c r="AG179" s="51">
        <v>0</v>
      </c>
      <c r="AI179" s="52">
        <v>0</v>
      </c>
      <c r="AJ179" s="52">
        <v>0</v>
      </c>
      <c r="AK179" s="52">
        <v>0</v>
      </c>
      <c r="AM179" s="27">
        <v>0</v>
      </c>
      <c r="AN179" s="51">
        <v>0</v>
      </c>
      <c r="AO179" s="51">
        <v>0</v>
      </c>
      <c r="AP179" s="51">
        <v>0</v>
      </c>
      <c r="AR179" s="52">
        <v>0</v>
      </c>
      <c r="AS179" s="52">
        <v>0</v>
      </c>
      <c r="AT179" s="52">
        <v>0</v>
      </c>
      <c r="AV179" s="27">
        <v>0</v>
      </c>
      <c r="AW179" s="51">
        <v>0</v>
      </c>
      <c r="AX179" s="51">
        <v>0</v>
      </c>
      <c r="AY179" s="51">
        <v>0</v>
      </c>
      <c r="BA179" s="52">
        <v>0</v>
      </c>
      <c r="BB179" s="52">
        <v>0</v>
      </c>
      <c r="BC179" s="52">
        <v>0</v>
      </c>
    </row>
    <row r="180" spans="1:56" s="51" customFormat="1" x14ac:dyDescent="0.2">
      <c r="A180" s="50" t="s">
        <v>93</v>
      </c>
      <c r="B180" s="27">
        <v>0</v>
      </c>
      <c r="C180" s="51">
        <v>0</v>
      </c>
      <c r="D180" s="51">
        <v>0</v>
      </c>
      <c r="E180" s="51">
        <v>0</v>
      </c>
      <c r="G180" s="52">
        <v>0</v>
      </c>
      <c r="H180" s="52">
        <v>0</v>
      </c>
      <c r="I180" s="52">
        <v>0</v>
      </c>
      <c r="K180" s="27">
        <v>0</v>
      </c>
      <c r="L180" s="51">
        <v>0</v>
      </c>
      <c r="M180" s="51">
        <v>0</v>
      </c>
      <c r="N180" s="51">
        <v>0</v>
      </c>
      <c r="P180" s="52">
        <v>0</v>
      </c>
      <c r="Q180" s="52">
        <v>0</v>
      </c>
      <c r="R180" s="52">
        <v>0</v>
      </c>
      <c r="T180" s="27">
        <v>0</v>
      </c>
      <c r="U180" s="51">
        <v>0</v>
      </c>
      <c r="V180" s="51">
        <v>0</v>
      </c>
      <c r="W180" s="51">
        <v>0</v>
      </c>
      <c r="Y180" s="52">
        <v>0</v>
      </c>
      <c r="Z180" s="52">
        <v>0</v>
      </c>
      <c r="AA180" s="52">
        <v>0</v>
      </c>
      <c r="AD180" s="27">
        <v>0</v>
      </c>
      <c r="AE180" s="51">
        <v>0</v>
      </c>
      <c r="AF180" s="51">
        <v>0</v>
      </c>
      <c r="AG180" s="51">
        <v>0</v>
      </c>
      <c r="AI180" s="52">
        <v>0</v>
      </c>
      <c r="AJ180" s="52">
        <v>0</v>
      </c>
      <c r="AK180" s="52">
        <v>0</v>
      </c>
      <c r="AM180" s="27">
        <v>0</v>
      </c>
      <c r="AN180" s="51">
        <v>0</v>
      </c>
      <c r="AO180" s="51">
        <v>0</v>
      </c>
      <c r="AP180" s="51">
        <v>0</v>
      </c>
      <c r="AR180" s="52">
        <v>0</v>
      </c>
      <c r="AS180" s="52">
        <v>0</v>
      </c>
      <c r="AT180" s="52">
        <v>0</v>
      </c>
      <c r="AV180" s="27">
        <v>10</v>
      </c>
      <c r="AW180" s="51">
        <v>10</v>
      </c>
      <c r="AX180" s="51">
        <v>0</v>
      </c>
      <c r="AY180" s="51">
        <v>0</v>
      </c>
      <c r="BA180" s="52">
        <v>1</v>
      </c>
      <c r="BB180" s="52">
        <v>0</v>
      </c>
      <c r="BC180" s="52">
        <v>0</v>
      </c>
    </row>
    <row r="181" spans="1:56" s="21" customFormat="1" x14ac:dyDescent="0.2">
      <c r="A181" s="29" t="s">
        <v>69</v>
      </c>
      <c r="B181" s="27">
        <v>2034486</v>
      </c>
      <c r="C181" s="27">
        <v>1237900</v>
      </c>
      <c r="D181" s="27">
        <v>793735</v>
      </c>
      <c r="E181" s="27">
        <v>2851</v>
      </c>
      <c r="G181" s="53">
        <v>0.60845835262567549</v>
      </c>
      <c r="H181" s="53">
        <v>0.39014031062391191</v>
      </c>
      <c r="I181" s="53">
        <v>1.401336750412635E-3</v>
      </c>
      <c r="K181" s="27">
        <v>194435</v>
      </c>
      <c r="L181" s="27">
        <v>81407</v>
      </c>
      <c r="M181" s="27">
        <v>111908</v>
      </c>
      <c r="N181" s="27">
        <v>1120</v>
      </c>
      <c r="P181" s="53">
        <v>0.41868490755265253</v>
      </c>
      <c r="Q181" s="53">
        <v>0.57555481266232933</v>
      </c>
      <c r="R181" s="53">
        <v>5.7602797850181296E-3</v>
      </c>
      <c r="T181" s="27">
        <v>18464</v>
      </c>
      <c r="U181" s="27">
        <v>13196</v>
      </c>
      <c r="V181" s="27">
        <v>5262</v>
      </c>
      <c r="W181" s="27">
        <v>6</v>
      </c>
      <c r="Y181" s="53">
        <v>0.71468804159445409</v>
      </c>
      <c r="Z181" s="53">
        <v>0.28498700173310226</v>
      </c>
      <c r="AA181" s="53">
        <v>3.249566724436742E-4</v>
      </c>
      <c r="AD181" s="27">
        <v>195295</v>
      </c>
      <c r="AE181" s="27">
        <v>151848</v>
      </c>
      <c r="AF181" s="27">
        <v>41062</v>
      </c>
      <c r="AG181" s="27">
        <v>2385</v>
      </c>
      <c r="AI181" s="53">
        <v>0.77753142681584275</v>
      </c>
      <c r="AJ181" s="53">
        <v>0.21025627896259505</v>
      </c>
      <c r="AK181" s="53">
        <v>1.2212294221562251E-2</v>
      </c>
      <c r="AM181" s="27">
        <v>17534</v>
      </c>
      <c r="AN181" s="27">
        <v>12421</v>
      </c>
      <c r="AO181" s="27">
        <v>4513</v>
      </c>
      <c r="AP181" s="27">
        <v>600</v>
      </c>
      <c r="AR181" s="53">
        <v>0.70839511805634769</v>
      </c>
      <c r="AS181" s="53">
        <v>0.25738565073571346</v>
      </c>
      <c r="AT181" s="53">
        <v>3.4219231207938863E-2</v>
      </c>
      <c r="AV181" s="27">
        <v>853</v>
      </c>
      <c r="AW181" s="27">
        <v>581</v>
      </c>
      <c r="AX181" s="27">
        <v>261</v>
      </c>
      <c r="AY181" s="27">
        <v>11</v>
      </c>
      <c r="BA181" s="53">
        <v>0.6811254396248535</v>
      </c>
      <c r="BB181" s="53">
        <v>0.30597889800703398</v>
      </c>
      <c r="BC181" s="53">
        <v>1.2895662368112544E-2</v>
      </c>
      <c r="BD181" s="27"/>
    </row>
    <row r="182" spans="1:56" ht="15" x14ac:dyDescent="0.25">
      <c r="A182" s="18"/>
      <c r="G182" s="148"/>
      <c r="H182" s="148"/>
      <c r="I182" s="148"/>
      <c r="P182" s="148"/>
      <c r="Q182" s="148"/>
      <c r="R182" s="148"/>
      <c r="Y182" s="148"/>
      <c r="Z182" s="148"/>
      <c r="AA182" s="148"/>
      <c r="AI182" s="148"/>
      <c r="AJ182" s="148"/>
      <c r="AK182" s="148"/>
      <c r="AR182" s="148"/>
      <c r="AS182" s="148"/>
      <c r="AT182" s="148"/>
      <c r="BA182" s="148"/>
      <c r="BB182" s="148"/>
      <c r="BC182" s="148"/>
      <c r="BD182" s="51"/>
    </row>
    <row r="183" spans="1:56" s="21" customFormat="1" x14ac:dyDescent="0.2">
      <c r="A183" s="28" t="s">
        <v>70</v>
      </c>
      <c r="B183" s="25" t="s">
        <v>77</v>
      </c>
      <c r="C183" s="25" t="s">
        <v>105</v>
      </c>
      <c r="D183" s="25" t="s">
        <v>106</v>
      </c>
      <c r="E183" s="25" t="s">
        <v>114</v>
      </c>
      <c r="F183" s="25"/>
      <c r="G183" s="49" t="s">
        <v>105</v>
      </c>
      <c r="H183" s="49" t="s">
        <v>106</v>
      </c>
      <c r="I183" s="49" t="s">
        <v>114</v>
      </c>
      <c r="J183" s="25"/>
      <c r="K183" s="25" t="s">
        <v>77</v>
      </c>
      <c r="L183" s="25" t="s">
        <v>105</v>
      </c>
      <c r="M183" s="25" t="s">
        <v>106</v>
      </c>
      <c r="N183" s="25" t="s">
        <v>114</v>
      </c>
      <c r="O183" s="25"/>
      <c r="P183" s="49" t="s">
        <v>105</v>
      </c>
      <c r="Q183" s="49" t="s">
        <v>106</v>
      </c>
      <c r="R183" s="49" t="s">
        <v>114</v>
      </c>
      <c r="S183" s="25"/>
      <c r="T183" s="25" t="s">
        <v>77</v>
      </c>
      <c r="U183" s="25" t="s">
        <v>105</v>
      </c>
      <c r="V183" s="25" t="s">
        <v>106</v>
      </c>
      <c r="W183" s="25" t="s">
        <v>114</v>
      </c>
      <c r="X183" s="25"/>
      <c r="Y183" s="49" t="s">
        <v>105</v>
      </c>
      <c r="Z183" s="49" t="s">
        <v>106</v>
      </c>
      <c r="AA183" s="49" t="s">
        <v>114</v>
      </c>
      <c r="AB183" s="25"/>
      <c r="AC183" s="25"/>
      <c r="AD183" s="25" t="s">
        <v>77</v>
      </c>
      <c r="AE183" s="25" t="s">
        <v>105</v>
      </c>
      <c r="AF183" s="25" t="s">
        <v>106</v>
      </c>
      <c r="AG183" s="25" t="s">
        <v>114</v>
      </c>
      <c r="AH183" s="25"/>
      <c r="AI183" s="49" t="s">
        <v>105</v>
      </c>
      <c r="AJ183" s="49" t="s">
        <v>106</v>
      </c>
      <c r="AK183" s="49" t="s">
        <v>114</v>
      </c>
      <c r="AL183" s="25"/>
      <c r="AM183" s="25" t="s">
        <v>77</v>
      </c>
      <c r="AN183" s="25" t="s">
        <v>105</v>
      </c>
      <c r="AO183" s="25" t="s">
        <v>106</v>
      </c>
      <c r="AP183" s="25" t="s">
        <v>114</v>
      </c>
      <c r="AQ183" s="25"/>
      <c r="AR183" s="49" t="s">
        <v>105</v>
      </c>
      <c r="AS183" s="49" t="s">
        <v>106</v>
      </c>
      <c r="AT183" s="49" t="s">
        <v>114</v>
      </c>
      <c r="AU183" s="25"/>
      <c r="AV183" s="25" t="s">
        <v>77</v>
      </c>
      <c r="AW183" s="25" t="s">
        <v>105</v>
      </c>
      <c r="AX183" s="25" t="s">
        <v>106</v>
      </c>
      <c r="AY183" s="25" t="s">
        <v>114</v>
      </c>
      <c r="AZ183" s="25"/>
      <c r="BA183" s="49" t="s">
        <v>105</v>
      </c>
      <c r="BB183" s="49" t="s">
        <v>106</v>
      </c>
      <c r="BC183" s="49" t="s">
        <v>114</v>
      </c>
      <c r="BD183" s="51"/>
    </row>
    <row r="184" spans="1:56" s="51" customFormat="1" x14ac:dyDescent="0.2">
      <c r="A184" s="50" t="s">
        <v>19</v>
      </c>
      <c r="B184" s="27">
        <v>293825</v>
      </c>
      <c r="C184" s="51">
        <v>241250</v>
      </c>
      <c r="D184" s="51">
        <v>52077</v>
      </c>
      <c r="E184" s="51">
        <v>498</v>
      </c>
      <c r="G184" s="52">
        <v>0.82106696162681869</v>
      </c>
      <c r="H184" s="52">
        <v>0.17723815196120141</v>
      </c>
      <c r="I184" s="52">
        <v>1.6948864119799201E-3</v>
      </c>
      <c r="K184" s="27">
        <v>38016</v>
      </c>
      <c r="L184" s="51">
        <v>27307</v>
      </c>
      <c r="M184" s="51">
        <v>10296</v>
      </c>
      <c r="N184" s="51">
        <v>413</v>
      </c>
      <c r="P184" s="52">
        <v>0.71830281986531985</v>
      </c>
      <c r="Q184" s="52">
        <v>0.27083333333333331</v>
      </c>
      <c r="R184" s="52">
        <v>1.0863846801346801E-2</v>
      </c>
      <c r="T184" s="27">
        <v>1484</v>
      </c>
      <c r="U184" s="51">
        <v>1472</v>
      </c>
      <c r="V184" s="51">
        <v>12</v>
      </c>
      <c r="W184" s="51">
        <v>0</v>
      </c>
      <c r="Y184" s="52">
        <v>0.99191374663072773</v>
      </c>
      <c r="Z184" s="52">
        <v>8.0862533692722376E-3</v>
      </c>
      <c r="AA184" s="52">
        <v>0</v>
      </c>
      <c r="AD184" s="27">
        <v>124923</v>
      </c>
      <c r="AE184" s="51">
        <v>116770</v>
      </c>
      <c r="AF184" s="51">
        <v>7850</v>
      </c>
      <c r="AG184" s="51">
        <v>303</v>
      </c>
      <c r="AI184" s="52">
        <v>0.93473579725110667</v>
      </c>
      <c r="AJ184" s="52">
        <v>6.2838708644525024E-2</v>
      </c>
      <c r="AK184" s="52">
        <v>2.4254941043682907E-3</v>
      </c>
      <c r="AM184" s="27">
        <v>2402</v>
      </c>
      <c r="AN184" s="51">
        <v>2077</v>
      </c>
      <c r="AO184" s="51">
        <v>290</v>
      </c>
      <c r="AP184" s="51">
        <v>35</v>
      </c>
      <c r="AR184" s="52">
        <v>0.86469608659450459</v>
      </c>
      <c r="AS184" s="52">
        <v>0.12073272273105745</v>
      </c>
      <c r="AT184" s="52">
        <v>1.4571190674437969E-2</v>
      </c>
      <c r="AV184" s="27">
        <v>202</v>
      </c>
      <c r="AW184" s="51">
        <v>196</v>
      </c>
      <c r="AX184" s="51">
        <v>6</v>
      </c>
      <c r="AY184" s="51">
        <v>0</v>
      </c>
      <c r="BA184" s="52">
        <v>0.97029702970297027</v>
      </c>
      <c r="BB184" s="52">
        <v>2.9702970297029702E-2</v>
      </c>
      <c r="BC184" s="52">
        <v>0</v>
      </c>
    </row>
    <row r="185" spans="1:56" s="51" customFormat="1" x14ac:dyDescent="0.2">
      <c r="A185" s="50" t="s">
        <v>20</v>
      </c>
      <c r="B185" s="27">
        <v>52081</v>
      </c>
      <c r="C185" s="51">
        <v>51272</v>
      </c>
      <c r="D185" s="51">
        <v>703</v>
      </c>
      <c r="E185" s="51">
        <v>106</v>
      </c>
      <c r="G185" s="52">
        <v>0.98446650409938363</v>
      </c>
      <c r="H185" s="52">
        <v>1.3498204719571437E-2</v>
      </c>
      <c r="I185" s="52">
        <v>2.0352911810449107E-3</v>
      </c>
      <c r="K185" s="27">
        <v>8724</v>
      </c>
      <c r="L185" s="51">
        <v>8521</v>
      </c>
      <c r="M185" s="51">
        <v>149</v>
      </c>
      <c r="N185" s="51">
        <v>54</v>
      </c>
      <c r="P185" s="52">
        <v>0.97673085740486021</v>
      </c>
      <c r="Q185" s="52">
        <v>1.707932141219624E-2</v>
      </c>
      <c r="R185" s="52">
        <v>6.1898211829436037E-3</v>
      </c>
      <c r="T185" s="27">
        <v>120</v>
      </c>
      <c r="U185" s="51">
        <v>120</v>
      </c>
      <c r="V185" s="51">
        <v>0</v>
      </c>
      <c r="W185" s="51">
        <v>0</v>
      </c>
      <c r="Y185" s="52">
        <v>1</v>
      </c>
      <c r="Z185" s="52">
        <v>0</v>
      </c>
      <c r="AA185" s="52">
        <v>0</v>
      </c>
      <c r="AD185" s="27">
        <v>24902</v>
      </c>
      <c r="AE185" s="51">
        <v>23980</v>
      </c>
      <c r="AF185" s="51">
        <v>757</v>
      </c>
      <c r="AG185" s="51">
        <v>165</v>
      </c>
      <c r="AI185" s="52">
        <v>0.96297486145691114</v>
      </c>
      <c r="AJ185" s="52">
        <v>3.0399164725724841E-2</v>
      </c>
      <c r="AK185" s="52">
        <v>6.6259738173640673E-3</v>
      </c>
      <c r="AM185" s="27">
        <v>14</v>
      </c>
      <c r="AN185" s="51">
        <v>4</v>
      </c>
      <c r="AO185" s="51">
        <v>10</v>
      </c>
      <c r="AP185" s="51">
        <v>0</v>
      </c>
      <c r="AR185" s="52">
        <v>0.2857142857142857</v>
      </c>
      <c r="AS185" s="52">
        <v>0.7142857142857143</v>
      </c>
      <c r="AT185" s="52">
        <v>0</v>
      </c>
      <c r="AV185" s="27">
        <v>8</v>
      </c>
      <c r="AW185" s="51">
        <v>8</v>
      </c>
      <c r="AX185" s="51">
        <v>0</v>
      </c>
      <c r="AY185" s="51">
        <v>0</v>
      </c>
      <c r="BA185" s="52">
        <v>1</v>
      </c>
      <c r="BB185" s="52">
        <v>0</v>
      </c>
      <c r="BC185" s="52">
        <v>0</v>
      </c>
    </row>
    <row r="186" spans="1:56" s="51" customFormat="1" x14ac:dyDescent="0.2">
      <c r="A186" s="50" t="s">
        <v>21</v>
      </c>
      <c r="B186" s="27">
        <v>5898</v>
      </c>
      <c r="C186" s="51">
        <v>5803</v>
      </c>
      <c r="D186" s="51">
        <v>69</v>
      </c>
      <c r="E186" s="51">
        <v>26</v>
      </c>
      <c r="G186" s="52">
        <v>0.9838928450322143</v>
      </c>
      <c r="H186" s="52">
        <v>1.1698880976602238E-2</v>
      </c>
      <c r="I186" s="52">
        <v>4.408273991183452E-3</v>
      </c>
      <c r="K186" s="27">
        <v>163</v>
      </c>
      <c r="L186" s="51">
        <v>151</v>
      </c>
      <c r="M186" s="51">
        <v>7</v>
      </c>
      <c r="N186" s="51">
        <v>5</v>
      </c>
      <c r="P186" s="52">
        <v>0.92638036809815949</v>
      </c>
      <c r="Q186" s="52">
        <v>4.2944785276073622E-2</v>
      </c>
      <c r="R186" s="52">
        <v>3.0674846625766871E-2</v>
      </c>
      <c r="T186" s="27">
        <v>0</v>
      </c>
      <c r="U186" s="51">
        <v>0</v>
      </c>
      <c r="V186" s="51">
        <v>0</v>
      </c>
      <c r="W186" s="51">
        <v>0</v>
      </c>
      <c r="Y186" s="52">
        <v>0</v>
      </c>
      <c r="Z186" s="52">
        <v>0</v>
      </c>
      <c r="AA186" s="52">
        <v>0</v>
      </c>
      <c r="AD186" s="27">
        <v>0</v>
      </c>
      <c r="AE186" s="51">
        <v>0</v>
      </c>
      <c r="AF186" s="51">
        <v>0</v>
      </c>
      <c r="AG186" s="51">
        <v>0</v>
      </c>
      <c r="AI186" s="52">
        <v>0</v>
      </c>
      <c r="AJ186" s="52">
        <v>0</v>
      </c>
      <c r="AK186" s="52">
        <v>0</v>
      </c>
      <c r="AM186" s="27">
        <v>0</v>
      </c>
      <c r="AN186" s="51">
        <v>0</v>
      </c>
      <c r="AO186" s="51">
        <v>0</v>
      </c>
      <c r="AP186" s="51">
        <v>0</v>
      </c>
      <c r="AR186" s="52">
        <v>0</v>
      </c>
      <c r="AS186" s="52">
        <v>0</v>
      </c>
      <c r="AT186" s="52">
        <v>0</v>
      </c>
      <c r="AV186" s="27">
        <v>0</v>
      </c>
      <c r="AW186" s="51">
        <v>0</v>
      </c>
      <c r="AX186" s="51">
        <v>0</v>
      </c>
      <c r="AY186" s="51">
        <v>0</v>
      </c>
      <c r="BA186" s="52">
        <v>0</v>
      </c>
      <c r="BB186" s="52">
        <v>0</v>
      </c>
      <c r="BC186" s="52">
        <v>0</v>
      </c>
    </row>
    <row r="187" spans="1:56" s="51" customFormat="1" x14ac:dyDescent="0.2">
      <c r="A187" s="50" t="s">
        <v>24</v>
      </c>
      <c r="B187" s="27">
        <v>0</v>
      </c>
      <c r="C187" s="51">
        <v>0</v>
      </c>
      <c r="D187" s="51">
        <v>0</v>
      </c>
      <c r="E187" s="51">
        <v>0</v>
      </c>
      <c r="G187" s="52">
        <v>0</v>
      </c>
      <c r="H187" s="52">
        <v>0</v>
      </c>
      <c r="I187" s="52">
        <v>0</v>
      </c>
      <c r="K187" s="27">
        <v>158</v>
      </c>
      <c r="L187" s="51">
        <v>158</v>
      </c>
      <c r="M187" s="51">
        <v>0</v>
      </c>
      <c r="N187" s="51">
        <v>0</v>
      </c>
      <c r="P187" s="52">
        <v>1</v>
      </c>
      <c r="Q187" s="52">
        <v>0</v>
      </c>
      <c r="R187" s="52">
        <v>0</v>
      </c>
      <c r="T187" s="27">
        <v>1</v>
      </c>
      <c r="U187" s="51">
        <v>1</v>
      </c>
      <c r="V187" s="51">
        <v>0</v>
      </c>
      <c r="W187" s="51">
        <v>0</v>
      </c>
      <c r="Y187" s="52">
        <v>1</v>
      </c>
      <c r="Z187" s="52">
        <v>0</v>
      </c>
      <c r="AA187" s="52">
        <v>0</v>
      </c>
      <c r="AD187" s="27">
        <v>0</v>
      </c>
      <c r="AE187" s="51">
        <v>0</v>
      </c>
      <c r="AF187" s="51">
        <v>0</v>
      </c>
      <c r="AG187" s="51">
        <v>0</v>
      </c>
      <c r="AI187" s="52">
        <v>0</v>
      </c>
      <c r="AJ187" s="52">
        <v>0</v>
      </c>
      <c r="AK187" s="52">
        <v>0</v>
      </c>
      <c r="AM187" s="27">
        <v>0</v>
      </c>
      <c r="AN187" s="51">
        <v>0</v>
      </c>
      <c r="AO187" s="51">
        <v>0</v>
      </c>
      <c r="AP187" s="51">
        <v>0</v>
      </c>
      <c r="AR187" s="52">
        <v>0</v>
      </c>
      <c r="AS187" s="52">
        <v>0</v>
      </c>
      <c r="AT187" s="52">
        <v>0</v>
      </c>
      <c r="AV187" s="27">
        <v>0</v>
      </c>
      <c r="AW187" s="51">
        <v>0</v>
      </c>
      <c r="AX187" s="51">
        <v>0</v>
      </c>
      <c r="AY187" s="51">
        <v>0</v>
      </c>
      <c r="BA187" s="52">
        <v>0</v>
      </c>
      <c r="BB187" s="52">
        <v>0</v>
      </c>
      <c r="BC187" s="52">
        <v>0</v>
      </c>
    </row>
    <row r="188" spans="1:56" s="51" customFormat="1" x14ac:dyDescent="0.2">
      <c r="A188" s="50" t="s">
        <v>198</v>
      </c>
      <c r="B188" s="27">
        <v>0</v>
      </c>
      <c r="C188" s="51">
        <v>0</v>
      </c>
      <c r="D188" s="51">
        <v>0</v>
      </c>
      <c r="E188" s="51">
        <v>0</v>
      </c>
      <c r="G188" s="52">
        <v>0</v>
      </c>
      <c r="H188" s="52">
        <v>0</v>
      </c>
      <c r="I188" s="52">
        <v>0</v>
      </c>
      <c r="K188" s="27">
        <v>0</v>
      </c>
      <c r="L188" s="51">
        <v>0</v>
      </c>
      <c r="M188" s="51">
        <v>0</v>
      </c>
      <c r="N188" s="51">
        <v>0</v>
      </c>
      <c r="P188" s="52">
        <v>0</v>
      </c>
      <c r="Q188" s="52">
        <v>0</v>
      </c>
      <c r="R188" s="52">
        <v>0</v>
      </c>
      <c r="T188" s="27">
        <v>2</v>
      </c>
      <c r="U188" s="51">
        <v>2</v>
      </c>
      <c r="V188" s="51">
        <v>0</v>
      </c>
      <c r="W188" s="51">
        <v>0</v>
      </c>
      <c r="Y188" s="52">
        <v>1</v>
      </c>
      <c r="Z188" s="52">
        <v>0</v>
      </c>
      <c r="AA188" s="52">
        <v>0</v>
      </c>
      <c r="AD188" s="27">
        <v>0</v>
      </c>
      <c r="AE188" s="51">
        <v>0</v>
      </c>
      <c r="AF188" s="51">
        <v>0</v>
      </c>
      <c r="AG188" s="51">
        <v>0</v>
      </c>
      <c r="AI188" s="52">
        <v>0</v>
      </c>
      <c r="AJ188" s="52">
        <v>0</v>
      </c>
      <c r="AK188" s="52">
        <v>0</v>
      </c>
      <c r="AM188" s="27">
        <v>0</v>
      </c>
      <c r="AN188" s="51">
        <v>0</v>
      </c>
      <c r="AO188" s="51">
        <v>0</v>
      </c>
      <c r="AP188" s="51">
        <v>0</v>
      </c>
      <c r="AR188" s="52">
        <v>0</v>
      </c>
      <c r="AS188" s="52">
        <v>0</v>
      </c>
      <c r="AT188" s="52">
        <v>0</v>
      </c>
      <c r="AV188" s="27">
        <v>0</v>
      </c>
      <c r="AW188" s="51">
        <v>0</v>
      </c>
      <c r="AX188" s="51">
        <v>0</v>
      </c>
      <c r="AY188" s="51">
        <v>0</v>
      </c>
      <c r="BA188" s="52">
        <v>0</v>
      </c>
      <c r="BB188" s="52">
        <v>0</v>
      </c>
      <c r="BC188" s="52">
        <v>0</v>
      </c>
    </row>
    <row r="189" spans="1:56" s="51" customFormat="1" x14ac:dyDescent="0.2">
      <c r="A189" s="50" t="s">
        <v>26</v>
      </c>
      <c r="B189" s="27">
        <v>1948</v>
      </c>
      <c r="C189" s="51">
        <v>1946</v>
      </c>
      <c r="D189" s="51">
        <v>1</v>
      </c>
      <c r="E189" s="51">
        <v>1</v>
      </c>
      <c r="G189" s="52">
        <v>0.99897330595482547</v>
      </c>
      <c r="H189" s="52">
        <v>5.1334702258726901E-4</v>
      </c>
      <c r="I189" s="52">
        <v>5.1334702258726901E-4</v>
      </c>
      <c r="K189" s="27">
        <v>87</v>
      </c>
      <c r="L189" s="51">
        <v>85</v>
      </c>
      <c r="M189" s="51">
        <v>1</v>
      </c>
      <c r="N189" s="51">
        <v>1</v>
      </c>
      <c r="P189" s="52">
        <v>0.97701149425287359</v>
      </c>
      <c r="Q189" s="52">
        <v>1.1494252873563218E-2</v>
      </c>
      <c r="R189" s="52">
        <v>1.1494252873563218E-2</v>
      </c>
      <c r="T189" s="27">
        <v>10</v>
      </c>
      <c r="U189" s="51">
        <v>10</v>
      </c>
      <c r="V189" s="51">
        <v>0</v>
      </c>
      <c r="W189" s="51">
        <v>0</v>
      </c>
      <c r="Y189" s="52">
        <v>1</v>
      </c>
      <c r="Z189" s="52">
        <v>0</v>
      </c>
      <c r="AA189" s="52">
        <v>0</v>
      </c>
      <c r="AD189" s="27">
        <v>0</v>
      </c>
      <c r="AE189" s="51">
        <v>0</v>
      </c>
      <c r="AF189" s="51">
        <v>0</v>
      </c>
      <c r="AG189" s="51">
        <v>0</v>
      </c>
      <c r="AI189" s="52">
        <v>0</v>
      </c>
      <c r="AJ189" s="52">
        <v>0</v>
      </c>
      <c r="AK189" s="52">
        <v>0</v>
      </c>
      <c r="AM189" s="27">
        <v>0</v>
      </c>
      <c r="AN189" s="51">
        <v>0</v>
      </c>
      <c r="AO189" s="51">
        <v>0</v>
      </c>
      <c r="AP189" s="51">
        <v>0</v>
      </c>
      <c r="AR189" s="52">
        <v>0</v>
      </c>
      <c r="AS189" s="52">
        <v>0</v>
      </c>
      <c r="AT189" s="52">
        <v>0</v>
      </c>
      <c r="AV189" s="27">
        <v>0</v>
      </c>
      <c r="AW189" s="51">
        <v>0</v>
      </c>
      <c r="AX189" s="51">
        <v>0</v>
      </c>
      <c r="AY189" s="51">
        <v>0</v>
      </c>
      <c r="BA189" s="52">
        <v>0</v>
      </c>
      <c r="BB189" s="52">
        <v>0</v>
      </c>
      <c r="BC189" s="52">
        <v>0</v>
      </c>
    </row>
    <row r="190" spans="1:56" s="51" customFormat="1" x14ac:dyDescent="0.2">
      <c r="A190" s="50" t="s">
        <v>27</v>
      </c>
      <c r="B190" s="27">
        <v>0</v>
      </c>
      <c r="C190" s="51">
        <v>0</v>
      </c>
      <c r="D190" s="51">
        <v>0</v>
      </c>
      <c r="E190" s="51">
        <v>0</v>
      </c>
      <c r="G190" s="52">
        <v>0</v>
      </c>
      <c r="H190" s="52">
        <v>0</v>
      </c>
      <c r="I190" s="52">
        <v>0</v>
      </c>
      <c r="K190" s="27">
        <v>2</v>
      </c>
      <c r="L190" s="51">
        <v>2</v>
      </c>
      <c r="M190" s="51">
        <v>0</v>
      </c>
      <c r="N190" s="51">
        <v>0</v>
      </c>
      <c r="P190" s="52">
        <v>1</v>
      </c>
      <c r="Q190" s="52">
        <v>0</v>
      </c>
      <c r="R190" s="52">
        <v>0</v>
      </c>
      <c r="T190" s="27">
        <v>0</v>
      </c>
      <c r="U190" s="51">
        <v>0</v>
      </c>
      <c r="V190" s="51">
        <v>0</v>
      </c>
      <c r="W190" s="51">
        <v>0</v>
      </c>
      <c r="Y190" s="52">
        <v>0</v>
      </c>
      <c r="Z190" s="52">
        <v>0</v>
      </c>
      <c r="AA190" s="52">
        <v>0</v>
      </c>
      <c r="AD190" s="27">
        <v>0</v>
      </c>
      <c r="AE190" s="51">
        <v>0</v>
      </c>
      <c r="AF190" s="51">
        <v>0</v>
      </c>
      <c r="AG190" s="51">
        <v>0</v>
      </c>
      <c r="AI190" s="52">
        <v>0</v>
      </c>
      <c r="AJ190" s="52">
        <v>0</v>
      </c>
      <c r="AK190" s="52">
        <v>0</v>
      </c>
      <c r="AM190" s="27">
        <v>0</v>
      </c>
      <c r="AN190" s="51">
        <v>0</v>
      </c>
      <c r="AO190" s="51">
        <v>0</v>
      </c>
      <c r="AP190" s="51">
        <v>0</v>
      </c>
      <c r="AR190" s="52">
        <v>0</v>
      </c>
      <c r="AS190" s="52">
        <v>0</v>
      </c>
      <c r="AT190" s="52">
        <v>0</v>
      </c>
      <c r="AV190" s="27">
        <v>0</v>
      </c>
      <c r="AW190" s="51">
        <v>0</v>
      </c>
      <c r="AX190" s="51">
        <v>0</v>
      </c>
      <c r="AY190" s="51">
        <v>0</v>
      </c>
      <c r="BA190" s="52">
        <v>0</v>
      </c>
      <c r="BB190" s="52">
        <v>0</v>
      </c>
      <c r="BC190" s="52">
        <v>0</v>
      </c>
    </row>
    <row r="191" spans="1:56" s="51" customFormat="1" x14ac:dyDescent="0.2">
      <c r="A191" s="50" t="s">
        <v>28</v>
      </c>
      <c r="B191" s="27">
        <v>4517</v>
      </c>
      <c r="C191" s="51">
        <v>4437</v>
      </c>
      <c r="D191" s="51">
        <v>80</v>
      </c>
      <c r="E191" s="51">
        <v>0</v>
      </c>
      <c r="G191" s="52">
        <v>0.98228912995350892</v>
      </c>
      <c r="H191" s="52">
        <v>1.7710870046491033E-2</v>
      </c>
      <c r="I191" s="52">
        <v>0</v>
      </c>
      <c r="K191" s="27">
        <v>663</v>
      </c>
      <c r="L191" s="51">
        <v>634</v>
      </c>
      <c r="M191" s="51">
        <v>29</v>
      </c>
      <c r="N191" s="51">
        <v>0</v>
      </c>
      <c r="P191" s="52">
        <v>0.95625942684766219</v>
      </c>
      <c r="Q191" s="52">
        <v>4.3740573152337855E-2</v>
      </c>
      <c r="R191" s="52">
        <v>0</v>
      </c>
      <c r="T191" s="27">
        <v>0</v>
      </c>
      <c r="U191" s="51">
        <v>0</v>
      </c>
      <c r="V191" s="51">
        <v>0</v>
      </c>
      <c r="W191" s="51">
        <v>0</v>
      </c>
      <c r="Y191" s="52">
        <v>0</v>
      </c>
      <c r="Z191" s="52">
        <v>0</v>
      </c>
      <c r="AA191" s="52">
        <v>0</v>
      </c>
      <c r="AD191" s="27">
        <v>0</v>
      </c>
      <c r="AE191" s="51">
        <v>0</v>
      </c>
      <c r="AF191" s="51">
        <v>0</v>
      </c>
      <c r="AG191" s="51">
        <v>0</v>
      </c>
      <c r="AI191" s="52">
        <v>0</v>
      </c>
      <c r="AJ191" s="52">
        <v>0</v>
      </c>
      <c r="AK191" s="52">
        <v>0</v>
      </c>
      <c r="AM191" s="27">
        <v>0</v>
      </c>
      <c r="AN191" s="51">
        <v>0</v>
      </c>
      <c r="AO191" s="51">
        <v>0</v>
      </c>
      <c r="AP191" s="51">
        <v>0</v>
      </c>
      <c r="AR191" s="52">
        <v>0</v>
      </c>
      <c r="AS191" s="52">
        <v>0</v>
      </c>
      <c r="AT191" s="52">
        <v>0</v>
      </c>
      <c r="AV191" s="27">
        <v>0</v>
      </c>
      <c r="AW191" s="51">
        <v>0</v>
      </c>
      <c r="AX191" s="51">
        <v>0</v>
      </c>
      <c r="AY191" s="51">
        <v>0</v>
      </c>
      <c r="BA191" s="52">
        <v>0</v>
      </c>
      <c r="BB191" s="52">
        <v>0</v>
      </c>
      <c r="BC191" s="52">
        <v>0</v>
      </c>
    </row>
    <row r="192" spans="1:56" s="51" customFormat="1" x14ac:dyDescent="0.2">
      <c r="A192" s="50" t="s">
        <v>29</v>
      </c>
      <c r="B192" s="27">
        <v>1991</v>
      </c>
      <c r="C192" s="51">
        <v>1978</v>
      </c>
      <c r="D192" s="51">
        <v>13</v>
      </c>
      <c r="E192" s="51">
        <v>0</v>
      </c>
      <c r="G192" s="52">
        <v>0.99347061778001</v>
      </c>
      <c r="H192" s="52">
        <v>6.5293822199899544E-3</v>
      </c>
      <c r="I192" s="52">
        <v>0</v>
      </c>
      <c r="K192" s="27">
        <v>210</v>
      </c>
      <c r="L192" s="51">
        <v>208</v>
      </c>
      <c r="M192" s="51">
        <v>2</v>
      </c>
      <c r="N192" s="51">
        <v>0</v>
      </c>
      <c r="P192" s="52">
        <v>0.99047619047619051</v>
      </c>
      <c r="Q192" s="52">
        <v>9.5238095238095247E-3</v>
      </c>
      <c r="R192" s="52">
        <v>0</v>
      </c>
      <c r="T192" s="27">
        <v>0</v>
      </c>
      <c r="U192" s="51">
        <v>0</v>
      </c>
      <c r="V192" s="51">
        <v>0</v>
      </c>
      <c r="W192" s="51">
        <v>0</v>
      </c>
      <c r="Y192" s="52">
        <v>0</v>
      </c>
      <c r="Z192" s="52">
        <v>0</v>
      </c>
      <c r="AA192" s="52">
        <v>0</v>
      </c>
      <c r="AD192" s="27">
        <v>0</v>
      </c>
      <c r="AE192" s="51">
        <v>0</v>
      </c>
      <c r="AF192" s="51">
        <v>0</v>
      </c>
      <c r="AG192" s="51">
        <v>0</v>
      </c>
      <c r="AI192" s="52">
        <v>0</v>
      </c>
      <c r="AJ192" s="52">
        <v>0</v>
      </c>
      <c r="AK192" s="52">
        <v>0</v>
      </c>
      <c r="AM192" s="27">
        <v>0</v>
      </c>
      <c r="AN192" s="51">
        <v>0</v>
      </c>
      <c r="AO192" s="51">
        <v>0</v>
      </c>
      <c r="AP192" s="51">
        <v>0</v>
      </c>
      <c r="AR192" s="52">
        <v>0</v>
      </c>
      <c r="AS192" s="52">
        <v>0</v>
      </c>
      <c r="AT192" s="52">
        <v>0</v>
      </c>
      <c r="AV192" s="27">
        <v>0</v>
      </c>
      <c r="AW192" s="51">
        <v>0</v>
      </c>
      <c r="AX192" s="51">
        <v>0</v>
      </c>
      <c r="AY192" s="51">
        <v>0</v>
      </c>
      <c r="BA192" s="52">
        <v>0</v>
      </c>
      <c r="BB192" s="52">
        <v>0</v>
      </c>
      <c r="BC192" s="52">
        <v>0</v>
      </c>
    </row>
    <row r="193" spans="1:55" s="51" customFormat="1" x14ac:dyDescent="0.2">
      <c r="A193" s="50" t="s">
        <v>30</v>
      </c>
      <c r="B193" s="27">
        <v>59618</v>
      </c>
      <c r="C193" s="51">
        <v>58708</v>
      </c>
      <c r="D193" s="51">
        <v>910</v>
      </c>
      <c r="E193" s="51">
        <v>0</v>
      </c>
      <c r="G193" s="52">
        <v>0.98473615351068466</v>
      </c>
      <c r="H193" s="52">
        <v>1.5263846489315308E-2</v>
      </c>
      <c r="I193" s="52">
        <v>0</v>
      </c>
      <c r="K193" s="27">
        <v>3264</v>
      </c>
      <c r="L193" s="51">
        <v>3145</v>
      </c>
      <c r="M193" s="51">
        <v>119</v>
      </c>
      <c r="N193" s="51">
        <v>0</v>
      </c>
      <c r="P193" s="52">
        <v>0.96354166666666663</v>
      </c>
      <c r="Q193" s="52">
        <v>3.6458333333333336E-2</v>
      </c>
      <c r="R193" s="52">
        <v>0</v>
      </c>
      <c r="T193" s="27">
        <v>1125</v>
      </c>
      <c r="U193" s="51">
        <v>1121</v>
      </c>
      <c r="V193" s="51">
        <v>4</v>
      </c>
      <c r="W193" s="51">
        <v>0</v>
      </c>
      <c r="Y193" s="52">
        <v>0.99644444444444447</v>
      </c>
      <c r="Z193" s="52">
        <v>3.5555555555555557E-3</v>
      </c>
      <c r="AA193" s="52">
        <v>0</v>
      </c>
      <c r="AD193" s="27">
        <v>43899</v>
      </c>
      <c r="AE193" s="51">
        <v>43098</v>
      </c>
      <c r="AF193" s="51">
        <v>801</v>
      </c>
      <c r="AG193" s="51">
        <v>0</v>
      </c>
      <c r="AI193" s="52">
        <v>0.98175357069637126</v>
      </c>
      <c r="AJ193" s="52">
        <v>1.8246429303628783E-2</v>
      </c>
      <c r="AK193" s="52">
        <v>0</v>
      </c>
      <c r="AM193" s="27">
        <v>552</v>
      </c>
      <c r="AN193" s="51">
        <v>503</v>
      </c>
      <c r="AO193" s="51">
        <v>49</v>
      </c>
      <c r="AP193" s="51">
        <v>0</v>
      </c>
      <c r="AR193" s="52">
        <v>0.91123188405797106</v>
      </c>
      <c r="AS193" s="52">
        <v>8.8768115942028991E-2</v>
      </c>
      <c r="AT193" s="52">
        <v>0</v>
      </c>
      <c r="AV193" s="27">
        <v>72</v>
      </c>
      <c r="AW193" s="51">
        <v>68</v>
      </c>
      <c r="AX193" s="51">
        <v>4</v>
      </c>
      <c r="AY193" s="51">
        <v>0</v>
      </c>
      <c r="BA193" s="52">
        <v>0.94444444444444442</v>
      </c>
      <c r="BB193" s="52">
        <v>5.5555555555555552E-2</v>
      </c>
      <c r="BC193" s="52">
        <v>0</v>
      </c>
    </row>
    <row r="194" spans="1:55" s="51" customFormat="1" x14ac:dyDescent="0.2">
      <c r="A194" s="50" t="s">
        <v>79</v>
      </c>
      <c r="B194" s="27">
        <v>0</v>
      </c>
      <c r="C194" s="51">
        <v>0</v>
      </c>
      <c r="D194" s="51">
        <v>0</v>
      </c>
      <c r="E194" s="51">
        <v>0</v>
      </c>
      <c r="G194" s="52">
        <v>0</v>
      </c>
      <c r="H194" s="52">
        <v>0</v>
      </c>
      <c r="I194" s="52">
        <v>0</v>
      </c>
      <c r="K194" s="27">
        <v>24</v>
      </c>
      <c r="L194" s="51">
        <v>24</v>
      </c>
      <c r="M194" s="51">
        <v>0</v>
      </c>
      <c r="N194" s="51">
        <v>0</v>
      </c>
      <c r="P194" s="52">
        <v>1</v>
      </c>
      <c r="Q194" s="52">
        <v>0</v>
      </c>
      <c r="R194" s="52">
        <v>0</v>
      </c>
      <c r="T194" s="27">
        <v>12</v>
      </c>
      <c r="U194" s="51">
        <v>12</v>
      </c>
      <c r="V194" s="51">
        <v>0</v>
      </c>
      <c r="W194" s="51">
        <v>0</v>
      </c>
      <c r="Y194" s="52">
        <v>1</v>
      </c>
      <c r="Z194" s="52">
        <v>0</v>
      </c>
      <c r="AA194" s="52">
        <v>0</v>
      </c>
      <c r="AD194" s="27">
        <v>0</v>
      </c>
      <c r="AE194" s="51">
        <v>0</v>
      </c>
      <c r="AF194" s="51">
        <v>0</v>
      </c>
      <c r="AG194" s="51">
        <v>0</v>
      </c>
      <c r="AI194" s="52">
        <v>0</v>
      </c>
      <c r="AJ194" s="52">
        <v>0</v>
      </c>
      <c r="AK194" s="52">
        <v>0</v>
      </c>
      <c r="AM194" s="27">
        <v>0</v>
      </c>
      <c r="AN194" s="51">
        <v>0</v>
      </c>
      <c r="AO194" s="51">
        <v>0</v>
      </c>
      <c r="AP194" s="51">
        <v>0</v>
      </c>
      <c r="AR194" s="52">
        <v>0</v>
      </c>
      <c r="AS194" s="52">
        <v>0</v>
      </c>
      <c r="AT194" s="52">
        <v>0</v>
      </c>
      <c r="AV194" s="27">
        <v>0</v>
      </c>
      <c r="AW194" s="51">
        <v>0</v>
      </c>
      <c r="AX194" s="51">
        <v>0</v>
      </c>
      <c r="AY194" s="51">
        <v>0</v>
      </c>
      <c r="BA194" s="52">
        <v>0</v>
      </c>
      <c r="BB194" s="52">
        <v>0</v>
      </c>
      <c r="BC194" s="52">
        <v>0</v>
      </c>
    </row>
    <row r="195" spans="1:55" s="51" customFormat="1" x14ac:dyDescent="0.2">
      <c r="A195" s="50" t="s">
        <v>80</v>
      </c>
      <c r="B195" s="27">
        <v>0</v>
      </c>
      <c r="C195" s="51">
        <v>0</v>
      </c>
      <c r="D195" s="51">
        <v>0</v>
      </c>
      <c r="E195" s="51">
        <v>0</v>
      </c>
      <c r="G195" s="52">
        <v>0</v>
      </c>
      <c r="H195" s="52">
        <v>0</v>
      </c>
      <c r="I195" s="52">
        <v>0</v>
      </c>
      <c r="K195" s="27">
        <v>56</v>
      </c>
      <c r="L195" s="51">
        <v>34</v>
      </c>
      <c r="M195" s="51">
        <v>13</v>
      </c>
      <c r="N195" s="51">
        <v>9</v>
      </c>
      <c r="P195" s="52">
        <v>0.6071428571428571</v>
      </c>
      <c r="Q195" s="52">
        <v>0.23214285714285715</v>
      </c>
      <c r="R195" s="52">
        <v>0.16071428571428573</v>
      </c>
      <c r="T195" s="27">
        <v>61</v>
      </c>
      <c r="U195" s="51">
        <v>61</v>
      </c>
      <c r="V195" s="51">
        <v>0</v>
      </c>
      <c r="W195" s="51">
        <v>0</v>
      </c>
      <c r="Y195" s="52">
        <v>1</v>
      </c>
      <c r="Z195" s="52">
        <v>0</v>
      </c>
      <c r="AA195" s="52">
        <v>0</v>
      </c>
      <c r="AD195" s="27">
        <v>0</v>
      </c>
      <c r="AE195" s="51">
        <v>0</v>
      </c>
      <c r="AF195" s="51">
        <v>0</v>
      </c>
      <c r="AG195" s="51">
        <v>0</v>
      </c>
      <c r="AI195" s="52">
        <v>0</v>
      </c>
      <c r="AJ195" s="52">
        <v>0</v>
      </c>
      <c r="AK195" s="52">
        <v>0</v>
      </c>
      <c r="AM195" s="27">
        <v>0</v>
      </c>
      <c r="AN195" s="51">
        <v>0</v>
      </c>
      <c r="AO195" s="51">
        <v>0</v>
      </c>
      <c r="AP195" s="51">
        <v>0</v>
      </c>
      <c r="AR195" s="52">
        <v>0</v>
      </c>
      <c r="AS195" s="52">
        <v>0</v>
      </c>
      <c r="AT195" s="52">
        <v>0</v>
      </c>
      <c r="AV195" s="27">
        <v>0</v>
      </c>
      <c r="AW195" s="51">
        <v>0</v>
      </c>
      <c r="AX195" s="51">
        <v>0</v>
      </c>
      <c r="AY195" s="51">
        <v>0</v>
      </c>
      <c r="BA195" s="52">
        <v>0</v>
      </c>
      <c r="BB195" s="52">
        <v>0</v>
      </c>
      <c r="BC195" s="52">
        <v>0</v>
      </c>
    </row>
    <row r="196" spans="1:55" s="51" customFormat="1" x14ac:dyDescent="0.2">
      <c r="A196" s="50" t="s">
        <v>85</v>
      </c>
      <c r="B196" s="27">
        <v>0</v>
      </c>
      <c r="C196" s="51">
        <v>0</v>
      </c>
      <c r="D196" s="51">
        <v>0</v>
      </c>
      <c r="E196" s="51">
        <v>0</v>
      </c>
      <c r="G196" s="52">
        <v>0</v>
      </c>
      <c r="H196" s="52">
        <v>0</v>
      </c>
      <c r="I196" s="52">
        <v>0</v>
      </c>
      <c r="K196" s="27">
        <v>0</v>
      </c>
      <c r="L196" s="51">
        <v>0</v>
      </c>
      <c r="M196" s="51">
        <v>0</v>
      </c>
      <c r="N196" s="51">
        <v>0</v>
      </c>
      <c r="P196" s="52">
        <v>0</v>
      </c>
      <c r="Q196" s="52">
        <v>0</v>
      </c>
      <c r="R196" s="52">
        <v>0</v>
      </c>
      <c r="T196" s="27">
        <v>72</v>
      </c>
      <c r="U196" s="51">
        <v>72</v>
      </c>
      <c r="V196" s="51">
        <v>0</v>
      </c>
      <c r="W196" s="51">
        <v>0</v>
      </c>
      <c r="Y196" s="52">
        <v>1</v>
      </c>
      <c r="Z196" s="52">
        <v>0</v>
      </c>
      <c r="AA196" s="52">
        <v>0</v>
      </c>
      <c r="AD196" s="27">
        <v>0</v>
      </c>
      <c r="AE196" s="51">
        <v>0</v>
      </c>
      <c r="AF196" s="51">
        <v>0</v>
      </c>
      <c r="AG196" s="51">
        <v>0</v>
      </c>
      <c r="AI196" s="52">
        <v>0</v>
      </c>
      <c r="AJ196" s="52">
        <v>0</v>
      </c>
      <c r="AK196" s="52">
        <v>0</v>
      </c>
      <c r="AM196" s="27">
        <v>0</v>
      </c>
      <c r="AN196" s="51">
        <v>0</v>
      </c>
      <c r="AO196" s="51">
        <v>0</v>
      </c>
      <c r="AP196" s="51">
        <v>0</v>
      </c>
      <c r="AR196" s="52">
        <v>0</v>
      </c>
      <c r="AS196" s="52">
        <v>0</v>
      </c>
      <c r="AT196" s="52">
        <v>0</v>
      </c>
      <c r="AV196" s="27">
        <v>0</v>
      </c>
      <c r="AW196" s="51">
        <v>0</v>
      </c>
      <c r="AX196" s="51">
        <v>0</v>
      </c>
      <c r="AY196" s="51">
        <v>0</v>
      </c>
      <c r="BA196" s="52">
        <v>0</v>
      </c>
      <c r="BB196" s="52">
        <v>0</v>
      </c>
      <c r="BC196" s="52">
        <v>0</v>
      </c>
    </row>
    <row r="197" spans="1:55" s="51" customFormat="1" x14ac:dyDescent="0.2">
      <c r="A197" s="50" t="s">
        <v>37</v>
      </c>
      <c r="B197" s="27">
        <v>38006</v>
      </c>
      <c r="C197" s="51">
        <v>37928</v>
      </c>
      <c r="D197" s="51">
        <v>78</v>
      </c>
      <c r="E197" s="51">
        <v>0</v>
      </c>
      <c r="G197" s="52">
        <v>0.99794769246961001</v>
      </c>
      <c r="H197" s="52">
        <v>2.0523075303899383E-3</v>
      </c>
      <c r="I197" s="52">
        <v>0</v>
      </c>
      <c r="K197" s="27">
        <v>2854</v>
      </c>
      <c r="L197" s="51">
        <v>2795</v>
      </c>
      <c r="M197" s="51">
        <v>59</v>
      </c>
      <c r="N197" s="51">
        <v>0</v>
      </c>
      <c r="P197" s="52">
        <v>0.97932725998598458</v>
      </c>
      <c r="Q197" s="52">
        <v>2.0672740014015416E-2</v>
      </c>
      <c r="R197" s="52">
        <v>0</v>
      </c>
      <c r="T197" s="27">
        <v>17</v>
      </c>
      <c r="U197" s="51">
        <v>17</v>
      </c>
      <c r="V197" s="51">
        <v>0</v>
      </c>
      <c r="W197" s="51">
        <v>0</v>
      </c>
      <c r="Y197" s="52">
        <v>1</v>
      </c>
      <c r="Z197" s="52">
        <v>0</v>
      </c>
      <c r="AA197" s="52">
        <v>0</v>
      </c>
      <c r="AD197" s="27">
        <v>9484</v>
      </c>
      <c r="AE197" s="51">
        <v>9484</v>
      </c>
      <c r="AF197" s="51">
        <v>0</v>
      </c>
      <c r="AG197" s="51">
        <v>0</v>
      </c>
      <c r="AI197" s="52">
        <v>1</v>
      </c>
      <c r="AJ197" s="52">
        <v>0</v>
      </c>
      <c r="AK197" s="52">
        <v>0</v>
      </c>
      <c r="AM197" s="27">
        <v>27</v>
      </c>
      <c r="AN197" s="51">
        <v>27</v>
      </c>
      <c r="AO197" s="51">
        <v>0</v>
      </c>
      <c r="AP197" s="51">
        <v>0</v>
      </c>
      <c r="AR197" s="52">
        <v>1</v>
      </c>
      <c r="AS197" s="52">
        <v>0</v>
      </c>
      <c r="AT197" s="52">
        <v>0</v>
      </c>
      <c r="AV197" s="27">
        <v>0</v>
      </c>
      <c r="AW197" s="51">
        <v>0</v>
      </c>
      <c r="AX197" s="51">
        <v>0</v>
      </c>
      <c r="AY197" s="51">
        <v>0</v>
      </c>
      <c r="BA197" s="52">
        <v>0</v>
      </c>
      <c r="BB197" s="52">
        <v>0</v>
      </c>
      <c r="BC197" s="52">
        <v>0</v>
      </c>
    </row>
    <row r="198" spans="1:55" s="51" customFormat="1" x14ac:dyDescent="0.2">
      <c r="A198" s="50" t="s">
        <v>86</v>
      </c>
      <c r="B198" s="27">
        <v>0</v>
      </c>
      <c r="C198" s="51">
        <v>0</v>
      </c>
      <c r="D198" s="51">
        <v>0</v>
      </c>
      <c r="E198" s="51">
        <v>0</v>
      </c>
      <c r="G198" s="52">
        <v>0</v>
      </c>
      <c r="H198" s="52">
        <v>0</v>
      </c>
      <c r="I198" s="52">
        <v>0</v>
      </c>
      <c r="K198" s="27">
        <v>0</v>
      </c>
      <c r="L198" s="51">
        <v>0</v>
      </c>
      <c r="M198" s="51">
        <v>0</v>
      </c>
      <c r="N198" s="51">
        <v>0</v>
      </c>
      <c r="P198" s="52">
        <v>0</v>
      </c>
      <c r="Q198" s="52">
        <v>0</v>
      </c>
      <c r="R198" s="52">
        <v>0</v>
      </c>
      <c r="T198" s="27">
        <v>1</v>
      </c>
      <c r="U198" s="51">
        <v>1</v>
      </c>
      <c r="V198" s="51">
        <v>0</v>
      </c>
      <c r="W198" s="51">
        <v>0</v>
      </c>
      <c r="Y198" s="52">
        <v>1</v>
      </c>
      <c r="Z198" s="52">
        <v>0</v>
      </c>
      <c r="AA198" s="52">
        <v>0</v>
      </c>
      <c r="AD198" s="27">
        <v>0</v>
      </c>
      <c r="AE198" s="51">
        <v>0</v>
      </c>
      <c r="AF198" s="51">
        <v>0</v>
      </c>
      <c r="AG198" s="51">
        <v>0</v>
      </c>
      <c r="AI198" s="52">
        <v>0</v>
      </c>
      <c r="AJ198" s="52">
        <v>0</v>
      </c>
      <c r="AK198" s="52">
        <v>0</v>
      </c>
      <c r="AM198" s="27">
        <v>0</v>
      </c>
      <c r="AN198" s="51">
        <v>0</v>
      </c>
      <c r="AO198" s="51">
        <v>0</v>
      </c>
      <c r="AP198" s="51">
        <v>0</v>
      </c>
      <c r="AR198" s="52">
        <v>0</v>
      </c>
      <c r="AS198" s="52">
        <v>0</v>
      </c>
      <c r="AT198" s="52">
        <v>0</v>
      </c>
      <c r="AV198" s="27">
        <v>0</v>
      </c>
      <c r="AW198" s="51">
        <v>0</v>
      </c>
      <c r="AX198" s="51">
        <v>0</v>
      </c>
      <c r="AY198" s="51">
        <v>0</v>
      </c>
      <c r="BA198" s="52">
        <v>0</v>
      </c>
      <c r="BB198" s="52">
        <v>0</v>
      </c>
      <c r="BC198" s="52">
        <v>0</v>
      </c>
    </row>
    <row r="199" spans="1:55" s="51" customFormat="1" x14ac:dyDescent="0.2">
      <c r="A199" s="50" t="s">
        <v>39</v>
      </c>
      <c r="B199" s="27">
        <v>48</v>
      </c>
      <c r="C199" s="51">
        <v>48</v>
      </c>
      <c r="D199" s="51">
        <v>0</v>
      </c>
      <c r="E199" s="51">
        <v>0</v>
      </c>
      <c r="G199" s="52">
        <v>1</v>
      </c>
      <c r="H199" s="52">
        <v>0</v>
      </c>
      <c r="I199" s="52">
        <v>0</v>
      </c>
      <c r="K199" s="27">
        <v>1</v>
      </c>
      <c r="L199" s="51">
        <v>1</v>
      </c>
      <c r="M199" s="51">
        <v>0</v>
      </c>
      <c r="N199" s="51">
        <v>0</v>
      </c>
      <c r="P199" s="52">
        <v>1</v>
      </c>
      <c r="Q199" s="52">
        <v>0</v>
      </c>
      <c r="R199" s="52">
        <v>0</v>
      </c>
      <c r="T199" s="27">
        <v>0</v>
      </c>
      <c r="U199" s="51">
        <v>0</v>
      </c>
      <c r="V199" s="51">
        <v>0</v>
      </c>
      <c r="W199" s="51">
        <v>0</v>
      </c>
      <c r="Y199" s="52">
        <v>0</v>
      </c>
      <c r="Z199" s="52">
        <v>0</v>
      </c>
      <c r="AA199" s="52">
        <v>0</v>
      </c>
      <c r="AD199" s="27">
        <v>0</v>
      </c>
      <c r="AE199" s="51">
        <v>0</v>
      </c>
      <c r="AF199" s="51">
        <v>0</v>
      </c>
      <c r="AG199" s="51">
        <v>0</v>
      </c>
      <c r="AI199" s="52">
        <v>0</v>
      </c>
      <c r="AJ199" s="52">
        <v>0</v>
      </c>
      <c r="AK199" s="52">
        <v>0</v>
      </c>
      <c r="AM199" s="27">
        <v>0</v>
      </c>
      <c r="AN199" s="51">
        <v>0</v>
      </c>
      <c r="AO199" s="51">
        <v>0</v>
      </c>
      <c r="AP199" s="51">
        <v>0</v>
      </c>
      <c r="AR199" s="52">
        <v>0</v>
      </c>
      <c r="AS199" s="52">
        <v>0</v>
      </c>
      <c r="AT199" s="52">
        <v>0</v>
      </c>
      <c r="AV199" s="27">
        <v>0</v>
      </c>
      <c r="AW199" s="51">
        <v>0</v>
      </c>
      <c r="AX199" s="51">
        <v>0</v>
      </c>
      <c r="AY199" s="51">
        <v>0</v>
      </c>
      <c r="BA199" s="52">
        <v>0</v>
      </c>
      <c r="BB199" s="52">
        <v>0</v>
      </c>
      <c r="BC199" s="52">
        <v>0</v>
      </c>
    </row>
    <row r="200" spans="1:55" s="51" customFormat="1" x14ac:dyDescent="0.2">
      <c r="A200" s="50" t="s">
        <v>40</v>
      </c>
      <c r="B200" s="27">
        <v>3894</v>
      </c>
      <c r="C200" s="51">
        <v>3882</v>
      </c>
      <c r="D200" s="51">
        <v>1</v>
      </c>
      <c r="E200" s="51">
        <v>11</v>
      </c>
      <c r="G200" s="52">
        <v>0.99691833590138679</v>
      </c>
      <c r="H200" s="52">
        <v>2.5680534155110427E-4</v>
      </c>
      <c r="I200" s="52">
        <v>2.8248587570621469E-3</v>
      </c>
      <c r="K200" s="27">
        <v>2831</v>
      </c>
      <c r="L200" s="51">
        <v>2787</v>
      </c>
      <c r="M200" s="51">
        <v>2</v>
      </c>
      <c r="N200" s="51">
        <v>42</v>
      </c>
      <c r="P200" s="52">
        <v>0.98445778876722001</v>
      </c>
      <c r="Q200" s="52">
        <v>7.0646414694454254E-4</v>
      </c>
      <c r="R200" s="52">
        <v>1.4835747085835394E-2</v>
      </c>
      <c r="T200" s="27">
        <v>206</v>
      </c>
      <c r="U200" s="51">
        <v>206</v>
      </c>
      <c r="V200" s="51">
        <v>0</v>
      </c>
      <c r="W200" s="51">
        <v>0</v>
      </c>
      <c r="Y200" s="52">
        <v>1</v>
      </c>
      <c r="Z200" s="52">
        <v>0</v>
      </c>
      <c r="AA200" s="52">
        <v>0</v>
      </c>
      <c r="AD200" s="27">
        <v>0</v>
      </c>
      <c r="AE200" s="51">
        <v>0</v>
      </c>
      <c r="AF200" s="51">
        <v>0</v>
      </c>
      <c r="AG200" s="51">
        <v>0</v>
      </c>
      <c r="AI200" s="52">
        <v>0</v>
      </c>
      <c r="AJ200" s="52">
        <v>0</v>
      </c>
      <c r="AK200" s="52">
        <v>0</v>
      </c>
      <c r="AM200" s="27">
        <v>0</v>
      </c>
      <c r="AN200" s="51">
        <v>0</v>
      </c>
      <c r="AO200" s="51">
        <v>0</v>
      </c>
      <c r="AP200" s="51">
        <v>0</v>
      </c>
      <c r="AR200" s="52">
        <v>0</v>
      </c>
      <c r="AS200" s="52">
        <v>0</v>
      </c>
      <c r="AT200" s="52">
        <v>0</v>
      </c>
      <c r="AV200" s="27">
        <v>0</v>
      </c>
      <c r="AW200" s="51">
        <v>0</v>
      </c>
      <c r="AX200" s="51">
        <v>0</v>
      </c>
      <c r="AY200" s="51">
        <v>0</v>
      </c>
      <c r="BA200" s="52">
        <v>0</v>
      </c>
      <c r="BB200" s="52">
        <v>0</v>
      </c>
      <c r="BC200" s="52">
        <v>0</v>
      </c>
    </row>
    <row r="201" spans="1:55" s="51" customFormat="1" x14ac:dyDescent="0.2">
      <c r="A201" s="50" t="s">
        <v>41</v>
      </c>
      <c r="B201" s="27">
        <v>0</v>
      </c>
      <c r="C201" s="51">
        <v>0</v>
      </c>
      <c r="D201" s="51">
        <v>0</v>
      </c>
      <c r="E201" s="51">
        <v>0</v>
      </c>
      <c r="G201" s="52">
        <v>0</v>
      </c>
      <c r="H201" s="52">
        <v>0</v>
      </c>
      <c r="I201" s="52">
        <v>0</v>
      </c>
      <c r="K201" s="27">
        <v>237</v>
      </c>
      <c r="L201" s="51">
        <v>224</v>
      </c>
      <c r="M201" s="51">
        <v>10</v>
      </c>
      <c r="N201" s="51">
        <v>3</v>
      </c>
      <c r="P201" s="52">
        <v>0.94514767932489452</v>
      </c>
      <c r="Q201" s="52">
        <v>4.2194092827004218E-2</v>
      </c>
      <c r="R201" s="52">
        <v>1.2658227848101266E-2</v>
      </c>
      <c r="T201" s="27">
        <v>2</v>
      </c>
      <c r="U201" s="51">
        <v>2</v>
      </c>
      <c r="V201" s="51">
        <v>0</v>
      </c>
      <c r="W201" s="51">
        <v>0</v>
      </c>
      <c r="Y201" s="52">
        <v>1</v>
      </c>
      <c r="Z201" s="52">
        <v>0</v>
      </c>
      <c r="AA201" s="52">
        <v>0</v>
      </c>
      <c r="AD201" s="27">
        <v>0</v>
      </c>
      <c r="AE201" s="51">
        <v>0</v>
      </c>
      <c r="AF201" s="51">
        <v>0</v>
      </c>
      <c r="AG201" s="51">
        <v>0</v>
      </c>
      <c r="AI201" s="52">
        <v>0</v>
      </c>
      <c r="AJ201" s="52">
        <v>0</v>
      </c>
      <c r="AK201" s="52">
        <v>0</v>
      </c>
      <c r="AM201" s="27">
        <v>0</v>
      </c>
      <c r="AN201" s="51">
        <v>0</v>
      </c>
      <c r="AO201" s="51">
        <v>0</v>
      </c>
      <c r="AP201" s="51">
        <v>0</v>
      </c>
      <c r="AR201" s="52">
        <v>0</v>
      </c>
      <c r="AS201" s="52">
        <v>0</v>
      </c>
      <c r="AT201" s="52">
        <v>0</v>
      </c>
      <c r="AV201" s="27">
        <v>0</v>
      </c>
      <c r="AW201" s="51">
        <v>0</v>
      </c>
      <c r="AX201" s="51">
        <v>0</v>
      </c>
      <c r="AY201" s="51">
        <v>0</v>
      </c>
      <c r="BA201" s="52">
        <v>0</v>
      </c>
      <c r="BB201" s="52">
        <v>0</v>
      </c>
      <c r="BC201" s="52">
        <v>0</v>
      </c>
    </row>
    <row r="202" spans="1:55" s="51" customFormat="1" x14ac:dyDescent="0.2">
      <c r="A202" s="50" t="s">
        <v>43</v>
      </c>
      <c r="B202" s="27">
        <v>207374</v>
      </c>
      <c r="C202" s="51">
        <v>200644</v>
      </c>
      <c r="D202" s="51">
        <v>6482</v>
      </c>
      <c r="E202" s="51">
        <v>248</v>
      </c>
      <c r="G202" s="52">
        <v>0.96754655839208392</v>
      </c>
      <c r="H202" s="52">
        <v>3.1257534695767066E-2</v>
      </c>
      <c r="I202" s="52">
        <v>1.195906912149064E-3</v>
      </c>
      <c r="K202" s="27">
        <v>22651</v>
      </c>
      <c r="L202" s="51">
        <v>21444</v>
      </c>
      <c r="M202" s="51">
        <v>1060</v>
      </c>
      <c r="N202" s="51">
        <v>147</v>
      </c>
      <c r="P202" s="52">
        <v>0.94671316939649464</v>
      </c>
      <c r="Q202" s="52">
        <v>4.6797050902829894E-2</v>
      </c>
      <c r="R202" s="52">
        <v>6.4897797006754666E-3</v>
      </c>
      <c r="T202" s="27">
        <v>1751</v>
      </c>
      <c r="U202" s="51">
        <v>1750</v>
      </c>
      <c r="V202" s="51">
        <v>0</v>
      </c>
      <c r="W202" s="51">
        <v>1</v>
      </c>
      <c r="Y202" s="52">
        <v>0.99942889777270127</v>
      </c>
      <c r="Z202" s="52">
        <v>0</v>
      </c>
      <c r="AA202" s="52">
        <v>5.7110222729868647E-4</v>
      </c>
      <c r="AD202" s="27">
        <v>184499</v>
      </c>
      <c r="AE202" s="51">
        <v>150970</v>
      </c>
      <c r="AF202" s="51">
        <v>32082</v>
      </c>
      <c r="AG202" s="51">
        <v>1447</v>
      </c>
      <c r="AI202" s="52">
        <v>0.81827001772367325</v>
      </c>
      <c r="AJ202" s="52">
        <v>0.17388712133941106</v>
      </c>
      <c r="AK202" s="52">
        <v>7.8428609369156476E-3</v>
      </c>
      <c r="AM202" s="27">
        <v>6585</v>
      </c>
      <c r="AN202" s="51">
        <v>4239</v>
      </c>
      <c r="AO202" s="51">
        <v>2110</v>
      </c>
      <c r="AP202" s="51">
        <v>236</v>
      </c>
      <c r="AR202" s="52">
        <v>0.64373576309794989</v>
      </c>
      <c r="AS202" s="52">
        <v>0.32042520880789671</v>
      </c>
      <c r="AT202" s="52">
        <v>3.5839028094153381E-2</v>
      </c>
      <c r="AV202" s="27">
        <v>476</v>
      </c>
      <c r="AW202" s="51">
        <v>356</v>
      </c>
      <c r="AX202" s="51">
        <v>117</v>
      </c>
      <c r="AY202" s="51">
        <v>3</v>
      </c>
      <c r="BA202" s="52">
        <v>0.74789915966386555</v>
      </c>
      <c r="BB202" s="52">
        <v>0.24579831932773108</v>
      </c>
      <c r="BC202" s="52">
        <v>6.3025210084033615E-3</v>
      </c>
    </row>
    <row r="203" spans="1:55" s="51" customFormat="1" x14ac:dyDescent="0.2">
      <c r="A203" s="50" t="s">
        <v>44</v>
      </c>
      <c r="B203" s="27">
        <v>2</v>
      </c>
      <c r="C203" s="51">
        <v>2</v>
      </c>
      <c r="D203" s="51">
        <v>0</v>
      </c>
      <c r="E203" s="51">
        <v>0</v>
      </c>
      <c r="G203" s="52">
        <v>1</v>
      </c>
      <c r="H203" s="52">
        <v>0</v>
      </c>
      <c r="I203" s="52">
        <v>0</v>
      </c>
      <c r="K203" s="27">
        <v>7</v>
      </c>
      <c r="L203" s="51">
        <v>7</v>
      </c>
      <c r="M203" s="51">
        <v>0</v>
      </c>
      <c r="N203" s="51">
        <v>0</v>
      </c>
      <c r="P203" s="52">
        <v>1</v>
      </c>
      <c r="Q203" s="52">
        <v>0</v>
      </c>
      <c r="R203" s="52">
        <v>0</v>
      </c>
      <c r="T203" s="27">
        <v>1</v>
      </c>
      <c r="U203" s="51">
        <v>1</v>
      </c>
      <c r="V203" s="51">
        <v>0</v>
      </c>
      <c r="W203" s="51">
        <v>0</v>
      </c>
      <c r="Y203" s="52">
        <v>1</v>
      </c>
      <c r="Z203" s="52">
        <v>0</v>
      </c>
      <c r="AA203" s="52">
        <v>0</v>
      </c>
      <c r="AD203" s="27">
        <v>0</v>
      </c>
      <c r="AE203" s="51">
        <v>0</v>
      </c>
      <c r="AF203" s="51">
        <v>0</v>
      </c>
      <c r="AG203" s="51">
        <v>0</v>
      </c>
      <c r="AI203" s="52">
        <v>0</v>
      </c>
      <c r="AJ203" s="52">
        <v>0</v>
      </c>
      <c r="AK203" s="52">
        <v>0</v>
      </c>
      <c r="AM203" s="27">
        <v>0</v>
      </c>
      <c r="AN203" s="51">
        <v>0</v>
      </c>
      <c r="AO203" s="51">
        <v>0</v>
      </c>
      <c r="AP203" s="51">
        <v>0</v>
      </c>
      <c r="AR203" s="52">
        <v>0</v>
      </c>
      <c r="AS203" s="52">
        <v>0</v>
      </c>
      <c r="AT203" s="52">
        <v>0</v>
      </c>
      <c r="AV203" s="27">
        <v>0</v>
      </c>
      <c r="AW203" s="51">
        <v>0</v>
      </c>
      <c r="AX203" s="51">
        <v>0</v>
      </c>
      <c r="AY203" s="51">
        <v>0</v>
      </c>
      <c r="BA203" s="52">
        <v>0</v>
      </c>
      <c r="BB203" s="52">
        <v>0</v>
      </c>
      <c r="BC203" s="52">
        <v>0</v>
      </c>
    </row>
    <row r="204" spans="1:55" s="51" customFormat="1" x14ac:dyDescent="0.2">
      <c r="A204" s="50" t="s">
        <v>46</v>
      </c>
      <c r="B204" s="27">
        <v>141</v>
      </c>
      <c r="C204" s="51">
        <v>141</v>
      </c>
      <c r="D204" s="51">
        <v>0</v>
      </c>
      <c r="E204" s="51">
        <v>0</v>
      </c>
      <c r="G204" s="52">
        <v>1</v>
      </c>
      <c r="H204" s="52">
        <v>0</v>
      </c>
      <c r="I204" s="52">
        <v>0</v>
      </c>
      <c r="K204" s="27">
        <v>16</v>
      </c>
      <c r="L204" s="51">
        <v>16</v>
      </c>
      <c r="M204" s="51">
        <v>0</v>
      </c>
      <c r="N204" s="51">
        <v>0</v>
      </c>
      <c r="P204" s="52">
        <v>1</v>
      </c>
      <c r="Q204" s="52">
        <v>0</v>
      </c>
      <c r="R204" s="52">
        <v>0</v>
      </c>
      <c r="T204" s="27">
        <v>0</v>
      </c>
      <c r="U204" s="51">
        <v>0</v>
      </c>
      <c r="V204" s="51">
        <v>0</v>
      </c>
      <c r="W204" s="51">
        <v>0</v>
      </c>
      <c r="Y204" s="52">
        <v>0</v>
      </c>
      <c r="Z204" s="52">
        <v>0</v>
      </c>
      <c r="AA204" s="52">
        <v>0</v>
      </c>
      <c r="AD204" s="27">
        <v>0</v>
      </c>
      <c r="AE204" s="51">
        <v>0</v>
      </c>
      <c r="AF204" s="51">
        <v>0</v>
      </c>
      <c r="AG204" s="51">
        <v>0</v>
      </c>
      <c r="AI204" s="52">
        <v>0</v>
      </c>
      <c r="AJ204" s="52">
        <v>0</v>
      </c>
      <c r="AK204" s="52">
        <v>0</v>
      </c>
      <c r="AM204" s="27">
        <v>0</v>
      </c>
      <c r="AN204" s="51">
        <v>0</v>
      </c>
      <c r="AO204" s="51">
        <v>0</v>
      </c>
      <c r="AP204" s="51">
        <v>0</v>
      </c>
      <c r="AR204" s="52">
        <v>0</v>
      </c>
      <c r="AS204" s="52">
        <v>0</v>
      </c>
      <c r="AT204" s="52">
        <v>0</v>
      </c>
      <c r="AV204" s="27">
        <v>0</v>
      </c>
      <c r="AW204" s="51">
        <v>0</v>
      </c>
      <c r="AX204" s="51">
        <v>0</v>
      </c>
      <c r="AY204" s="51">
        <v>0</v>
      </c>
      <c r="BA204" s="52">
        <v>0</v>
      </c>
      <c r="BB204" s="52">
        <v>0</v>
      </c>
      <c r="BC204" s="52">
        <v>0</v>
      </c>
    </row>
    <row r="205" spans="1:55" s="51" customFormat="1" x14ac:dyDescent="0.2">
      <c r="A205" s="50" t="s">
        <v>126</v>
      </c>
      <c r="B205" s="27">
        <v>20706</v>
      </c>
      <c r="C205" s="51">
        <v>20358</v>
      </c>
      <c r="D205" s="51">
        <v>318</v>
      </c>
      <c r="E205" s="51">
        <v>30</v>
      </c>
      <c r="G205" s="52">
        <v>0.98319327731092432</v>
      </c>
      <c r="H205" s="52">
        <v>1.5357867284844973E-2</v>
      </c>
      <c r="I205" s="52">
        <v>1.4488554042306578E-3</v>
      </c>
      <c r="K205" s="27">
        <v>3448</v>
      </c>
      <c r="L205" s="51">
        <v>3123</v>
      </c>
      <c r="M205" s="51">
        <v>275</v>
      </c>
      <c r="N205" s="51">
        <v>50</v>
      </c>
      <c r="P205" s="52">
        <v>0.90574245939675169</v>
      </c>
      <c r="Q205" s="52">
        <v>7.975638051044083E-2</v>
      </c>
      <c r="R205" s="52">
        <v>1.4501160092807424E-2</v>
      </c>
      <c r="T205" s="27">
        <v>5</v>
      </c>
      <c r="U205" s="51">
        <v>5</v>
      </c>
      <c r="V205" s="51">
        <v>0</v>
      </c>
      <c r="W205" s="51">
        <v>0</v>
      </c>
      <c r="Y205" s="52">
        <v>1</v>
      </c>
      <c r="Z205" s="52">
        <v>0</v>
      </c>
      <c r="AA205" s="52">
        <v>0</v>
      </c>
      <c r="AD205" s="27">
        <v>0</v>
      </c>
      <c r="AE205" s="51">
        <v>0</v>
      </c>
      <c r="AF205" s="51">
        <v>0</v>
      </c>
      <c r="AG205" s="51">
        <v>0</v>
      </c>
      <c r="AI205" s="52">
        <v>0</v>
      </c>
      <c r="AJ205" s="52">
        <v>0</v>
      </c>
      <c r="AK205" s="52">
        <v>0</v>
      </c>
      <c r="AM205" s="27">
        <v>0</v>
      </c>
      <c r="AN205" s="51">
        <v>0</v>
      </c>
      <c r="AO205" s="51">
        <v>0</v>
      </c>
      <c r="AP205" s="51">
        <v>0</v>
      </c>
      <c r="AR205" s="52">
        <v>0</v>
      </c>
      <c r="AS205" s="52">
        <v>0</v>
      </c>
      <c r="AT205" s="52">
        <v>0</v>
      </c>
      <c r="AV205" s="27">
        <v>0</v>
      </c>
      <c r="AW205" s="51">
        <v>0</v>
      </c>
      <c r="AX205" s="51">
        <v>0</v>
      </c>
      <c r="AY205" s="51">
        <v>0</v>
      </c>
      <c r="BA205" s="52">
        <v>0</v>
      </c>
      <c r="BB205" s="52">
        <v>0</v>
      </c>
      <c r="BC205" s="52">
        <v>0</v>
      </c>
    </row>
    <row r="206" spans="1:55" s="51" customFormat="1" x14ac:dyDescent="0.2">
      <c r="A206" s="50" t="s">
        <v>48</v>
      </c>
      <c r="B206" s="27">
        <v>277</v>
      </c>
      <c r="C206" s="51">
        <v>276</v>
      </c>
      <c r="D206" s="51">
        <v>0</v>
      </c>
      <c r="E206" s="51">
        <v>1</v>
      </c>
      <c r="G206" s="52">
        <v>0.99638989169675085</v>
      </c>
      <c r="H206" s="52">
        <v>0</v>
      </c>
      <c r="I206" s="52">
        <v>3.6101083032490976E-3</v>
      </c>
      <c r="K206" s="27">
        <v>29</v>
      </c>
      <c r="L206" s="51">
        <v>29</v>
      </c>
      <c r="M206" s="51">
        <v>0</v>
      </c>
      <c r="N206" s="51">
        <v>0</v>
      </c>
      <c r="P206" s="52">
        <v>1</v>
      </c>
      <c r="Q206" s="52">
        <v>0</v>
      </c>
      <c r="R206" s="52">
        <v>0</v>
      </c>
      <c r="T206" s="27">
        <v>0</v>
      </c>
      <c r="U206" s="51">
        <v>0</v>
      </c>
      <c r="V206" s="51">
        <v>0</v>
      </c>
      <c r="W206" s="51">
        <v>0</v>
      </c>
      <c r="Y206" s="52">
        <v>0</v>
      </c>
      <c r="Z206" s="52">
        <v>0</v>
      </c>
      <c r="AA206" s="52">
        <v>0</v>
      </c>
      <c r="AD206" s="27">
        <v>0</v>
      </c>
      <c r="AE206" s="51">
        <v>0</v>
      </c>
      <c r="AF206" s="51">
        <v>0</v>
      </c>
      <c r="AG206" s="51">
        <v>0</v>
      </c>
      <c r="AI206" s="52">
        <v>0</v>
      </c>
      <c r="AJ206" s="52">
        <v>0</v>
      </c>
      <c r="AK206" s="52">
        <v>0</v>
      </c>
      <c r="AM206" s="27">
        <v>0</v>
      </c>
      <c r="AN206" s="51">
        <v>0</v>
      </c>
      <c r="AO206" s="51">
        <v>0</v>
      </c>
      <c r="AP206" s="51">
        <v>0</v>
      </c>
      <c r="AR206" s="52">
        <v>0</v>
      </c>
      <c r="AS206" s="52">
        <v>0</v>
      </c>
      <c r="AT206" s="52">
        <v>0</v>
      </c>
      <c r="AV206" s="27">
        <v>0</v>
      </c>
      <c r="AW206" s="51">
        <v>0</v>
      </c>
      <c r="AX206" s="51">
        <v>0</v>
      </c>
      <c r="AY206" s="51">
        <v>0</v>
      </c>
      <c r="BA206" s="52">
        <v>0</v>
      </c>
      <c r="BB206" s="52">
        <v>0</v>
      </c>
      <c r="BC206" s="52">
        <v>0</v>
      </c>
    </row>
    <row r="207" spans="1:55" s="51" customFormat="1" x14ac:dyDescent="0.2">
      <c r="A207" s="50" t="s">
        <v>88</v>
      </c>
      <c r="B207" s="27">
        <v>0</v>
      </c>
      <c r="C207" s="51">
        <v>0</v>
      </c>
      <c r="D207" s="51">
        <v>0</v>
      </c>
      <c r="E207" s="51">
        <v>0</v>
      </c>
      <c r="G207" s="52">
        <v>0</v>
      </c>
      <c r="H207" s="52">
        <v>0</v>
      </c>
      <c r="I207" s="52">
        <v>0</v>
      </c>
      <c r="K207" s="27">
        <v>0</v>
      </c>
      <c r="L207" s="51">
        <v>0</v>
      </c>
      <c r="M207" s="51">
        <v>0</v>
      </c>
      <c r="N207" s="51">
        <v>0</v>
      </c>
      <c r="P207" s="52">
        <v>0</v>
      </c>
      <c r="Q207" s="52">
        <v>0</v>
      </c>
      <c r="R207" s="52">
        <v>0</v>
      </c>
      <c r="T207" s="27">
        <v>82</v>
      </c>
      <c r="U207" s="51">
        <v>82</v>
      </c>
      <c r="V207" s="51">
        <v>0</v>
      </c>
      <c r="W207" s="51">
        <v>0</v>
      </c>
      <c r="Y207" s="52">
        <v>1</v>
      </c>
      <c r="Z207" s="52">
        <v>0</v>
      </c>
      <c r="AA207" s="52">
        <v>0</v>
      </c>
      <c r="AD207" s="27">
        <v>0</v>
      </c>
      <c r="AE207" s="51">
        <v>0</v>
      </c>
      <c r="AF207" s="51">
        <v>0</v>
      </c>
      <c r="AG207" s="51">
        <v>0</v>
      </c>
      <c r="AI207" s="52">
        <v>0</v>
      </c>
      <c r="AJ207" s="52">
        <v>0</v>
      </c>
      <c r="AK207" s="52">
        <v>0</v>
      </c>
      <c r="AM207" s="27">
        <v>0</v>
      </c>
      <c r="AN207" s="51">
        <v>0</v>
      </c>
      <c r="AO207" s="51">
        <v>0</v>
      </c>
      <c r="AP207" s="51">
        <v>0</v>
      </c>
      <c r="AR207" s="52">
        <v>0</v>
      </c>
      <c r="AS207" s="52">
        <v>0</v>
      </c>
      <c r="AT207" s="52">
        <v>0</v>
      </c>
      <c r="AV207" s="27">
        <v>0</v>
      </c>
      <c r="AW207" s="51">
        <v>0</v>
      </c>
      <c r="AX207" s="51">
        <v>0</v>
      </c>
      <c r="AY207" s="51">
        <v>0</v>
      </c>
      <c r="BA207" s="52">
        <v>0</v>
      </c>
      <c r="BB207" s="52">
        <v>0</v>
      </c>
      <c r="BC207" s="52">
        <v>0</v>
      </c>
    </row>
    <row r="208" spans="1:55" s="51" customFormat="1" x14ac:dyDescent="0.2">
      <c r="A208" s="50" t="s">
        <v>49</v>
      </c>
      <c r="B208" s="27">
        <v>95</v>
      </c>
      <c r="C208" s="51">
        <v>87</v>
      </c>
      <c r="D208" s="51">
        <v>8</v>
      </c>
      <c r="E208" s="51">
        <v>0</v>
      </c>
      <c r="G208" s="52">
        <v>0.91578947368421049</v>
      </c>
      <c r="H208" s="52">
        <v>8.4210526315789472E-2</v>
      </c>
      <c r="I208" s="52">
        <v>0</v>
      </c>
      <c r="K208" s="27">
        <v>160</v>
      </c>
      <c r="L208" s="51">
        <v>125</v>
      </c>
      <c r="M208" s="51">
        <v>35</v>
      </c>
      <c r="N208" s="51">
        <v>0</v>
      </c>
      <c r="P208" s="52">
        <v>0.78125</v>
      </c>
      <c r="Q208" s="52">
        <v>0.21875</v>
      </c>
      <c r="R208" s="52">
        <v>0</v>
      </c>
      <c r="T208" s="27">
        <v>1</v>
      </c>
      <c r="U208" s="51">
        <v>1</v>
      </c>
      <c r="V208" s="51">
        <v>0</v>
      </c>
      <c r="W208" s="51">
        <v>0</v>
      </c>
      <c r="Y208" s="52">
        <v>1</v>
      </c>
      <c r="Z208" s="52">
        <v>0</v>
      </c>
      <c r="AA208" s="52">
        <v>0</v>
      </c>
      <c r="AD208" s="27">
        <v>0</v>
      </c>
      <c r="AE208" s="51">
        <v>0</v>
      </c>
      <c r="AF208" s="51">
        <v>0</v>
      </c>
      <c r="AG208" s="51">
        <v>0</v>
      </c>
      <c r="AI208" s="52">
        <v>0</v>
      </c>
      <c r="AJ208" s="52">
        <v>0</v>
      </c>
      <c r="AK208" s="52">
        <v>0</v>
      </c>
      <c r="AM208" s="27">
        <v>0</v>
      </c>
      <c r="AN208" s="51">
        <v>0</v>
      </c>
      <c r="AO208" s="51">
        <v>0</v>
      </c>
      <c r="AP208" s="51">
        <v>0</v>
      </c>
      <c r="AR208" s="52">
        <v>0</v>
      </c>
      <c r="AS208" s="52">
        <v>0</v>
      </c>
      <c r="AT208" s="52">
        <v>0</v>
      </c>
      <c r="AV208" s="27">
        <v>0</v>
      </c>
      <c r="AW208" s="51">
        <v>0</v>
      </c>
      <c r="AX208" s="51">
        <v>0</v>
      </c>
      <c r="AY208" s="51">
        <v>0</v>
      </c>
      <c r="BA208" s="52">
        <v>0</v>
      </c>
      <c r="BB208" s="52">
        <v>0</v>
      </c>
      <c r="BC208" s="52">
        <v>0</v>
      </c>
    </row>
    <row r="209" spans="1:56" s="51" customFormat="1" x14ac:dyDescent="0.2">
      <c r="A209" s="50" t="s">
        <v>52</v>
      </c>
      <c r="B209" s="27">
        <v>5056</v>
      </c>
      <c r="C209" s="51">
        <v>5053</v>
      </c>
      <c r="D209" s="51">
        <v>3</v>
      </c>
      <c r="E209" s="51">
        <v>0</v>
      </c>
      <c r="G209" s="52">
        <v>0.99940664556962022</v>
      </c>
      <c r="H209" s="52">
        <v>5.9335443037974685E-4</v>
      </c>
      <c r="I209" s="52">
        <v>0</v>
      </c>
      <c r="K209" s="27">
        <v>355</v>
      </c>
      <c r="L209" s="51">
        <v>351</v>
      </c>
      <c r="M209" s="51">
        <v>4</v>
      </c>
      <c r="N209" s="51">
        <v>0</v>
      </c>
      <c r="P209" s="52">
        <v>0.9887323943661972</v>
      </c>
      <c r="Q209" s="52">
        <v>1.1267605633802818E-2</v>
      </c>
      <c r="R209" s="52">
        <v>0</v>
      </c>
      <c r="T209" s="27">
        <v>16</v>
      </c>
      <c r="U209" s="51">
        <v>16</v>
      </c>
      <c r="V209" s="51">
        <v>0</v>
      </c>
      <c r="W209" s="51">
        <v>0</v>
      </c>
      <c r="Y209" s="52">
        <v>1</v>
      </c>
      <c r="Z209" s="52">
        <v>0</v>
      </c>
      <c r="AA209" s="52">
        <v>0</v>
      </c>
      <c r="AD209" s="27">
        <v>2408</v>
      </c>
      <c r="AE209" s="51">
        <v>2408</v>
      </c>
      <c r="AF209" s="51">
        <v>0</v>
      </c>
      <c r="AG209" s="51">
        <v>0</v>
      </c>
      <c r="AI209" s="52">
        <v>1</v>
      </c>
      <c r="AJ209" s="52">
        <v>0</v>
      </c>
      <c r="AK209" s="52">
        <v>0</v>
      </c>
      <c r="AM209" s="27">
        <v>7</v>
      </c>
      <c r="AN209" s="51">
        <v>7</v>
      </c>
      <c r="AO209" s="51">
        <v>0</v>
      </c>
      <c r="AP209" s="51">
        <v>0</v>
      </c>
      <c r="AR209" s="52">
        <v>1</v>
      </c>
      <c r="AS209" s="52">
        <v>0</v>
      </c>
      <c r="AT209" s="52">
        <v>0</v>
      </c>
      <c r="AV209" s="27">
        <v>0</v>
      </c>
      <c r="AW209" s="51">
        <v>0</v>
      </c>
      <c r="AX209" s="51">
        <v>0</v>
      </c>
      <c r="AY209" s="51">
        <v>0</v>
      </c>
      <c r="BA209" s="52">
        <v>0</v>
      </c>
      <c r="BB209" s="52">
        <v>0</v>
      </c>
      <c r="BC209" s="52">
        <v>0</v>
      </c>
    </row>
    <row r="210" spans="1:56" s="51" customFormat="1" x14ac:dyDescent="0.2">
      <c r="A210" s="50" t="s">
        <v>53</v>
      </c>
      <c r="B210" s="27">
        <v>192</v>
      </c>
      <c r="C210" s="51">
        <v>187</v>
      </c>
      <c r="D210" s="51">
        <v>5</v>
      </c>
      <c r="E210" s="51">
        <v>0</v>
      </c>
      <c r="G210" s="52">
        <v>0.97395833333333337</v>
      </c>
      <c r="H210" s="52">
        <v>2.6041666666666668E-2</v>
      </c>
      <c r="I210" s="52">
        <v>0</v>
      </c>
      <c r="K210" s="27">
        <v>0</v>
      </c>
      <c r="L210" s="51">
        <v>0</v>
      </c>
      <c r="M210" s="51">
        <v>0</v>
      </c>
      <c r="N210" s="51">
        <v>0</v>
      </c>
      <c r="P210" s="52">
        <v>0</v>
      </c>
      <c r="Q210" s="52">
        <v>0</v>
      </c>
      <c r="R210" s="52">
        <v>0</v>
      </c>
      <c r="T210" s="27">
        <v>0</v>
      </c>
      <c r="U210" s="51">
        <v>0</v>
      </c>
      <c r="V210" s="51">
        <v>0</v>
      </c>
      <c r="W210" s="51">
        <v>0</v>
      </c>
      <c r="Y210" s="52">
        <v>0</v>
      </c>
      <c r="Z210" s="52">
        <v>0</v>
      </c>
      <c r="AA210" s="52">
        <v>0</v>
      </c>
      <c r="AD210" s="27">
        <v>0</v>
      </c>
      <c r="AE210" s="51">
        <v>0</v>
      </c>
      <c r="AF210" s="51">
        <v>0</v>
      </c>
      <c r="AG210" s="51">
        <v>0</v>
      </c>
      <c r="AI210" s="52">
        <v>0</v>
      </c>
      <c r="AJ210" s="52">
        <v>0</v>
      </c>
      <c r="AK210" s="52">
        <v>0</v>
      </c>
      <c r="AM210" s="27">
        <v>0</v>
      </c>
      <c r="AN210" s="51">
        <v>0</v>
      </c>
      <c r="AO210" s="51">
        <v>0</v>
      </c>
      <c r="AP210" s="51">
        <v>0</v>
      </c>
      <c r="AR210" s="52">
        <v>0</v>
      </c>
      <c r="AS210" s="52">
        <v>0</v>
      </c>
      <c r="AT210" s="52">
        <v>0</v>
      </c>
      <c r="AV210" s="27">
        <v>0</v>
      </c>
      <c r="AW210" s="51">
        <v>0</v>
      </c>
      <c r="AX210" s="51">
        <v>0</v>
      </c>
      <c r="AY210" s="51">
        <v>0</v>
      </c>
      <c r="BA210" s="52">
        <v>0</v>
      </c>
      <c r="BB210" s="52">
        <v>0</v>
      </c>
      <c r="BC210" s="52">
        <v>0</v>
      </c>
    </row>
    <row r="211" spans="1:56" s="51" customFormat="1" x14ac:dyDescent="0.2">
      <c r="A211" s="50" t="s">
        <v>54</v>
      </c>
      <c r="B211" s="27">
        <v>1958</v>
      </c>
      <c r="C211" s="51">
        <v>1951</v>
      </c>
      <c r="D211" s="51">
        <v>0</v>
      </c>
      <c r="E211" s="51">
        <v>7</v>
      </c>
      <c r="G211" s="52">
        <v>0.99642492339121558</v>
      </c>
      <c r="H211" s="52">
        <v>0</v>
      </c>
      <c r="I211" s="52">
        <v>3.5750766087844742E-3</v>
      </c>
      <c r="K211" s="27">
        <v>41</v>
      </c>
      <c r="L211" s="51">
        <v>41</v>
      </c>
      <c r="M211" s="51">
        <v>0</v>
      </c>
      <c r="N211" s="51">
        <v>0</v>
      </c>
      <c r="P211" s="52">
        <v>1</v>
      </c>
      <c r="Q211" s="52">
        <v>0</v>
      </c>
      <c r="R211" s="52">
        <v>0</v>
      </c>
      <c r="T211" s="27">
        <v>0</v>
      </c>
      <c r="U211" s="51">
        <v>0</v>
      </c>
      <c r="V211" s="51">
        <v>0</v>
      </c>
      <c r="W211" s="51">
        <v>0</v>
      </c>
      <c r="Y211" s="52">
        <v>0</v>
      </c>
      <c r="Z211" s="52">
        <v>0</v>
      </c>
      <c r="AA211" s="52">
        <v>0</v>
      </c>
      <c r="AD211" s="27">
        <v>14</v>
      </c>
      <c r="AE211" s="51">
        <v>6</v>
      </c>
      <c r="AF211" s="51">
        <v>0</v>
      </c>
      <c r="AG211" s="51">
        <v>8</v>
      </c>
      <c r="AI211" s="52">
        <v>0.42857142857142855</v>
      </c>
      <c r="AJ211" s="52">
        <v>0</v>
      </c>
      <c r="AK211" s="52">
        <v>0.5714285714285714</v>
      </c>
      <c r="AM211" s="27">
        <v>1125</v>
      </c>
      <c r="AN211" s="51">
        <v>1125</v>
      </c>
      <c r="AO211" s="51">
        <v>0</v>
      </c>
      <c r="AP211" s="51">
        <v>0</v>
      </c>
      <c r="AR211" s="52">
        <v>1</v>
      </c>
      <c r="AS211" s="52">
        <v>0</v>
      </c>
      <c r="AT211" s="52">
        <v>0</v>
      </c>
      <c r="AV211" s="27">
        <v>0</v>
      </c>
      <c r="AW211" s="51">
        <v>0</v>
      </c>
      <c r="AX211" s="51">
        <v>0</v>
      </c>
      <c r="AY211" s="51">
        <v>0</v>
      </c>
      <c r="BA211" s="52">
        <v>0</v>
      </c>
      <c r="BB211" s="52">
        <v>0</v>
      </c>
      <c r="BC211" s="52">
        <v>0</v>
      </c>
    </row>
    <row r="212" spans="1:56" s="51" customFormat="1" x14ac:dyDescent="0.2">
      <c r="A212" s="50" t="s">
        <v>90</v>
      </c>
      <c r="B212" s="27">
        <v>0</v>
      </c>
      <c r="C212" s="51">
        <v>0</v>
      </c>
      <c r="D212" s="51">
        <v>0</v>
      </c>
      <c r="E212" s="51">
        <v>0</v>
      </c>
      <c r="G212" s="52">
        <v>0</v>
      </c>
      <c r="H212" s="52">
        <v>0</v>
      </c>
      <c r="I212" s="52">
        <v>0</v>
      </c>
      <c r="K212" s="27">
        <v>0</v>
      </c>
      <c r="L212" s="51">
        <v>0</v>
      </c>
      <c r="M212" s="51">
        <v>0</v>
      </c>
      <c r="N212" s="51">
        <v>0</v>
      </c>
      <c r="P212" s="52">
        <v>0</v>
      </c>
      <c r="Q212" s="52">
        <v>0</v>
      </c>
      <c r="R212" s="52">
        <v>0</v>
      </c>
      <c r="T212" s="27">
        <v>5525</v>
      </c>
      <c r="U212" s="51">
        <v>0</v>
      </c>
      <c r="V212" s="51">
        <v>5525</v>
      </c>
      <c r="W212" s="51">
        <v>0</v>
      </c>
      <c r="Y212" s="52">
        <v>0</v>
      </c>
      <c r="Z212" s="52">
        <v>1</v>
      </c>
      <c r="AA212" s="52">
        <v>0</v>
      </c>
      <c r="AD212" s="27">
        <v>0</v>
      </c>
      <c r="AE212" s="51">
        <v>0</v>
      </c>
      <c r="AF212" s="51">
        <v>0</v>
      </c>
      <c r="AG212" s="51">
        <v>0</v>
      </c>
      <c r="AI212" s="52">
        <v>0</v>
      </c>
      <c r="AJ212" s="52">
        <v>0</v>
      </c>
      <c r="AK212" s="52">
        <v>0</v>
      </c>
      <c r="AM212" s="27">
        <v>0</v>
      </c>
      <c r="AN212" s="51">
        <v>0</v>
      </c>
      <c r="AO212" s="51">
        <v>0</v>
      </c>
      <c r="AP212" s="51">
        <v>0</v>
      </c>
      <c r="AR212" s="52">
        <v>0</v>
      </c>
      <c r="AS212" s="52">
        <v>0</v>
      </c>
      <c r="AT212" s="52">
        <v>0</v>
      </c>
      <c r="AV212" s="27">
        <v>0</v>
      </c>
      <c r="AW212" s="51">
        <v>0</v>
      </c>
      <c r="AX212" s="51">
        <v>0</v>
      </c>
      <c r="AY212" s="51">
        <v>0</v>
      </c>
      <c r="BA212" s="52">
        <v>0</v>
      </c>
      <c r="BB212" s="52">
        <v>0</v>
      </c>
      <c r="BC212" s="52">
        <v>0</v>
      </c>
    </row>
    <row r="213" spans="1:56" s="51" customFormat="1" x14ac:dyDescent="0.2">
      <c r="A213" s="50" t="s">
        <v>55</v>
      </c>
      <c r="B213" s="27">
        <v>84195</v>
      </c>
      <c r="C213" s="51">
        <v>83605</v>
      </c>
      <c r="D213" s="51">
        <v>441</v>
      </c>
      <c r="E213" s="51">
        <v>149</v>
      </c>
      <c r="G213" s="52">
        <v>0.99299245798444091</v>
      </c>
      <c r="H213" s="52">
        <v>5.2378407268840197E-3</v>
      </c>
      <c r="I213" s="52">
        <v>1.7697012886750995E-3</v>
      </c>
      <c r="K213" s="27">
        <v>4020</v>
      </c>
      <c r="L213" s="51">
        <v>3954</v>
      </c>
      <c r="M213" s="51">
        <v>29</v>
      </c>
      <c r="N213" s="51">
        <v>37</v>
      </c>
      <c r="P213" s="52">
        <v>0.9835820895522388</v>
      </c>
      <c r="Q213" s="52">
        <v>7.2139303482587061E-3</v>
      </c>
      <c r="R213" s="52">
        <v>9.2039800995024883E-3</v>
      </c>
      <c r="T213" s="27">
        <v>159</v>
      </c>
      <c r="U213" s="51">
        <v>159</v>
      </c>
      <c r="V213" s="51">
        <v>0</v>
      </c>
      <c r="W213" s="51">
        <v>0</v>
      </c>
      <c r="Y213" s="52">
        <v>1</v>
      </c>
      <c r="Z213" s="52">
        <v>0</v>
      </c>
      <c r="AA213" s="52">
        <v>0</v>
      </c>
      <c r="AD213" s="27">
        <v>45412</v>
      </c>
      <c r="AE213" s="51">
        <v>45050</v>
      </c>
      <c r="AF213" s="51">
        <v>252</v>
      </c>
      <c r="AG213" s="51">
        <v>110</v>
      </c>
      <c r="AI213" s="52">
        <v>0.99202853871223462</v>
      </c>
      <c r="AJ213" s="52">
        <v>5.5491940456267068E-3</v>
      </c>
      <c r="AK213" s="52">
        <v>2.4222672421386417E-3</v>
      </c>
      <c r="AM213" s="27">
        <v>219</v>
      </c>
      <c r="AN213" s="51">
        <v>216</v>
      </c>
      <c r="AO213" s="51">
        <v>1</v>
      </c>
      <c r="AP213" s="51">
        <v>2</v>
      </c>
      <c r="AR213" s="52">
        <v>0.98630136986301364</v>
      </c>
      <c r="AS213" s="52">
        <v>4.5662100456621002E-3</v>
      </c>
      <c r="AT213" s="52">
        <v>9.1324200913242004E-3</v>
      </c>
      <c r="AV213" s="27">
        <v>15</v>
      </c>
      <c r="AW213" s="51">
        <v>15</v>
      </c>
      <c r="AX213" s="51">
        <v>0</v>
      </c>
      <c r="AY213" s="51">
        <v>0</v>
      </c>
      <c r="BA213" s="52">
        <v>1</v>
      </c>
      <c r="BB213" s="52">
        <v>0</v>
      </c>
      <c r="BC213" s="52">
        <v>0</v>
      </c>
    </row>
    <row r="214" spans="1:56" s="51" customFormat="1" x14ac:dyDescent="0.2">
      <c r="A214" s="50" t="s">
        <v>176</v>
      </c>
      <c r="B214" s="27">
        <v>30</v>
      </c>
      <c r="C214" s="51">
        <v>30</v>
      </c>
      <c r="D214" s="51">
        <v>0</v>
      </c>
      <c r="E214" s="51">
        <v>0</v>
      </c>
      <c r="G214" s="52">
        <v>1</v>
      </c>
      <c r="H214" s="52">
        <v>0</v>
      </c>
      <c r="I214" s="52">
        <v>0</v>
      </c>
      <c r="K214" s="27">
        <v>0</v>
      </c>
      <c r="L214" s="51">
        <v>0</v>
      </c>
      <c r="M214" s="51">
        <v>0</v>
      </c>
      <c r="N214" s="51">
        <v>0</v>
      </c>
      <c r="P214" s="52">
        <v>0</v>
      </c>
      <c r="Q214" s="52">
        <v>0</v>
      </c>
      <c r="R214" s="52">
        <v>0</v>
      </c>
      <c r="T214" s="27">
        <v>0</v>
      </c>
      <c r="U214" s="51">
        <v>0</v>
      </c>
      <c r="V214" s="51">
        <v>0</v>
      </c>
      <c r="W214" s="51">
        <v>0</v>
      </c>
      <c r="Y214" s="52">
        <v>0</v>
      </c>
      <c r="Z214" s="52">
        <v>0</v>
      </c>
      <c r="AA214" s="52">
        <v>0</v>
      </c>
      <c r="AD214" s="27">
        <v>0</v>
      </c>
      <c r="AE214" s="51">
        <v>0</v>
      </c>
      <c r="AF214" s="51">
        <v>0</v>
      </c>
      <c r="AG214" s="51">
        <v>0</v>
      </c>
      <c r="AI214" s="52">
        <v>0</v>
      </c>
      <c r="AJ214" s="52">
        <v>0</v>
      </c>
      <c r="AK214" s="52">
        <v>0</v>
      </c>
      <c r="AM214" s="27">
        <v>0</v>
      </c>
      <c r="AN214" s="51">
        <v>0</v>
      </c>
      <c r="AO214" s="51">
        <v>0</v>
      </c>
      <c r="AP214" s="51">
        <v>0</v>
      </c>
      <c r="AR214" s="52">
        <v>0</v>
      </c>
      <c r="AS214" s="52">
        <v>0</v>
      </c>
      <c r="AT214" s="52">
        <v>0</v>
      </c>
      <c r="AV214" s="27">
        <v>0</v>
      </c>
      <c r="AW214" s="51">
        <v>0</v>
      </c>
      <c r="AX214" s="51">
        <v>0</v>
      </c>
      <c r="AY214" s="51">
        <v>0</v>
      </c>
      <c r="BA214" s="52">
        <v>0</v>
      </c>
      <c r="BB214" s="52">
        <v>0</v>
      </c>
      <c r="BC214" s="52">
        <v>0</v>
      </c>
    </row>
    <row r="215" spans="1:56" s="51" customFormat="1" x14ac:dyDescent="0.2">
      <c r="A215" s="50" t="s">
        <v>58</v>
      </c>
      <c r="B215" s="27">
        <v>10</v>
      </c>
      <c r="C215" s="51">
        <v>7</v>
      </c>
      <c r="D215" s="51">
        <v>2</v>
      </c>
      <c r="E215" s="51">
        <v>1</v>
      </c>
      <c r="G215" s="52">
        <v>0.7</v>
      </c>
      <c r="H215" s="52">
        <v>0.2</v>
      </c>
      <c r="I215" s="52">
        <v>0.1</v>
      </c>
      <c r="K215" s="27">
        <v>21</v>
      </c>
      <c r="L215" s="51">
        <v>12</v>
      </c>
      <c r="M215" s="51">
        <v>9</v>
      </c>
      <c r="N215" s="51">
        <v>0</v>
      </c>
      <c r="P215" s="52">
        <v>0.5714285714285714</v>
      </c>
      <c r="Q215" s="52">
        <v>0.42857142857142855</v>
      </c>
      <c r="R215" s="52">
        <v>0</v>
      </c>
      <c r="T215" s="27">
        <v>40</v>
      </c>
      <c r="U215" s="51">
        <v>35</v>
      </c>
      <c r="V215" s="51">
        <v>3</v>
      </c>
      <c r="W215" s="51">
        <v>2</v>
      </c>
      <c r="Y215" s="52">
        <v>0.875</v>
      </c>
      <c r="Z215" s="52">
        <v>7.4999999999999997E-2</v>
      </c>
      <c r="AA215" s="52">
        <v>0.05</v>
      </c>
      <c r="AD215" s="27">
        <v>0</v>
      </c>
      <c r="AE215" s="51">
        <v>0</v>
      </c>
      <c r="AF215" s="51">
        <v>0</v>
      </c>
      <c r="AG215" s="51">
        <v>0</v>
      </c>
      <c r="AI215" s="52">
        <v>0</v>
      </c>
      <c r="AJ215" s="52">
        <v>0</v>
      </c>
      <c r="AK215" s="52">
        <v>0</v>
      </c>
      <c r="AM215" s="27">
        <v>0</v>
      </c>
      <c r="AN215" s="51">
        <v>0</v>
      </c>
      <c r="AO215" s="51">
        <v>0</v>
      </c>
      <c r="AP215" s="51">
        <v>0</v>
      </c>
      <c r="AR215" s="52">
        <v>0</v>
      </c>
      <c r="AS215" s="52">
        <v>0</v>
      </c>
      <c r="AT215" s="52">
        <v>0</v>
      </c>
      <c r="AV215" s="27">
        <v>0</v>
      </c>
      <c r="AW215" s="51">
        <v>0</v>
      </c>
      <c r="AX215" s="51">
        <v>0</v>
      </c>
      <c r="AY215" s="51">
        <v>0</v>
      </c>
      <c r="BA215" s="52">
        <v>0</v>
      </c>
      <c r="BB215" s="52">
        <v>0</v>
      </c>
      <c r="BC215" s="52">
        <v>0</v>
      </c>
    </row>
    <row r="216" spans="1:56" s="51" customFormat="1" x14ac:dyDescent="0.2">
      <c r="A216" s="50" t="s">
        <v>93</v>
      </c>
      <c r="B216" s="27">
        <v>0</v>
      </c>
      <c r="C216" s="51">
        <v>0</v>
      </c>
      <c r="D216" s="51">
        <v>0</v>
      </c>
      <c r="E216" s="51">
        <v>0</v>
      </c>
      <c r="G216" s="52">
        <v>0</v>
      </c>
      <c r="H216" s="52">
        <v>0</v>
      </c>
      <c r="I216" s="52">
        <v>0</v>
      </c>
      <c r="K216" s="27">
        <v>0</v>
      </c>
      <c r="L216" s="51">
        <v>0</v>
      </c>
      <c r="M216" s="51">
        <v>0</v>
      </c>
      <c r="N216" s="51">
        <v>0</v>
      </c>
      <c r="P216" s="52">
        <v>0</v>
      </c>
      <c r="Q216" s="52">
        <v>0</v>
      </c>
      <c r="R216" s="52">
        <v>0</v>
      </c>
      <c r="T216" s="27">
        <v>0</v>
      </c>
      <c r="U216" s="51">
        <v>0</v>
      </c>
      <c r="V216" s="51">
        <v>0</v>
      </c>
      <c r="W216" s="51">
        <v>0</v>
      </c>
      <c r="Y216" s="52">
        <v>0</v>
      </c>
      <c r="Z216" s="52">
        <v>0</v>
      </c>
      <c r="AA216" s="52">
        <v>0</v>
      </c>
      <c r="AD216" s="27">
        <v>0</v>
      </c>
      <c r="AE216" s="51">
        <v>0</v>
      </c>
      <c r="AF216" s="51">
        <v>0</v>
      </c>
      <c r="AG216" s="51">
        <v>0</v>
      </c>
      <c r="AI216" s="52">
        <v>0</v>
      </c>
      <c r="AJ216" s="52">
        <v>0</v>
      </c>
      <c r="AK216" s="52">
        <v>0</v>
      </c>
      <c r="AM216" s="27">
        <v>0</v>
      </c>
      <c r="AN216" s="51">
        <v>0</v>
      </c>
      <c r="AO216" s="51">
        <v>0</v>
      </c>
      <c r="AP216" s="51">
        <v>0</v>
      </c>
      <c r="AR216" s="52">
        <v>0</v>
      </c>
      <c r="AS216" s="52">
        <v>0</v>
      </c>
      <c r="AT216" s="52">
        <v>0</v>
      </c>
      <c r="AV216" s="27">
        <v>15</v>
      </c>
      <c r="AW216" s="51">
        <v>15</v>
      </c>
      <c r="AX216" s="51">
        <v>0</v>
      </c>
      <c r="AY216" s="51">
        <v>0</v>
      </c>
      <c r="BA216" s="52">
        <v>1</v>
      </c>
      <c r="BB216" s="52">
        <v>0</v>
      </c>
      <c r="BC216" s="52">
        <v>0</v>
      </c>
    </row>
    <row r="217" spans="1:56" s="51" customFormat="1" x14ac:dyDescent="0.2">
      <c r="A217" s="50" t="s">
        <v>61</v>
      </c>
      <c r="B217" s="27">
        <v>278</v>
      </c>
      <c r="C217" s="51">
        <v>278</v>
      </c>
      <c r="D217" s="51">
        <v>0</v>
      </c>
      <c r="E217" s="51">
        <v>0</v>
      </c>
      <c r="G217" s="52">
        <v>1</v>
      </c>
      <c r="H217" s="52">
        <v>0</v>
      </c>
      <c r="I217" s="52">
        <v>0</v>
      </c>
      <c r="K217" s="27">
        <v>7</v>
      </c>
      <c r="L217" s="51">
        <v>7</v>
      </c>
      <c r="M217" s="51">
        <v>0</v>
      </c>
      <c r="N217" s="51">
        <v>0</v>
      </c>
      <c r="P217" s="52">
        <v>1</v>
      </c>
      <c r="Q217" s="52">
        <v>0</v>
      </c>
      <c r="R217" s="52">
        <v>0</v>
      </c>
      <c r="T217" s="27">
        <v>3</v>
      </c>
      <c r="U217" s="51">
        <v>3</v>
      </c>
      <c r="V217" s="51">
        <v>0</v>
      </c>
      <c r="W217" s="51">
        <v>0</v>
      </c>
      <c r="Y217" s="52">
        <v>1</v>
      </c>
      <c r="Z217" s="52">
        <v>0</v>
      </c>
      <c r="AA217" s="52">
        <v>0</v>
      </c>
      <c r="AD217" s="27">
        <v>0</v>
      </c>
      <c r="AE217" s="51">
        <v>0</v>
      </c>
      <c r="AF217" s="51">
        <v>0</v>
      </c>
      <c r="AG217" s="51">
        <v>0</v>
      </c>
      <c r="AI217" s="52">
        <v>0</v>
      </c>
      <c r="AJ217" s="52">
        <v>0</v>
      </c>
      <c r="AK217" s="52">
        <v>0</v>
      </c>
      <c r="AM217" s="27">
        <v>3</v>
      </c>
      <c r="AN217" s="51">
        <v>3</v>
      </c>
      <c r="AO217" s="51">
        <v>0</v>
      </c>
      <c r="AP217" s="51">
        <v>0</v>
      </c>
      <c r="AR217" s="52">
        <v>1</v>
      </c>
      <c r="AS217" s="52">
        <v>0</v>
      </c>
      <c r="AT217" s="52">
        <v>0</v>
      </c>
      <c r="AV217" s="27">
        <v>0</v>
      </c>
      <c r="AW217" s="51">
        <v>0</v>
      </c>
      <c r="AX217" s="51">
        <v>0</v>
      </c>
      <c r="AY217" s="51">
        <v>0</v>
      </c>
      <c r="BA217" s="52">
        <v>0</v>
      </c>
      <c r="BB217" s="52">
        <v>0</v>
      </c>
      <c r="BC217" s="52">
        <v>0</v>
      </c>
    </row>
    <row r="218" spans="1:56" s="21" customFormat="1" x14ac:dyDescent="0.2">
      <c r="A218" s="29" t="s">
        <v>71</v>
      </c>
      <c r="B218" s="27">
        <v>782140</v>
      </c>
      <c r="C218" s="27">
        <v>719871</v>
      </c>
      <c r="D218" s="27">
        <v>61191</v>
      </c>
      <c r="E218" s="27">
        <v>1078</v>
      </c>
      <c r="G218" s="53">
        <v>0.92038637584064231</v>
      </c>
      <c r="H218" s="53">
        <v>7.8235354284399206E-2</v>
      </c>
      <c r="I218" s="53">
        <v>1.3782698749584474E-3</v>
      </c>
      <c r="K218" s="27">
        <v>88045</v>
      </c>
      <c r="L218" s="27">
        <v>75185</v>
      </c>
      <c r="M218" s="27">
        <v>12099</v>
      </c>
      <c r="N218" s="27">
        <v>761</v>
      </c>
      <c r="P218" s="53">
        <v>0.8539383269918791</v>
      </c>
      <c r="Q218" s="53">
        <v>0.13741836560849566</v>
      </c>
      <c r="R218" s="53">
        <v>8.6433073996251917E-3</v>
      </c>
      <c r="T218" s="27">
        <v>10696</v>
      </c>
      <c r="U218" s="27">
        <v>5149</v>
      </c>
      <c r="V218" s="27">
        <v>5544</v>
      </c>
      <c r="W218" s="27">
        <v>3</v>
      </c>
      <c r="Y218" s="53">
        <v>0.481394913986537</v>
      </c>
      <c r="Z218" s="53">
        <v>0.51832460732984298</v>
      </c>
      <c r="AA218" s="53">
        <v>2.8047868362004487E-4</v>
      </c>
      <c r="AD218" s="27">
        <v>435541</v>
      </c>
      <c r="AE218" s="27">
        <v>391766</v>
      </c>
      <c r="AF218" s="27">
        <v>41742</v>
      </c>
      <c r="AG218" s="27">
        <v>2033</v>
      </c>
      <c r="AI218" s="53">
        <v>0.89949281468334785</v>
      </c>
      <c r="AJ218" s="53">
        <v>9.5839427286983317E-2</v>
      </c>
      <c r="AK218" s="53">
        <v>4.6677580296688483E-3</v>
      </c>
      <c r="AM218" s="27">
        <v>10934</v>
      </c>
      <c r="AN218" s="27">
        <v>8201</v>
      </c>
      <c r="AO218" s="27">
        <v>2460</v>
      </c>
      <c r="AP218" s="27">
        <v>273</v>
      </c>
      <c r="AR218" s="53">
        <v>0.75004572891896837</v>
      </c>
      <c r="AS218" s="53">
        <v>0.22498628132430951</v>
      </c>
      <c r="AT218" s="53">
        <v>2.496798975672215E-2</v>
      </c>
      <c r="AV218" s="27">
        <v>788</v>
      </c>
      <c r="AW218" s="27">
        <v>658</v>
      </c>
      <c r="AX218" s="27">
        <v>127</v>
      </c>
      <c r="AY218" s="27">
        <v>3</v>
      </c>
      <c r="BA218" s="53">
        <v>0.8350253807106599</v>
      </c>
      <c r="BB218" s="53">
        <v>0.16116751269035534</v>
      </c>
      <c r="BC218" s="53">
        <v>3.8071065989847717E-3</v>
      </c>
      <c r="BD218" s="27"/>
    </row>
    <row r="219" spans="1:56" x14ac:dyDescent="0.2">
      <c r="A219" s="18"/>
      <c r="BD219" s="51"/>
    </row>
    <row r="220" spans="1:56" s="25" customFormat="1" x14ac:dyDescent="0.2">
      <c r="A220" s="28" t="s">
        <v>72</v>
      </c>
      <c r="B220" s="25" t="s">
        <v>77</v>
      </c>
      <c r="C220" s="25" t="s">
        <v>105</v>
      </c>
      <c r="D220" s="25" t="s">
        <v>106</v>
      </c>
      <c r="E220" s="25" t="s">
        <v>114</v>
      </c>
      <c r="G220" s="25" t="s">
        <v>105</v>
      </c>
      <c r="H220" s="25" t="s">
        <v>106</v>
      </c>
      <c r="I220" s="25" t="s">
        <v>114</v>
      </c>
      <c r="K220" s="25" t="s">
        <v>77</v>
      </c>
      <c r="L220" s="25" t="s">
        <v>105</v>
      </c>
      <c r="M220" s="25" t="s">
        <v>106</v>
      </c>
      <c r="N220" s="25" t="s">
        <v>114</v>
      </c>
      <c r="P220" s="25" t="s">
        <v>105</v>
      </c>
      <c r="Q220" s="25" t="s">
        <v>106</v>
      </c>
      <c r="R220" s="25" t="s">
        <v>114</v>
      </c>
      <c r="T220" s="25" t="s">
        <v>77</v>
      </c>
      <c r="U220" s="25" t="s">
        <v>105</v>
      </c>
      <c r="V220" s="25" t="s">
        <v>106</v>
      </c>
      <c r="W220" s="25" t="s">
        <v>114</v>
      </c>
      <c r="Y220" s="25" t="s">
        <v>105</v>
      </c>
      <c r="Z220" s="25" t="s">
        <v>106</v>
      </c>
      <c r="AA220" s="25" t="s">
        <v>114</v>
      </c>
      <c r="AD220" s="25" t="s">
        <v>77</v>
      </c>
      <c r="AE220" s="25" t="s">
        <v>105</v>
      </c>
      <c r="AF220" s="25" t="s">
        <v>106</v>
      </c>
      <c r="AG220" s="25" t="s">
        <v>114</v>
      </c>
      <c r="AI220" s="25" t="s">
        <v>105</v>
      </c>
      <c r="AJ220" s="25" t="s">
        <v>106</v>
      </c>
      <c r="AK220" s="25" t="s">
        <v>114</v>
      </c>
      <c r="AM220" s="25" t="s">
        <v>77</v>
      </c>
      <c r="AN220" s="25" t="s">
        <v>105</v>
      </c>
      <c r="AO220" s="25" t="s">
        <v>106</v>
      </c>
      <c r="AP220" s="25" t="s">
        <v>114</v>
      </c>
      <c r="AR220" s="25" t="s">
        <v>105</v>
      </c>
      <c r="AS220" s="25" t="s">
        <v>106</v>
      </c>
      <c r="AT220" s="25" t="s">
        <v>114</v>
      </c>
      <c r="AV220" s="25" t="s">
        <v>77</v>
      </c>
      <c r="AW220" s="25" t="s">
        <v>105</v>
      </c>
      <c r="AX220" s="25" t="s">
        <v>106</v>
      </c>
      <c r="AY220" s="25" t="s">
        <v>114</v>
      </c>
      <c r="BA220" s="25" t="s">
        <v>105</v>
      </c>
      <c r="BB220" s="25" t="s">
        <v>106</v>
      </c>
      <c r="BC220" s="25" t="s">
        <v>114</v>
      </c>
      <c r="BD220" s="51"/>
    </row>
    <row r="221" spans="1:56" x14ac:dyDescent="0.2">
      <c r="A221" s="18" t="s">
        <v>17</v>
      </c>
      <c r="B221" s="27">
        <v>1584</v>
      </c>
      <c r="C221" s="51">
        <v>1584</v>
      </c>
      <c r="D221" s="51">
        <v>0</v>
      </c>
      <c r="E221" s="51">
        <v>0</v>
      </c>
      <c r="F221" s="51"/>
      <c r="G221" s="52">
        <v>1</v>
      </c>
      <c r="H221" s="52">
        <v>0</v>
      </c>
      <c r="I221" s="52">
        <v>0</v>
      </c>
      <c r="K221" s="27">
        <v>407</v>
      </c>
      <c r="L221" s="51">
        <v>407</v>
      </c>
      <c r="M221" s="51">
        <v>0</v>
      </c>
      <c r="N221" s="51">
        <v>0</v>
      </c>
      <c r="O221" s="51"/>
      <c r="P221" s="52">
        <v>1</v>
      </c>
      <c r="Q221" s="52">
        <v>0</v>
      </c>
      <c r="R221" s="52">
        <v>0</v>
      </c>
      <c r="T221" s="27">
        <v>18</v>
      </c>
      <c r="U221" s="51">
        <v>18</v>
      </c>
      <c r="V221" s="51">
        <v>0</v>
      </c>
      <c r="W221" s="51">
        <v>0</v>
      </c>
      <c r="X221" s="51"/>
      <c r="Y221" s="52">
        <v>1</v>
      </c>
      <c r="Z221" s="52">
        <v>0</v>
      </c>
      <c r="AA221" s="52">
        <v>0</v>
      </c>
      <c r="AD221" s="27">
        <v>0</v>
      </c>
      <c r="AE221" s="51">
        <v>0</v>
      </c>
      <c r="AF221" s="51">
        <v>0</v>
      </c>
      <c r="AG221" s="51">
        <v>0</v>
      </c>
      <c r="AH221" s="51"/>
      <c r="AI221" s="52">
        <v>0</v>
      </c>
      <c r="AJ221" s="52">
        <v>0</v>
      </c>
      <c r="AK221" s="52">
        <v>0</v>
      </c>
      <c r="AM221" s="27">
        <v>0</v>
      </c>
      <c r="AN221" s="51">
        <v>0</v>
      </c>
      <c r="AO221" s="51">
        <v>0</v>
      </c>
      <c r="AP221" s="51">
        <v>0</v>
      </c>
      <c r="AQ221" s="51"/>
      <c r="AR221" s="52">
        <v>0</v>
      </c>
      <c r="AS221" s="52">
        <v>0</v>
      </c>
      <c r="AT221" s="52">
        <v>0</v>
      </c>
      <c r="AV221" s="27">
        <v>0</v>
      </c>
      <c r="AW221" s="51">
        <v>0</v>
      </c>
      <c r="AX221" s="51">
        <v>0</v>
      </c>
      <c r="AY221" s="51">
        <v>0</v>
      </c>
      <c r="AZ221" s="51"/>
      <c r="BA221" s="52">
        <v>0</v>
      </c>
      <c r="BB221" s="52">
        <v>0</v>
      </c>
      <c r="BC221" s="52">
        <v>0</v>
      </c>
      <c r="BD221" s="51"/>
    </row>
    <row r="222" spans="1:56" x14ac:dyDescent="0.2">
      <c r="A222" s="18" t="s">
        <v>22</v>
      </c>
      <c r="B222" s="27">
        <v>246735</v>
      </c>
      <c r="C222" s="51">
        <v>3575</v>
      </c>
      <c r="D222" s="51">
        <v>242618</v>
      </c>
      <c r="E222" s="51">
        <v>542</v>
      </c>
      <c r="F222" s="51"/>
      <c r="G222" s="52">
        <v>1.4489229335116623E-2</v>
      </c>
      <c r="H222" s="52">
        <v>0.98331408190974123</v>
      </c>
      <c r="I222" s="52">
        <v>2.1966887551421567E-3</v>
      </c>
      <c r="K222" s="27">
        <v>35471</v>
      </c>
      <c r="L222" s="51">
        <v>3493</v>
      </c>
      <c r="M222" s="51">
        <v>31740</v>
      </c>
      <c r="N222" s="51">
        <v>238</v>
      </c>
      <c r="O222" s="51"/>
      <c r="P222" s="52">
        <v>9.8474810408502714E-2</v>
      </c>
      <c r="Q222" s="52">
        <v>0.89481548307067749</v>
      </c>
      <c r="R222" s="52">
        <v>6.7097065208198249E-3</v>
      </c>
      <c r="T222" s="27">
        <v>1903</v>
      </c>
      <c r="U222" s="51">
        <v>1832</v>
      </c>
      <c r="V222" s="51">
        <v>67</v>
      </c>
      <c r="W222" s="51">
        <v>4</v>
      </c>
      <c r="X222" s="51"/>
      <c r="Y222" s="52">
        <v>0.96269048870204943</v>
      </c>
      <c r="Z222" s="52">
        <v>3.5207566999474513E-2</v>
      </c>
      <c r="AA222" s="52">
        <v>2.1019442984760903E-3</v>
      </c>
      <c r="AD222" s="27">
        <v>0</v>
      </c>
      <c r="AE222" s="51">
        <v>0</v>
      </c>
      <c r="AF222" s="51">
        <v>0</v>
      </c>
      <c r="AG222" s="51">
        <v>0</v>
      </c>
      <c r="AH222" s="51"/>
      <c r="AI222" s="52">
        <v>0</v>
      </c>
      <c r="AJ222" s="52">
        <v>0</v>
      </c>
      <c r="AK222" s="52">
        <v>0</v>
      </c>
      <c r="AM222" s="27">
        <v>0</v>
      </c>
      <c r="AN222" s="51">
        <v>0</v>
      </c>
      <c r="AO222" s="51">
        <v>0</v>
      </c>
      <c r="AP222" s="51">
        <v>0</v>
      </c>
      <c r="AQ222" s="51"/>
      <c r="AR222" s="52">
        <v>0</v>
      </c>
      <c r="AS222" s="52">
        <v>0</v>
      </c>
      <c r="AT222" s="52">
        <v>0</v>
      </c>
      <c r="AV222" s="27">
        <v>0</v>
      </c>
      <c r="AW222" s="51">
        <v>0</v>
      </c>
      <c r="AX222" s="51">
        <v>0</v>
      </c>
      <c r="AY222" s="51">
        <v>0</v>
      </c>
      <c r="AZ222" s="51"/>
      <c r="BA222" s="52">
        <v>0</v>
      </c>
      <c r="BB222" s="52">
        <v>0</v>
      </c>
      <c r="BC222" s="52">
        <v>0</v>
      </c>
      <c r="BD222" s="51"/>
    </row>
    <row r="223" spans="1:56" x14ac:dyDescent="0.2">
      <c r="A223" s="18" t="s">
        <v>29</v>
      </c>
      <c r="B223" s="27">
        <v>0</v>
      </c>
      <c r="C223" s="51">
        <v>0</v>
      </c>
      <c r="D223" s="51">
        <v>0</v>
      </c>
      <c r="E223" s="51">
        <v>0</v>
      </c>
      <c r="F223" s="51"/>
      <c r="G223" s="52">
        <v>0</v>
      </c>
      <c r="H223" s="52">
        <v>0</v>
      </c>
      <c r="I223" s="52">
        <v>0</v>
      </c>
      <c r="K223" s="27">
        <v>9</v>
      </c>
      <c r="L223" s="51">
        <v>9</v>
      </c>
      <c r="M223" s="51">
        <v>0</v>
      </c>
      <c r="N223" s="51">
        <v>0</v>
      </c>
      <c r="O223" s="51"/>
      <c r="P223" s="52">
        <v>1</v>
      </c>
      <c r="Q223" s="52">
        <v>0</v>
      </c>
      <c r="R223" s="52">
        <v>0</v>
      </c>
      <c r="T223" s="27">
        <v>0</v>
      </c>
      <c r="U223" s="51">
        <v>0</v>
      </c>
      <c r="V223" s="51">
        <v>0</v>
      </c>
      <c r="W223" s="51">
        <v>0</v>
      </c>
      <c r="X223" s="51"/>
      <c r="Y223" s="52">
        <v>0</v>
      </c>
      <c r="Z223" s="52">
        <v>0</v>
      </c>
      <c r="AA223" s="52">
        <v>0</v>
      </c>
      <c r="AD223" s="27">
        <v>0</v>
      </c>
      <c r="AE223" s="51">
        <v>0</v>
      </c>
      <c r="AF223" s="51">
        <v>0</v>
      </c>
      <c r="AG223" s="51">
        <v>0</v>
      </c>
      <c r="AH223" s="51"/>
      <c r="AI223" s="52">
        <v>0</v>
      </c>
      <c r="AJ223" s="52">
        <v>0</v>
      </c>
      <c r="AK223" s="52">
        <v>0</v>
      </c>
      <c r="AM223" s="27">
        <v>0</v>
      </c>
      <c r="AN223" s="51">
        <v>0</v>
      </c>
      <c r="AO223" s="51">
        <v>0</v>
      </c>
      <c r="AP223" s="51">
        <v>0</v>
      </c>
      <c r="AQ223" s="51"/>
      <c r="AR223" s="52">
        <v>0</v>
      </c>
      <c r="AS223" s="52">
        <v>0</v>
      </c>
      <c r="AT223" s="52">
        <v>0</v>
      </c>
      <c r="AV223" s="27">
        <v>0</v>
      </c>
      <c r="AW223" s="51">
        <v>0</v>
      </c>
      <c r="AX223" s="51">
        <v>0</v>
      </c>
      <c r="AY223" s="51">
        <v>0</v>
      </c>
      <c r="AZ223" s="51"/>
      <c r="BA223" s="52">
        <v>0</v>
      </c>
      <c r="BB223" s="52">
        <v>0</v>
      </c>
      <c r="BC223" s="52">
        <v>0</v>
      </c>
      <c r="BD223" s="51"/>
    </row>
    <row r="224" spans="1:56" x14ac:dyDescent="0.2">
      <c r="A224" s="18" t="s">
        <v>80</v>
      </c>
      <c r="B224" s="27">
        <v>0</v>
      </c>
      <c r="C224" s="51">
        <v>0</v>
      </c>
      <c r="D224" s="51">
        <v>0</v>
      </c>
      <c r="E224" s="51">
        <v>0</v>
      </c>
      <c r="F224" s="51"/>
      <c r="G224" s="52">
        <v>0</v>
      </c>
      <c r="H224" s="52">
        <v>0</v>
      </c>
      <c r="I224" s="52">
        <v>0</v>
      </c>
      <c r="K224" s="27">
        <v>129</v>
      </c>
      <c r="L224" s="51">
        <v>74</v>
      </c>
      <c r="M224" s="51">
        <v>41</v>
      </c>
      <c r="N224" s="51">
        <v>14</v>
      </c>
      <c r="O224" s="51"/>
      <c r="P224" s="52">
        <v>0.5736434108527132</v>
      </c>
      <c r="Q224" s="52">
        <v>0.31782945736434109</v>
      </c>
      <c r="R224" s="52">
        <v>0.10852713178294573</v>
      </c>
      <c r="T224" s="27">
        <v>267</v>
      </c>
      <c r="U224" s="51">
        <v>267</v>
      </c>
      <c r="V224" s="51">
        <v>0</v>
      </c>
      <c r="W224" s="51">
        <v>0</v>
      </c>
      <c r="X224" s="51"/>
      <c r="Y224" s="52">
        <v>1</v>
      </c>
      <c r="Z224" s="52">
        <v>0</v>
      </c>
      <c r="AA224" s="52">
        <v>0</v>
      </c>
      <c r="AD224" s="27">
        <v>0</v>
      </c>
      <c r="AE224" s="51">
        <v>0</v>
      </c>
      <c r="AF224" s="51">
        <v>0</v>
      </c>
      <c r="AG224" s="51">
        <v>0</v>
      </c>
      <c r="AH224" s="51"/>
      <c r="AI224" s="52">
        <v>0</v>
      </c>
      <c r="AJ224" s="52">
        <v>0</v>
      </c>
      <c r="AK224" s="52">
        <v>0</v>
      </c>
      <c r="AM224" s="27">
        <v>0</v>
      </c>
      <c r="AN224" s="51">
        <v>0</v>
      </c>
      <c r="AO224" s="51">
        <v>0</v>
      </c>
      <c r="AP224" s="51">
        <v>0</v>
      </c>
      <c r="AQ224" s="51"/>
      <c r="AR224" s="52">
        <v>0</v>
      </c>
      <c r="AS224" s="52">
        <v>0</v>
      </c>
      <c r="AT224" s="52">
        <v>0</v>
      </c>
      <c r="AV224" s="27">
        <v>0</v>
      </c>
      <c r="AW224" s="51">
        <v>0</v>
      </c>
      <c r="AX224" s="51">
        <v>0</v>
      </c>
      <c r="AY224" s="51">
        <v>0</v>
      </c>
      <c r="AZ224" s="51"/>
      <c r="BA224" s="52">
        <v>0</v>
      </c>
      <c r="BB224" s="52">
        <v>0</v>
      </c>
      <c r="BC224" s="52">
        <v>0</v>
      </c>
      <c r="BD224" s="51"/>
    </row>
    <row r="225" spans="1:56" x14ac:dyDescent="0.2">
      <c r="A225" s="18" t="s">
        <v>86</v>
      </c>
      <c r="B225" s="27">
        <v>0</v>
      </c>
      <c r="C225" s="51">
        <v>0</v>
      </c>
      <c r="D225" s="51">
        <v>0</v>
      </c>
      <c r="E225" s="51">
        <v>0</v>
      </c>
      <c r="F225" s="51"/>
      <c r="G225" s="52">
        <v>0</v>
      </c>
      <c r="H225" s="52">
        <v>0</v>
      </c>
      <c r="I225" s="52">
        <v>0</v>
      </c>
      <c r="K225" s="27">
        <v>0</v>
      </c>
      <c r="L225" s="51">
        <v>0</v>
      </c>
      <c r="M225" s="51">
        <v>0</v>
      </c>
      <c r="N225" s="51">
        <v>0</v>
      </c>
      <c r="O225" s="51"/>
      <c r="P225" s="52">
        <v>0</v>
      </c>
      <c r="Q225" s="52">
        <v>0</v>
      </c>
      <c r="R225" s="52">
        <v>0</v>
      </c>
      <c r="T225" s="27">
        <v>1</v>
      </c>
      <c r="U225" s="51">
        <v>1</v>
      </c>
      <c r="V225" s="51">
        <v>0</v>
      </c>
      <c r="W225" s="51">
        <v>0</v>
      </c>
      <c r="X225" s="51"/>
      <c r="Y225" s="52">
        <v>1</v>
      </c>
      <c r="Z225" s="52">
        <v>0</v>
      </c>
      <c r="AA225" s="52">
        <v>0</v>
      </c>
      <c r="AD225" s="27">
        <v>0</v>
      </c>
      <c r="AE225" s="51">
        <v>0</v>
      </c>
      <c r="AF225" s="51">
        <v>0</v>
      </c>
      <c r="AG225" s="51">
        <v>0</v>
      </c>
      <c r="AH225" s="51"/>
      <c r="AI225" s="52">
        <v>0</v>
      </c>
      <c r="AJ225" s="52">
        <v>0</v>
      </c>
      <c r="AK225" s="52">
        <v>0</v>
      </c>
      <c r="AM225" s="27">
        <v>0</v>
      </c>
      <c r="AN225" s="51">
        <v>0</v>
      </c>
      <c r="AO225" s="51">
        <v>0</v>
      </c>
      <c r="AP225" s="51">
        <v>0</v>
      </c>
      <c r="AQ225" s="51"/>
      <c r="AR225" s="52">
        <v>0</v>
      </c>
      <c r="AS225" s="52">
        <v>0</v>
      </c>
      <c r="AT225" s="52">
        <v>0</v>
      </c>
      <c r="AV225" s="27">
        <v>0</v>
      </c>
      <c r="AW225" s="51">
        <v>0</v>
      </c>
      <c r="AX225" s="51">
        <v>0</v>
      </c>
      <c r="AY225" s="51">
        <v>0</v>
      </c>
      <c r="AZ225" s="51"/>
      <c r="BA225" s="52">
        <v>0</v>
      </c>
      <c r="BB225" s="52">
        <v>0</v>
      </c>
      <c r="BC225" s="52">
        <v>0</v>
      </c>
      <c r="BD225" s="51"/>
    </row>
    <row r="226" spans="1:56" x14ac:dyDescent="0.2">
      <c r="A226" s="18" t="s">
        <v>88</v>
      </c>
      <c r="B226" s="27">
        <v>0</v>
      </c>
      <c r="C226" s="51">
        <v>0</v>
      </c>
      <c r="D226" s="51">
        <v>0</v>
      </c>
      <c r="E226" s="51">
        <v>0</v>
      </c>
      <c r="F226" s="51"/>
      <c r="G226" s="52">
        <v>0</v>
      </c>
      <c r="H226" s="52">
        <v>0</v>
      </c>
      <c r="I226" s="52">
        <v>0</v>
      </c>
      <c r="K226" s="27">
        <v>0</v>
      </c>
      <c r="L226" s="51">
        <v>0</v>
      </c>
      <c r="M226" s="51">
        <v>0</v>
      </c>
      <c r="N226" s="51">
        <v>0</v>
      </c>
      <c r="O226" s="51"/>
      <c r="P226" s="52">
        <v>0</v>
      </c>
      <c r="Q226" s="52">
        <v>0</v>
      </c>
      <c r="R226" s="52">
        <v>0</v>
      </c>
      <c r="T226" s="27">
        <v>3</v>
      </c>
      <c r="U226" s="51">
        <v>3</v>
      </c>
      <c r="V226" s="51">
        <v>0</v>
      </c>
      <c r="W226" s="51">
        <v>0</v>
      </c>
      <c r="X226" s="51"/>
      <c r="Y226" s="52">
        <v>1</v>
      </c>
      <c r="Z226" s="52">
        <v>0</v>
      </c>
      <c r="AA226" s="52">
        <v>0</v>
      </c>
      <c r="AD226" s="27">
        <v>0</v>
      </c>
      <c r="AE226" s="51">
        <v>0</v>
      </c>
      <c r="AF226" s="51">
        <v>0</v>
      </c>
      <c r="AG226" s="51">
        <v>0</v>
      </c>
      <c r="AH226" s="51"/>
      <c r="AI226" s="52">
        <v>0</v>
      </c>
      <c r="AJ226" s="52">
        <v>0</v>
      </c>
      <c r="AK226" s="52">
        <v>0</v>
      </c>
      <c r="AM226" s="27">
        <v>0</v>
      </c>
      <c r="AN226" s="51">
        <v>0</v>
      </c>
      <c r="AO226" s="51">
        <v>0</v>
      </c>
      <c r="AP226" s="51">
        <v>0</v>
      </c>
      <c r="AQ226" s="51"/>
      <c r="AR226" s="52">
        <v>0</v>
      </c>
      <c r="AS226" s="52">
        <v>0</v>
      </c>
      <c r="AT226" s="52">
        <v>0</v>
      </c>
      <c r="AV226" s="27">
        <v>0</v>
      </c>
      <c r="AW226" s="51">
        <v>0</v>
      </c>
      <c r="AX226" s="51">
        <v>0</v>
      </c>
      <c r="AY226" s="51">
        <v>0</v>
      </c>
      <c r="AZ226" s="51"/>
      <c r="BA226" s="52">
        <v>0</v>
      </c>
      <c r="BB226" s="52">
        <v>0</v>
      </c>
      <c r="BC226" s="52">
        <v>0</v>
      </c>
      <c r="BD226" s="51"/>
    </row>
    <row r="227" spans="1:56" s="21" customFormat="1" x14ac:dyDescent="0.2">
      <c r="A227" s="29" t="s">
        <v>73</v>
      </c>
      <c r="B227" s="27">
        <v>248319</v>
      </c>
      <c r="C227" s="27">
        <v>5159</v>
      </c>
      <c r="D227" s="27">
        <v>242618</v>
      </c>
      <c r="E227" s="27">
        <v>542</v>
      </c>
      <c r="G227" s="53">
        <v>2.0775695778414056E-2</v>
      </c>
      <c r="H227" s="53">
        <v>0.97704162790604021</v>
      </c>
      <c r="I227" s="53">
        <v>2.1826763155457295E-3</v>
      </c>
      <c r="K227" s="27">
        <v>36016</v>
      </c>
      <c r="L227" s="27">
        <v>3983</v>
      </c>
      <c r="M227" s="27">
        <v>31781</v>
      </c>
      <c r="N227" s="27">
        <v>252</v>
      </c>
      <c r="P227" s="53">
        <v>0.11058973789426921</v>
      </c>
      <c r="Q227" s="53">
        <v>0.88241337183474011</v>
      </c>
      <c r="R227" s="53">
        <v>6.9968902709906704E-3</v>
      </c>
      <c r="T227" s="27">
        <v>2192</v>
      </c>
      <c r="U227" s="27">
        <v>2121</v>
      </c>
      <c r="V227" s="27">
        <v>67</v>
      </c>
      <c r="W227" s="27">
        <v>4</v>
      </c>
      <c r="Y227" s="53">
        <v>0.9676094890510949</v>
      </c>
      <c r="Z227" s="53">
        <v>3.0565693430656935E-2</v>
      </c>
      <c r="AA227" s="53">
        <v>1.8248175182481751E-3</v>
      </c>
      <c r="AD227" s="27">
        <v>0</v>
      </c>
      <c r="AE227" s="27">
        <v>0</v>
      </c>
      <c r="AF227" s="27">
        <v>0</v>
      </c>
      <c r="AG227" s="27">
        <v>0</v>
      </c>
      <c r="AI227" s="53">
        <v>0</v>
      </c>
      <c r="AJ227" s="53">
        <v>0</v>
      </c>
      <c r="AK227" s="53">
        <v>0</v>
      </c>
      <c r="AM227" s="27">
        <v>0</v>
      </c>
      <c r="AN227" s="27">
        <v>0</v>
      </c>
      <c r="AO227" s="27">
        <v>0</v>
      </c>
      <c r="AP227" s="27">
        <v>0</v>
      </c>
      <c r="AR227" s="53">
        <v>0</v>
      </c>
      <c r="AS227" s="53">
        <v>0</v>
      </c>
      <c r="AT227" s="53">
        <v>0</v>
      </c>
      <c r="AV227" s="27">
        <v>0</v>
      </c>
      <c r="AW227" s="27">
        <v>0</v>
      </c>
      <c r="AX227" s="27">
        <v>0</v>
      </c>
      <c r="AY227" s="27">
        <v>0</v>
      </c>
      <c r="BA227" s="53">
        <v>0</v>
      </c>
      <c r="BB227" s="53">
        <v>0</v>
      </c>
      <c r="BC227" s="53">
        <v>0</v>
      </c>
      <c r="BD227" s="27"/>
    </row>
  </sheetData>
  <mergeCells count="8">
    <mergeCell ref="AI5:AK5"/>
    <mergeCell ref="AR5:AT5"/>
    <mergeCell ref="BA5:BC5"/>
    <mergeCell ref="B5:E5"/>
    <mergeCell ref="G5:I5"/>
    <mergeCell ref="P5:R5"/>
    <mergeCell ref="K5:N5"/>
    <mergeCell ref="Y5:AA5"/>
  </mergeCells>
  <conditionalFormatting sqref="A6">
    <cfRule type="duplicateValues" dxfId="15" priority="1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" sqref="D1"/>
    </sheetView>
  </sheetViews>
  <sheetFormatPr defaultRowHeight="15" x14ac:dyDescent="0.25"/>
  <cols>
    <col min="1" max="1" width="25.42578125" customWidth="1"/>
    <col min="2" max="2" width="16.42578125" customWidth="1"/>
    <col min="3" max="4" width="12.5703125" style="88" customWidth="1"/>
    <col min="5" max="7" width="13.7109375" customWidth="1"/>
    <col min="8" max="8" width="1.140625" customWidth="1"/>
    <col min="9" max="9" width="13.85546875" customWidth="1"/>
    <col min="10" max="11" width="13.85546875" style="88" customWidth="1"/>
    <col min="12" max="14" width="13.85546875" customWidth="1"/>
    <col min="15" max="15" width="1.42578125" customWidth="1"/>
    <col min="16" max="16" width="13.85546875" customWidth="1"/>
    <col min="17" max="18" width="13.85546875" style="88" customWidth="1"/>
    <col min="19" max="19" width="13.85546875" customWidth="1"/>
    <col min="20" max="20" width="9.140625" style="48"/>
    <col min="21" max="21" width="9.140625" style="20"/>
    <col min="24" max="24" width="11.42578125" customWidth="1"/>
    <col min="25" max="25" width="9.85546875" style="89" bestFit="1" customWidth="1"/>
    <col min="26" max="26" width="13.7109375" style="88" customWidth="1"/>
    <col min="27" max="29" width="13.7109375" customWidth="1"/>
    <col min="30" max="30" width="3.140625" customWidth="1"/>
    <col min="31" max="31" width="13.85546875" customWidth="1"/>
    <col min="32" max="32" width="13.85546875" style="89" customWidth="1"/>
    <col min="33" max="33" width="13.85546875" style="88" customWidth="1"/>
    <col min="34" max="36" width="13.85546875" customWidth="1"/>
    <col min="37" max="37" width="3.140625" customWidth="1"/>
    <col min="38" max="38" width="14.140625" customWidth="1"/>
    <col min="39" max="39" width="14.140625" style="48" customWidth="1"/>
    <col min="40" max="40" width="14.140625" style="88" customWidth="1"/>
    <col min="41" max="41" width="14.140625" customWidth="1"/>
  </cols>
  <sheetData>
    <row r="1" spans="1:43" x14ac:dyDescent="0.25">
      <c r="A1" s="30" t="s">
        <v>0</v>
      </c>
      <c r="B1" s="85" t="s">
        <v>153</v>
      </c>
      <c r="C1" s="153"/>
      <c r="D1" s="85"/>
      <c r="E1" s="4"/>
      <c r="F1" s="4"/>
      <c r="G1" s="4"/>
    </row>
    <row r="2" spans="1:43" x14ac:dyDescent="0.25">
      <c r="A2" s="42" t="s">
        <v>136</v>
      </c>
      <c r="B2" s="42"/>
      <c r="C2" s="154"/>
      <c r="D2" s="15"/>
      <c r="E2" s="4"/>
      <c r="F2" s="4"/>
      <c r="G2" s="4"/>
    </row>
    <row r="3" spans="1:43" x14ac:dyDescent="0.25">
      <c r="A3" s="40" t="s">
        <v>199</v>
      </c>
      <c r="B3" s="172" t="s">
        <v>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X3" s="173" t="s">
        <v>92</v>
      </c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</row>
    <row r="4" spans="1:43" x14ac:dyDescent="0.25">
      <c r="A4" s="30" t="s">
        <v>4</v>
      </c>
      <c r="B4" s="166" t="s">
        <v>3</v>
      </c>
      <c r="C4" s="166"/>
      <c r="D4" s="166"/>
      <c r="E4" s="166"/>
      <c r="F4" s="140"/>
      <c r="G4" s="140"/>
      <c r="I4" s="171" t="s">
        <v>95</v>
      </c>
      <c r="J4" s="171"/>
      <c r="K4" s="171"/>
      <c r="L4" s="171"/>
      <c r="M4" s="141"/>
      <c r="N4" s="141"/>
      <c r="O4" s="21"/>
      <c r="P4" s="171" t="s">
        <v>81</v>
      </c>
      <c r="Q4" s="171"/>
      <c r="R4" s="171"/>
      <c r="S4" s="171"/>
      <c r="Z4" s="166" t="s">
        <v>3</v>
      </c>
      <c r="AA4" s="166"/>
      <c r="AB4" s="140"/>
      <c r="AC4" s="140"/>
      <c r="AG4" s="90" t="s">
        <v>95</v>
      </c>
      <c r="AH4" s="39"/>
      <c r="AI4" s="39"/>
      <c r="AJ4" s="39"/>
      <c r="AN4" s="90" t="s">
        <v>81</v>
      </c>
      <c r="AO4" s="39"/>
    </row>
    <row r="5" spans="1:43" s="98" customFormat="1" x14ac:dyDescent="0.25">
      <c r="A5" s="94"/>
      <c r="B5" s="40" t="s">
        <v>12</v>
      </c>
      <c r="C5" s="155" t="s">
        <v>164</v>
      </c>
      <c r="D5" s="40" t="s">
        <v>195</v>
      </c>
      <c r="E5" s="40" t="s">
        <v>12</v>
      </c>
      <c r="F5" s="40" t="s">
        <v>164</v>
      </c>
      <c r="G5" s="40" t="s">
        <v>195</v>
      </c>
      <c r="I5" s="40" t="s">
        <v>12</v>
      </c>
      <c r="J5" s="155" t="s">
        <v>164</v>
      </c>
      <c r="K5" s="40" t="s">
        <v>195</v>
      </c>
      <c r="L5" s="40" t="s">
        <v>12</v>
      </c>
      <c r="M5" s="40" t="s">
        <v>164</v>
      </c>
      <c r="N5" s="40" t="s">
        <v>195</v>
      </c>
      <c r="O5" s="95"/>
      <c r="P5" s="40" t="s">
        <v>12</v>
      </c>
      <c r="Q5" s="155" t="s">
        <v>164</v>
      </c>
      <c r="R5" s="40" t="s">
        <v>195</v>
      </c>
      <c r="S5" s="40" t="s">
        <v>12</v>
      </c>
      <c r="T5" s="156" t="s">
        <v>164</v>
      </c>
      <c r="U5" s="156" t="s">
        <v>195</v>
      </c>
      <c r="X5" s="40" t="s">
        <v>12</v>
      </c>
      <c r="Y5" s="40" t="s">
        <v>164</v>
      </c>
      <c r="Z5" s="40" t="s">
        <v>195</v>
      </c>
      <c r="AA5" s="40" t="s">
        <v>12</v>
      </c>
      <c r="AB5" s="40" t="s">
        <v>164</v>
      </c>
      <c r="AC5" s="40" t="s">
        <v>195</v>
      </c>
      <c r="AE5" s="172" t="s">
        <v>12</v>
      </c>
      <c r="AF5" s="172" t="s">
        <v>12</v>
      </c>
      <c r="AG5" s="172" t="s">
        <v>164</v>
      </c>
      <c r="AH5" s="172"/>
      <c r="AI5" s="172" t="s">
        <v>195</v>
      </c>
      <c r="AJ5" s="172"/>
      <c r="AL5" s="172" t="s">
        <v>12</v>
      </c>
      <c r="AM5" s="172" t="s">
        <v>12</v>
      </c>
      <c r="AN5" s="172" t="s">
        <v>164</v>
      </c>
      <c r="AO5" s="172"/>
      <c r="AP5" s="172" t="s">
        <v>195</v>
      </c>
      <c r="AQ5" s="172"/>
    </row>
    <row r="6" spans="1:43" s="34" customFormat="1" ht="38.25" x14ac:dyDescent="0.25">
      <c r="A6" s="41" t="s">
        <v>9</v>
      </c>
      <c r="B6" s="174" t="s">
        <v>97</v>
      </c>
      <c r="C6" s="174"/>
      <c r="D6" s="174"/>
      <c r="E6" s="174" t="s">
        <v>104</v>
      </c>
      <c r="F6" s="174"/>
      <c r="G6" s="174"/>
      <c r="I6" s="174" t="s">
        <v>97</v>
      </c>
      <c r="J6" s="174"/>
      <c r="K6" s="174"/>
      <c r="L6" s="174" t="s">
        <v>104</v>
      </c>
      <c r="M6" s="174"/>
      <c r="N6" s="174"/>
      <c r="P6" s="174" t="s">
        <v>97</v>
      </c>
      <c r="Q6" s="174"/>
      <c r="R6" s="174"/>
      <c r="S6" s="174" t="s">
        <v>104</v>
      </c>
      <c r="T6" s="175"/>
      <c r="U6" s="175"/>
      <c r="V6"/>
      <c r="W6"/>
      <c r="X6" s="174" t="s">
        <v>97</v>
      </c>
      <c r="Y6" s="174"/>
      <c r="Z6" s="174"/>
      <c r="AA6" s="174" t="s">
        <v>104</v>
      </c>
      <c r="AB6" s="174"/>
      <c r="AC6" s="174"/>
      <c r="AE6" s="142" t="s">
        <v>97</v>
      </c>
      <c r="AF6" s="54" t="s">
        <v>104</v>
      </c>
      <c r="AG6" s="86" t="s">
        <v>97</v>
      </c>
      <c r="AH6" s="142" t="s">
        <v>104</v>
      </c>
      <c r="AI6" s="142" t="s">
        <v>97</v>
      </c>
      <c r="AJ6" s="142" t="s">
        <v>104</v>
      </c>
      <c r="AL6" s="142" t="s">
        <v>97</v>
      </c>
      <c r="AM6" s="54" t="s">
        <v>104</v>
      </c>
      <c r="AN6" s="86" t="s">
        <v>97</v>
      </c>
      <c r="AO6" s="142" t="s">
        <v>104</v>
      </c>
      <c r="AP6" s="142" t="s">
        <v>97</v>
      </c>
      <c r="AQ6" s="142" t="s">
        <v>104</v>
      </c>
    </row>
    <row r="7" spans="1:43" x14ac:dyDescent="0.25">
      <c r="A7" s="18" t="s">
        <v>18</v>
      </c>
      <c r="B7" s="19">
        <v>4846</v>
      </c>
      <c r="C7" s="19">
        <v>6581</v>
      </c>
      <c r="D7" s="19">
        <v>7975</v>
      </c>
      <c r="E7" s="20">
        <v>5.4570228483271963E-2</v>
      </c>
      <c r="F7" s="20">
        <v>6.2765855984740104E-2</v>
      </c>
      <c r="G7" s="20">
        <v>8.569371615232528E-2</v>
      </c>
      <c r="I7" s="19">
        <v>224</v>
      </c>
      <c r="J7" s="19">
        <v>289</v>
      </c>
      <c r="K7" s="19">
        <v>246</v>
      </c>
      <c r="L7" s="20">
        <v>2.2955523672883789E-2</v>
      </c>
      <c r="M7" s="20">
        <v>3.0559374008670825E-2</v>
      </c>
      <c r="N7" s="20">
        <v>2.7104451300132216E-2</v>
      </c>
      <c r="P7" s="19">
        <v>0</v>
      </c>
      <c r="Q7" s="19">
        <v>0</v>
      </c>
      <c r="R7" s="19">
        <v>0</v>
      </c>
      <c r="S7" s="20">
        <v>0</v>
      </c>
      <c r="T7" s="20">
        <v>0</v>
      </c>
      <c r="U7" s="20">
        <v>0</v>
      </c>
      <c r="X7" s="19">
        <v>2045</v>
      </c>
      <c r="Y7" s="19">
        <v>2659</v>
      </c>
      <c r="Z7" s="19">
        <v>3495</v>
      </c>
      <c r="AA7" s="20">
        <v>3.0254164570819895E-2</v>
      </c>
      <c r="AB7" s="20">
        <v>3.4326065347327114E-2</v>
      </c>
      <c r="AC7" s="20">
        <v>4.9532312925170068E-2</v>
      </c>
      <c r="AE7" s="19">
        <v>20</v>
      </c>
      <c r="AF7" s="19">
        <v>37</v>
      </c>
      <c r="AG7" s="19">
        <v>42</v>
      </c>
      <c r="AH7" s="20">
        <v>1.0030090270812437E-2</v>
      </c>
      <c r="AI7" s="20">
        <v>1.8128368446839783E-2</v>
      </c>
      <c r="AJ7" s="20">
        <v>2.151639344262295E-2</v>
      </c>
      <c r="AL7" s="19">
        <v>0</v>
      </c>
      <c r="AM7" s="19">
        <v>0</v>
      </c>
      <c r="AN7" s="19">
        <v>0</v>
      </c>
      <c r="AO7" s="20">
        <v>0</v>
      </c>
      <c r="AP7" s="20">
        <v>0</v>
      </c>
      <c r="AQ7" s="20">
        <v>0</v>
      </c>
    </row>
    <row r="8" spans="1:43" x14ac:dyDescent="0.25">
      <c r="A8" s="18" t="s">
        <v>19</v>
      </c>
      <c r="B8" s="19">
        <v>4572</v>
      </c>
      <c r="C8" s="19">
        <v>3668</v>
      </c>
      <c r="D8" s="19">
        <v>3171</v>
      </c>
      <c r="E8" s="20">
        <v>3.2056765435907505E-2</v>
      </c>
      <c r="F8" s="20">
        <v>2.5600580689289353E-2</v>
      </c>
      <c r="G8" s="20">
        <v>2.2964282610584863E-2</v>
      </c>
      <c r="I8" s="19">
        <v>456</v>
      </c>
      <c r="J8" s="19">
        <v>354</v>
      </c>
      <c r="K8" s="19">
        <v>270</v>
      </c>
      <c r="L8" s="20">
        <v>1.9944016794961512E-2</v>
      </c>
      <c r="M8" s="20">
        <v>1.476846057571965E-2</v>
      </c>
      <c r="N8" s="20">
        <v>1.1555745773592981E-2</v>
      </c>
      <c r="P8" s="19">
        <v>5</v>
      </c>
      <c r="Q8" s="19">
        <v>6</v>
      </c>
      <c r="R8" s="19">
        <v>0</v>
      </c>
      <c r="S8" s="20">
        <v>0</v>
      </c>
      <c r="T8" s="20">
        <v>5.4054054054054057E-2</v>
      </c>
      <c r="U8" s="20">
        <v>0</v>
      </c>
      <c r="X8" s="19">
        <v>3024</v>
      </c>
      <c r="Y8" s="19">
        <v>2924</v>
      </c>
      <c r="Z8" s="19">
        <v>2388</v>
      </c>
      <c r="AA8" s="20">
        <v>2.1847500975334864E-2</v>
      </c>
      <c r="AB8" s="20">
        <v>2.0266570555251356E-2</v>
      </c>
      <c r="AC8" s="20">
        <v>1.7481954347794256E-2</v>
      </c>
      <c r="AE8" s="19">
        <v>66</v>
      </c>
      <c r="AF8" s="19">
        <v>66</v>
      </c>
      <c r="AG8" s="19">
        <v>56</v>
      </c>
      <c r="AH8" s="20">
        <v>1.1613584374450115E-2</v>
      </c>
      <c r="AI8" s="20">
        <v>1.07421875E-2</v>
      </c>
      <c r="AJ8" s="20">
        <v>9.7003291183093716E-3</v>
      </c>
      <c r="AL8" s="19">
        <v>6</v>
      </c>
      <c r="AM8" s="19">
        <v>10</v>
      </c>
      <c r="AN8" s="19">
        <v>5</v>
      </c>
      <c r="AO8" s="20">
        <v>0</v>
      </c>
      <c r="AP8" s="20">
        <v>3.2051282051282048E-2</v>
      </c>
      <c r="AQ8" s="20">
        <v>1.4970059880239521E-2</v>
      </c>
    </row>
    <row r="9" spans="1:43" x14ac:dyDescent="0.25">
      <c r="A9" s="18" t="s">
        <v>20</v>
      </c>
      <c r="B9" s="19">
        <v>14</v>
      </c>
      <c r="C9" s="19">
        <v>6</v>
      </c>
      <c r="D9" s="19">
        <v>3</v>
      </c>
      <c r="E9" s="20">
        <v>7.551240560949299E-3</v>
      </c>
      <c r="F9" s="20">
        <v>1.8387986515476554E-3</v>
      </c>
      <c r="G9" s="20">
        <v>8.9418777943368107E-4</v>
      </c>
      <c r="I9" s="19">
        <v>2</v>
      </c>
      <c r="J9" s="19">
        <v>0</v>
      </c>
      <c r="K9" s="19">
        <v>1</v>
      </c>
      <c r="L9" s="20">
        <v>4.11522633744856E-3</v>
      </c>
      <c r="M9" s="20">
        <v>0</v>
      </c>
      <c r="N9" s="20">
        <v>1.2515644555694619E-3</v>
      </c>
      <c r="P9" s="19">
        <v>0</v>
      </c>
      <c r="Q9" s="19">
        <v>0</v>
      </c>
      <c r="R9" s="19">
        <v>0</v>
      </c>
      <c r="S9" s="20">
        <v>0</v>
      </c>
      <c r="T9" s="20">
        <v>0</v>
      </c>
      <c r="U9" s="20">
        <v>0</v>
      </c>
      <c r="X9" s="19">
        <v>2</v>
      </c>
      <c r="Y9" s="19">
        <v>3</v>
      </c>
      <c r="Z9" s="19">
        <v>2</v>
      </c>
      <c r="AA9" s="20">
        <v>1.6949152542372881E-3</v>
      </c>
      <c r="AB9" s="20">
        <v>1.5360983102918587E-3</v>
      </c>
      <c r="AC9" s="20">
        <v>1.2330456226880395E-3</v>
      </c>
      <c r="AE9" s="19">
        <v>0</v>
      </c>
      <c r="AF9" s="19">
        <v>0</v>
      </c>
      <c r="AG9" s="19">
        <v>0</v>
      </c>
      <c r="AH9" s="20">
        <v>0</v>
      </c>
      <c r="AI9" s="20">
        <v>0</v>
      </c>
      <c r="AJ9" s="20">
        <v>0</v>
      </c>
      <c r="AL9" s="19">
        <v>0</v>
      </c>
      <c r="AM9" s="19">
        <v>0</v>
      </c>
      <c r="AN9" s="19">
        <v>0</v>
      </c>
      <c r="AO9" s="20">
        <v>0</v>
      </c>
      <c r="AP9" s="20">
        <v>0</v>
      </c>
      <c r="AQ9" s="20">
        <v>0</v>
      </c>
    </row>
    <row r="10" spans="1:43" x14ac:dyDescent="0.25">
      <c r="A10" s="18" t="s">
        <v>21</v>
      </c>
      <c r="B10" s="19">
        <v>2</v>
      </c>
      <c r="C10" s="19">
        <v>2</v>
      </c>
      <c r="D10" s="19">
        <v>1</v>
      </c>
      <c r="E10" s="20">
        <v>1.195457262402869E-3</v>
      </c>
      <c r="F10" s="20">
        <v>7.5557234605213447E-4</v>
      </c>
      <c r="G10" s="20">
        <v>3.7750094375235937E-4</v>
      </c>
      <c r="I10" s="19">
        <v>0</v>
      </c>
      <c r="J10" s="19">
        <v>0</v>
      </c>
      <c r="K10" s="19">
        <v>0</v>
      </c>
      <c r="L10" s="20">
        <v>0</v>
      </c>
      <c r="M10" s="20">
        <v>0</v>
      </c>
      <c r="N10" s="20">
        <v>0</v>
      </c>
      <c r="P10" s="19">
        <v>0</v>
      </c>
      <c r="Q10" s="19">
        <v>0</v>
      </c>
      <c r="R10" s="19">
        <v>0</v>
      </c>
      <c r="S10" s="20">
        <v>0</v>
      </c>
      <c r="T10" s="20">
        <v>0</v>
      </c>
      <c r="U10" s="20">
        <v>0</v>
      </c>
      <c r="X10" s="19">
        <v>0</v>
      </c>
      <c r="Y10" s="19">
        <v>0</v>
      </c>
      <c r="Z10" s="19">
        <v>0</v>
      </c>
      <c r="AA10" s="20">
        <v>0</v>
      </c>
      <c r="AB10" s="20">
        <v>0</v>
      </c>
      <c r="AC10" s="20">
        <v>0</v>
      </c>
      <c r="AE10" s="19">
        <v>0</v>
      </c>
      <c r="AF10" s="19">
        <v>0</v>
      </c>
      <c r="AG10" s="19">
        <v>0</v>
      </c>
      <c r="AH10" s="20">
        <v>0</v>
      </c>
      <c r="AI10" s="20">
        <v>0</v>
      </c>
      <c r="AJ10" s="20">
        <v>0</v>
      </c>
      <c r="AL10" s="19">
        <v>0</v>
      </c>
      <c r="AM10" s="19">
        <v>0</v>
      </c>
      <c r="AN10" s="19">
        <v>0</v>
      </c>
      <c r="AO10" s="20">
        <v>0</v>
      </c>
      <c r="AP10" s="20">
        <v>0</v>
      </c>
      <c r="AQ10" s="20">
        <v>0</v>
      </c>
    </row>
    <row r="11" spans="1:43" x14ac:dyDescent="0.25">
      <c r="A11" s="18" t="s">
        <v>22</v>
      </c>
      <c r="B11" s="19">
        <v>0</v>
      </c>
      <c r="C11" s="19">
        <v>0</v>
      </c>
      <c r="D11" s="19">
        <v>0</v>
      </c>
      <c r="E11" s="20">
        <v>0</v>
      </c>
      <c r="F11" s="20">
        <v>0</v>
      </c>
      <c r="G11" s="20">
        <v>0</v>
      </c>
      <c r="I11" s="19">
        <v>40</v>
      </c>
      <c r="J11" s="19">
        <v>24</v>
      </c>
      <c r="K11" s="19">
        <v>75</v>
      </c>
      <c r="L11" s="20">
        <v>1.2577825294006666E-3</v>
      </c>
      <c r="M11" s="20">
        <v>7.4733760976521146E-4</v>
      </c>
      <c r="N11" s="20">
        <v>2.3376137638698416E-3</v>
      </c>
      <c r="P11" s="19">
        <v>0</v>
      </c>
      <c r="Q11" s="19">
        <v>0</v>
      </c>
      <c r="R11" s="19">
        <v>0</v>
      </c>
      <c r="S11" s="20">
        <v>0</v>
      </c>
      <c r="T11" s="20">
        <v>0</v>
      </c>
      <c r="U11" s="20">
        <v>0</v>
      </c>
      <c r="X11" s="19">
        <v>0</v>
      </c>
      <c r="Y11" s="19">
        <v>0</v>
      </c>
      <c r="Z11" s="19">
        <v>0</v>
      </c>
      <c r="AA11" s="20">
        <v>0</v>
      </c>
      <c r="AB11" s="20">
        <v>0</v>
      </c>
      <c r="AC11" s="20">
        <v>0</v>
      </c>
      <c r="AE11" s="19">
        <v>0</v>
      </c>
      <c r="AF11" s="19">
        <v>0</v>
      </c>
      <c r="AG11" s="19">
        <v>0</v>
      </c>
      <c r="AH11" s="20">
        <v>0</v>
      </c>
      <c r="AI11" s="20">
        <v>0</v>
      </c>
      <c r="AJ11" s="20">
        <v>0</v>
      </c>
      <c r="AL11" s="19">
        <v>0</v>
      </c>
      <c r="AM11" s="19">
        <v>0</v>
      </c>
      <c r="AN11" s="19">
        <v>0</v>
      </c>
      <c r="AO11" s="20">
        <v>0</v>
      </c>
      <c r="AP11" s="20">
        <v>0</v>
      </c>
      <c r="AQ11" s="20">
        <v>0</v>
      </c>
    </row>
    <row r="12" spans="1:43" x14ac:dyDescent="0.25">
      <c r="A12" s="18" t="s">
        <v>24</v>
      </c>
      <c r="B12" s="19">
        <v>0</v>
      </c>
      <c r="C12" s="19">
        <v>0</v>
      </c>
      <c r="D12" s="19">
        <v>0</v>
      </c>
      <c r="E12" s="20">
        <v>0</v>
      </c>
      <c r="F12" s="20">
        <v>0</v>
      </c>
      <c r="G12" s="20">
        <v>0</v>
      </c>
      <c r="I12" s="19">
        <v>27</v>
      </c>
      <c r="J12" s="19">
        <v>0</v>
      </c>
      <c r="K12" s="19">
        <v>0</v>
      </c>
      <c r="L12" s="20">
        <v>0</v>
      </c>
      <c r="M12" s="20">
        <v>0</v>
      </c>
      <c r="N12" s="20">
        <v>0</v>
      </c>
      <c r="P12" s="19">
        <v>0</v>
      </c>
      <c r="Q12" s="19">
        <v>0</v>
      </c>
      <c r="R12" s="19">
        <v>0</v>
      </c>
      <c r="S12" s="20">
        <v>0</v>
      </c>
      <c r="T12" s="20">
        <v>0</v>
      </c>
      <c r="U12" s="20">
        <v>0</v>
      </c>
      <c r="X12" s="19">
        <v>0</v>
      </c>
      <c r="Y12" s="19">
        <v>0</v>
      </c>
      <c r="Z12" s="19">
        <v>0</v>
      </c>
      <c r="AA12" s="20">
        <v>0</v>
      </c>
      <c r="AB12" s="20">
        <v>0</v>
      </c>
      <c r="AC12" s="20">
        <v>0</v>
      </c>
      <c r="AE12" s="19">
        <v>0</v>
      </c>
      <c r="AF12" s="19">
        <v>0</v>
      </c>
      <c r="AG12" s="19">
        <v>0</v>
      </c>
      <c r="AH12" s="20">
        <v>0</v>
      </c>
      <c r="AI12" s="20">
        <v>0</v>
      </c>
      <c r="AJ12" s="20">
        <v>0</v>
      </c>
      <c r="AL12" s="19">
        <v>0</v>
      </c>
      <c r="AM12" s="19">
        <v>0</v>
      </c>
      <c r="AN12" s="19">
        <v>0</v>
      </c>
      <c r="AO12" s="20">
        <v>0</v>
      </c>
      <c r="AP12" s="20">
        <v>0</v>
      </c>
      <c r="AQ12" s="20">
        <v>0</v>
      </c>
    </row>
    <row r="13" spans="1:43" x14ac:dyDescent="0.25">
      <c r="A13" s="18" t="s">
        <v>25</v>
      </c>
      <c r="B13" s="19">
        <v>7</v>
      </c>
      <c r="C13" s="19">
        <v>12</v>
      </c>
      <c r="D13" s="19">
        <v>19</v>
      </c>
      <c r="E13" s="20">
        <v>9.7222222222222224E-2</v>
      </c>
      <c r="F13" s="20">
        <v>0.10810810810810811</v>
      </c>
      <c r="G13" s="20">
        <v>0.14503816793893129</v>
      </c>
      <c r="I13" s="19">
        <v>18</v>
      </c>
      <c r="J13" s="19">
        <v>26</v>
      </c>
      <c r="K13" s="19">
        <v>38</v>
      </c>
      <c r="L13" s="20">
        <v>9.7826086956521743E-2</v>
      </c>
      <c r="M13" s="20">
        <v>8.3067092651757185E-2</v>
      </c>
      <c r="N13" s="20">
        <v>0.11550151975683891</v>
      </c>
      <c r="P13" s="19">
        <v>0</v>
      </c>
      <c r="Q13" s="19">
        <v>0</v>
      </c>
      <c r="R13" s="19">
        <v>1</v>
      </c>
      <c r="S13" s="20">
        <v>0</v>
      </c>
      <c r="T13" s="20">
        <v>0</v>
      </c>
      <c r="U13" s="20">
        <v>0.5</v>
      </c>
      <c r="X13" s="19">
        <v>2</v>
      </c>
      <c r="Y13" s="19">
        <v>5</v>
      </c>
      <c r="Z13" s="19">
        <v>9</v>
      </c>
      <c r="AA13" s="20">
        <v>2.8985507246376812E-2</v>
      </c>
      <c r="AB13" s="20">
        <v>4.4247787610619468E-2</v>
      </c>
      <c r="AC13" s="20">
        <v>6.25E-2</v>
      </c>
      <c r="AE13" s="19">
        <v>1</v>
      </c>
      <c r="AF13" s="19">
        <v>11</v>
      </c>
      <c r="AG13" s="19">
        <v>16</v>
      </c>
      <c r="AH13" s="20">
        <v>8.771929824561403E-3</v>
      </c>
      <c r="AI13" s="20">
        <v>5.1643192488262914E-2</v>
      </c>
      <c r="AJ13" s="20">
        <v>6.9868995633187769E-2</v>
      </c>
      <c r="AL13" s="19">
        <v>0</v>
      </c>
      <c r="AM13" s="19">
        <v>0</v>
      </c>
      <c r="AN13" s="19">
        <v>0</v>
      </c>
      <c r="AO13" s="20">
        <v>0</v>
      </c>
      <c r="AP13" s="20">
        <v>0</v>
      </c>
      <c r="AQ13" s="20">
        <v>0</v>
      </c>
    </row>
    <row r="14" spans="1:43" x14ac:dyDescent="0.25">
      <c r="A14" s="18" t="s">
        <v>28</v>
      </c>
      <c r="B14" s="19">
        <v>53</v>
      </c>
      <c r="C14" s="19">
        <v>0</v>
      </c>
      <c r="D14" s="19">
        <v>0</v>
      </c>
      <c r="E14" s="20">
        <v>4.3983402489626559E-2</v>
      </c>
      <c r="F14" s="20">
        <v>0</v>
      </c>
      <c r="G14" s="20">
        <v>0</v>
      </c>
      <c r="I14" s="19">
        <v>0</v>
      </c>
      <c r="J14" s="19">
        <v>0</v>
      </c>
      <c r="K14" s="19">
        <v>0</v>
      </c>
      <c r="L14" s="20">
        <v>0</v>
      </c>
      <c r="M14" s="20">
        <v>0</v>
      </c>
      <c r="N14" s="20">
        <v>0</v>
      </c>
      <c r="P14" s="19">
        <v>0</v>
      </c>
      <c r="Q14" s="19">
        <v>0</v>
      </c>
      <c r="R14" s="19">
        <v>0</v>
      </c>
      <c r="S14" s="20">
        <v>0</v>
      </c>
      <c r="T14" s="20">
        <v>0</v>
      </c>
      <c r="U14" s="20">
        <v>0</v>
      </c>
      <c r="X14" s="19">
        <v>6</v>
      </c>
      <c r="Y14" s="19">
        <v>0</v>
      </c>
      <c r="Z14" s="19">
        <v>0</v>
      </c>
      <c r="AA14" s="20">
        <v>1.3544018058690745E-2</v>
      </c>
      <c r="AB14" s="20">
        <v>0</v>
      </c>
      <c r="AC14" s="20">
        <v>0</v>
      </c>
      <c r="AE14" s="19">
        <v>0</v>
      </c>
      <c r="AF14" s="19">
        <v>0</v>
      </c>
      <c r="AG14" s="19">
        <v>0</v>
      </c>
      <c r="AH14" s="20">
        <v>0</v>
      </c>
      <c r="AI14" s="20">
        <v>0</v>
      </c>
      <c r="AJ14" s="20">
        <v>0</v>
      </c>
      <c r="AL14" s="19">
        <v>0</v>
      </c>
      <c r="AM14" s="19">
        <v>0</v>
      </c>
      <c r="AN14" s="19">
        <v>0</v>
      </c>
      <c r="AO14" s="20">
        <v>0</v>
      </c>
      <c r="AP14" s="20">
        <v>0</v>
      </c>
      <c r="AQ14" s="20">
        <v>0</v>
      </c>
    </row>
    <row r="15" spans="1:43" x14ac:dyDescent="0.25">
      <c r="A15" s="18" t="s">
        <v>29</v>
      </c>
      <c r="B15" s="19">
        <v>0</v>
      </c>
      <c r="C15" s="19">
        <v>0</v>
      </c>
      <c r="D15" s="19">
        <v>9</v>
      </c>
      <c r="E15" s="20">
        <v>0</v>
      </c>
      <c r="F15" s="20">
        <v>0</v>
      </c>
      <c r="G15" s="20">
        <v>8.4905660377358486E-2</v>
      </c>
      <c r="I15" s="19">
        <v>0</v>
      </c>
      <c r="J15" s="19">
        <v>0</v>
      </c>
      <c r="K15" s="19">
        <v>2</v>
      </c>
      <c r="L15" s="20">
        <v>0</v>
      </c>
      <c r="M15" s="20">
        <v>0</v>
      </c>
      <c r="N15" s="20">
        <v>0.25</v>
      </c>
      <c r="P15" s="19">
        <v>0</v>
      </c>
      <c r="Q15" s="19">
        <v>0</v>
      </c>
      <c r="R15" s="19">
        <v>0</v>
      </c>
      <c r="S15" s="20">
        <v>0</v>
      </c>
      <c r="T15" s="20">
        <v>0</v>
      </c>
      <c r="U15" s="20">
        <v>0</v>
      </c>
      <c r="X15" s="19">
        <v>0</v>
      </c>
      <c r="Y15" s="19">
        <v>0</v>
      </c>
      <c r="Z15" s="19">
        <v>0</v>
      </c>
      <c r="AA15" s="20">
        <v>0</v>
      </c>
      <c r="AB15" s="20">
        <v>0</v>
      </c>
      <c r="AC15" s="20">
        <v>0</v>
      </c>
      <c r="AE15" s="19">
        <v>0</v>
      </c>
      <c r="AF15" s="19">
        <v>0</v>
      </c>
      <c r="AG15" s="19">
        <v>0</v>
      </c>
      <c r="AH15" s="20">
        <v>0</v>
      </c>
      <c r="AI15" s="20">
        <v>0</v>
      </c>
      <c r="AJ15" s="20">
        <v>0</v>
      </c>
      <c r="AL15" s="19">
        <v>0</v>
      </c>
      <c r="AM15" s="19">
        <v>0</v>
      </c>
      <c r="AN15" s="19">
        <v>0</v>
      </c>
      <c r="AO15" s="20">
        <v>0</v>
      </c>
      <c r="AP15" s="20">
        <v>0</v>
      </c>
      <c r="AQ15" s="20">
        <v>0</v>
      </c>
    </row>
    <row r="16" spans="1:43" x14ac:dyDescent="0.25">
      <c r="A16" s="18" t="s">
        <v>30</v>
      </c>
      <c r="B16" s="19">
        <v>4779</v>
      </c>
      <c r="C16" s="19">
        <v>3009</v>
      </c>
      <c r="D16" s="19">
        <v>3789</v>
      </c>
      <c r="E16" s="20">
        <v>3.1086566232144251E-2</v>
      </c>
      <c r="F16" s="20">
        <v>2.0213623538895605E-2</v>
      </c>
      <c r="G16" s="20">
        <v>2.7557365722389905E-2</v>
      </c>
      <c r="I16" s="19">
        <v>457</v>
      </c>
      <c r="J16" s="19">
        <v>333</v>
      </c>
      <c r="K16" s="19">
        <v>470</v>
      </c>
      <c r="L16" s="20">
        <v>1.7850865200578103E-2</v>
      </c>
      <c r="M16" s="20">
        <v>1.3299253165062502E-2</v>
      </c>
      <c r="N16" s="20">
        <v>2.1095152603231599E-2</v>
      </c>
      <c r="P16" s="19">
        <v>9</v>
      </c>
      <c r="Q16" s="19">
        <v>10</v>
      </c>
      <c r="R16" s="19">
        <v>11</v>
      </c>
      <c r="S16" s="20">
        <v>0</v>
      </c>
      <c r="T16" s="20">
        <v>2.9069767441860465E-2</v>
      </c>
      <c r="U16" s="20">
        <v>3.5143769968051117E-2</v>
      </c>
      <c r="X16" s="19">
        <v>530</v>
      </c>
      <c r="Y16" s="19">
        <v>426</v>
      </c>
      <c r="Z16" s="19">
        <v>783</v>
      </c>
      <c r="AA16" s="20">
        <v>2.572440906664078E-2</v>
      </c>
      <c r="AB16" s="20">
        <v>1.9730443240238989E-2</v>
      </c>
      <c r="AC16" s="20">
        <v>4.2772861356932153E-2</v>
      </c>
      <c r="AE16" s="19">
        <v>11</v>
      </c>
      <c r="AF16" s="19">
        <v>22</v>
      </c>
      <c r="AG16" s="19">
        <v>24</v>
      </c>
      <c r="AH16" s="20">
        <v>5.708354955889984E-3</v>
      </c>
      <c r="AI16" s="20">
        <v>1.027077497665733E-2</v>
      </c>
      <c r="AJ16" s="20">
        <v>1.3536379018612521E-2</v>
      </c>
      <c r="AL16" s="19">
        <v>0</v>
      </c>
      <c r="AM16" s="19">
        <v>2</v>
      </c>
      <c r="AN16" s="19">
        <v>1</v>
      </c>
      <c r="AO16" s="20">
        <v>0</v>
      </c>
      <c r="AP16" s="20">
        <v>2.8985507246376812E-2</v>
      </c>
      <c r="AQ16" s="20">
        <v>1.7857142857142856E-2</v>
      </c>
    </row>
    <row r="17" spans="1:43" x14ac:dyDescent="0.25">
      <c r="A17" s="18" t="s">
        <v>31</v>
      </c>
      <c r="B17" s="19">
        <v>0</v>
      </c>
      <c r="C17" s="19">
        <v>5403</v>
      </c>
      <c r="D17" s="19">
        <v>0</v>
      </c>
      <c r="E17" s="20">
        <v>0</v>
      </c>
      <c r="F17" s="20"/>
      <c r="G17" s="20">
        <v>0</v>
      </c>
      <c r="I17" s="19">
        <v>0</v>
      </c>
      <c r="J17" s="19">
        <v>381</v>
      </c>
      <c r="K17" s="19">
        <v>0</v>
      </c>
      <c r="L17" s="20">
        <v>0</v>
      </c>
      <c r="M17" s="20"/>
      <c r="N17" s="20">
        <v>0</v>
      </c>
      <c r="P17" s="19">
        <v>0</v>
      </c>
      <c r="Q17" s="19">
        <v>0</v>
      </c>
      <c r="R17" s="19">
        <v>0</v>
      </c>
      <c r="S17" s="20">
        <v>0</v>
      </c>
      <c r="T17" s="20">
        <v>0</v>
      </c>
      <c r="U17" s="20">
        <v>0</v>
      </c>
      <c r="X17" s="19">
        <v>0</v>
      </c>
      <c r="Y17" s="19">
        <v>0</v>
      </c>
      <c r="Z17" s="19">
        <v>0</v>
      </c>
      <c r="AA17" s="20">
        <v>0</v>
      </c>
      <c r="AB17" s="20">
        <v>0</v>
      </c>
      <c r="AC17" s="20">
        <v>0</v>
      </c>
      <c r="AE17" s="19">
        <v>0</v>
      </c>
      <c r="AF17" s="19">
        <v>0</v>
      </c>
      <c r="AG17" s="19">
        <v>0</v>
      </c>
      <c r="AH17" s="20">
        <v>0</v>
      </c>
      <c r="AI17" s="20">
        <v>0</v>
      </c>
      <c r="AJ17" s="20">
        <v>0</v>
      </c>
      <c r="AL17" s="19">
        <v>0</v>
      </c>
      <c r="AM17" s="19">
        <v>0</v>
      </c>
      <c r="AN17" s="19">
        <v>0</v>
      </c>
      <c r="AO17" s="20">
        <v>0</v>
      </c>
      <c r="AP17" s="20">
        <v>0</v>
      </c>
      <c r="AQ17" s="20">
        <v>0</v>
      </c>
    </row>
    <row r="18" spans="1:43" x14ac:dyDescent="0.25">
      <c r="A18" s="18" t="s">
        <v>80</v>
      </c>
      <c r="B18" s="19">
        <v>0</v>
      </c>
      <c r="C18" s="19">
        <v>0</v>
      </c>
      <c r="D18" s="19">
        <v>0</v>
      </c>
      <c r="E18" s="20">
        <v>0</v>
      </c>
      <c r="F18" s="20">
        <v>0</v>
      </c>
      <c r="G18" s="20">
        <v>0</v>
      </c>
      <c r="I18" s="19">
        <v>6</v>
      </c>
      <c r="J18" s="19">
        <v>11</v>
      </c>
      <c r="K18" s="19">
        <v>7</v>
      </c>
      <c r="L18" s="20">
        <v>3.1746031746031744E-2</v>
      </c>
      <c r="M18" s="20">
        <v>4.2405551272166539E-3</v>
      </c>
      <c r="N18" s="20">
        <v>3.6649214659685864E-3</v>
      </c>
      <c r="P18" s="19">
        <v>11</v>
      </c>
      <c r="Q18" s="19">
        <v>15</v>
      </c>
      <c r="R18" s="19">
        <v>11</v>
      </c>
      <c r="S18" s="20">
        <v>0</v>
      </c>
      <c r="T18" s="20">
        <v>3</v>
      </c>
      <c r="U18" s="20">
        <v>2.2000000000000002</v>
      </c>
      <c r="X18" s="19">
        <v>0</v>
      </c>
      <c r="Y18" s="19">
        <v>0</v>
      </c>
      <c r="Z18" s="19">
        <v>0</v>
      </c>
      <c r="AA18" s="20">
        <v>0</v>
      </c>
      <c r="AB18" s="20">
        <v>0</v>
      </c>
      <c r="AC18" s="20">
        <v>0</v>
      </c>
      <c r="AE18" s="19">
        <v>0</v>
      </c>
      <c r="AF18" s="19">
        <v>0</v>
      </c>
      <c r="AG18" s="19">
        <v>0</v>
      </c>
      <c r="AH18" s="20">
        <v>0</v>
      </c>
      <c r="AI18" s="20">
        <v>0</v>
      </c>
      <c r="AJ18" s="20">
        <v>0</v>
      </c>
      <c r="AL18" s="19">
        <v>0</v>
      </c>
      <c r="AM18" s="19">
        <v>0</v>
      </c>
      <c r="AN18" s="19">
        <v>0</v>
      </c>
      <c r="AO18" s="20">
        <v>0</v>
      </c>
      <c r="AP18" s="20">
        <v>0</v>
      </c>
      <c r="AQ18" s="20">
        <v>0</v>
      </c>
    </row>
    <row r="19" spans="1:43" x14ac:dyDescent="0.25">
      <c r="A19" s="18" t="s">
        <v>37</v>
      </c>
      <c r="B19" s="19">
        <v>0</v>
      </c>
      <c r="C19" s="19">
        <v>0</v>
      </c>
      <c r="D19" s="19">
        <v>0</v>
      </c>
      <c r="E19" s="20">
        <v>0</v>
      </c>
      <c r="F19" s="20">
        <v>0</v>
      </c>
      <c r="G19" s="20">
        <v>0</v>
      </c>
      <c r="I19" s="19">
        <v>0</v>
      </c>
      <c r="J19" s="19">
        <v>3</v>
      </c>
      <c r="K19" s="19">
        <v>3</v>
      </c>
      <c r="L19" s="20">
        <v>0</v>
      </c>
      <c r="M19" s="20">
        <v>1.7341040462427744E-2</v>
      </c>
      <c r="N19" s="20">
        <v>4.4776119402985072E-2</v>
      </c>
      <c r="P19" s="19">
        <v>0</v>
      </c>
      <c r="Q19" s="19">
        <v>0</v>
      </c>
      <c r="R19" s="19">
        <v>0</v>
      </c>
      <c r="S19" s="20">
        <v>0</v>
      </c>
      <c r="T19" s="20">
        <v>0</v>
      </c>
      <c r="U19" s="20">
        <v>0</v>
      </c>
      <c r="X19" s="19">
        <v>0</v>
      </c>
      <c r="Y19" s="19">
        <v>0</v>
      </c>
      <c r="Z19" s="19">
        <v>0</v>
      </c>
      <c r="AA19" s="20">
        <v>0</v>
      </c>
      <c r="AB19" s="20">
        <v>0</v>
      </c>
      <c r="AC19" s="20">
        <v>0</v>
      </c>
      <c r="AE19" s="19">
        <v>0</v>
      </c>
      <c r="AF19" s="19">
        <v>0</v>
      </c>
      <c r="AG19" s="19">
        <v>0</v>
      </c>
      <c r="AH19" s="20">
        <v>0</v>
      </c>
      <c r="AI19" s="20">
        <v>0</v>
      </c>
      <c r="AJ19" s="20">
        <v>0</v>
      </c>
      <c r="AL19" s="19">
        <v>0</v>
      </c>
      <c r="AM19" s="19">
        <v>0</v>
      </c>
      <c r="AN19" s="19">
        <v>0</v>
      </c>
      <c r="AO19" s="20">
        <v>0</v>
      </c>
      <c r="AP19" s="20">
        <v>0</v>
      </c>
      <c r="AQ19" s="20">
        <v>0</v>
      </c>
    </row>
    <row r="20" spans="1:43" x14ac:dyDescent="0.25">
      <c r="A20" s="18" t="s">
        <v>39</v>
      </c>
      <c r="B20" s="19">
        <v>0</v>
      </c>
      <c r="C20" s="19">
        <v>0</v>
      </c>
      <c r="D20" s="19">
        <v>2</v>
      </c>
      <c r="E20" s="20">
        <v>0</v>
      </c>
      <c r="F20" s="20">
        <v>0</v>
      </c>
      <c r="G20" s="20">
        <v>5.5555555555555552E-2</v>
      </c>
      <c r="I20" s="19">
        <v>0</v>
      </c>
      <c r="J20" s="19">
        <v>0</v>
      </c>
      <c r="K20" s="19">
        <v>0</v>
      </c>
      <c r="L20" s="20">
        <v>0</v>
      </c>
      <c r="M20" s="20">
        <v>0</v>
      </c>
      <c r="N20" s="20">
        <v>0</v>
      </c>
      <c r="P20" s="19">
        <v>0</v>
      </c>
      <c r="Q20" s="19">
        <v>0</v>
      </c>
      <c r="R20" s="19">
        <v>0</v>
      </c>
      <c r="S20" s="20">
        <v>0</v>
      </c>
      <c r="T20" s="20">
        <v>0</v>
      </c>
      <c r="U20" s="20">
        <v>0</v>
      </c>
      <c r="X20" s="19">
        <v>0</v>
      </c>
      <c r="Y20" s="19">
        <v>0</v>
      </c>
      <c r="Z20" s="19">
        <v>0</v>
      </c>
      <c r="AA20" s="20">
        <v>0</v>
      </c>
      <c r="AB20" s="20">
        <v>0</v>
      </c>
      <c r="AC20" s="20">
        <v>0</v>
      </c>
      <c r="AE20" s="19">
        <v>0</v>
      </c>
      <c r="AF20" s="19">
        <v>0</v>
      </c>
      <c r="AG20" s="19">
        <v>0</v>
      </c>
      <c r="AH20" s="20">
        <v>0</v>
      </c>
      <c r="AI20" s="20">
        <v>0</v>
      </c>
      <c r="AJ20" s="20">
        <v>0</v>
      </c>
      <c r="AL20" s="19">
        <v>0</v>
      </c>
      <c r="AM20" s="19">
        <v>0</v>
      </c>
      <c r="AN20" s="19">
        <v>0</v>
      </c>
      <c r="AO20" s="20">
        <v>0</v>
      </c>
      <c r="AP20" s="20">
        <v>0</v>
      </c>
      <c r="AQ20" s="20">
        <v>0</v>
      </c>
    </row>
    <row r="21" spans="1:43" x14ac:dyDescent="0.25">
      <c r="A21" s="18" t="s">
        <v>43</v>
      </c>
      <c r="B21" s="19">
        <v>6947</v>
      </c>
      <c r="C21" s="19">
        <v>6573</v>
      </c>
      <c r="D21" s="19">
        <v>4434</v>
      </c>
      <c r="E21" s="20">
        <v>1.9333902932508064E-2</v>
      </c>
      <c r="F21" s="20">
        <v>1.8734501923899104E-2</v>
      </c>
      <c r="G21" s="20">
        <v>1.3390187776697329E-2</v>
      </c>
      <c r="I21" s="19">
        <v>843</v>
      </c>
      <c r="J21" s="19">
        <v>817</v>
      </c>
      <c r="K21" s="19">
        <v>640</v>
      </c>
      <c r="L21" s="20">
        <v>1.5269249578873011E-2</v>
      </c>
      <c r="M21" s="20">
        <v>1.4567434562442052E-2</v>
      </c>
      <c r="N21" s="20">
        <v>1.1667335107740548E-2</v>
      </c>
      <c r="P21" s="19">
        <v>7</v>
      </c>
      <c r="Q21" s="19">
        <v>20</v>
      </c>
      <c r="R21" s="19">
        <v>12</v>
      </c>
      <c r="S21" s="20">
        <v>0</v>
      </c>
      <c r="T21" s="20">
        <v>3.15955766192733E-2</v>
      </c>
      <c r="U21" s="20">
        <v>2.0066889632107024E-2</v>
      </c>
      <c r="X21" s="19">
        <v>1935</v>
      </c>
      <c r="Y21" s="19">
        <v>1971</v>
      </c>
      <c r="Z21" s="19">
        <v>1549</v>
      </c>
      <c r="AA21" s="20">
        <v>2.3653521746571156E-2</v>
      </c>
      <c r="AB21" s="20">
        <v>2.1742727603666811E-2</v>
      </c>
      <c r="AC21" s="20">
        <v>1.7591477956708384E-2</v>
      </c>
      <c r="AE21" s="19">
        <v>170</v>
      </c>
      <c r="AF21" s="19">
        <v>159</v>
      </c>
      <c r="AG21" s="19">
        <v>129</v>
      </c>
      <c r="AH21" s="20">
        <v>1.9239474875509279E-2</v>
      </c>
      <c r="AI21" s="20">
        <v>1.5566869003328765E-2</v>
      </c>
      <c r="AJ21" s="20">
        <v>1.2343316429049851E-2</v>
      </c>
      <c r="AL21" s="19">
        <v>10</v>
      </c>
      <c r="AM21" s="19">
        <v>9</v>
      </c>
      <c r="AN21" s="19">
        <v>9</v>
      </c>
      <c r="AO21" s="20">
        <v>0</v>
      </c>
      <c r="AP21" s="20">
        <v>2.3809523809523808E-2</v>
      </c>
      <c r="AQ21" s="20">
        <v>2.922077922077922E-2</v>
      </c>
    </row>
    <row r="22" spans="1:43" x14ac:dyDescent="0.25">
      <c r="A22" s="18" t="s">
        <v>87</v>
      </c>
      <c r="B22" s="19">
        <v>0</v>
      </c>
      <c r="C22" s="19">
        <v>0</v>
      </c>
      <c r="D22" s="19">
        <v>0</v>
      </c>
      <c r="E22" s="20">
        <v>0</v>
      </c>
      <c r="F22" s="20">
        <v>0</v>
      </c>
      <c r="G22" s="20">
        <v>0</v>
      </c>
      <c r="I22" s="19">
        <v>0</v>
      </c>
      <c r="J22" s="19">
        <v>0</v>
      </c>
      <c r="K22" s="19">
        <v>0</v>
      </c>
      <c r="L22" s="20">
        <v>0</v>
      </c>
      <c r="M22" s="20">
        <v>0</v>
      </c>
      <c r="N22" s="20">
        <v>0</v>
      </c>
      <c r="P22" s="19">
        <v>0</v>
      </c>
      <c r="Q22" s="19">
        <v>0</v>
      </c>
      <c r="R22" s="19">
        <v>18</v>
      </c>
      <c r="S22" s="20">
        <v>0</v>
      </c>
      <c r="T22" s="20">
        <v>0</v>
      </c>
      <c r="U22" s="20">
        <v>0</v>
      </c>
      <c r="X22" s="19">
        <v>0</v>
      </c>
      <c r="Y22" s="19">
        <v>0</v>
      </c>
      <c r="Z22" s="19">
        <v>0</v>
      </c>
      <c r="AA22" s="20">
        <v>0</v>
      </c>
      <c r="AB22" s="20">
        <v>0</v>
      </c>
      <c r="AC22" s="20">
        <v>0</v>
      </c>
      <c r="AE22" s="19">
        <v>0</v>
      </c>
      <c r="AF22" s="19">
        <v>0</v>
      </c>
      <c r="AG22" s="19">
        <v>0</v>
      </c>
      <c r="AH22" s="20">
        <v>0</v>
      </c>
      <c r="AI22" s="20">
        <v>0</v>
      </c>
      <c r="AJ22" s="20">
        <v>0</v>
      </c>
      <c r="AL22" s="19">
        <v>0</v>
      </c>
      <c r="AM22" s="19">
        <v>0</v>
      </c>
      <c r="AN22" s="19">
        <v>0</v>
      </c>
      <c r="AO22" s="20">
        <v>0</v>
      </c>
      <c r="AP22" s="20">
        <v>0</v>
      </c>
      <c r="AQ22" s="20">
        <v>0</v>
      </c>
    </row>
    <row r="23" spans="1:43" x14ac:dyDescent="0.25">
      <c r="A23" s="18" t="s">
        <v>126</v>
      </c>
      <c r="B23" s="19">
        <v>18</v>
      </c>
      <c r="C23" s="19">
        <v>17</v>
      </c>
      <c r="D23" s="19">
        <v>10</v>
      </c>
      <c r="E23" s="20">
        <v>1.6333938294010888E-2</v>
      </c>
      <c r="F23" s="20">
        <v>1.4517506404782237E-2</v>
      </c>
      <c r="G23" s="20">
        <v>9.8619329388560158E-3</v>
      </c>
      <c r="I23" s="19">
        <v>8</v>
      </c>
      <c r="J23" s="19">
        <v>5</v>
      </c>
      <c r="K23" s="19">
        <v>4</v>
      </c>
      <c r="L23" s="20">
        <v>3.7860861334595361E-3</v>
      </c>
      <c r="M23" s="20">
        <v>2.3474178403755869E-3</v>
      </c>
      <c r="N23" s="20">
        <v>2.0222446916076846E-3</v>
      </c>
      <c r="P23" s="19">
        <v>0</v>
      </c>
      <c r="Q23" s="19">
        <v>0</v>
      </c>
      <c r="R23" s="19">
        <v>0</v>
      </c>
      <c r="S23" s="20">
        <v>0</v>
      </c>
      <c r="T23" s="20">
        <v>0</v>
      </c>
      <c r="U23" s="20">
        <v>0</v>
      </c>
      <c r="X23" s="19">
        <v>0</v>
      </c>
      <c r="Y23" s="19">
        <v>0</v>
      </c>
      <c r="Z23" s="19">
        <v>0</v>
      </c>
      <c r="AA23" s="20">
        <v>0</v>
      </c>
      <c r="AB23" s="20">
        <v>0</v>
      </c>
      <c r="AC23" s="20">
        <v>0</v>
      </c>
      <c r="AE23" s="19">
        <v>0</v>
      </c>
      <c r="AF23" s="19">
        <v>0</v>
      </c>
      <c r="AG23" s="19">
        <v>0</v>
      </c>
      <c r="AH23" s="20">
        <v>0</v>
      </c>
      <c r="AI23" s="20">
        <v>0</v>
      </c>
      <c r="AJ23" s="20">
        <v>0</v>
      </c>
      <c r="AL23" s="19">
        <v>0</v>
      </c>
      <c r="AM23" s="19">
        <v>0</v>
      </c>
      <c r="AN23" s="19">
        <v>0</v>
      </c>
      <c r="AO23" s="20">
        <v>0</v>
      </c>
      <c r="AP23" s="20">
        <v>0</v>
      </c>
      <c r="AQ23" s="20">
        <v>0</v>
      </c>
    </row>
    <row r="24" spans="1:43" x14ac:dyDescent="0.25">
      <c r="A24" s="18" t="s">
        <v>49</v>
      </c>
      <c r="B24" s="19">
        <v>14</v>
      </c>
      <c r="C24" s="19">
        <v>13</v>
      </c>
      <c r="D24" s="19">
        <v>52</v>
      </c>
      <c r="E24" s="20">
        <v>3.6842105263157891E-2</v>
      </c>
      <c r="F24" s="20">
        <v>3.7463976945244955E-2</v>
      </c>
      <c r="G24" s="20">
        <v>0.15709969788519637</v>
      </c>
      <c r="I24" s="19">
        <v>24</v>
      </c>
      <c r="J24" s="19">
        <v>11</v>
      </c>
      <c r="K24" s="19">
        <v>10</v>
      </c>
      <c r="L24" s="20">
        <v>1.8085908063300678E-2</v>
      </c>
      <c r="M24" s="20">
        <v>8.8282504012841094E-3</v>
      </c>
      <c r="N24" s="20">
        <v>5.1975051975051978E-3</v>
      </c>
      <c r="P24" s="19">
        <v>0</v>
      </c>
      <c r="Q24" s="19">
        <v>0</v>
      </c>
      <c r="R24" s="19">
        <v>0</v>
      </c>
      <c r="S24" s="20">
        <v>0</v>
      </c>
      <c r="T24" s="20">
        <v>0</v>
      </c>
      <c r="U24" s="20">
        <v>0</v>
      </c>
      <c r="X24" s="19">
        <v>0</v>
      </c>
      <c r="Y24" s="19">
        <v>0</v>
      </c>
      <c r="Z24" s="19">
        <v>0</v>
      </c>
      <c r="AA24" s="20">
        <v>0</v>
      </c>
      <c r="AB24" s="20">
        <v>0</v>
      </c>
      <c r="AC24" s="20">
        <v>0</v>
      </c>
      <c r="AE24" s="19">
        <v>0</v>
      </c>
      <c r="AF24" s="19">
        <v>0</v>
      </c>
      <c r="AG24" s="19">
        <v>0</v>
      </c>
      <c r="AH24" s="20">
        <v>0</v>
      </c>
      <c r="AI24" s="20">
        <v>0</v>
      </c>
      <c r="AJ24" s="20">
        <v>0</v>
      </c>
      <c r="AL24" s="19">
        <v>0</v>
      </c>
      <c r="AM24" s="19">
        <v>0</v>
      </c>
      <c r="AN24" s="19">
        <v>0</v>
      </c>
      <c r="AO24" s="20">
        <v>0</v>
      </c>
      <c r="AP24" s="20">
        <v>0</v>
      </c>
      <c r="AQ24" s="20">
        <v>0</v>
      </c>
    </row>
    <row r="25" spans="1:43" x14ac:dyDescent="0.25">
      <c r="A25" s="18" t="s">
        <v>52</v>
      </c>
      <c r="B25" s="19">
        <v>1</v>
      </c>
      <c r="C25" s="19">
        <v>2</v>
      </c>
      <c r="D25" s="19">
        <v>0</v>
      </c>
      <c r="E25" s="20">
        <v>1.3458950201884253E-3</v>
      </c>
      <c r="F25" s="20">
        <v>2.8449502133712661E-3</v>
      </c>
      <c r="G25" s="20">
        <v>0</v>
      </c>
      <c r="I25" s="19">
        <v>7</v>
      </c>
      <c r="J25" s="19">
        <v>17</v>
      </c>
      <c r="K25" s="19">
        <v>21</v>
      </c>
      <c r="L25" s="20">
        <v>4.9645390070921988E-2</v>
      </c>
      <c r="M25" s="20">
        <v>0.11643835616438356</v>
      </c>
      <c r="N25" s="20">
        <v>0.12804878048780488</v>
      </c>
      <c r="P25" s="19">
        <v>0</v>
      </c>
      <c r="Q25" s="19">
        <v>0</v>
      </c>
      <c r="R25" s="19">
        <v>0</v>
      </c>
      <c r="S25" s="20">
        <v>0</v>
      </c>
      <c r="T25" s="20">
        <v>0</v>
      </c>
      <c r="U25" s="20">
        <v>0</v>
      </c>
      <c r="X25" s="19">
        <v>1</v>
      </c>
      <c r="Y25" s="19">
        <v>0</v>
      </c>
      <c r="Z25" s="19">
        <v>0</v>
      </c>
      <c r="AA25" s="20">
        <v>1.3157894736842105E-2</v>
      </c>
      <c r="AB25" s="20">
        <v>0</v>
      </c>
      <c r="AC25" s="20">
        <v>0</v>
      </c>
      <c r="AE25" s="19">
        <v>3</v>
      </c>
      <c r="AF25" s="19">
        <v>3</v>
      </c>
      <c r="AG25" s="19">
        <v>3</v>
      </c>
      <c r="AH25" s="20">
        <v>3</v>
      </c>
      <c r="AI25" s="20">
        <v>3</v>
      </c>
      <c r="AJ25" s="20">
        <v>1</v>
      </c>
      <c r="AL25" s="19">
        <v>0</v>
      </c>
      <c r="AM25" s="19">
        <v>0</v>
      </c>
      <c r="AN25" s="19">
        <v>0</v>
      </c>
      <c r="AO25" s="20">
        <v>0</v>
      </c>
      <c r="AP25" s="20">
        <v>0</v>
      </c>
      <c r="AQ25" s="20">
        <v>0</v>
      </c>
    </row>
    <row r="26" spans="1:43" x14ac:dyDescent="0.25">
      <c r="A26" s="18" t="s">
        <v>53</v>
      </c>
      <c r="B26" s="19">
        <v>0</v>
      </c>
      <c r="C26" s="19">
        <v>12</v>
      </c>
      <c r="D26" s="19">
        <v>2</v>
      </c>
      <c r="E26" s="20">
        <v>0</v>
      </c>
      <c r="F26" s="20">
        <v>3.8834951456310676E-2</v>
      </c>
      <c r="G26" s="20">
        <v>8.658008658008658E-3</v>
      </c>
      <c r="I26" s="19">
        <v>0</v>
      </c>
      <c r="J26" s="19">
        <v>0</v>
      </c>
      <c r="K26" s="19">
        <v>0</v>
      </c>
      <c r="L26" s="20">
        <v>0</v>
      </c>
      <c r="M26" s="20">
        <v>0</v>
      </c>
      <c r="N26" s="20">
        <v>0</v>
      </c>
      <c r="P26" s="19">
        <v>0</v>
      </c>
      <c r="Q26" s="19">
        <v>0</v>
      </c>
      <c r="R26" s="19">
        <v>0</v>
      </c>
      <c r="S26" s="20">
        <v>0</v>
      </c>
      <c r="T26" s="20">
        <v>0</v>
      </c>
      <c r="U26" s="20">
        <v>0</v>
      </c>
      <c r="X26" s="19">
        <v>0</v>
      </c>
      <c r="Y26" s="19">
        <v>0</v>
      </c>
      <c r="Z26" s="19">
        <v>0</v>
      </c>
      <c r="AA26" s="20">
        <v>0</v>
      </c>
      <c r="AB26" s="20">
        <v>0</v>
      </c>
      <c r="AC26" s="20">
        <v>0</v>
      </c>
      <c r="AE26" s="19">
        <v>0</v>
      </c>
      <c r="AF26" s="19">
        <v>0</v>
      </c>
      <c r="AG26" s="19">
        <v>0</v>
      </c>
      <c r="AH26" s="20">
        <v>0</v>
      </c>
      <c r="AI26" s="20">
        <v>0</v>
      </c>
      <c r="AJ26" s="20">
        <v>0</v>
      </c>
      <c r="AL26" s="19">
        <v>0</v>
      </c>
      <c r="AM26" s="19">
        <v>0</v>
      </c>
      <c r="AN26" s="19">
        <v>0</v>
      </c>
      <c r="AO26" s="20">
        <v>0</v>
      </c>
      <c r="AP26" s="20">
        <v>0</v>
      </c>
      <c r="AQ26" s="20">
        <v>0</v>
      </c>
    </row>
    <row r="27" spans="1:43" x14ac:dyDescent="0.25">
      <c r="A27" s="18" t="s">
        <v>55</v>
      </c>
      <c r="B27" s="19">
        <v>32</v>
      </c>
      <c r="C27" s="19">
        <v>33</v>
      </c>
      <c r="D27" s="19">
        <v>18</v>
      </c>
      <c r="E27" s="20">
        <v>4.6511627906976744E-2</v>
      </c>
      <c r="F27" s="20">
        <v>4.2416452442159386E-2</v>
      </c>
      <c r="G27" s="20">
        <v>1.9736842105263157E-2</v>
      </c>
      <c r="I27" s="19">
        <v>2</v>
      </c>
      <c r="J27" s="19">
        <v>5</v>
      </c>
      <c r="K27" s="19">
        <v>4</v>
      </c>
      <c r="L27" s="20">
        <v>3.9215686274509803E-2</v>
      </c>
      <c r="M27" s="20">
        <v>4.5454545454545456E-2</v>
      </c>
      <c r="N27" s="20">
        <v>2.9850746268656716E-2</v>
      </c>
      <c r="P27" s="19">
        <v>0</v>
      </c>
      <c r="Q27" s="19">
        <v>0</v>
      </c>
      <c r="R27" s="19">
        <v>0</v>
      </c>
      <c r="S27" s="20">
        <v>0</v>
      </c>
      <c r="T27" s="20">
        <v>0</v>
      </c>
      <c r="U27" s="20">
        <v>0</v>
      </c>
      <c r="X27" s="19">
        <v>17</v>
      </c>
      <c r="Y27" s="19">
        <v>17</v>
      </c>
      <c r="Z27" s="19">
        <v>8</v>
      </c>
      <c r="AA27" s="20">
        <v>5.4313099041533544E-2</v>
      </c>
      <c r="AB27" s="20">
        <v>4.5212765957446811E-2</v>
      </c>
      <c r="AC27" s="20">
        <v>1.8604651162790697E-2</v>
      </c>
      <c r="AE27" s="19">
        <v>0</v>
      </c>
      <c r="AF27" s="19">
        <v>0</v>
      </c>
      <c r="AG27" s="19">
        <v>1</v>
      </c>
      <c r="AH27" s="20">
        <v>0</v>
      </c>
      <c r="AI27" s="20">
        <v>0</v>
      </c>
      <c r="AJ27" s="20">
        <v>0.16666666666666666</v>
      </c>
      <c r="AL27" s="19">
        <v>0</v>
      </c>
      <c r="AM27" s="19">
        <v>0</v>
      </c>
      <c r="AN27" s="19">
        <v>0</v>
      </c>
      <c r="AO27" s="20">
        <v>0</v>
      </c>
      <c r="AP27" s="20">
        <v>0</v>
      </c>
      <c r="AQ27" s="20">
        <v>0</v>
      </c>
    </row>
    <row r="28" spans="1:43" x14ac:dyDescent="0.25">
      <c r="A28" s="18" t="s">
        <v>58</v>
      </c>
      <c r="B28" s="19">
        <v>0</v>
      </c>
      <c r="C28" s="19">
        <v>0</v>
      </c>
      <c r="D28" s="19">
        <v>0</v>
      </c>
      <c r="E28" s="20">
        <v>0</v>
      </c>
      <c r="F28" s="20">
        <v>0</v>
      </c>
      <c r="G28" s="20">
        <v>0</v>
      </c>
      <c r="I28" s="19">
        <v>0</v>
      </c>
      <c r="J28" s="19">
        <v>0</v>
      </c>
      <c r="K28" s="19">
        <v>0</v>
      </c>
      <c r="L28" s="20">
        <v>0</v>
      </c>
      <c r="M28" s="20">
        <v>0</v>
      </c>
      <c r="N28" s="20">
        <v>0</v>
      </c>
      <c r="P28" s="19">
        <v>2</v>
      </c>
      <c r="Q28" s="19">
        <v>0</v>
      </c>
      <c r="R28" s="19">
        <v>0</v>
      </c>
      <c r="S28" s="20">
        <v>0</v>
      </c>
      <c r="T28" s="20">
        <v>0</v>
      </c>
      <c r="U28" s="20">
        <v>0</v>
      </c>
      <c r="X28" s="19">
        <v>0</v>
      </c>
      <c r="Y28" s="19">
        <v>0</v>
      </c>
      <c r="Z28" s="19">
        <v>0</v>
      </c>
      <c r="AA28" s="20">
        <v>0</v>
      </c>
      <c r="AB28" s="20">
        <v>0</v>
      </c>
      <c r="AC28" s="20">
        <v>0</v>
      </c>
      <c r="AE28" s="19">
        <v>0</v>
      </c>
      <c r="AF28" s="19">
        <v>0</v>
      </c>
      <c r="AG28" s="19">
        <v>0</v>
      </c>
      <c r="AH28" s="20">
        <v>0</v>
      </c>
      <c r="AI28" s="20">
        <v>0</v>
      </c>
      <c r="AJ28" s="20">
        <v>0</v>
      </c>
      <c r="AL28" s="19">
        <v>0</v>
      </c>
      <c r="AM28" s="19">
        <v>0</v>
      </c>
      <c r="AN28" s="19">
        <v>0</v>
      </c>
      <c r="AO28" s="20">
        <v>0</v>
      </c>
      <c r="AP28" s="20">
        <v>0</v>
      </c>
      <c r="AQ28" s="20">
        <v>0</v>
      </c>
    </row>
    <row r="29" spans="1:43" s="43" customFormat="1" x14ac:dyDescent="0.25">
      <c r="A29" s="1" t="s">
        <v>62</v>
      </c>
      <c r="B29" s="21">
        <v>21285</v>
      </c>
      <c r="C29" s="21">
        <v>25331</v>
      </c>
      <c r="D29" s="21">
        <v>19485</v>
      </c>
      <c r="E29" s="22">
        <v>1.3221868355289027E-2</v>
      </c>
      <c r="F29" s="22">
        <v>1.5621511816501043E-2</v>
      </c>
      <c r="G29" s="22">
        <v>1.2298558635437521E-2</v>
      </c>
      <c r="I29" s="21">
        <v>2114</v>
      </c>
      <c r="J29" s="21">
        <v>2276</v>
      </c>
      <c r="K29" s="21">
        <v>1791</v>
      </c>
      <c r="L29" s="22">
        <v>8.7944088526499715E-3</v>
      </c>
      <c r="M29" s="22">
        <v>9.325690310050521E-3</v>
      </c>
      <c r="N29" s="22">
        <v>7.5191442197890777E-3</v>
      </c>
      <c r="P29" s="21">
        <v>34</v>
      </c>
      <c r="Q29" s="21">
        <v>51</v>
      </c>
      <c r="R29" s="21">
        <v>53</v>
      </c>
      <c r="S29" s="22">
        <v>0</v>
      </c>
      <c r="T29" s="22">
        <v>8.1287854638189359E-3</v>
      </c>
      <c r="U29" s="22">
        <v>8.7113740959894811E-3</v>
      </c>
      <c r="X29" s="21">
        <v>7562</v>
      </c>
      <c r="Y29" s="21">
        <v>8005</v>
      </c>
      <c r="Z29" s="21">
        <v>8234</v>
      </c>
      <c r="AA29" s="22">
        <v>2.3646768191625755E-2</v>
      </c>
      <c r="AB29" s="22">
        <v>2.3045454676312842E-2</v>
      </c>
      <c r="AC29" s="22">
        <v>2.5192600706151595E-2</v>
      </c>
      <c r="AE29" s="21">
        <v>271</v>
      </c>
      <c r="AF29" s="21">
        <v>298</v>
      </c>
      <c r="AG29" s="21">
        <v>271</v>
      </c>
      <c r="AH29" s="22">
        <v>1.4557370004297378E-2</v>
      </c>
      <c r="AI29" s="22">
        <v>1.4279553404571373E-2</v>
      </c>
      <c r="AJ29" s="22">
        <v>1.3347781116091218E-2</v>
      </c>
      <c r="AL29" s="21">
        <v>16</v>
      </c>
      <c r="AM29" s="21">
        <v>21</v>
      </c>
      <c r="AN29" s="21">
        <v>15</v>
      </c>
      <c r="AO29" s="22">
        <v>0</v>
      </c>
      <c r="AP29" s="22">
        <v>2.766798418972332E-2</v>
      </c>
      <c r="AQ29" s="22">
        <v>2.148997134670487E-2</v>
      </c>
    </row>
    <row r="30" spans="1:43" x14ac:dyDescent="0.25">
      <c r="A30" s="23"/>
      <c r="B30" s="19"/>
      <c r="C30" s="19"/>
      <c r="D30" s="19"/>
      <c r="E30" s="19"/>
      <c r="F30" s="19"/>
      <c r="G30" s="19"/>
      <c r="I30" s="19"/>
      <c r="J30" s="19"/>
      <c r="K30" s="19"/>
      <c r="L30" s="19"/>
      <c r="M30" s="19"/>
      <c r="N30" s="19"/>
      <c r="P30" s="19"/>
      <c r="Q30" s="19"/>
      <c r="R30" s="19"/>
      <c r="S30" s="19"/>
      <c r="T30" s="19"/>
      <c r="U30" s="19"/>
      <c r="X30" s="19"/>
      <c r="Y30" s="19"/>
      <c r="Z30" s="19"/>
      <c r="AA30" s="19"/>
      <c r="AB30" s="19"/>
      <c r="AC30" s="19"/>
      <c r="AE30" s="19"/>
      <c r="AF30" s="19"/>
      <c r="AG30" s="19"/>
      <c r="AH30" s="19"/>
      <c r="AI30" s="19"/>
      <c r="AJ30" s="19"/>
      <c r="AL30" s="19"/>
      <c r="AM30" s="19"/>
      <c r="AN30" s="19"/>
      <c r="AO30" s="19"/>
      <c r="AP30" s="19"/>
      <c r="AQ30" s="19"/>
    </row>
    <row r="31" spans="1:43" x14ac:dyDescent="0.25">
      <c r="A31" s="1" t="s">
        <v>63</v>
      </c>
      <c r="B31" s="19"/>
      <c r="C31" s="19"/>
      <c r="D31" s="19"/>
      <c r="E31" s="19"/>
      <c r="F31" s="19"/>
      <c r="G31" s="19"/>
      <c r="I31" s="19"/>
      <c r="J31" s="19"/>
      <c r="K31" s="19"/>
      <c r="L31" s="19"/>
      <c r="M31" s="19"/>
      <c r="N31" s="19"/>
      <c r="P31" s="19"/>
      <c r="Q31" s="19"/>
      <c r="R31" s="19"/>
      <c r="S31" s="19"/>
      <c r="T31" s="19"/>
      <c r="U31" s="19"/>
      <c r="X31" s="19"/>
      <c r="Y31" s="19"/>
      <c r="Z31" s="19"/>
      <c r="AA31" s="19"/>
      <c r="AB31" s="19"/>
      <c r="AC31" s="19"/>
      <c r="AE31" s="19"/>
      <c r="AF31" s="19"/>
      <c r="AG31" s="19"/>
      <c r="AH31" s="19"/>
      <c r="AI31" s="19"/>
      <c r="AJ31" s="19"/>
      <c r="AL31" s="19"/>
      <c r="AM31" s="19"/>
      <c r="AN31" s="19"/>
      <c r="AO31" s="19"/>
      <c r="AP31" s="19"/>
      <c r="AQ31" s="19"/>
    </row>
    <row r="32" spans="1:43" x14ac:dyDescent="0.25">
      <c r="A32" s="24" t="s">
        <v>64</v>
      </c>
      <c r="B32" s="25" t="s">
        <v>12</v>
      </c>
      <c r="C32" s="25" t="s">
        <v>164</v>
      </c>
      <c r="D32" s="25" t="s">
        <v>195</v>
      </c>
      <c r="E32" s="25" t="s">
        <v>12</v>
      </c>
      <c r="F32" s="25" t="s">
        <v>164</v>
      </c>
      <c r="G32" s="25" t="s">
        <v>195</v>
      </c>
      <c r="I32" s="25" t="s">
        <v>12</v>
      </c>
      <c r="J32" s="25" t="s">
        <v>164</v>
      </c>
      <c r="K32" s="25" t="s">
        <v>195</v>
      </c>
      <c r="L32" s="25" t="s">
        <v>12</v>
      </c>
      <c r="M32" s="25" t="s">
        <v>164</v>
      </c>
      <c r="N32" s="25" t="s">
        <v>195</v>
      </c>
      <c r="P32" s="25" t="s">
        <v>12</v>
      </c>
      <c r="Q32" s="25" t="s">
        <v>164</v>
      </c>
      <c r="R32" s="25" t="s">
        <v>195</v>
      </c>
      <c r="S32" s="25" t="s">
        <v>12</v>
      </c>
      <c r="T32" s="25" t="s">
        <v>164</v>
      </c>
      <c r="U32" s="25" t="s">
        <v>195</v>
      </c>
      <c r="X32" s="25" t="s">
        <v>12</v>
      </c>
      <c r="Y32" s="25" t="s">
        <v>164</v>
      </c>
      <c r="Z32" s="25" t="s">
        <v>195</v>
      </c>
      <c r="AA32" s="25" t="s">
        <v>12</v>
      </c>
      <c r="AB32" s="25" t="s">
        <v>164</v>
      </c>
      <c r="AC32" s="25" t="s">
        <v>195</v>
      </c>
      <c r="AE32" s="25" t="s">
        <v>12</v>
      </c>
      <c r="AF32" s="25" t="s">
        <v>164</v>
      </c>
      <c r="AG32" s="25" t="s">
        <v>195</v>
      </c>
      <c r="AH32" s="25" t="s">
        <v>12</v>
      </c>
      <c r="AI32" s="25" t="s">
        <v>164</v>
      </c>
      <c r="AJ32" s="25" t="s">
        <v>195</v>
      </c>
      <c r="AL32" s="25" t="s">
        <v>12</v>
      </c>
      <c r="AM32" s="25" t="s">
        <v>164</v>
      </c>
      <c r="AN32" s="25" t="s">
        <v>195</v>
      </c>
      <c r="AO32" s="25" t="s">
        <v>12</v>
      </c>
      <c r="AP32" s="25" t="s">
        <v>164</v>
      </c>
      <c r="AQ32" s="25" t="s">
        <v>195</v>
      </c>
    </row>
    <row r="33" spans="1:43" x14ac:dyDescent="0.25">
      <c r="A33" s="18" t="s">
        <v>18</v>
      </c>
      <c r="B33" s="19">
        <v>4178</v>
      </c>
      <c r="C33" s="19">
        <v>5762</v>
      </c>
      <c r="D33" s="19">
        <v>7232</v>
      </c>
      <c r="E33" s="20">
        <v>4.8812402883413361E-2</v>
      </c>
      <c r="F33" s="20">
        <v>6.0782514214584853E-2</v>
      </c>
      <c r="G33" s="20">
        <v>8.4711615049430727E-2</v>
      </c>
      <c r="I33" s="19">
        <v>181</v>
      </c>
      <c r="J33" s="19">
        <v>244</v>
      </c>
      <c r="K33" s="19">
        <v>221</v>
      </c>
      <c r="L33" s="20">
        <v>1.9345874305258658E-2</v>
      </c>
      <c r="M33" s="20">
        <v>2.7714675147660156E-2</v>
      </c>
      <c r="N33" s="20">
        <v>2.6079773424592872E-2</v>
      </c>
      <c r="P33" s="19">
        <v>0</v>
      </c>
      <c r="Q33" s="19">
        <v>0</v>
      </c>
      <c r="R33" s="19">
        <v>0</v>
      </c>
      <c r="S33" s="20">
        <v>0</v>
      </c>
      <c r="T33" s="20">
        <v>0</v>
      </c>
      <c r="U33" s="20">
        <v>0</v>
      </c>
      <c r="X33" s="19">
        <v>1817</v>
      </c>
      <c r="Y33" s="19">
        <v>2425</v>
      </c>
      <c r="Z33" s="19">
        <v>3266</v>
      </c>
      <c r="AA33" s="20">
        <v>3.0494763694951663E-2</v>
      </c>
      <c r="AB33" s="20">
        <v>3.6397202293398975E-2</v>
      </c>
      <c r="AC33" s="20">
        <v>5.4196674521257177E-2</v>
      </c>
      <c r="AE33" s="19">
        <v>20</v>
      </c>
      <c r="AF33" s="19">
        <v>33</v>
      </c>
      <c r="AG33" s="19">
        <v>37</v>
      </c>
      <c r="AH33" s="20">
        <v>1.3783597518952447E-2</v>
      </c>
      <c r="AI33" s="20">
        <v>2.2014676450967312E-2</v>
      </c>
      <c r="AJ33" s="20">
        <v>2.609308885754584E-2</v>
      </c>
      <c r="AL33" s="19">
        <v>0</v>
      </c>
      <c r="AM33" s="19">
        <v>0</v>
      </c>
      <c r="AN33" s="19">
        <v>0</v>
      </c>
      <c r="AO33" s="20">
        <v>0</v>
      </c>
      <c r="AP33" s="20">
        <v>0</v>
      </c>
      <c r="AQ33" s="20">
        <v>0</v>
      </c>
    </row>
    <row r="34" spans="1:43" x14ac:dyDescent="0.25">
      <c r="A34" s="18" t="s">
        <v>30</v>
      </c>
      <c r="B34" s="19">
        <v>2</v>
      </c>
      <c r="C34" s="19">
        <v>8</v>
      </c>
      <c r="D34" s="19">
        <v>17</v>
      </c>
      <c r="E34" s="20">
        <v>7.874015748031496E-3</v>
      </c>
      <c r="F34" s="20">
        <v>2.9962546816479401E-2</v>
      </c>
      <c r="G34" s="20">
        <v>7.2033898305084748E-2</v>
      </c>
      <c r="I34" s="19">
        <v>0</v>
      </c>
      <c r="J34" s="19">
        <v>0</v>
      </c>
      <c r="K34" s="19">
        <v>0</v>
      </c>
      <c r="L34" s="20">
        <v>0</v>
      </c>
      <c r="M34" s="20">
        <v>0</v>
      </c>
      <c r="N34" s="20">
        <v>0</v>
      </c>
      <c r="P34" s="19">
        <v>0</v>
      </c>
      <c r="Q34" s="19">
        <v>0</v>
      </c>
      <c r="R34" s="19">
        <v>0</v>
      </c>
      <c r="S34" s="20">
        <v>0</v>
      </c>
      <c r="T34" s="20">
        <v>0</v>
      </c>
      <c r="U34" s="20">
        <v>0</v>
      </c>
      <c r="X34" s="19">
        <v>0</v>
      </c>
      <c r="Y34" s="19">
        <v>6</v>
      </c>
      <c r="Z34" s="19">
        <v>12</v>
      </c>
      <c r="AA34" s="20">
        <v>0</v>
      </c>
      <c r="AB34" s="20">
        <v>2.4896265560165973E-2</v>
      </c>
      <c r="AC34" s="20">
        <v>5.5555555555555552E-2</v>
      </c>
      <c r="AE34" s="19">
        <v>0</v>
      </c>
      <c r="AF34" s="19">
        <v>0</v>
      </c>
      <c r="AG34" s="19">
        <v>0</v>
      </c>
      <c r="AH34" s="20">
        <v>0</v>
      </c>
      <c r="AI34" s="20">
        <v>0</v>
      </c>
      <c r="AJ34" s="20">
        <v>0</v>
      </c>
      <c r="AL34" s="19">
        <v>0</v>
      </c>
      <c r="AM34" s="19">
        <v>0</v>
      </c>
      <c r="AN34" s="19">
        <v>0</v>
      </c>
      <c r="AO34" s="20">
        <v>0</v>
      </c>
      <c r="AP34" s="20">
        <v>0</v>
      </c>
      <c r="AQ34" s="20">
        <v>0</v>
      </c>
    </row>
    <row r="35" spans="1:43" x14ac:dyDescent="0.25">
      <c r="A35" s="18" t="s">
        <v>80</v>
      </c>
      <c r="B35" s="19">
        <v>0</v>
      </c>
      <c r="C35" s="19">
        <v>0</v>
      </c>
      <c r="D35" s="19">
        <v>0</v>
      </c>
      <c r="E35" s="20">
        <v>0</v>
      </c>
      <c r="F35" s="20">
        <v>0</v>
      </c>
      <c r="G35" s="20">
        <v>0</v>
      </c>
      <c r="I35" s="19">
        <v>0</v>
      </c>
      <c r="J35" s="19">
        <v>2</v>
      </c>
      <c r="K35" s="19">
        <v>2</v>
      </c>
      <c r="L35" s="20">
        <v>0</v>
      </c>
      <c r="M35" s="20">
        <v>0.16666666666666666</v>
      </c>
      <c r="N35" s="20">
        <v>0.5</v>
      </c>
      <c r="P35" s="19">
        <v>0</v>
      </c>
      <c r="Q35" s="19">
        <v>0</v>
      </c>
      <c r="R35" s="19">
        <v>0</v>
      </c>
      <c r="S35" s="20">
        <v>0</v>
      </c>
      <c r="T35" s="20">
        <v>0</v>
      </c>
      <c r="U35" s="20">
        <v>0</v>
      </c>
      <c r="X35" s="19">
        <v>0</v>
      </c>
      <c r="Y35" s="19">
        <v>0</v>
      </c>
      <c r="Z35" s="19">
        <v>0</v>
      </c>
      <c r="AA35" s="20">
        <v>0</v>
      </c>
      <c r="AB35" s="20">
        <v>0</v>
      </c>
      <c r="AC35" s="20">
        <v>0</v>
      </c>
      <c r="AE35" s="19">
        <v>0</v>
      </c>
      <c r="AF35" s="19">
        <v>0</v>
      </c>
      <c r="AG35" s="19">
        <v>0</v>
      </c>
      <c r="AH35" s="20">
        <v>0</v>
      </c>
      <c r="AI35" s="20">
        <v>0</v>
      </c>
      <c r="AJ35" s="20">
        <v>0</v>
      </c>
      <c r="AL35" s="19">
        <v>0</v>
      </c>
      <c r="AM35" s="19">
        <v>0</v>
      </c>
      <c r="AN35" s="19">
        <v>0</v>
      </c>
      <c r="AO35" s="20">
        <v>0</v>
      </c>
      <c r="AP35" s="20">
        <v>0</v>
      </c>
      <c r="AQ35" s="20">
        <v>0</v>
      </c>
    </row>
    <row r="36" spans="1:43" x14ac:dyDescent="0.25">
      <c r="A36" s="18" t="s">
        <v>43</v>
      </c>
      <c r="B36" s="19">
        <v>35</v>
      </c>
      <c r="C36" s="19">
        <v>15</v>
      </c>
      <c r="D36" s="19">
        <v>44</v>
      </c>
      <c r="E36" s="20">
        <v>4.2944785276073622E-2</v>
      </c>
      <c r="F36" s="20">
        <v>1.6268980477223426E-2</v>
      </c>
      <c r="G36" s="20">
        <v>4.4579533941236066E-2</v>
      </c>
      <c r="I36" s="19">
        <v>2</v>
      </c>
      <c r="J36" s="19">
        <v>3</v>
      </c>
      <c r="K36" s="19">
        <v>3</v>
      </c>
      <c r="L36" s="20">
        <v>1.8018018018018018E-2</v>
      </c>
      <c r="M36" s="20">
        <v>2.1126760563380281E-2</v>
      </c>
      <c r="N36" s="20">
        <v>1.8987341772151899E-2</v>
      </c>
      <c r="P36" s="19">
        <v>0</v>
      </c>
      <c r="Q36" s="19">
        <v>0</v>
      </c>
      <c r="R36" s="19">
        <v>1</v>
      </c>
      <c r="S36" s="20">
        <v>0</v>
      </c>
      <c r="T36" s="20">
        <v>0</v>
      </c>
      <c r="U36" s="20">
        <v>1</v>
      </c>
      <c r="X36" s="19">
        <v>21</v>
      </c>
      <c r="Y36" s="19">
        <v>10</v>
      </c>
      <c r="Z36" s="19">
        <v>27</v>
      </c>
      <c r="AA36" s="20">
        <v>7.1186440677966104E-2</v>
      </c>
      <c r="AB36" s="20">
        <v>1.9120458891013385E-2</v>
      </c>
      <c r="AC36" s="20">
        <v>4.6471600688468159E-2</v>
      </c>
      <c r="AE36" s="19">
        <v>2</v>
      </c>
      <c r="AF36" s="19">
        <v>2</v>
      </c>
      <c r="AG36" s="19">
        <v>3</v>
      </c>
      <c r="AH36" s="20">
        <v>0.05</v>
      </c>
      <c r="AI36" s="20">
        <v>2.7777777777777776E-2</v>
      </c>
      <c r="AJ36" s="20">
        <v>2.8571428571428571E-2</v>
      </c>
      <c r="AL36" s="19">
        <v>0</v>
      </c>
      <c r="AM36" s="19">
        <v>0</v>
      </c>
      <c r="AN36" s="19">
        <v>0</v>
      </c>
      <c r="AO36" s="20">
        <v>0</v>
      </c>
      <c r="AP36" s="20">
        <v>0</v>
      </c>
      <c r="AQ36" s="20">
        <v>0</v>
      </c>
    </row>
    <row r="37" spans="1:43" s="43" customFormat="1" x14ac:dyDescent="0.25">
      <c r="A37" s="26" t="s">
        <v>65</v>
      </c>
      <c r="B37" s="27">
        <v>4215</v>
      </c>
      <c r="C37" s="27">
        <v>5785</v>
      </c>
      <c r="D37" s="27">
        <v>7293</v>
      </c>
      <c r="E37" s="22">
        <v>4.8637234312616837E-2</v>
      </c>
      <c r="F37" s="22">
        <v>6.026795016043672E-2</v>
      </c>
      <c r="G37" s="22">
        <v>8.4218670608342192E-2</v>
      </c>
      <c r="I37" s="27">
        <v>183</v>
      </c>
      <c r="J37" s="27">
        <v>249</v>
      </c>
      <c r="K37" s="27">
        <v>226</v>
      </c>
      <c r="L37" s="22">
        <v>1.9279393173198482E-2</v>
      </c>
      <c r="M37" s="22">
        <v>2.7737551520552524E-2</v>
      </c>
      <c r="N37" s="22">
        <v>2.6121128062875636E-2</v>
      </c>
      <c r="P37" s="27">
        <v>0</v>
      </c>
      <c r="Q37" s="27">
        <v>0</v>
      </c>
      <c r="R37" s="27">
        <v>1</v>
      </c>
      <c r="S37" s="22">
        <v>0</v>
      </c>
      <c r="T37" s="22">
        <v>0</v>
      </c>
      <c r="U37" s="22">
        <v>0.2</v>
      </c>
      <c r="X37" s="27">
        <v>1838</v>
      </c>
      <c r="Y37" s="27">
        <v>2441</v>
      </c>
      <c r="Z37" s="27">
        <v>3305</v>
      </c>
      <c r="AA37" s="22">
        <v>3.0579309885868298E-2</v>
      </c>
      <c r="AB37" s="22">
        <v>3.6221991393381808E-2</v>
      </c>
      <c r="AC37" s="22">
        <v>5.412797458196171E-2</v>
      </c>
      <c r="AE37" s="27">
        <v>22</v>
      </c>
      <c r="AF37" s="27">
        <v>35</v>
      </c>
      <c r="AG37" s="27">
        <v>40</v>
      </c>
      <c r="AH37" s="22">
        <v>1.4705882352941176E-2</v>
      </c>
      <c r="AI37" s="22">
        <v>2.2208121827411168E-2</v>
      </c>
      <c r="AJ37" s="22">
        <v>2.6195153896529141E-2</v>
      </c>
      <c r="AL37" s="27">
        <v>0</v>
      </c>
      <c r="AM37" s="27">
        <v>0</v>
      </c>
      <c r="AN37" s="27">
        <v>0</v>
      </c>
      <c r="AO37" s="22">
        <v>0</v>
      </c>
      <c r="AP37" s="22">
        <v>0</v>
      </c>
      <c r="AQ37" s="22">
        <v>0</v>
      </c>
    </row>
    <row r="38" spans="1:43" x14ac:dyDescent="0.25">
      <c r="A38" s="18"/>
      <c r="B38" s="19"/>
      <c r="C38" s="19"/>
      <c r="D38" s="19"/>
      <c r="E38" s="19"/>
      <c r="F38" s="19"/>
      <c r="G38" s="19"/>
      <c r="I38" s="19"/>
      <c r="J38" s="19"/>
      <c r="K38" s="19"/>
      <c r="L38" s="19"/>
      <c r="M38" s="19"/>
      <c r="N38" s="19"/>
      <c r="P38" s="19"/>
      <c r="Q38" s="19"/>
      <c r="R38" s="19"/>
      <c r="S38" s="19"/>
      <c r="T38" s="19"/>
      <c r="U38" s="19"/>
      <c r="X38" s="19"/>
      <c r="Y38" s="19"/>
      <c r="Z38" s="19"/>
      <c r="AA38" s="19"/>
      <c r="AB38" s="19"/>
      <c r="AC38" s="19"/>
      <c r="AE38" s="19"/>
      <c r="AF38" s="19"/>
      <c r="AG38" s="19"/>
      <c r="AH38" s="19"/>
      <c r="AI38" s="19"/>
      <c r="AJ38" s="19"/>
      <c r="AL38" s="19"/>
      <c r="AM38" s="19"/>
      <c r="AN38" s="19"/>
      <c r="AO38" s="19"/>
      <c r="AP38" s="19"/>
      <c r="AQ38" s="19"/>
    </row>
    <row r="39" spans="1:43" x14ac:dyDescent="0.25">
      <c r="A39" s="28" t="s">
        <v>66</v>
      </c>
      <c r="B39" s="25" t="s">
        <v>12</v>
      </c>
      <c r="C39" s="25" t="s">
        <v>164</v>
      </c>
      <c r="D39" s="25" t="s">
        <v>195</v>
      </c>
      <c r="E39" s="25" t="s">
        <v>12</v>
      </c>
      <c r="F39" s="25" t="s">
        <v>164</v>
      </c>
      <c r="G39" s="25" t="s">
        <v>195</v>
      </c>
      <c r="I39" s="25" t="s">
        <v>12</v>
      </c>
      <c r="J39" s="25" t="s">
        <v>164</v>
      </c>
      <c r="K39" s="25" t="s">
        <v>195</v>
      </c>
      <c r="L39" s="25" t="s">
        <v>12</v>
      </c>
      <c r="M39" s="25" t="s">
        <v>164</v>
      </c>
      <c r="N39" s="25" t="s">
        <v>195</v>
      </c>
      <c r="P39" s="25" t="s">
        <v>12</v>
      </c>
      <c r="Q39" s="25" t="s">
        <v>164</v>
      </c>
      <c r="R39" s="25" t="s">
        <v>195</v>
      </c>
      <c r="S39" s="25" t="s">
        <v>12</v>
      </c>
      <c r="T39" s="25" t="s">
        <v>164</v>
      </c>
      <c r="U39" s="25" t="s">
        <v>195</v>
      </c>
      <c r="X39" s="25" t="s">
        <v>12</v>
      </c>
      <c r="Y39" s="25" t="s">
        <v>164</v>
      </c>
      <c r="Z39" s="25" t="s">
        <v>195</v>
      </c>
      <c r="AA39" s="25" t="s">
        <v>12</v>
      </c>
      <c r="AB39" s="25" t="s">
        <v>164</v>
      </c>
      <c r="AC39" s="25" t="s">
        <v>195</v>
      </c>
      <c r="AE39" s="25" t="s">
        <v>12</v>
      </c>
      <c r="AF39" s="25" t="s">
        <v>164</v>
      </c>
      <c r="AG39" s="25" t="s">
        <v>195</v>
      </c>
      <c r="AH39" s="25" t="s">
        <v>12</v>
      </c>
      <c r="AI39" s="25" t="s">
        <v>164</v>
      </c>
      <c r="AJ39" s="25" t="s">
        <v>195</v>
      </c>
      <c r="AL39" s="25" t="s">
        <v>12</v>
      </c>
      <c r="AM39" s="25" t="s">
        <v>164</v>
      </c>
      <c r="AN39" s="25" t="s">
        <v>195</v>
      </c>
      <c r="AO39" s="25" t="s">
        <v>12</v>
      </c>
      <c r="AP39" s="25" t="s">
        <v>164</v>
      </c>
      <c r="AQ39" s="25" t="s">
        <v>195</v>
      </c>
    </row>
    <row r="40" spans="1:43" x14ac:dyDescent="0.25">
      <c r="A40" s="18" t="s">
        <v>18</v>
      </c>
      <c r="B40" s="19">
        <v>668</v>
      </c>
      <c r="C40" s="19">
        <v>819</v>
      </c>
      <c r="D40" s="19">
        <v>743</v>
      </c>
      <c r="E40" s="20">
        <v>0.20809968847352026</v>
      </c>
      <c r="F40" s="20">
        <v>8.1468218442256046E-2</v>
      </c>
      <c r="G40" s="20">
        <v>9.6593863754550188E-2</v>
      </c>
      <c r="I40" s="19">
        <v>43</v>
      </c>
      <c r="J40" s="19">
        <v>45</v>
      </c>
      <c r="K40" s="19">
        <v>25</v>
      </c>
      <c r="L40" s="20">
        <v>0.10696517412935323</v>
      </c>
      <c r="M40" s="20">
        <v>6.8912710566615618E-2</v>
      </c>
      <c r="N40" s="20">
        <v>4.1528239202657809E-2</v>
      </c>
      <c r="P40" s="19">
        <v>0</v>
      </c>
      <c r="Q40" s="19">
        <v>0</v>
      </c>
      <c r="R40" s="19">
        <v>0</v>
      </c>
      <c r="S40" s="20">
        <v>0</v>
      </c>
      <c r="T40" s="20">
        <v>0</v>
      </c>
      <c r="U40" s="20">
        <v>0</v>
      </c>
      <c r="X40" s="19">
        <v>228</v>
      </c>
      <c r="Y40" s="19">
        <v>234</v>
      </c>
      <c r="Z40" s="19">
        <v>229</v>
      </c>
      <c r="AA40" s="20">
        <v>2.8464419475655429E-2</v>
      </c>
      <c r="AB40" s="20">
        <v>2.1592691704346221E-2</v>
      </c>
      <c r="AC40" s="20">
        <v>2.2237327636434261E-2</v>
      </c>
      <c r="AE40" s="19">
        <v>0</v>
      </c>
      <c r="AF40" s="19">
        <v>4</v>
      </c>
      <c r="AG40" s="19">
        <v>5</v>
      </c>
      <c r="AH40" s="20">
        <v>0</v>
      </c>
      <c r="AI40" s="20">
        <v>7.3800738007380072E-3</v>
      </c>
      <c r="AJ40" s="20">
        <v>9.3632958801498131E-3</v>
      </c>
      <c r="AL40" s="19">
        <v>0</v>
      </c>
      <c r="AM40" s="19">
        <v>0</v>
      </c>
      <c r="AN40" s="19">
        <v>0</v>
      </c>
      <c r="AO40" s="20">
        <v>0</v>
      </c>
      <c r="AP40" s="20">
        <v>0</v>
      </c>
      <c r="AQ40" s="20">
        <v>0</v>
      </c>
    </row>
    <row r="41" spans="1:43" x14ac:dyDescent="0.25">
      <c r="A41" s="18" t="s">
        <v>19</v>
      </c>
      <c r="B41" s="19">
        <v>1636</v>
      </c>
      <c r="C41" s="19">
        <v>1365</v>
      </c>
      <c r="D41" s="19">
        <v>1424</v>
      </c>
      <c r="E41" s="20">
        <v>4.3892361763206614E-2</v>
      </c>
      <c r="F41" s="20">
        <v>3.4162578836720393E-2</v>
      </c>
      <c r="G41" s="20">
        <v>3.7269681742043551E-2</v>
      </c>
      <c r="I41" s="19">
        <v>161</v>
      </c>
      <c r="J41" s="19">
        <v>133</v>
      </c>
      <c r="K41" s="19">
        <v>94</v>
      </c>
      <c r="L41" s="20">
        <v>2.7371642298537911E-2</v>
      </c>
      <c r="M41" s="20">
        <v>1.8854550609583215E-2</v>
      </c>
      <c r="N41" s="20">
        <v>1.3284341435839458E-2</v>
      </c>
      <c r="P41" s="19">
        <v>4</v>
      </c>
      <c r="Q41" s="19">
        <v>2</v>
      </c>
      <c r="R41" s="19">
        <v>0</v>
      </c>
      <c r="S41" s="20">
        <v>0</v>
      </c>
      <c r="T41" s="20">
        <v>4.0816326530612242E-2</v>
      </c>
      <c r="U41" s="20">
        <v>0</v>
      </c>
      <c r="X41" s="19">
        <v>2394</v>
      </c>
      <c r="Y41" s="19">
        <v>2212</v>
      </c>
      <c r="Z41" s="19">
        <v>1771</v>
      </c>
      <c r="AA41" s="20">
        <v>2.0536487865972394E-2</v>
      </c>
      <c r="AB41" s="20">
        <v>1.8152722498050961E-2</v>
      </c>
      <c r="AC41" s="20">
        <v>1.5313842987712609E-2</v>
      </c>
      <c r="AE41" s="19">
        <v>45</v>
      </c>
      <c r="AF41" s="19">
        <v>48</v>
      </c>
      <c r="AG41" s="19">
        <v>34</v>
      </c>
      <c r="AH41" s="20">
        <v>1.1091939857037219E-2</v>
      </c>
      <c r="AI41" s="20">
        <v>1.0579678201454706E-2</v>
      </c>
      <c r="AJ41" s="20">
        <v>8.0340264650283558E-3</v>
      </c>
      <c r="AL41" s="19">
        <v>3</v>
      </c>
      <c r="AM41" s="19">
        <v>7</v>
      </c>
      <c r="AN41" s="19">
        <v>3</v>
      </c>
      <c r="AO41" s="20">
        <v>0</v>
      </c>
      <c r="AP41" s="20">
        <v>4.4871794871794872E-2</v>
      </c>
      <c r="AQ41" s="20">
        <v>1.8404907975460124E-2</v>
      </c>
    </row>
    <row r="42" spans="1:43" x14ac:dyDescent="0.25">
      <c r="A42" s="18" t="s">
        <v>20</v>
      </c>
      <c r="B42" s="19">
        <v>1</v>
      </c>
      <c r="C42" s="19">
        <v>0</v>
      </c>
      <c r="D42" s="19">
        <v>1</v>
      </c>
      <c r="E42" s="20">
        <v>8.7565674255691769E-4</v>
      </c>
      <c r="F42" s="20">
        <v>0</v>
      </c>
      <c r="G42" s="20">
        <v>6.6401062416998667E-4</v>
      </c>
      <c r="I42" s="19">
        <v>1</v>
      </c>
      <c r="J42" s="19">
        <v>0</v>
      </c>
      <c r="K42" s="19">
        <v>0</v>
      </c>
      <c r="L42" s="20">
        <v>4.1666666666666666E-3</v>
      </c>
      <c r="M42" s="20">
        <v>0</v>
      </c>
      <c r="N42" s="20">
        <v>0</v>
      </c>
      <c r="P42" s="19">
        <v>0</v>
      </c>
      <c r="Q42" s="19">
        <v>0</v>
      </c>
      <c r="R42" s="19">
        <v>0</v>
      </c>
      <c r="S42" s="20">
        <v>0</v>
      </c>
      <c r="T42" s="20">
        <v>0</v>
      </c>
      <c r="U42" s="20">
        <v>0</v>
      </c>
      <c r="X42" s="19">
        <v>0</v>
      </c>
      <c r="Y42" s="19">
        <v>0</v>
      </c>
      <c r="Z42" s="19">
        <v>0</v>
      </c>
      <c r="AA42" s="20">
        <v>0</v>
      </c>
      <c r="AB42" s="20">
        <v>0</v>
      </c>
      <c r="AC42" s="20">
        <v>0</v>
      </c>
      <c r="AE42" s="19">
        <v>0</v>
      </c>
      <c r="AF42" s="19">
        <v>0</v>
      </c>
      <c r="AG42" s="19">
        <v>0</v>
      </c>
      <c r="AH42" s="20">
        <v>0</v>
      </c>
      <c r="AI42" s="20">
        <v>0</v>
      </c>
      <c r="AJ42" s="20">
        <v>0</v>
      </c>
      <c r="AL42" s="19">
        <v>0</v>
      </c>
      <c r="AM42" s="19">
        <v>0</v>
      </c>
      <c r="AN42" s="19">
        <v>0</v>
      </c>
      <c r="AO42" s="20">
        <v>0</v>
      </c>
      <c r="AP42" s="20">
        <v>0</v>
      </c>
      <c r="AQ42" s="20">
        <v>0</v>
      </c>
    </row>
    <row r="43" spans="1:43" x14ac:dyDescent="0.25">
      <c r="A43" s="18" t="s">
        <v>21</v>
      </c>
      <c r="B43" s="19">
        <v>0</v>
      </c>
      <c r="C43" s="19">
        <v>1</v>
      </c>
      <c r="D43" s="19">
        <v>0</v>
      </c>
      <c r="E43" s="20">
        <v>0</v>
      </c>
      <c r="F43" s="20">
        <v>6.4516129032258064E-4</v>
      </c>
      <c r="G43" s="20">
        <v>0</v>
      </c>
      <c r="I43" s="19">
        <v>0</v>
      </c>
      <c r="J43" s="19">
        <v>0</v>
      </c>
      <c r="K43" s="19">
        <v>0</v>
      </c>
      <c r="L43" s="20">
        <v>0</v>
      </c>
      <c r="M43" s="20">
        <v>0</v>
      </c>
      <c r="N43" s="20">
        <v>0</v>
      </c>
      <c r="P43" s="19">
        <v>0</v>
      </c>
      <c r="Q43" s="19">
        <v>0</v>
      </c>
      <c r="R43" s="19">
        <v>0</v>
      </c>
      <c r="S43" s="20">
        <v>0</v>
      </c>
      <c r="T43" s="20">
        <v>0</v>
      </c>
      <c r="U43" s="20">
        <v>0</v>
      </c>
      <c r="X43" s="19">
        <v>0</v>
      </c>
      <c r="Y43" s="19">
        <v>0</v>
      </c>
      <c r="Z43" s="19">
        <v>0</v>
      </c>
      <c r="AA43" s="20">
        <v>0</v>
      </c>
      <c r="AB43" s="20">
        <v>0</v>
      </c>
      <c r="AC43" s="20">
        <v>0</v>
      </c>
      <c r="AE43" s="19">
        <v>0</v>
      </c>
      <c r="AF43" s="19">
        <v>0</v>
      </c>
      <c r="AG43" s="19">
        <v>0</v>
      </c>
      <c r="AH43" s="20">
        <v>0</v>
      </c>
      <c r="AI43" s="20">
        <v>0</v>
      </c>
      <c r="AJ43" s="20">
        <v>0</v>
      </c>
      <c r="AL43" s="19">
        <v>0</v>
      </c>
      <c r="AM43" s="19">
        <v>0</v>
      </c>
      <c r="AN43" s="19">
        <v>0</v>
      </c>
      <c r="AO43" s="20">
        <v>0</v>
      </c>
      <c r="AP43" s="20">
        <v>0</v>
      </c>
      <c r="AQ43" s="20">
        <v>0</v>
      </c>
    </row>
    <row r="44" spans="1:43" x14ac:dyDescent="0.25">
      <c r="A44" s="18" t="s">
        <v>24</v>
      </c>
      <c r="B44" s="19">
        <v>0</v>
      </c>
      <c r="C44" s="19">
        <v>0</v>
      </c>
      <c r="D44" s="19">
        <v>0</v>
      </c>
      <c r="E44" s="20">
        <v>0</v>
      </c>
      <c r="F44" s="20">
        <v>0</v>
      </c>
      <c r="G44" s="20">
        <v>0</v>
      </c>
      <c r="I44" s="19">
        <v>27</v>
      </c>
      <c r="J44" s="19">
        <v>0</v>
      </c>
      <c r="K44" s="19">
        <v>0</v>
      </c>
      <c r="L44" s="20">
        <v>0</v>
      </c>
      <c r="M44" s="20">
        <v>0</v>
      </c>
      <c r="N44" s="20">
        <v>0</v>
      </c>
      <c r="P44" s="19">
        <v>0</v>
      </c>
      <c r="Q44" s="19">
        <v>0</v>
      </c>
      <c r="R44" s="19">
        <v>0</v>
      </c>
      <c r="S44" s="20">
        <v>0</v>
      </c>
      <c r="T44" s="20">
        <v>0</v>
      </c>
      <c r="U44" s="20">
        <v>0</v>
      </c>
      <c r="X44" s="19">
        <v>0</v>
      </c>
      <c r="Y44" s="19">
        <v>0</v>
      </c>
      <c r="Z44" s="19">
        <v>0</v>
      </c>
      <c r="AA44" s="20">
        <v>0</v>
      </c>
      <c r="AB44" s="20">
        <v>0</v>
      </c>
      <c r="AC44" s="20">
        <v>0</v>
      </c>
      <c r="AE44" s="19">
        <v>0</v>
      </c>
      <c r="AF44" s="19">
        <v>0</v>
      </c>
      <c r="AG44" s="19">
        <v>0</v>
      </c>
      <c r="AH44" s="20">
        <v>0</v>
      </c>
      <c r="AI44" s="20">
        <v>0</v>
      </c>
      <c r="AJ44" s="20">
        <v>0</v>
      </c>
      <c r="AL44" s="19">
        <v>0</v>
      </c>
      <c r="AM44" s="19">
        <v>0</v>
      </c>
      <c r="AN44" s="19">
        <v>0</v>
      </c>
      <c r="AO44" s="20">
        <v>0</v>
      </c>
      <c r="AP44" s="20">
        <v>0</v>
      </c>
      <c r="AQ44" s="20">
        <v>0</v>
      </c>
    </row>
    <row r="45" spans="1:43" x14ac:dyDescent="0.25">
      <c r="A45" s="18" t="s">
        <v>25</v>
      </c>
      <c r="B45" s="19">
        <v>7</v>
      </c>
      <c r="C45" s="19">
        <v>12</v>
      </c>
      <c r="D45" s="19">
        <v>19</v>
      </c>
      <c r="E45" s="20">
        <v>9.7222222222222224E-2</v>
      </c>
      <c r="F45" s="20">
        <v>0.10810810810810811</v>
      </c>
      <c r="G45" s="20">
        <v>0.14503816793893129</v>
      </c>
      <c r="I45" s="19">
        <v>18</v>
      </c>
      <c r="J45" s="19">
        <v>26</v>
      </c>
      <c r="K45" s="19">
        <v>38</v>
      </c>
      <c r="L45" s="20">
        <v>9.7826086956521743E-2</v>
      </c>
      <c r="M45" s="20">
        <v>8.3067092651757185E-2</v>
      </c>
      <c r="N45" s="20">
        <v>0.11550151975683891</v>
      </c>
      <c r="P45" s="19">
        <v>0</v>
      </c>
      <c r="Q45" s="19">
        <v>0</v>
      </c>
      <c r="R45" s="19">
        <v>1</v>
      </c>
      <c r="S45" s="20">
        <v>0</v>
      </c>
      <c r="T45" s="20">
        <v>0</v>
      </c>
      <c r="U45" s="20">
        <v>0.5</v>
      </c>
      <c r="X45" s="19">
        <v>2</v>
      </c>
      <c r="Y45" s="19">
        <v>5</v>
      </c>
      <c r="Z45" s="19">
        <v>9</v>
      </c>
      <c r="AA45" s="20">
        <v>2.8985507246376812E-2</v>
      </c>
      <c r="AB45" s="20">
        <v>4.4247787610619468E-2</v>
      </c>
      <c r="AC45" s="20">
        <v>6.25E-2</v>
      </c>
      <c r="AE45" s="19">
        <v>1</v>
      </c>
      <c r="AF45" s="19">
        <v>11</v>
      </c>
      <c r="AG45" s="19">
        <v>16</v>
      </c>
      <c r="AH45" s="20">
        <v>8.771929824561403E-3</v>
      </c>
      <c r="AI45" s="20">
        <v>5.1643192488262914E-2</v>
      </c>
      <c r="AJ45" s="20">
        <v>6.9868995633187769E-2</v>
      </c>
      <c r="AL45" s="19">
        <v>0</v>
      </c>
      <c r="AM45" s="19">
        <v>0</v>
      </c>
      <c r="AN45" s="19">
        <v>0</v>
      </c>
      <c r="AO45" s="20">
        <v>0</v>
      </c>
      <c r="AP45" s="20">
        <v>0</v>
      </c>
      <c r="AQ45" s="20">
        <v>0</v>
      </c>
    </row>
    <row r="46" spans="1:43" x14ac:dyDescent="0.25">
      <c r="A46" s="18" t="s">
        <v>28</v>
      </c>
      <c r="B46" s="19">
        <v>22</v>
      </c>
      <c r="C46" s="19">
        <v>0</v>
      </c>
      <c r="D46" s="19">
        <v>0</v>
      </c>
      <c r="E46" s="20">
        <v>2.736318407960199E-2</v>
      </c>
      <c r="F46" s="20">
        <v>0</v>
      </c>
      <c r="G46" s="20">
        <v>0</v>
      </c>
      <c r="I46" s="19">
        <v>0</v>
      </c>
      <c r="J46" s="19">
        <v>0</v>
      </c>
      <c r="K46" s="19">
        <v>0</v>
      </c>
      <c r="L46" s="20">
        <v>0</v>
      </c>
      <c r="M46" s="20">
        <v>0</v>
      </c>
      <c r="N46" s="20">
        <v>0</v>
      </c>
      <c r="P46" s="19">
        <v>0</v>
      </c>
      <c r="Q46" s="19">
        <v>0</v>
      </c>
      <c r="R46" s="19">
        <v>0</v>
      </c>
      <c r="S46" s="20">
        <v>0</v>
      </c>
      <c r="T46" s="20">
        <v>0</v>
      </c>
      <c r="U46" s="20">
        <v>0</v>
      </c>
      <c r="X46" s="19">
        <v>6</v>
      </c>
      <c r="Y46" s="19">
        <v>0</v>
      </c>
      <c r="Z46" s="19">
        <v>0</v>
      </c>
      <c r="AA46" s="20">
        <v>1.3544018058690745E-2</v>
      </c>
      <c r="AB46" s="20">
        <v>0</v>
      </c>
      <c r="AC46" s="20">
        <v>0</v>
      </c>
      <c r="AE46" s="19">
        <v>0</v>
      </c>
      <c r="AF46" s="19">
        <v>0</v>
      </c>
      <c r="AG46" s="19">
        <v>0</v>
      </c>
      <c r="AH46" s="20">
        <v>0</v>
      </c>
      <c r="AI46" s="20">
        <v>0</v>
      </c>
      <c r="AJ46" s="20">
        <v>0</v>
      </c>
      <c r="AL46" s="19">
        <v>0</v>
      </c>
      <c r="AM46" s="19">
        <v>0</v>
      </c>
      <c r="AN46" s="19">
        <v>0</v>
      </c>
      <c r="AO46" s="20">
        <v>0</v>
      </c>
      <c r="AP46" s="20">
        <v>0</v>
      </c>
      <c r="AQ46" s="20">
        <v>0</v>
      </c>
    </row>
    <row r="47" spans="1:43" x14ac:dyDescent="0.25">
      <c r="A47" s="18" t="s">
        <v>29</v>
      </c>
      <c r="B47" s="19">
        <v>0</v>
      </c>
      <c r="C47" s="19">
        <v>0</v>
      </c>
      <c r="D47" s="19">
        <v>8</v>
      </c>
      <c r="E47" s="20">
        <v>0</v>
      </c>
      <c r="F47" s="20">
        <v>0</v>
      </c>
      <c r="G47" s="20">
        <v>0.11267605633802817</v>
      </c>
      <c r="I47" s="19">
        <v>0</v>
      </c>
      <c r="J47" s="19">
        <v>0</v>
      </c>
      <c r="K47" s="19">
        <v>2</v>
      </c>
      <c r="L47" s="20">
        <v>0</v>
      </c>
      <c r="M47" s="20">
        <v>0</v>
      </c>
      <c r="N47" s="20">
        <v>0.25</v>
      </c>
      <c r="P47" s="19">
        <v>0</v>
      </c>
      <c r="Q47" s="19">
        <v>0</v>
      </c>
      <c r="R47" s="19">
        <v>0</v>
      </c>
      <c r="S47" s="20">
        <v>0</v>
      </c>
      <c r="T47" s="20">
        <v>0</v>
      </c>
      <c r="U47" s="20">
        <v>0</v>
      </c>
      <c r="X47" s="19">
        <v>0</v>
      </c>
      <c r="Y47" s="19">
        <v>0</v>
      </c>
      <c r="Z47" s="19">
        <v>0</v>
      </c>
      <c r="AA47" s="20">
        <v>0</v>
      </c>
      <c r="AB47" s="20">
        <v>0</v>
      </c>
      <c r="AC47" s="20">
        <v>0</v>
      </c>
      <c r="AE47" s="19">
        <v>0</v>
      </c>
      <c r="AF47" s="19">
        <v>0</v>
      </c>
      <c r="AG47" s="19">
        <v>0</v>
      </c>
      <c r="AH47" s="20">
        <v>0</v>
      </c>
      <c r="AI47" s="20">
        <v>0</v>
      </c>
      <c r="AJ47" s="20">
        <v>0</v>
      </c>
      <c r="AL47" s="19">
        <v>0</v>
      </c>
      <c r="AM47" s="19">
        <v>0</v>
      </c>
      <c r="AN47" s="19">
        <v>0</v>
      </c>
      <c r="AO47" s="20">
        <v>0</v>
      </c>
      <c r="AP47" s="20">
        <v>0</v>
      </c>
      <c r="AQ47" s="20">
        <v>0</v>
      </c>
    </row>
    <row r="48" spans="1:43" x14ac:dyDescent="0.25">
      <c r="A48" s="18" t="s">
        <v>30</v>
      </c>
      <c r="B48" s="19">
        <v>4700</v>
      </c>
      <c r="C48" s="19">
        <v>2913</v>
      </c>
      <c r="D48" s="19">
        <v>3624</v>
      </c>
      <c r="E48" s="20">
        <v>3.1119233010222999E-2</v>
      </c>
      <c r="F48" s="20">
        <v>1.9943449059652341E-2</v>
      </c>
      <c r="G48" s="20">
        <v>2.6837685323696254E-2</v>
      </c>
      <c r="I48" s="19">
        <v>450</v>
      </c>
      <c r="J48" s="19">
        <v>323</v>
      </c>
      <c r="K48" s="19">
        <v>453</v>
      </c>
      <c r="L48" s="20">
        <v>1.8292682926829267E-2</v>
      </c>
      <c r="M48" s="20">
        <v>1.3432587540547285E-2</v>
      </c>
      <c r="N48" s="20">
        <v>2.094507120399482E-2</v>
      </c>
      <c r="P48" s="19">
        <v>9</v>
      </c>
      <c r="Q48" s="19">
        <v>9</v>
      </c>
      <c r="R48" s="19">
        <v>11</v>
      </c>
      <c r="S48" s="20">
        <v>0</v>
      </c>
      <c r="T48" s="20">
        <v>2.8846153846153848E-2</v>
      </c>
      <c r="U48" s="20">
        <v>3.9007092198581561E-2</v>
      </c>
      <c r="X48" s="19">
        <v>508</v>
      </c>
      <c r="Y48" s="19">
        <v>383</v>
      </c>
      <c r="Z48" s="19">
        <v>734</v>
      </c>
      <c r="AA48" s="20">
        <v>2.5851101725103048E-2</v>
      </c>
      <c r="AB48" s="20">
        <v>1.8629310764142225E-2</v>
      </c>
      <c r="AC48" s="20">
        <v>4.2285977647194377E-2</v>
      </c>
      <c r="AE48" s="19">
        <v>11</v>
      </c>
      <c r="AF48" s="19">
        <v>19</v>
      </c>
      <c r="AG48" s="19">
        <v>19</v>
      </c>
      <c r="AH48" s="20">
        <v>5.8792089791555322E-3</v>
      </c>
      <c r="AI48" s="20">
        <v>9.1434071222329157E-3</v>
      </c>
      <c r="AJ48" s="20">
        <v>1.1059371362048894E-2</v>
      </c>
      <c r="AL48" s="19">
        <v>0</v>
      </c>
      <c r="AM48" s="19">
        <v>2</v>
      </c>
      <c r="AN48" s="19">
        <v>1</v>
      </c>
      <c r="AO48" s="20">
        <v>0</v>
      </c>
      <c r="AP48" s="20">
        <v>3.0769230769230771E-2</v>
      </c>
      <c r="AQ48" s="20">
        <v>1.9230769230769232E-2</v>
      </c>
    </row>
    <row r="49" spans="1:43" x14ac:dyDescent="0.25">
      <c r="A49" s="18" t="s">
        <v>31</v>
      </c>
      <c r="B49" s="19">
        <v>0</v>
      </c>
      <c r="C49" s="19">
        <v>5403</v>
      </c>
      <c r="D49" s="19">
        <v>0</v>
      </c>
      <c r="E49" s="20">
        <v>0</v>
      </c>
      <c r="F49" s="20">
        <v>112.5625</v>
      </c>
      <c r="G49" s="20">
        <v>0</v>
      </c>
      <c r="I49" s="19">
        <v>0</v>
      </c>
      <c r="J49" s="19">
        <v>381</v>
      </c>
      <c r="K49" s="19">
        <v>0</v>
      </c>
      <c r="L49" s="20">
        <v>0</v>
      </c>
      <c r="M49" s="20">
        <v>23.8125</v>
      </c>
      <c r="N49" s="20">
        <v>0</v>
      </c>
      <c r="P49" s="19">
        <v>0</v>
      </c>
      <c r="Q49" s="19">
        <v>0</v>
      </c>
      <c r="R49" s="19">
        <v>0</v>
      </c>
      <c r="S49" s="20">
        <v>0</v>
      </c>
      <c r="T49" s="20">
        <v>0</v>
      </c>
      <c r="U49" s="20">
        <v>0</v>
      </c>
      <c r="X49" s="19">
        <v>0</v>
      </c>
      <c r="Y49" s="19">
        <v>0</v>
      </c>
      <c r="Z49" s="19">
        <v>0</v>
      </c>
      <c r="AA49" s="20">
        <v>0</v>
      </c>
      <c r="AB49" s="20">
        <v>0</v>
      </c>
      <c r="AC49" s="20">
        <v>0</v>
      </c>
      <c r="AE49" s="19">
        <v>0</v>
      </c>
      <c r="AF49" s="19">
        <v>0</v>
      </c>
      <c r="AG49" s="19">
        <v>0</v>
      </c>
      <c r="AH49" s="20">
        <v>0</v>
      </c>
      <c r="AI49" s="20">
        <v>0</v>
      </c>
      <c r="AJ49" s="20">
        <v>0</v>
      </c>
      <c r="AL49" s="19">
        <v>0</v>
      </c>
      <c r="AM49" s="19">
        <v>0</v>
      </c>
      <c r="AN49" s="19">
        <v>0</v>
      </c>
      <c r="AO49" s="20">
        <v>0</v>
      </c>
      <c r="AP49" s="20">
        <v>0</v>
      </c>
      <c r="AQ49" s="20">
        <v>0</v>
      </c>
    </row>
    <row r="50" spans="1:43" x14ac:dyDescent="0.25">
      <c r="A50" s="18" t="s">
        <v>80</v>
      </c>
      <c r="B50" s="19">
        <v>0</v>
      </c>
      <c r="C50" s="19">
        <v>0</v>
      </c>
      <c r="D50" s="19">
        <v>0</v>
      </c>
      <c r="E50" s="20">
        <v>0</v>
      </c>
      <c r="F50" s="20">
        <v>0</v>
      </c>
      <c r="G50" s="20">
        <v>0</v>
      </c>
      <c r="I50" s="19">
        <v>6</v>
      </c>
      <c r="J50" s="19">
        <v>6</v>
      </c>
      <c r="K50" s="19">
        <v>5</v>
      </c>
      <c r="L50" s="20">
        <v>0.04</v>
      </c>
      <c r="M50" s="20">
        <v>2.4330900243309003E-3</v>
      </c>
      <c r="N50" s="20">
        <v>2.7144408251900108E-3</v>
      </c>
      <c r="P50" s="19">
        <v>8</v>
      </c>
      <c r="Q50" s="19">
        <v>10</v>
      </c>
      <c r="R50" s="19">
        <v>6</v>
      </c>
      <c r="S50" s="20">
        <v>0</v>
      </c>
      <c r="T50" s="20">
        <v>10</v>
      </c>
      <c r="U50" s="20">
        <v>6</v>
      </c>
      <c r="X50" s="19">
        <v>0</v>
      </c>
      <c r="Y50" s="19">
        <v>0</v>
      </c>
      <c r="Z50" s="19">
        <v>0</v>
      </c>
      <c r="AA50" s="20">
        <v>0</v>
      </c>
      <c r="AB50" s="20">
        <v>0</v>
      </c>
      <c r="AC50" s="20">
        <v>0</v>
      </c>
      <c r="AE50" s="19">
        <v>0</v>
      </c>
      <c r="AF50" s="19">
        <v>0</v>
      </c>
      <c r="AG50" s="19">
        <v>0</v>
      </c>
      <c r="AH50" s="20">
        <v>0</v>
      </c>
      <c r="AI50" s="20">
        <v>0</v>
      </c>
      <c r="AJ50" s="20">
        <v>0</v>
      </c>
      <c r="AL50" s="19">
        <v>0</v>
      </c>
      <c r="AM50" s="19">
        <v>0</v>
      </c>
      <c r="AN50" s="19">
        <v>0</v>
      </c>
      <c r="AO50" s="20">
        <v>0</v>
      </c>
      <c r="AP50" s="20">
        <v>0</v>
      </c>
      <c r="AQ50" s="20">
        <v>0</v>
      </c>
    </row>
    <row r="51" spans="1:43" x14ac:dyDescent="0.25">
      <c r="A51" s="18" t="s">
        <v>39</v>
      </c>
      <c r="B51" s="19">
        <v>0</v>
      </c>
      <c r="C51" s="19">
        <v>0</v>
      </c>
      <c r="D51" s="19">
        <v>2</v>
      </c>
      <c r="E51" s="20">
        <v>0</v>
      </c>
      <c r="F51" s="20">
        <v>0</v>
      </c>
      <c r="G51" s="20">
        <v>7.407407407407407E-2</v>
      </c>
      <c r="I51" s="19">
        <v>0</v>
      </c>
      <c r="J51" s="19">
        <v>0</v>
      </c>
      <c r="K51" s="19">
        <v>0</v>
      </c>
      <c r="L51" s="20">
        <v>0</v>
      </c>
      <c r="M51" s="20">
        <v>0</v>
      </c>
      <c r="N51" s="20">
        <v>0</v>
      </c>
      <c r="P51" s="19">
        <v>0</v>
      </c>
      <c r="Q51" s="19">
        <v>0</v>
      </c>
      <c r="R51" s="19">
        <v>0</v>
      </c>
      <c r="S51" s="20">
        <v>0</v>
      </c>
      <c r="T51" s="20">
        <v>0</v>
      </c>
      <c r="U51" s="20">
        <v>0</v>
      </c>
      <c r="X51" s="19">
        <v>0</v>
      </c>
      <c r="Y51" s="19">
        <v>0</v>
      </c>
      <c r="Z51" s="19">
        <v>0</v>
      </c>
      <c r="AA51" s="20">
        <v>0</v>
      </c>
      <c r="AB51" s="20">
        <v>0</v>
      </c>
      <c r="AC51" s="20">
        <v>0</v>
      </c>
      <c r="AE51" s="19">
        <v>0</v>
      </c>
      <c r="AF51" s="19">
        <v>0</v>
      </c>
      <c r="AG51" s="19">
        <v>0</v>
      </c>
      <c r="AH51" s="20">
        <v>0</v>
      </c>
      <c r="AI51" s="20">
        <v>0</v>
      </c>
      <c r="AJ51" s="20">
        <v>0</v>
      </c>
      <c r="AL51" s="19">
        <v>0</v>
      </c>
      <c r="AM51" s="19">
        <v>0</v>
      </c>
      <c r="AN51" s="19">
        <v>0</v>
      </c>
      <c r="AO51" s="20">
        <v>0</v>
      </c>
      <c r="AP51" s="20">
        <v>0</v>
      </c>
      <c r="AQ51" s="20">
        <v>0</v>
      </c>
    </row>
    <row r="52" spans="1:43" x14ac:dyDescent="0.25">
      <c r="A52" s="18" t="s">
        <v>43</v>
      </c>
      <c r="B52" s="19">
        <v>3068</v>
      </c>
      <c r="C52" s="19">
        <v>3252</v>
      </c>
      <c r="D52" s="19">
        <v>2224</v>
      </c>
      <c r="E52" s="20">
        <v>1.3619998490612944E-2</v>
      </c>
      <c r="F52" s="20">
        <v>1.4823661334950018E-2</v>
      </c>
      <c r="G52" s="20">
        <v>1.0745259089261988E-2</v>
      </c>
      <c r="I52" s="19">
        <v>536</v>
      </c>
      <c r="J52" s="19">
        <v>518</v>
      </c>
      <c r="K52" s="19">
        <v>401</v>
      </c>
      <c r="L52" s="20">
        <v>1.460251729962404E-2</v>
      </c>
      <c r="M52" s="20">
        <v>1.3799349992008098E-2</v>
      </c>
      <c r="N52" s="20">
        <v>1.089082020640956E-2</v>
      </c>
      <c r="P52" s="19">
        <v>4</v>
      </c>
      <c r="Q52" s="19">
        <v>16</v>
      </c>
      <c r="R52" s="19">
        <v>10</v>
      </c>
      <c r="S52" s="20">
        <v>0</v>
      </c>
      <c r="T52" s="20">
        <v>4.9079754601226995E-2</v>
      </c>
      <c r="U52" s="20">
        <v>3.1847133757961783E-2</v>
      </c>
      <c r="X52" s="19">
        <v>589</v>
      </c>
      <c r="Y52" s="19">
        <v>632</v>
      </c>
      <c r="Z52" s="19">
        <v>495</v>
      </c>
      <c r="AA52" s="20">
        <v>2.5932285475278476E-2</v>
      </c>
      <c r="AB52" s="20">
        <v>2.2090178259349877E-2</v>
      </c>
      <c r="AC52" s="20">
        <v>1.7778895194310754E-2</v>
      </c>
      <c r="AE52" s="19">
        <v>56</v>
      </c>
      <c r="AF52" s="19">
        <v>51</v>
      </c>
      <c r="AG52" s="19">
        <v>49</v>
      </c>
      <c r="AH52" s="20">
        <v>2.084108671380722E-2</v>
      </c>
      <c r="AI52" s="20">
        <v>1.404571743321399E-2</v>
      </c>
      <c r="AJ52" s="20">
        <v>1.2477718360071301E-2</v>
      </c>
      <c r="AL52" s="19">
        <v>0</v>
      </c>
      <c r="AM52" s="19">
        <v>1</v>
      </c>
      <c r="AN52" s="19">
        <v>0</v>
      </c>
      <c r="AO52" s="20">
        <v>0</v>
      </c>
      <c r="AP52" s="20">
        <v>1.4084507042253521E-2</v>
      </c>
      <c r="AQ52" s="20">
        <v>0</v>
      </c>
    </row>
    <row r="53" spans="1:43" x14ac:dyDescent="0.25">
      <c r="A53" s="18" t="s">
        <v>126</v>
      </c>
      <c r="B53" s="19">
        <v>6</v>
      </c>
      <c r="C53" s="19">
        <v>5</v>
      </c>
      <c r="D53" s="19">
        <v>2</v>
      </c>
      <c r="E53" s="20">
        <v>1.4018691588785047E-2</v>
      </c>
      <c r="F53" s="20">
        <v>0.01</v>
      </c>
      <c r="G53" s="20">
        <v>4.9504950495049506E-3</v>
      </c>
      <c r="I53" s="19">
        <v>2</v>
      </c>
      <c r="J53" s="19">
        <v>1</v>
      </c>
      <c r="K53" s="19">
        <v>2</v>
      </c>
      <c r="L53" s="20">
        <v>3.4188034188034188E-3</v>
      </c>
      <c r="M53" s="20">
        <v>1.5384615384615385E-3</v>
      </c>
      <c r="N53" s="20">
        <v>3.5398230088495575E-3</v>
      </c>
      <c r="P53" s="19">
        <v>0</v>
      </c>
      <c r="Q53" s="19">
        <v>0</v>
      </c>
      <c r="R53" s="19">
        <v>0</v>
      </c>
      <c r="S53" s="20">
        <v>0</v>
      </c>
      <c r="T53" s="20">
        <v>0</v>
      </c>
      <c r="U53" s="20">
        <v>0</v>
      </c>
      <c r="X53" s="19">
        <v>0</v>
      </c>
      <c r="Y53" s="19">
        <v>0</v>
      </c>
      <c r="Z53" s="19">
        <v>0</v>
      </c>
      <c r="AA53" s="20">
        <v>0</v>
      </c>
      <c r="AB53" s="20">
        <v>0</v>
      </c>
      <c r="AC53" s="20">
        <v>0</v>
      </c>
      <c r="AE53" s="19">
        <v>0</v>
      </c>
      <c r="AF53" s="19">
        <v>0</v>
      </c>
      <c r="AG53" s="19">
        <v>0</v>
      </c>
      <c r="AH53" s="20">
        <v>0</v>
      </c>
      <c r="AI53" s="20">
        <v>0</v>
      </c>
      <c r="AJ53" s="20">
        <v>0</v>
      </c>
      <c r="AL53" s="19">
        <v>0</v>
      </c>
      <c r="AM53" s="19">
        <v>0</v>
      </c>
      <c r="AN53" s="19">
        <v>0</v>
      </c>
      <c r="AO53" s="20">
        <v>0</v>
      </c>
      <c r="AP53" s="20">
        <v>0</v>
      </c>
      <c r="AQ53" s="20">
        <v>0</v>
      </c>
    </row>
    <row r="54" spans="1:43" x14ac:dyDescent="0.25">
      <c r="A54" s="18" t="s">
        <v>49</v>
      </c>
      <c r="B54" s="19">
        <v>4</v>
      </c>
      <c r="C54" s="19">
        <v>7</v>
      </c>
      <c r="D54" s="19">
        <v>1</v>
      </c>
      <c r="E54" s="20">
        <v>5.0632911392405063E-2</v>
      </c>
      <c r="F54" s="20">
        <v>8.6419753086419748E-2</v>
      </c>
      <c r="G54" s="20">
        <v>1.0526315789473684E-2</v>
      </c>
      <c r="I54" s="19">
        <v>2</v>
      </c>
      <c r="J54" s="19">
        <v>2</v>
      </c>
      <c r="K54" s="19">
        <v>4</v>
      </c>
      <c r="L54" s="20">
        <v>7.462686567164179E-3</v>
      </c>
      <c r="M54" s="20">
        <v>7.462686567164179E-3</v>
      </c>
      <c r="N54" s="20">
        <v>1.3888888888888888E-2</v>
      </c>
      <c r="P54" s="19">
        <v>0</v>
      </c>
      <c r="Q54" s="19">
        <v>0</v>
      </c>
      <c r="R54" s="19">
        <v>0</v>
      </c>
      <c r="S54" s="20">
        <v>0</v>
      </c>
      <c r="T54" s="20">
        <v>0</v>
      </c>
      <c r="U54" s="20">
        <v>0</v>
      </c>
      <c r="X54" s="19">
        <v>0</v>
      </c>
      <c r="Y54" s="19">
        <v>0</v>
      </c>
      <c r="Z54" s="19">
        <v>0</v>
      </c>
      <c r="AA54" s="20">
        <v>0</v>
      </c>
      <c r="AB54" s="20">
        <v>0</v>
      </c>
      <c r="AC54" s="20">
        <v>0</v>
      </c>
      <c r="AE54" s="19">
        <v>0</v>
      </c>
      <c r="AF54" s="19">
        <v>0</v>
      </c>
      <c r="AG54" s="19">
        <v>0</v>
      </c>
      <c r="AH54" s="20">
        <v>0</v>
      </c>
      <c r="AI54" s="20">
        <v>0</v>
      </c>
      <c r="AJ54" s="20">
        <v>0</v>
      </c>
      <c r="AL54" s="19">
        <v>0</v>
      </c>
      <c r="AM54" s="19">
        <v>0</v>
      </c>
      <c r="AN54" s="19">
        <v>0</v>
      </c>
      <c r="AO54" s="20">
        <v>0</v>
      </c>
      <c r="AP54" s="20">
        <v>0</v>
      </c>
      <c r="AQ54" s="20">
        <v>0</v>
      </c>
    </row>
    <row r="55" spans="1:43" x14ac:dyDescent="0.25">
      <c r="A55" s="18" t="s">
        <v>52</v>
      </c>
      <c r="B55" s="19">
        <v>0</v>
      </c>
      <c r="C55" s="19">
        <v>2</v>
      </c>
      <c r="D55" s="19">
        <v>0</v>
      </c>
      <c r="E55" s="20">
        <v>0</v>
      </c>
      <c r="F55" s="20">
        <v>4.2735042735042739E-3</v>
      </c>
      <c r="G55" s="20">
        <v>0</v>
      </c>
      <c r="I55" s="19">
        <v>5</v>
      </c>
      <c r="J55" s="19">
        <v>14</v>
      </c>
      <c r="K55" s="19">
        <v>9</v>
      </c>
      <c r="L55" s="20">
        <v>4.5454545454545456E-2</v>
      </c>
      <c r="M55" s="20">
        <v>0.11864406779661017</v>
      </c>
      <c r="N55" s="20">
        <v>7.1428571428571425E-2</v>
      </c>
      <c r="P55" s="19">
        <v>0</v>
      </c>
      <c r="Q55" s="19">
        <v>0</v>
      </c>
      <c r="R55" s="19">
        <v>0</v>
      </c>
      <c r="S55" s="20">
        <v>0</v>
      </c>
      <c r="T55" s="20">
        <v>0</v>
      </c>
      <c r="U55" s="20">
        <v>0</v>
      </c>
      <c r="X55" s="19">
        <v>1</v>
      </c>
      <c r="Y55" s="19">
        <v>0</v>
      </c>
      <c r="Z55" s="19">
        <v>0</v>
      </c>
      <c r="AA55" s="20">
        <v>1.3157894736842105E-2</v>
      </c>
      <c r="AB55" s="20">
        <v>0</v>
      </c>
      <c r="AC55" s="20">
        <v>0</v>
      </c>
      <c r="AE55" s="19">
        <v>3</v>
      </c>
      <c r="AF55" s="19">
        <v>3</v>
      </c>
      <c r="AG55" s="19">
        <v>3</v>
      </c>
      <c r="AH55" s="20">
        <v>3</v>
      </c>
      <c r="AI55" s="20">
        <v>3</v>
      </c>
      <c r="AJ55" s="20">
        <v>1</v>
      </c>
      <c r="AL55" s="19">
        <v>0</v>
      </c>
      <c r="AM55" s="19">
        <v>0</v>
      </c>
      <c r="AN55" s="19">
        <v>0</v>
      </c>
      <c r="AO55" s="20">
        <v>0</v>
      </c>
      <c r="AP55" s="20">
        <v>0</v>
      </c>
      <c r="AQ55" s="20">
        <v>0</v>
      </c>
    </row>
    <row r="56" spans="1:43" x14ac:dyDescent="0.25">
      <c r="A56" s="18" t="s">
        <v>53</v>
      </c>
      <c r="B56" s="19">
        <v>0</v>
      </c>
      <c r="C56" s="19">
        <v>1</v>
      </c>
      <c r="D56" s="19">
        <v>1</v>
      </c>
      <c r="E56" s="20">
        <v>0</v>
      </c>
      <c r="F56" s="20">
        <v>1.0752688172043012E-2</v>
      </c>
      <c r="G56" s="20">
        <v>1.6666666666666666E-2</v>
      </c>
      <c r="I56" s="19">
        <v>0</v>
      </c>
      <c r="J56" s="19">
        <v>0</v>
      </c>
      <c r="K56" s="19">
        <v>0</v>
      </c>
      <c r="L56" s="20">
        <v>0</v>
      </c>
      <c r="M56" s="20">
        <v>0</v>
      </c>
      <c r="N56" s="20">
        <v>0</v>
      </c>
      <c r="P56" s="19">
        <v>0</v>
      </c>
      <c r="Q56" s="19">
        <v>0</v>
      </c>
      <c r="R56" s="19">
        <v>0</v>
      </c>
      <c r="S56" s="20">
        <v>0</v>
      </c>
      <c r="T56" s="20">
        <v>0</v>
      </c>
      <c r="U56" s="20">
        <v>0</v>
      </c>
      <c r="X56" s="19">
        <v>0</v>
      </c>
      <c r="Y56" s="19">
        <v>0</v>
      </c>
      <c r="Z56" s="19">
        <v>0</v>
      </c>
      <c r="AA56" s="20">
        <v>0</v>
      </c>
      <c r="AB56" s="20">
        <v>0</v>
      </c>
      <c r="AC56" s="20">
        <v>0</v>
      </c>
      <c r="AE56" s="19">
        <v>0</v>
      </c>
      <c r="AF56" s="19">
        <v>0</v>
      </c>
      <c r="AG56" s="19">
        <v>0</v>
      </c>
      <c r="AH56" s="20">
        <v>0</v>
      </c>
      <c r="AI56" s="20">
        <v>0</v>
      </c>
      <c r="AJ56" s="20">
        <v>0</v>
      </c>
      <c r="AL56" s="19">
        <v>0</v>
      </c>
      <c r="AM56" s="19">
        <v>0</v>
      </c>
      <c r="AN56" s="19">
        <v>0</v>
      </c>
      <c r="AO56" s="20">
        <v>0</v>
      </c>
      <c r="AP56" s="20">
        <v>0</v>
      </c>
      <c r="AQ56" s="20">
        <v>0</v>
      </c>
    </row>
    <row r="57" spans="1:43" x14ac:dyDescent="0.25">
      <c r="A57" s="18" t="s">
        <v>55</v>
      </c>
      <c r="B57" s="19">
        <v>6</v>
      </c>
      <c r="C57" s="19">
        <v>4</v>
      </c>
      <c r="D57" s="19">
        <v>4</v>
      </c>
      <c r="E57" s="20">
        <v>4.6511627906976744E-2</v>
      </c>
      <c r="F57" s="20">
        <v>1.9138755980861243E-2</v>
      </c>
      <c r="G57" s="20">
        <v>1.3422818791946308E-2</v>
      </c>
      <c r="I57" s="19">
        <v>0</v>
      </c>
      <c r="J57" s="19">
        <v>1</v>
      </c>
      <c r="K57" s="19">
        <v>0</v>
      </c>
      <c r="L57" s="20">
        <v>0</v>
      </c>
      <c r="M57" s="20">
        <v>1.9230769230769232E-2</v>
      </c>
      <c r="N57" s="20">
        <v>0</v>
      </c>
      <c r="P57" s="19">
        <v>0</v>
      </c>
      <c r="Q57" s="19">
        <v>0</v>
      </c>
      <c r="R57" s="19">
        <v>0</v>
      </c>
      <c r="S57" s="20">
        <v>0</v>
      </c>
      <c r="T57" s="20">
        <v>0</v>
      </c>
      <c r="U57" s="20">
        <v>0</v>
      </c>
      <c r="X57" s="19">
        <v>0</v>
      </c>
      <c r="Y57" s="19">
        <v>0</v>
      </c>
      <c r="Z57" s="19">
        <v>1</v>
      </c>
      <c r="AA57" s="20">
        <v>0</v>
      </c>
      <c r="AB57" s="20">
        <v>0</v>
      </c>
      <c r="AC57" s="20">
        <v>1.8867924528301886E-2</v>
      </c>
      <c r="AE57" s="19">
        <v>0</v>
      </c>
      <c r="AF57" s="19">
        <v>0</v>
      </c>
      <c r="AG57" s="19">
        <v>0</v>
      </c>
      <c r="AH57" s="20">
        <v>0</v>
      </c>
      <c r="AI57" s="20">
        <v>0</v>
      </c>
      <c r="AJ57" s="20">
        <v>0</v>
      </c>
      <c r="AL57" s="19">
        <v>0</v>
      </c>
      <c r="AM57" s="19">
        <v>0</v>
      </c>
      <c r="AN57" s="19">
        <v>0</v>
      </c>
      <c r="AO57" s="20">
        <v>0</v>
      </c>
      <c r="AP57" s="20">
        <v>0</v>
      </c>
      <c r="AQ57" s="20">
        <v>0</v>
      </c>
    </row>
    <row r="58" spans="1:43" x14ac:dyDescent="0.25">
      <c r="A58" s="18" t="s">
        <v>58</v>
      </c>
      <c r="B58" s="19">
        <v>0</v>
      </c>
      <c r="C58" s="19">
        <v>0</v>
      </c>
      <c r="D58" s="19">
        <v>0</v>
      </c>
      <c r="E58" s="20">
        <v>0</v>
      </c>
      <c r="F58" s="20">
        <v>0</v>
      </c>
      <c r="G58" s="20">
        <v>0</v>
      </c>
      <c r="I58" s="19">
        <v>0</v>
      </c>
      <c r="J58" s="19">
        <v>0</v>
      </c>
      <c r="K58" s="19">
        <v>0</v>
      </c>
      <c r="L58" s="20">
        <v>0</v>
      </c>
      <c r="M58" s="20">
        <v>0</v>
      </c>
      <c r="N58" s="20">
        <v>0</v>
      </c>
      <c r="P58" s="19">
        <v>1</v>
      </c>
      <c r="Q58" s="19">
        <v>0</v>
      </c>
      <c r="R58" s="19">
        <v>0</v>
      </c>
      <c r="S58" s="20">
        <v>0</v>
      </c>
      <c r="T58" s="20">
        <v>0</v>
      </c>
      <c r="U58" s="20">
        <v>0</v>
      </c>
      <c r="X58" s="19">
        <v>0</v>
      </c>
      <c r="Y58" s="19">
        <v>0</v>
      </c>
      <c r="Z58" s="19">
        <v>0</v>
      </c>
      <c r="AA58" s="20">
        <v>0</v>
      </c>
      <c r="AB58" s="20">
        <v>0</v>
      </c>
      <c r="AC58" s="20">
        <v>0</v>
      </c>
      <c r="AE58" s="19">
        <v>0</v>
      </c>
      <c r="AF58" s="19">
        <v>0</v>
      </c>
      <c r="AG58" s="19">
        <v>0</v>
      </c>
      <c r="AH58" s="20">
        <v>0</v>
      </c>
      <c r="AI58" s="20">
        <v>0</v>
      </c>
      <c r="AJ58" s="20">
        <v>0</v>
      </c>
      <c r="AL58" s="19">
        <v>0</v>
      </c>
      <c r="AM58" s="19">
        <v>0</v>
      </c>
      <c r="AN58" s="19">
        <v>0</v>
      </c>
      <c r="AO58" s="20">
        <v>0</v>
      </c>
      <c r="AP58" s="20">
        <v>0</v>
      </c>
      <c r="AQ58" s="20">
        <v>0</v>
      </c>
    </row>
    <row r="59" spans="1:43" s="43" customFormat="1" x14ac:dyDescent="0.25">
      <c r="A59" s="29" t="s">
        <v>67</v>
      </c>
      <c r="B59" s="27">
        <v>10118</v>
      </c>
      <c r="C59" s="27">
        <v>13784</v>
      </c>
      <c r="D59" s="27">
        <v>8053</v>
      </c>
      <c r="E59" s="22">
        <v>2.388269672893446E-2</v>
      </c>
      <c r="F59" s="22">
        <v>3.251480197202368E-2</v>
      </c>
      <c r="G59" s="22">
        <v>2.0351790543101923E-2</v>
      </c>
      <c r="I59" s="27">
        <v>1251</v>
      </c>
      <c r="J59" s="27">
        <v>1450</v>
      </c>
      <c r="K59" s="27">
        <v>1033</v>
      </c>
      <c r="L59" s="22">
        <v>1.7769633954063151E-2</v>
      </c>
      <c r="M59" s="22">
        <v>1.9376996164691105E-2</v>
      </c>
      <c r="N59" s="22">
        <v>1.4597818099598666E-2</v>
      </c>
      <c r="P59" s="27">
        <v>26</v>
      </c>
      <c r="Q59" s="27">
        <v>37</v>
      </c>
      <c r="R59" s="27">
        <v>28</v>
      </c>
      <c r="S59" s="22">
        <v>0</v>
      </c>
      <c r="T59" s="22">
        <v>5.0964187327823693E-2</v>
      </c>
      <c r="U59" s="22">
        <v>4.2879019908116385E-2</v>
      </c>
      <c r="X59" s="27">
        <v>3728</v>
      </c>
      <c r="Y59" s="27">
        <v>3466</v>
      </c>
      <c r="Z59" s="27">
        <v>3239</v>
      </c>
      <c r="AA59" s="22">
        <v>2.2113342744949166E-2</v>
      </c>
      <c r="AB59" s="22">
        <v>1.8782650163657252E-2</v>
      </c>
      <c r="AC59" s="22">
        <v>1.8585995375019367E-2</v>
      </c>
      <c r="AE59" s="27">
        <v>116</v>
      </c>
      <c r="AF59" s="27">
        <v>136</v>
      </c>
      <c r="AG59" s="27">
        <v>126</v>
      </c>
      <c r="AH59" s="22">
        <v>1.2441012441012441E-2</v>
      </c>
      <c r="AI59" s="22">
        <v>1.2250045036930283E-2</v>
      </c>
      <c r="AJ59" s="22">
        <v>1.171875E-2</v>
      </c>
      <c r="AL59" s="27">
        <v>3</v>
      </c>
      <c r="AM59" s="27">
        <v>10</v>
      </c>
      <c r="AN59" s="27">
        <v>4</v>
      </c>
      <c r="AO59" s="22">
        <v>0</v>
      </c>
      <c r="AP59" s="22">
        <v>3.4246575342465752E-2</v>
      </c>
      <c r="AQ59" s="22">
        <v>1.4981273408239701E-2</v>
      </c>
    </row>
    <row r="60" spans="1:43" x14ac:dyDescent="0.25">
      <c r="A60" s="18"/>
      <c r="B60" s="19"/>
      <c r="C60" s="19"/>
      <c r="D60" s="19"/>
      <c r="E60" s="19"/>
      <c r="F60" s="19"/>
      <c r="G60" s="19"/>
      <c r="I60" s="19"/>
      <c r="J60" s="19"/>
      <c r="K60" s="19"/>
      <c r="L60" s="19"/>
      <c r="M60" s="19"/>
      <c r="N60" s="19"/>
      <c r="P60" s="19"/>
      <c r="Q60" s="19"/>
      <c r="R60" s="19"/>
      <c r="S60" s="19"/>
      <c r="T60" s="19"/>
      <c r="U60" s="19"/>
      <c r="X60" s="19"/>
      <c r="Y60" s="19"/>
      <c r="Z60" s="19"/>
      <c r="AA60" s="19"/>
      <c r="AB60" s="19"/>
      <c r="AC60" s="19"/>
      <c r="AE60" s="19"/>
      <c r="AF60" s="19"/>
      <c r="AG60" s="19"/>
      <c r="AH60" s="19"/>
      <c r="AI60" s="19"/>
      <c r="AJ60" s="19"/>
      <c r="AL60" s="19"/>
      <c r="AM60" s="19"/>
      <c r="AN60" s="19"/>
      <c r="AO60" s="19"/>
      <c r="AP60" s="19"/>
      <c r="AQ60" s="19"/>
    </row>
    <row r="61" spans="1:43" x14ac:dyDescent="0.25">
      <c r="A61" s="28" t="s">
        <v>68</v>
      </c>
      <c r="B61" s="25" t="s">
        <v>12</v>
      </c>
      <c r="C61" s="25" t="s">
        <v>164</v>
      </c>
      <c r="D61" s="25" t="s">
        <v>195</v>
      </c>
      <c r="E61" s="25" t="s">
        <v>12</v>
      </c>
      <c r="F61" s="25" t="s">
        <v>164</v>
      </c>
      <c r="G61" s="25" t="s">
        <v>195</v>
      </c>
      <c r="I61" s="25" t="s">
        <v>12</v>
      </c>
      <c r="J61" s="25" t="s">
        <v>164</v>
      </c>
      <c r="K61" s="25" t="s">
        <v>195</v>
      </c>
      <c r="L61" s="25" t="s">
        <v>12</v>
      </c>
      <c r="M61" s="25" t="s">
        <v>164</v>
      </c>
      <c r="N61" s="25" t="s">
        <v>195</v>
      </c>
      <c r="P61" s="25" t="s">
        <v>12</v>
      </c>
      <c r="Q61" s="25" t="s">
        <v>164</v>
      </c>
      <c r="R61" s="25" t="s">
        <v>195</v>
      </c>
      <c r="S61" s="25" t="s">
        <v>12</v>
      </c>
      <c r="T61" s="25" t="s">
        <v>164</v>
      </c>
      <c r="U61" s="25" t="s">
        <v>195</v>
      </c>
      <c r="X61" s="25" t="s">
        <v>12</v>
      </c>
      <c r="Y61" s="25" t="s">
        <v>164</v>
      </c>
      <c r="Z61" s="25" t="s">
        <v>195</v>
      </c>
      <c r="AA61" s="25" t="s">
        <v>12</v>
      </c>
      <c r="AB61" s="25" t="s">
        <v>164</v>
      </c>
      <c r="AC61" s="25" t="s">
        <v>195</v>
      </c>
      <c r="AE61" s="25" t="s">
        <v>12</v>
      </c>
      <c r="AF61" s="25" t="s">
        <v>164</v>
      </c>
      <c r="AG61" s="25" t="s">
        <v>195</v>
      </c>
      <c r="AH61" s="25" t="s">
        <v>12</v>
      </c>
      <c r="AI61" s="25" t="s">
        <v>164</v>
      </c>
      <c r="AJ61" s="25" t="s">
        <v>195</v>
      </c>
      <c r="AL61" s="25" t="s">
        <v>12</v>
      </c>
      <c r="AM61" s="25" t="s">
        <v>164</v>
      </c>
      <c r="AN61" s="25" t="s">
        <v>195</v>
      </c>
      <c r="AO61" s="25" t="s">
        <v>12</v>
      </c>
      <c r="AP61" s="25" t="s">
        <v>164</v>
      </c>
      <c r="AQ61" s="25" t="s">
        <v>195</v>
      </c>
    </row>
    <row r="62" spans="1:43" x14ac:dyDescent="0.25">
      <c r="A62" s="18" t="s">
        <v>19</v>
      </c>
      <c r="B62" s="19">
        <v>1740</v>
      </c>
      <c r="C62" s="19">
        <v>1259</v>
      </c>
      <c r="D62" s="19">
        <v>852</v>
      </c>
      <c r="E62" s="20">
        <v>3.619118931735929E-2</v>
      </c>
      <c r="F62" s="20">
        <v>2.686554424599364E-2</v>
      </c>
      <c r="G62" s="20">
        <v>1.892870631623381E-2</v>
      </c>
      <c r="I62" s="19">
        <v>117</v>
      </c>
      <c r="J62" s="19">
        <v>88</v>
      </c>
      <c r="K62" s="19">
        <v>74</v>
      </c>
      <c r="L62" s="20">
        <v>2.0900321543408359E-2</v>
      </c>
      <c r="M62" s="20">
        <v>1.5985467756584923E-2</v>
      </c>
      <c r="N62" s="20">
        <v>1.4119442854417096E-2</v>
      </c>
      <c r="P62" s="19">
        <v>0</v>
      </c>
      <c r="Q62" s="19">
        <v>4</v>
      </c>
      <c r="R62" s="19">
        <v>0</v>
      </c>
      <c r="S62" s="20">
        <v>0</v>
      </c>
      <c r="T62" s="20">
        <v>0.08</v>
      </c>
      <c r="U62" s="20">
        <v>0</v>
      </c>
      <c r="X62" s="19">
        <v>290</v>
      </c>
      <c r="Y62" s="19">
        <v>338</v>
      </c>
      <c r="Z62" s="19">
        <v>296</v>
      </c>
      <c r="AA62" s="20">
        <v>2.2681057406538401E-2</v>
      </c>
      <c r="AB62" s="20">
        <v>2.6138736369963653E-2</v>
      </c>
      <c r="AC62" s="20">
        <v>2.4485069071056333E-2</v>
      </c>
      <c r="AE62" s="19">
        <v>14</v>
      </c>
      <c r="AF62" s="19">
        <v>14</v>
      </c>
      <c r="AG62" s="19">
        <v>19</v>
      </c>
      <c r="AH62" s="20">
        <v>1.0678871090770405E-2</v>
      </c>
      <c r="AI62" s="20">
        <v>1.0920436817472699E-2</v>
      </c>
      <c r="AJ62" s="20">
        <v>1.5754560530679935E-2</v>
      </c>
      <c r="AL62" s="19">
        <v>3</v>
      </c>
      <c r="AM62" s="19">
        <v>3</v>
      </c>
      <c r="AN62" s="19">
        <v>2</v>
      </c>
      <c r="AO62" s="20">
        <v>0</v>
      </c>
      <c r="AP62" s="20">
        <v>1.9867549668874173E-2</v>
      </c>
      <c r="AQ62" s="20">
        <v>1.2195121951219513E-2</v>
      </c>
    </row>
    <row r="63" spans="1:43" x14ac:dyDescent="0.25">
      <c r="A63" s="18" t="s">
        <v>20</v>
      </c>
      <c r="B63" s="19">
        <v>5</v>
      </c>
      <c r="C63" s="19">
        <v>2</v>
      </c>
      <c r="D63" s="19">
        <v>0</v>
      </c>
      <c r="E63" s="20">
        <v>0.45454545454545453</v>
      </c>
      <c r="F63" s="20">
        <v>2.564102564102564E-2</v>
      </c>
      <c r="G63" s="20">
        <v>0</v>
      </c>
      <c r="I63" s="19">
        <v>1</v>
      </c>
      <c r="J63" s="19">
        <v>0</v>
      </c>
      <c r="K63" s="19">
        <v>1</v>
      </c>
      <c r="L63" s="20">
        <v>7.8125E-3</v>
      </c>
      <c r="M63" s="20">
        <v>0</v>
      </c>
      <c r="N63" s="20">
        <v>4.329004329004329E-3</v>
      </c>
      <c r="P63" s="19">
        <v>0</v>
      </c>
      <c r="Q63" s="19">
        <v>0</v>
      </c>
      <c r="R63" s="19">
        <v>0</v>
      </c>
      <c r="S63" s="20">
        <v>0</v>
      </c>
      <c r="T63" s="20">
        <v>0</v>
      </c>
      <c r="U63" s="20">
        <v>0</v>
      </c>
      <c r="X63" s="19">
        <v>0</v>
      </c>
      <c r="Y63" s="19">
        <v>0</v>
      </c>
      <c r="Z63" s="19">
        <v>0</v>
      </c>
      <c r="AA63" s="20">
        <v>0</v>
      </c>
      <c r="AB63" s="20">
        <v>0</v>
      </c>
      <c r="AC63" s="20">
        <v>0</v>
      </c>
      <c r="AE63" s="19">
        <v>0</v>
      </c>
      <c r="AF63" s="19">
        <v>0</v>
      </c>
      <c r="AG63" s="19">
        <v>0</v>
      </c>
      <c r="AH63" s="20">
        <v>0</v>
      </c>
      <c r="AI63" s="20">
        <v>0</v>
      </c>
      <c r="AJ63" s="20">
        <v>0</v>
      </c>
      <c r="AL63" s="19">
        <v>0</v>
      </c>
      <c r="AM63" s="19">
        <v>0</v>
      </c>
      <c r="AN63" s="19">
        <v>0</v>
      </c>
      <c r="AO63" s="20">
        <v>0</v>
      </c>
      <c r="AP63" s="20">
        <v>0</v>
      </c>
      <c r="AQ63" s="20">
        <v>0</v>
      </c>
    </row>
    <row r="64" spans="1:43" x14ac:dyDescent="0.25">
      <c r="A64" s="18" t="s">
        <v>21</v>
      </c>
      <c r="B64" s="19">
        <v>1</v>
      </c>
      <c r="C64" s="19">
        <v>1</v>
      </c>
      <c r="D64" s="19">
        <v>1</v>
      </c>
      <c r="E64" s="20">
        <v>1.5082956259426848E-3</v>
      </c>
      <c r="F64" s="20">
        <v>1.0070493454179255E-3</v>
      </c>
      <c r="G64" s="20">
        <v>1.1198208286674132E-3</v>
      </c>
      <c r="I64" s="19">
        <v>0</v>
      </c>
      <c r="J64" s="19">
        <v>0</v>
      </c>
      <c r="K64" s="19">
        <v>0</v>
      </c>
      <c r="L64" s="20">
        <v>0</v>
      </c>
      <c r="M64" s="20">
        <v>0</v>
      </c>
      <c r="N64" s="20">
        <v>0</v>
      </c>
      <c r="P64" s="19">
        <v>0</v>
      </c>
      <c r="Q64" s="19">
        <v>0</v>
      </c>
      <c r="R64" s="19">
        <v>0</v>
      </c>
      <c r="S64" s="20">
        <v>0</v>
      </c>
      <c r="T64" s="20">
        <v>0</v>
      </c>
      <c r="U64" s="20">
        <v>0</v>
      </c>
      <c r="X64" s="19">
        <v>0</v>
      </c>
      <c r="Y64" s="19">
        <v>0</v>
      </c>
      <c r="Z64" s="19">
        <v>0</v>
      </c>
      <c r="AA64" s="20">
        <v>0</v>
      </c>
      <c r="AB64" s="20">
        <v>0</v>
      </c>
      <c r="AC64" s="20">
        <v>0</v>
      </c>
      <c r="AE64" s="19">
        <v>0</v>
      </c>
      <c r="AF64" s="19">
        <v>0</v>
      </c>
      <c r="AG64" s="19">
        <v>0</v>
      </c>
      <c r="AH64" s="20">
        <v>0</v>
      </c>
      <c r="AI64" s="20">
        <v>0</v>
      </c>
      <c r="AJ64" s="20">
        <v>0</v>
      </c>
      <c r="AL64" s="19">
        <v>0</v>
      </c>
      <c r="AM64" s="19">
        <v>0</v>
      </c>
      <c r="AN64" s="19">
        <v>0</v>
      </c>
      <c r="AO64" s="20">
        <v>0</v>
      </c>
      <c r="AP64" s="20">
        <v>0</v>
      </c>
      <c r="AQ64" s="20">
        <v>0</v>
      </c>
    </row>
    <row r="65" spans="1:43" x14ac:dyDescent="0.25">
      <c r="A65" s="18" t="s">
        <v>28</v>
      </c>
      <c r="B65" s="19">
        <v>25</v>
      </c>
      <c r="C65" s="19">
        <v>0</v>
      </c>
      <c r="D65" s="19">
        <v>0</v>
      </c>
      <c r="E65" s="20">
        <v>7.418397626112759E-2</v>
      </c>
      <c r="F65" s="20">
        <v>0</v>
      </c>
      <c r="G65" s="20">
        <v>0</v>
      </c>
      <c r="I65" s="19">
        <v>0</v>
      </c>
      <c r="J65" s="19">
        <v>0</v>
      </c>
      <c r="K65" s="19">
        <v>0</v>
      </c>
      <c r="L65" s="20">
        <v>0</v>
      </c>
      <c r="M65" s="20">
        <v>0</v>
      </c>
      <c r="N65" s="20">
        <v>0</v>
      </c>
      <c r="P65" s="19">
        <v>0</v>
      </c>
      <c r="Q65" s="19">
        <v>0</v>
      </c>
      <c r="R65" s="19">
        <v>0</v>
      </c>
      <c r="S65" s="20">
        <v>0</v>
      </c>
      <c r="T65" s="20">
        <v>0</v>
      </c>
      <c r="U65" s="20">
        <v>0</v>
      </c>
      <c r="X65" s="19">
        <v>0</v>
      </c>
      <c r="Y65" s="19">
        <v>0</v>
      </c>
      <c r="Z65" s="19">
        <v>0</v>
      </c>
      <c r="AA65" s="20">
        <v>0</v>
      </c>
      <c r="AB65" s="20">
        <v>0</v>
      </c>
      <c r="AC65" s="20">
        <v>0</v>
      </c>
      <c r="AE65" s="19">
        <v>0</v>
      </c>
      <c r="AF65" s="19">
        <v>0</v>
      </c>
      <c r="AG65" s="19">
        <v>0</v>
      </c>
      <c r="AH65" s="20">
        <v>0</v>
      </c>
      <c r="AI65" s="20">
        <v>0</v>
      </c>
      <c r="AJ65" s="20">
        <v>0</v>
      </c>
      <c r="AL65" s="19">
        <v>0</v>
      </c>
      <c r="AM65" s="19">
        <v>0</v>
      </c>
      <c r="AN65" s="19">
        <v>0</v>
      </c>
      <c r="AO65" s="20">
        <v>0</v>
      </c>
      <c r="AP65" s="20">
        <v>0</v>
      </c>
      <c r="AQ65" s="20">
        <v>0</v>
      </c>
    </row>
    <row r="66" spans="1:43" x14ac:dyDescent="0.25">
      <c r="A66" s="18" t="s">
        <v>29</v>
      </c>
      <c r="B66" s="19">
        <v>0</v>
      </c>
      <c r="C66" s="19">
        <v>0</v>
      </c>
      <c r="D66" s="19">
        <v>1</v>
      </c>
      <c r="E66" s="20">
        <v>0</v>
      </c>
      <c r="F66" s="20">
        <v>0</v>
      </c>
      <c r="G66" s="20">
        <v>4.7619047619047616E-2</v>
      </c>
      <c r="I66" s="19">
        <v>0</v>
      </c>
      <c r="J66" s="19">
        <v>0</v>
      </c>
      <c r="K66" s="19">
        <v>0</v>
      </c>
      <c r="L66" s="20">
        <v>0</v>
      </c>
      <c r="M66" s="20">
        <v>0</v>
      </c>
      <c r="N66" s="20">
        <v>0</v>
      </c>
      <c r="P66" s="19">
        <v>0</v>
      </c>
      <c r="Q66" s="19">
        <v>0</v>
      </c>
      <c r="R66" s="19">
        <v>0</v>
      </c>
      <c r="S66" s="20">
        <v>0</v>
      </c>
      <c r="T66" s="20">
        <v>0</v>
      </c>
      <c r="U66" s="20">
        <v>0</v>
      </c>
      <c r="X66" s="19">
        <v>0</v>
      </c>
      <c r="Y66" s="19">
        <v>0</v>
      </c>
      <c r="Z66" s="19">
        <v>0</v>
      </c>
      <c r="AA66" s="20">
        <v>0</v>
      </c>
      <c r="AB66" s="20">
        <v>0</v>
      </c>
      <c r="AC66" s="20">
        <v>0</v>
      </c>
      <c r="AE66" s="19">
        <v>0</v>
      </c>
      <c r="AF66" s="19">
        <v>0</v>
      </c>
      <c r="AG66" s="19">
        <v>0</v>
      </c>
      <c r="AH66" s="20">
        <v>0</v>
      </c>
      <c r="AI66" s="20">
        <v>0</v>
      </c>
      <c r="AJ66" s="20">
        <v>0</v>
      </c>
      <c r="AL66" s="19">
        <v>0</v>
      </c>
      <c r="AM66" s="19">
        <v>0</v>
      </c>
      <c r="AN66" s="19">
        <v>0</v>
      </c>
      <c r="AO66" s="20">
        <v>0</v>
      </c>
      <c r="AP66" s="20">
        <v>0</v>
      </c>
      <c r="AQ66" s="20">
        <v>0</v>
      </c>
    </row>
    <row r="67" spans="1:43" x14ac:dyDescent="0.25">
      <c r="A67" s="18" t="s">
        <v>30</v>
      </c>
      <c r="B67" s="19">
        <v>31</v>
      </c>
      <c r="C67" s="19">
        <v>34</v>
      </c>
      <c r="D67" s="19">
        <v>89</v>
      </c>
      <c r="E67" s="20">
        <v>1.9242706393544383E-2</v>
      </c>
      <c r="F67" s="20">
        <v>2.1356783919597989E-2</v>
      </c>
      <c r="G67" s="20">
        <v>6.5441176470588239E-2</v>
      </c>
      <c r="I67" s="19">
        <v>7</v>
      </c>
      <c r="J67" s="19">
        <v>8</v>
      </c>
      <c r="K67" s="19">
        <v>8</v>
      </c>
      <c r="L67" s="20">
        <v>8.3234244946492272E-3</v>
      </c>
      <c r="M67" s="20">
        <v>9.6038415366146452E-3</v>
      </c>
      <c r="N67" s="20">
        <v>1.5355086372360844E-2</v>
      </c>
      <c r="P67" s="19">
        <v>0</v>
      </c>
      <c r="Q67" s="19">
        <v>1</v>
      </c>
      <c r="R67" s="19">
        <v>0</v>
      </c>
      <c r="S67" s="20">
        <v>0</v>
      </c>
      <c r="T67" s="20">
        <v>3.8461538461538464E-2</v>
      </c>
      <c r="U67" s="20">
        <v>0</v>
      </c>
      <c r="X67" s="19">
        <v>0</v>
      </c>
      <c r="Y67" s="19">
        <v>0</v>
      </c>
      <c r="Z67" s="19">
        <v>0</v>
      </c>
      <c r="AA67" s="20">
        <v>0</v>
      </c>
      <c r="AB67" s="20">
        <v>0</v>
      </c>
      <c r="AC67" s="20">
        <v>0</v>
      </c>
      <c r="AE67" s="19">
        <v>0</v>
      </c>
      <c r="AF67" s="19">
        <v>0</v>
      </c>
      <c r="AG67" s="19">
        <v>0</v>
      </c>
      <c r="AH67" s="20">
        <v>0</v>
      </c>
      <c r="AI67" s="20">
        <v>0</v>
      </c>
      <c r="AJ67" s="20">
        <v>0</v>
      </c>
      <c r="AL67" s="19">
        <v>0</v>
      </c>
      <c r="AM67" s="19">
        <v>0</v>
      </c>
      <c r="AN67" s="19">
        <v>0</v>
      </c>
      <c r="AO67" s="20">
        <v>0</v>
      </c>
      <c r="AP67" s="20">
        <v>0</v>
      </c>
      <c r="AQ67" s="20">
        <v>0</v>
      </c>
    </row>
    <row r="68" spans="1:43" x14ac:dyDescent="0.25">
      <c r="A68" s="18" t="s">
        <v>80</v>
      </c>
      <c r="B68" s="19">
        <v>0</v>
      </c>
      <c r="C68" s="19">
        <v>0</v>
      </c>
      <c r="D68" s="19">
        <v>0</v>
      </c>
      <c r="E68" s="20">
        <v>0</v>
      </c>
      <c r="F68" s="20">
        <v>0</v>
      </c>
      <c r="G68" s="20">
        <v>0</v>
      </c>
      <c r="I68" s="19">
        <v>0</v>
      </c>
      <c r="J68" s="19">
        <v>1</v>
      </c>
      <c r="K68" s="19">
        <v>0</v>
      </c>
      <c r="L68" s="20">
        <v>0</v>
      </c>
      <c r="M68" s="20">
        <v>9.0909090909090912E-2</v>
      </c>
      <c r="N68" s="20">
        <v>0</v>
      </c>
      <c r="P68" s="19">
        <v>1</v>
      </c>
      <c r="Q68" s="19">
        <v>2</v>
      </c>
      <c r="R68" s="19">
        <v>3</v>
      </c>
      <c r="S68" s="20">
        <v>0</v>
      </c>
      <c r="T68" s="20">
        <v>2</v>
      </c>
      <c r="U68" s="20">
        <v>3</v>
      </c>
      <c r="X68" s="19">
        <v>0</v>
      </c>
      <c r="Y68" s="19">
        <v>0</v>
      </c>
      <c r="Z68" s="19">
        <v>0</v>
      </c>
      <c r="AA68" s="20">
        <v>0</v>
      </c>
      <c r="AB68" s="20">
        <v>0</v>
      </c>
      <c r="AC68" s="20">
        <v>0</v>
      </c>
      <c r="AE68" s="19">
        <v>0</v>
      </c>
      <c r="AF68" s="19">
        <v>0</v>
      </c>
      <c r="AG68" s="19">
        <v>0</v>
      </c>
      <c r="AH68" s="20">
        <v>0</v>
      </c>
      <c r="AI68" s="20">
        <v>0</v>
      </c>
      <c r="AJ68" s="20">
        <v>0</v>
      </c>
      <c r="AL68" s="19">
        <v>0</v>
      </c>
      <c r="AM68" s="19">
        <v>0</v>
      </c>
      <c r="AN68" s="19">
        <v>0</v>
      </c>
      <c r="AO68" s="20">
        <v>0</v>
      </c>
      <c r="AP68" s="20">
        <v>0</v>
      </c>
      <c r="AQ68" s="20">
        <v>0</v>
      </c>
    </row>
    <row r="69" spans="1:43" x14ac:dyDescent="0.25">
      <c r="A69" s="18" t="s">
        <v>43</v>
      </c>
      <c r="B69" s="19">
        <v>3449</v>
      </c>
      <c r="C69" s="19">
        <v>2931</v>
      </c>
      <c r="D69" s="19">
        <v>1799</v>
      </c>
      <c r="E69" s="20">
        <v>2.731751362311494E-2</v>
      </c>
      <c r="F69" s="20">
        <v>2.3775917453518935E-2</v>
      </c>
      <c r="G69" s="20">
        <v>1.5509690323470585E-2</v>
      </c>
      <c r="I69" s="19">
        <v>275</v>
      </c>
      <c r="J69" s="19">
        <v>266</v>
      </c>
      <c r="K69" s="19">
        <v>203</v>
      </c>
      <c r="L69" s="20">
        <v>1.5794612601229108E-2</v>
      </c>
      <c r="M69" s="20">
        <v>1.5434606011372868E-2</v>
      </c>
      <c r="N69" s="20">
        <v>1.2138244439129395E-2</v>
      </c>
      <c r="P69" s="19">
        <v>3</v>
      </c>
      <c r="Q69" s="19">
        <v>4</v>
      </c>
      <c r="R69" s="19">
        <v>1</v>
      </c>
      <c r="S69" s="20">
        <v>0</v>
      </c>
      <c r="T69" s="20">
        <v>1.3289036544850499E-2</v>
      </c>
      <c r="U69" s="20">
        <v>3.5460992907801418E-3</v>
      </c>
      <c r="X69" s="19">
        <v>524</v>
      </c>
      <c r="Y69" s="19">
        <v>450</v>
      </c>
      <c r="Z69" s="19">
        <v>281</v>
      </c>
      <c r="AA69" s="20">
        <v>2.2065016001347481E-2</v>
      </c>
      <c r="AB69" s="20">
        <v>1.7561660942866063E-2</v>
      </c>
      <c r="AC69" s="20">
        <v>1.1275630993940853E-2</v>
      </c>
      <c r="AE69" s="19">
        <v>68</v>
      </c>
      <c r="AF69" s="19">
        <v>68</v>
      </c>
      <c r="AG69" s="19">
        <v>52</v>
      </c>
      <c r="AH69" s="20">
        <v>1.837341259119157E-2</v>
      </c>
      <c r="AI69" s="20">
        <v>1.6748768472906402E-2</v>
      </c>
      <c r="AJ69" s="20">
        <v>1.2842677204247963E-2</v>
      </c>
      <c r="AL69" s="19">
        <v>2</v>
      </c>
      <c r="AM69" s="19">
        <v>1</v>
      </c>
      <c r="AN69" s="19">
        <v>6</v>
      </c>
      <c r="AO69" s="20">
        <v>0</v>
      </c>
      <c r="AP69" s="20">
        <v>7.246376811594203E-3</v>
      </c>
      <c r="AQ69" s="20">
        <v>4.9586776859504134E-2</v>
      </c>
    </row>
    <row r="70" spans="1:43" x14ac:dyDescent="0.25">
      <c r="A70" s="18" t="s">
        <v>87</v>
      </c>
      <c r="B70" s="19">
        <v>0</v>
      </c>
      <c r="C70" s="19">
        <v>0</v>
      </c>
      <c r="D70" s="19">
        <v>0</v>
      </c>
      <c r="E70" s="20">
        <v>0</v>
      </c>
      <c r="F70" s="20">
        <v>0</v>
      </c>
      <c r="G70" s="20">
        <v>0</v>
      </c>
      <c r="I70" s="19">
        <v>0</v>
      </c>
      <c r="J70" s="19">
        <v>0</v>
      </c>
      <c r="K70" s="19">
        <v>0</v>
      </c>
      <c r="L70" s="20">
        <v>0</v>
      </c>
      <c r="M70" s="20">
        <v>0</v>
      </c>
      <c r="N70" s="20">
        <v>0</v>
      </c>
      <c r="P70" s="19">
        <v>0</v>
      </c>
      <c r="Q70" s="19">
        <v>0</v>
      </c>
      <c r="R70" s="19">
        <v>18</v>
      </c>
      <c r="S70" s="20">
        <v>0</v>
      </c>
      <c r="T70" s="20">
        <v>0</v>
      </c>
      <c r="U70" s="20">
        <v>0</v>
      </c>
      <c r="X70" s="19">
        <v>0</v>
      </c>
      <c r="Y70" s="19">
        <v>0</v>
      </c>
      <c r="Z70" s="19">
        <v>0</v>
      </c>
      <c r="AA70" s="20">
        <v>0</v>
      </c>
      <c r="AB70" s="20">
        <v>0</v>
      </c>
      <c r="AC70" s="20">
        <v>0</v>
      </c>
      <c r="AE70" s="19">
        <v>0</v>
      </c>
      <c r="AF70" s="19">
        <v>0</v>
      </c>
      <c r="AG70" s="19">
        <v>0</v>
      </c>
      <c r="AH70" s="20">
        <v>0</v>
      </c>
      <c r="AI70" s="20">
        <v>0</v>
      </c>
      <c r="AJ70" s="20">
        <v>0</v>
      </c>
      <c r="AL70" s="19">
        <v>0</v>
      </c>
      <c r="AM70" s="19">
        <v>0</v>
      </c>
      <c r="AN70" s="19">
        <v>0</v>
      </c>
      <c r="AO70" s="20">
        <v>0</v>
      </c>
      <c r="AP70" s="20">
        <v>0</v>
      </c>
      <c r="AQ70" s="20">
        <v>0</v>
      </c>
    </row>
    <row r="71" spans="1:43" x14ac:dyDescent="0.25">
      <c r="A71" s="18" t="s">
        <v>126</v>
      </c>
      <c r="B71" s="19">
        <v>4</v>
      </c>
      <c r="C71" s="19">
        <v>6</v>
      </c>
      <c r="D71" s="19">
        <v>5</v>
      </c>
      <c r="E71" s="20">
        <v>1.4492753623188406E-2</v>
      </c>
      <c r="F71" s="20">
        <v>2.1660649819494584E-2</v>
      </c>
      <c r="G71" s="20">
        <v>2.1551724137931036E-2</v>
      </c>
      <c r="I71" s="19">
        <v>0</v>
      </c>
      <c r="J71" s="19">
        <v>2</v>
      </c>
      <c r="K71" s="19">
        <v>1</v>
      </c>
      <c r="L71" s="20">
        <v>0</v>
      </c>
      <c r="M71" s="20">
        <v>1.8231540565177757E-3</v>
      </c>
      <c r="N71" s="20">
        <v>9.4339622641509435E-4</v>
      </c>
      <c r="P71" s="19">
        <v>0</v>
      </c>
      <c r="Q71" s="19">
        <v>0</v>
      </c>
      <c r="R71" s="19">
        <v>0</v>
      </c>
      <c r="S71" s="20">
        <v>0</v>
      </c>
      <c r="T71" s="20">
        <v>0</v>
      </c>
      <c r="U71" s="20">
        <v>0</v>
      </c>
      <c r="X71" s="19">
        <v>0</v>
      </c>
      <c r="Y71" s="19">
        <v>0</v>
      </c>
      <c r="Z71" s="19">
        <v>0</v>
      </c>
      <c r="AA71" s="20">
        <v>0</v>
      </c>
      <c r="AB71" s="20">
        <v>0</v>
      </c>
      <c r="AC71" s="20">
        <v>0</v>
      </c>
      <c r="AE71" s="19">
        <v>0</v>
      </c>
      <c r="AF71" s="19">
        <v>0</v>
      </c>
      <c r="AG71" s="19">
        <v>0</v>
      </c>
      <c r="AH71" s="20">
        <v>0</v>
      </c>
      <c r="AI71" s="20">
        <v>0</v>
      </c>
      <c r="AJ71" s="20">
        <v>0</v>
      </c>
      <c r="AL71" s="19">
        <v>0</v>
      </c>
      <c r="AM71" s="19">
        <v>0</v>
      </c>
      <c r="AN71" s="19">
        <v>0</v>
      </c>
      <c r="AO71" s="20">
        <v>0</v>
      </c>
      <c r="AP71" s="20">
        <v>0</v>
      </c>
      <c r="AQ71" s="20">
        <v>0</v>
      </c>
    </row>
    <row r="72" spans="1:43" x14ac:dyDescent="0.25">
      <c r="A72" s="18" t="s">
        <v>49</v>
      </c>
      <c r="B72" s="19">
        <v>9</v>
      </c>
      <c r="C72" s="19">
        <v>6</v>
      </c>
      <c r="D72" s="19">
        <v>51</v>
      </c>
      <c r="E72" s="20">
        <v>3.1358885017421602E-2</v>
      </c>
      <c r="F72" s="20">
        <v>2.3622047244094488E-2</v>
      </c>
      <c r="G72" s="20">
        <v>0.22666666666666666</v>
      </c>
      <c r="I72" s="19">
        <v>22</v>
      </c>
      <c r="J72" s="19">
        <v>9</v>
      </c>
      <c r="K72" s="19">
        <v>6</v>
      </c>
      <c r="L72" s="20">
        <v>2.1547502448579822E-2</v>
      </c>
      <c r="M72" s="20">
        <v>9.5440084835630972E-3</v>
      </c>
      <c r="N72" s="20">
        <v>3.7499999999999999E-3</v>
      </c>
      <c r="P72" s="19">
        <v>0</v>
      </c>
      <c r="Q72" s="19">
        <v>0</v>
      </c>
      <c r="R72" s="19">
        <v>0</v>
      </c>
      <c r="S72" s="20">
        <v>0</v>
      </c>
      <c r="T72" s="20">
        <v>0</v>
      </c>
      <c r="U72" s="20">
        <v>0</v>
      </c>
      <c r="X72" s="19">
        <v>0</v>
      </c>
      <c r="Y72" s="19">
        <v>0</v>
      </c>
      <c r="Z72" s="19">
        <v>0</v>
      </c>
      <c r="AA72" s="20">
        <v>0</v>
      </c>
      <c r="AB72" s="20">
        <v>0</v>
      </c>
      <c r="AC72" s="20">
        <v>0</v>
      </c>
      <c r="AE72" s="19">
        <v>0</v>
      </c>
      <c r="AF72" s="19">
        <v>0</v>
      </c>
      <c r="AG72" s="19">
        <v>0</v>
      </c>
      <c r="AH72" s="20">
        <v>0</v>
      </c>
      <c r="AI72" s="20">
        <v>0</v>
      </c>
      <c r="AJ72" s="20">
        <v>0</v>
      </c>
      <c r="AL72" s="19">
        <v>0</v>
      </c>
      <c r="AM72" s="19">
        <v>0</v>
      </c>
      <c r="AN72" s="19">
        <v>0</v>
      </c>
      <c r="AO72" s="20">
        <v>0</v>
      </c>
      <c r="AP72" s="20">
        <v>0</v>
      </c>
      <c r="AQ72" s="20">
        <v>0</v>
      </c>
    </row>
    <row r="73" spans="1:43" x14ac:dyDescent="0.25">
      <c r="A73" s="18" t="s">
        <v>52</v>
      </c>
      <c r="B73" s="19">
        <v>1</v>
      </c>
      <c r="C73" s="19">
        <v>0</v>
      </c>
      <c r="D73" s="19">
        <v>0</v>
      </c>
      <c r="E73" s="20">
        <v>4.1666666666666666E-3</v>
      </c>
      <c r="F73" s="20">
        <v>0</v>
      </c>
      <c r="G73" s="20">
        <v>0</v>
      </c>
      <c r="I73" s="19">
        <v>2</v>
      </c>
      <c r="J73" s="19">
        <v>3</v>
      </c>
      <c r="K73" s="19">
        <v>12</v>
      </c>
      <c r="L73" s="20">
        <v>0.08</v>
      </c>
      <c r="M73" s="20">
        <v>0.13043478260869565</v>
      </c>
      <c r="N73" s="20">
        <v>0.375</v>
      </c>
      <c r="P73" s="19">
        <v>0</v>
      </c>
      <c r="Q73" s="19">
        <v>0</v>
      </c>
      <c r="R73" s="19">
        <v>0</v>
      </c>
      <c r="S73" s="20">
        <v>0</v>
      </c>
      <c r="T73" s="20">
        <v>0</v>
      </c>
      <c r="U73" s="20">
        <v>0</v>
      </c>
      <c r="X73" s="19">
        <v>0</v>
      </c>
      <c r="Y73" s="19">
        <v>0</v>
      </c>
      <c r="Z73" s="19">
        <v>0</v>
      </c>
      <c r="AA73" s="20">
        <v>0</v>
      </c>
      <c r="AB73" s="20">
        <v>0</v>
      </c>
      <c r="AC73" s="20">
        <v>0</v>
      </c>
      <c r="AE73" s="19">
        <v>0</v>
      </c>
      <c r="AF73" s="19">
        <v>0</v>
      </c>
      <c r="AG73" s="19">
        <v>0</v>
      </c>
      <c r="AH73" s="20">
        <v>0</v>
      </c>
      <c r="AI73" s="20">
        <v>0</v>
      </c>
      <c r="AJ73" s="20">
        <v>0</v>
      </c>
      <c r="AL73" s="19">
        <v>0</v>
      </c>
      <c r="AM73" s="19">
        <v>0</v>
      </c>
      <c r="AN73" s="19">
        <v>0</v>
      </c>
      <c r="AO73" s="20">
        <v>0</v>
      </c>
      <c r="AP73" s="20">
        <v>0</v>
      </c>
      <c r="AQ73" s="20">
        <v>0</v>
      </c>
    </row>
    <row r="74" spans="1:43" x14ac:dyDescent="0.25">
      <c r="A74" s="18" t="s">
        <v>53</v>
      </c>
      <c r="B74" s="19">
        <v>0</v>
      </c>
      <c r="C74" s="19">
        <v>10</v>
      </c>
      <c r="D74" s="19">
        <v>1</v>
      </c>
      <c r="E74" s="20">
        <v>0</v>
      </c>
      <c r="F74" s="20">
        <v>4.716981132075472E-2</v>
      </c>
      <c r="G74" s="20">
        <v>5.8823529411764705E-3</v>
      </c>
      <c r="I74" s="19">
        <v>0</v>
      </c>
      <c r="J74" s="19">
        <v>0</v>
      </c>
      <c r="K74" s="19">
        <v>0</v>
      </c>
      <c r="L74" s="20">
        <v>0</v>
      </c>
      <c r="M74" s="20">
        <v>0</v>
      </c>
      <c r="N74" s="20">
        <v>0</v>
      </c>
      <c r="P74" s="19">
        <v>0</v>
      </c>
      <c r="Q74" s="19">
        <v>0</v>
      </c>
      <c r="R74" s="19">
        <v>0</v>
      </c>
      <c r="S74" s="20">
        <v>0</v>
      </c>
      <c r="T74" s="20">
        <v>0</v>
      </c>
      <c r="U74" s="20">
        <v>0</v>
      </c>
      <c r="X74" s="19">
        <v>0</v>
      </c>
      <c r="Y74" s="19">
        <v>0</v>
      </c>
      <c r="Z74" s="19">
        <v>0</v>
      </c>
      <c r="AA74" s="20">
        <v>0</v>
      </c>
      <c r="AB74" s="20">
        <v>0</v>
      </c>
      <c r="AC74" s="20">
        <v>0</v>
      </c>
      <c r="AE74" s="19">
        <v>0</v>
      </c>
      <c r="AF74" s="19">
        <v>0</v>
      </c>
      <c r="AG74" s="19">
        <v>0</v>
      </c>
      <c r="AH74" s="20">
        <v>0</v>
      </c>
      <c r="AI74" s="20">
        <v>0</v>
      </c>
      <c r="AJ74" s="20">
        <v>0</v>
      </c>
      <c r="AL74" s="19">
        <v>0</v>
      </c>
      <c r="AM74" s="19">
        <v>0</v>
      </c>
      <c r="AN74" s="19">
        <v>0</v>
      </c>
      <c r="AO74" s="20">
        <v>0</v>
      </c>
      <c r="AP74" s="20">
        <v>0</v>
      </c>
      <c r="AQ74" s="20">
        <v>0</v>
      </c>
    </row>
    <row r="75" spans="1:43" s="43" customFormat="1" x14ac:dyDescent="0.25">
      <c r="A75" s="29" t="s">
        <v>69</v>
      </c>
      <c r="B75" s="27">
        <v>5265</v>
      </c>
      <c r="C75" s="27">
        <v>4249</v>
      </c>
      <c r="D75" s="27">
        <v>2799</v>
      </c>
      <c r="E75" s="22">
        <v>6.5088230712743939E-3</v>
      </c>
      <c r="F75" s="22">
        <v>5.2792249019386148E-3</v>
      </c>
      <c r="G75" s="22">
        <v>3.5002551096971696E-3</v>
      </c>
      <c r="I75" s="27">
        <v>424</v>
      </c>
      <c r="J75" s="27">
        <v>377</v>
      </c>
      <c r="K75" s="27">
        <v>305</v>
      </c>
      <c r="L75" s="22">
        <v>3.6846496106785315E-3</v>
      </c>
      <c r="M75" s="22">
        <v>3.2957138236399718E-3</v>
      </c>
      <c r="N75" s="22">
        <v>2.6869169170051009E-3</v>
      </c>
      <c r="P75" s="27">
        <v>4</v>
      </c>
      <c r="Q75" s="27">
        <v>11</v>
      </c>
      <c r="R75" s="27">
        <v>22</v>
      </c>
      <c r="S75" s="22">
        <v>0</v>
      </c>
      <c r="T75" s="22">
        <v>2.0359059781602813E-3</v>
      </c>
      <c r="U75" s="22">
        <v>4.1753653444676405E-3</v>
      </c>
      <c r="X75" s="27">
        <v>814</v>
      </c>
      <c r="Y75" s="27">
        <v>788</v>
      </c>
      <c r="Z75" s="27">
        <v>577</v>
      </c>
      <c r="AA75" s="22">
        <v>1.7969888295288974E-2</v>
      </c>
      <c r="AB75" s="22">
        <v>1.6450596020959895E-2</v>
      </c>
      <c r="AC75" s="22">
        <v>1.2530130947469001E-2</v>
      </c>
      <c r="AE75" s="27">
        <v>82</v>
      </c>
      <c r="AF75" s="27">
        <v>82</v>
      </c>
      <c r="AG75" s="27">
        <v>71</v>
      </c>
      <c r="AH75" s="22">
        <v>1.6360734237829209E-2</v>
      </c>
      <c r="AI75" s="22">
        <v>1.5350056158742045E-2</v>
      </c>
      <c r="AJ75" s="22">
        <v>1.351094196003806E-2</v>
      </c>
      <c r="AL75" s="27">
        <v>5</v>
      </c>
      <c r="AM75" s="27">
        <v>4</v>
      </c>
      <c r="AN75" s="27">
        <v>8</v>
      </c>
      <c r="AO75" s="22">
        <v>0</v>
      </c>
      <c r="AP75" s="22">
        <v>1.384083044982699E-2</v>
      </c>
      <c r="AQ75" s="22">
        <v>2.8070175438596492E-2</v>
      </c>
    </row>
    <row r="76" spans="1:43" x14ac:dyDescent="0.25">
      <c r="A76" s="18"/>
      <c r="B76" s="19"/>
      <c r="C76" s="19"/>
      <c r="D76" s="19"/>
      <c r="E76" s="19"/>
      <c r="F76" s="19"/>
      <c r="G76" s="19"/>
      <c r="I76" s="19"/>
      <c r="J76" s="19"/>
      <c r="K76" s="19"/>
      <c r="L76" s="19"/>
      <c r="M76" s="19"/>
      <c r="N76" s="19"/>
      <c r="P76" s="19"/>
      <c r="Q76" s="19"/>
      <c r="R76" s="19"/>
      <c r="S76" s="19"/>
      <c r="T76" s="19"/>
      <c r="U76" s="19"/>
      <c r="X76" s="19"/>
      <c r="Y76" s="19"/>
      <c r="Z76" s="19"/>
      <c r="AA76" s="19"/>
      <c r="AB76" s="19"/>
      <c r="AC76" s="19"/>
      <c r="AE76" s="19"/>
      <c r="AF76" s="19"/>
      <c r="AG76" s="19"/>
      <c r="AH76" s="19"/>
      <c r="AI76" s="19"/>
      <c r="AJ76" s="19"/>
      <c r="AL76" s="19"/>
      <c r="AM76" s="19"/>
      <c r="AN76" s="19"/>
      <c r="AO76" s="19"/>
      <c r="AP76" s="19"/>
      <c r="AQ76" s="19"/>
    </row>
    <row r="77" spans="1:43" x14ac:dyDescent="0.25">
      <c r="A77" s="28" t="s">
        <v>70</v>
      </c>
      <c r="B77" s="25" t="s">
        <v>12</v>
      </c>
      <c r="C77" s="25" t="s">
        <v>164</v>
      </c>
      <c r="D77" s="25" t="s">
        <v>195</v>
      </c>
      <c r="E77" s="25" t="s">
        <v>12</v>
      </c>
      <c r="F77" s="25" t="s">
        <v>164</v>
      </c>
      <c r="G77" s="25" t="s">
        <v>195</v>
      </c>
      <c r="I77" s="25" t="s">
        <v>12</v>
      </c>
      <c r="J77" s="25" t="s">
        <v>164</v>
      </c>
      <c r="K77" s="25" t="s">
        <v>195</v>
      </c>
      <c r="L77" s="25" t="s">
        <v>12</v>
      </c>
      <c r="M77" s="25" t="s">
        <v>164</v>
      </c>
      <c r="N77" s="25" t="s">
        <v>195</v>
      </c>
      <c r="P77" s="25" t="s">
        <v>12</v>
      </c>
      <c r="Q77" s="25" t="s">
        <v>164</v>
      </c>
      <c r="R77" s="25" t="s">
        <v>195</v>
      </c>
      <c r="S77" s="25" t="s">
        <v>12</v>
      </c>
      <c r="T77" s="25" t="s">
        <v>164</v>
      </c>
      <c r="U77" s="25" t="s">
        <v>195</v>
      </c>
      <c r="X77" s="25" t="s">
        <v>12</v>
      </c>
      <c r="Y77" s="25" t="s">
        <v>164</v>
      </c>
      <c r="Z77" s="25" t="s">
        <v>195</v>
      </c>
      <c r="AA77" s="25" t="s">
        <v>12</v>
      </c>
      <c r="AB77" s="25" t="s">
        <v>164</v>
      </c>
      <c r="AC77" s="25" t="s">
        <v>195</v>
      </c>
      <c r="AE77" s="25" t="s">
        <v>12</v>
      </c>
      <c r="AF77" s="25" t="s">
        <v>164</v>
      </c>
      <c r="AG77" s="25" t="s">
        <v>195</v>
      </c>
      <c r="AH77" s="25" t="s">
        <v>12</v>
      </c>
      <c r="AI77" s="25" t="s">
        <v>164</v>
      </c>
      <c r="AJ77" s="25" t="s">
        <v>195</v>
      </c>
      <c r="AL77" s="25" t="s">
        <v>12</v>
      </c>
      <c r="AM77" s="25" t="s">
        <v>164</v>
      </c>
      <c r="AN77" s="25" t="s">
        <v>195</v>
      </c>
      <c r="AO77" s="25" t="s">
        <v>12</v>
      </c>
      <c r="AP77" s="25" t="s">
        <v>164</v>
      </c>
      <c r="AQ77" s="25" t="s">
        <v>195</v>
      </c>
    </row>
    <row r="78" spans="1:43" x14ac:dyDescent="0.25">
      <c r="A78" s="18" t="s">
        <v>19</v>
      </c>
      <c r="B78" s="19">
        <v>1196</v>
      </c>
      <c r="C78" s="19">
        <v>1044</v>
      </c>
      <c r="D78" s="19">
        <v>895</v>
      </c>
      <c r="E78" s="20">
        <v>2.0883169492413263E-2</v>
      </c>
      <c r="F78" s="20">
        <v>1.849129456773942E-2</v>
      </c>
      <c r="G78" s="20">
        <v>1.6312767702542606E-2</v>
      </c>
      <c r="I78" s="19">
        <v>178</v>
      </c>
      <c r="J78" s="19">
        <v>133</v>
      </c>
      <c r="K78" s="19">
        <v>102</v>
      </c>
      <c r="L78" s="20">
        <v>1.5635980323260718E-2</v>
      </c>
      <c r="M78" s="20">
        <v>1.1655420208570678E-2</v>
      </c>
      <c r="N78" s="20">
        <v>9.232440260680666E-3</v>
      </c>
      <c r="P78" s="19">
        <v>1</v>
      </c>
      <c r="Q78" s="19">
        <v>0</v>
      </c>
      <c r="R78" s="19">
        <v>0</v>
      </c>
      <c r="S78" s="20">
        <v>0</v>
      </c>
      <c r="T78" s="20">
        <v>0</v>
      </c>
      <c r="U78" s="20">
        <v>0</v>
      </c>
      <c r="X78" s="19">
        <v>340</v>
      </c>
      <c r="Y78" s="19">
        <v>374</v>
      </c>
      <c r="Z78" s="19">
        <v>321</v>
      </c>
      <c r="AA78" s="20">
        <v>3.7548315847598011E-2</v>
      </c>
      <c r="AB78" s="20">
        <v>3.9405752818459594E-2</v>
      </c>
      <c r="AC78" s="20">
        <v>3.6222071767095465E-2</v>
      </c>
      <c r="AE78" s="19">
        <v>7</v>
      </c>
      <c r="AF78" s="19">
        <v>4</v>
      </c>
      <c r="AG78" s="19">
        <v>3</v>
      </c>
      <c r="AH78" s="20">
        <v>2.2222222222222223E-2</v>
      </c>
      <c r="AI78" s="20">
        <v>1.2307692307692308E-2</v>
      </c>
      <c r="AJ78" s="20">
        <v>8.9552238805970154E-3</v>
      </c>
      <c r="AL78" s="19">
        <v>0</v>
      </c>
      <c r="AM78" s="19">
        <v>0</v>
      </c>
      <c r="AN78" s="19">
        <v>0</v>
      </c>
      <c r="AO78" s="20">
        <v>0</v>
      </c>
      <c r="AP78" s="20">
        <v>0</v>
      </c>
      <c r="AQ78" s="20">
        <v>0</v>
      </c>
    </row>
    <row r="79" spans="1:43" x14ac:dyDescent="0.25">
      <c r="A79" s="18" t="s">
        <v>20</v>
      </c>
      <c r="B79" s="19">
        <v>8</v>
      </c>
      <c r="C79" s="19">
        <v>4</v>
      </c>
      <c r="D79" s="19">
        <v>2</v>
      </c>
      <c r="E79" s="20">
        <v>1.1412268188302425E-2</v>
      </c>
      <c r="F79" s="20">
        <v>3.8647342995169081E-3</v>
      </c>
      <c r="G79" s="20">
        <v>2.8089887640449437E-3</v>
      </c>
      <c r="I79" s="19">
        <v>0</v>
      </c>
      <c r="J79" s="19">
        <v>0</v>
      </c>
      <c r="K79" s="19">
        <v>0</v>
      </c>
      <c r="L79" s="20">
        <v>0</v>
      </c>
      <c r="M79" s="20">
        <v>0</v>
      </c>
      <c r="N79" s="20">
        <v>0</v>
      </c>
      <c r="P79" s="19">
        <v>0</v>
      </c>
      <c r="Q79" s="19">
        <v>0</v>
      </c>
      <c r="R79" s="19">
        <v>0</v>
      </c>
      <c r="S79" s="20">
        <v>0</v>
      </c>
      <c r="T79" s="20">
        <v>0</v>
      </c>
      <c r="U79" s="20">
        <v>0</v>
      </c>
      <c r="X79" s="19">
        <v>2</v>
      </c>
      <c r="Y79" s="19">
        <v>3</v>
      </c>
      <c r="Z79" s="19">
        <v>2</v>
      </c>
      <c r="AA79" s="20">
        <v>3.0303030303030303E-3</v>
      </c>
      <c r="AB79" s="20">
        <v>3.0333670374115269E-3</v>
      </c>
      <c r="AC79" s="20">
        <v>2.5839793281653748E-3</v>
      </c>
      <c r="AE79" s="19">
        <v>0</v>
      </c>
      <c r="AF79" s="19">
        <v>0</v>
      </c>
      <c r="AG79" s="19">
        <v>0</v>
      </c>
      <c r="AH79" s="20">
        <v>0</v>
      </c>
      <c r="AI79" s="20">
        <v>0</v>
      </c>
      <c r="AJ79" s="20">
        <v>0</v>
      </c>
      <c r="AL79" s="19">
        <v>0</v>
      </c>
      <c r="AM79" s="19">
        <v>0</v>
      </c>
      <c r="AN79" s="19">
        <v>0</v>
      </c>
      <c r="AO79" s="20">
        <v>0</v>
      </c>
      <c r="AP79" s="20">
        <v>0</v>
      </c>
      <c r="AQ79" s="20">
        <v>0</v>
      </c>
    </row>
    <row r="80" spans="1:43" x14ac:dyDescent="0.25">
      <c r="A80" s="18" t="s">
        <v>21</v>
      </c>
      <c r="B80" s="19">
        <v>1</v>
      </c>
      <c r="C80" s="19">
        <v>0</v>
      </c>
      <c r="D80" s="19">
        <v>0</v>
      </c>
      <c r="E80" s="20">
        <v>1.3888888888888888E-2</v>
      </c>
      <c r="F80" s="20">
        <v>0</v>
      </c>
      <c r="G80" s="20">
        <v>0</v>
      </c>
      <c r="I80" s="19">
        <v>0</v>
      </c>
      <c r="J80" s="19">
        <v>0</v>
      </c>
      <c r="K80" s="19">
        <v>0</v>
      </c>
      <c r="L80" s="20">
        <v>0</v>
      </c>
      <c r="M80" s="20">
        <v>0</v>
      </c>
      <c r="N80" s="20">
        <v>0</v>
      </c>
      <c r="P80" s="19">
        <v>0</v>
      </c>
      <c r="Q80" s="19">
        <v>0</v>
      </c>
      <c r="R80" s="19">
        <v>0</v>
      </c>
      <c r="S80" s="20">
        <v>0</v>
      </c>
      <c r="T80" s="20">
        <v>0</v>
      </c>
      <c r="U80" s="20">
        <v>0</v>
      </c>
      <c r="X80" s="19">
        <v>0</v>
      </c>
      <c r="Y80" s="19">
        <v>0</v>
      </c>
      <c r="Z80" s="19">
        <v>0</v>
      </c>
      <c r="AA80" s="20">
        <v>0</v>
      </c>
      <c r="AB80" s="20">
        <v>0</v>
      </c>
      <c r="AC80" s="20">
        <v>0</v>
      </c>
      <c r="AE80" s="19">
        <v>0</v>
      </c>
      <c r="AF80" s="19">
        <v>0</v>
      </c>
      <c r="AG80" s="19">
        <v>0</v>
      </c>
      <c r="AH80" s="20">
        <v>0</v>
      </c>
      <c r="AI80" s="20">
        <v>0</v>
      </c>
      <c r="AJ80" s="20">
        <v>0</v>
      </c>
      <c r="AL80" s="19">
        <v>0</v>
      </c>
      <c r="AM80" s="19">
        <v>0</v>
      </c>
      <c r="AN80" s="19">
        <v>0</v>
      </c>
      <c r="AO80" s="20">
        <v>0</v>
      </c>
      <c r="AP80" s="20">
        <v>0</v>
      </c>
      <c r="AQ80" s="20">
        <v>0</v>
      </c>
    </row>
    <row r="81" spans="1:43" x14ac:dyDescent="0.25">
      <c r="A81" s="18" t="s">
        <v>28</v>
      </c>
      <c r="B81" s="19">
        <v>6</v>
      </c>
      <c r="C81" s="19">
        <v>0</v>
      </c>
      <c r="D81" s="19">
        <v>0</v>
      </c>
      <c r="E81" s="20">
        <v>9.375E-2</v>
      </c>
      <c r="F81" s="20">
        <v>0</v>
      </c>
      <c r="G81" s="20">
        <v>0</v>
      </c>
      <c r="I81" s="19">
        <v>0</v>
      </c>
      <c r="J81" s="19">
        <v>0</v>
      </c>
      <c r="K81" s="19">
        <v>0</v>
      </c>
      <c r="L81" s="20">
        <v>0</v>
      </c>
      <c r="M81" s="20">
        <v>0</v>
      </c>
      <c r="N81" s="20">
        <v>0</v>
      </c>
      <c r="P81" s="19">
        <v>0</v>
      </c>
      <c r="Q81" s="19">
        <v>0</v>
      </c>
      <c r="R81" s="19">
        <v>0</v>
      </c>
      <c r="S81" s="20">
        <v>0</v>
      </c>
      <c r="T81" s="20">
        <v>0</v>
      </c>
      <c r="U81" s="20">
        <v>0</v>
      </c>
      <c r="X81" s="19">
        <v>0</v>
      </c>
      <c r="Y81" s="19">
        <v>0</v>
      </c>
      <c r="Z81" s="19">
        <v>0</v>
      </c>
      <c r="AA81" s="20">
        <v>0</v>
      </c>
      <c r="AB81" s="20">
        <v>0</v>
      </c>
      <c r="AC81" s="20">
        <v>0</v>
      </c>
      <c r="AE81" s="19">
        <v>0</v>
      </c>
      <c r="AF81" s="19">
        <v>0</v>
      </c>
      <c r="AG81" s="19">
        <v>0</v>
      </c>
      <c r="AH81" s="20">
        <v>0</v>
      </c>
      <c r="AI81" s="20">
        <v>0</v>
      </c>
      <c r="AJ81" s="20">
        <v>0</v>
      </c>
      <c r="AL81" s="19">
        <v>0</v>
      </c>
      <c r="AM81" s="19">
        <v>0</v>
      </c>
      <c r="AN81" s="19">
        <v>0</v>
      </c>
      <c r="AO81" s="20">
        <v>0</v>
      </c>
      <c r="AP81" s="20">
        <v>0</v>
      </c>
      <c r="AQ81" s="20">
        <v>0</v>
      </c>
    </row>
    <row r="82" spans="1:43" x14ac:dyDescent="0.25">
      <c r="A82" s="18" t="s">
        <v>30</v>
      </c>
      <c r="B82" s="19">
        <v>46</v>
      </c>
      <c r="C82" s="19">
        <v>54</v>
      </c>
      <c r="D82" s="19">
        <v>59</v>
      </c>
      <c r="E82" s="20">
        <v>5.5089820359281436E-2</v>
      </c>
      <c r="F82" s="20">
        <v>5.7569296375266525E-2</v>
      </c>
      <c r="G82" s="20">
        <v>6.8208092485549127E-2</v>
      </c>
      <c r="I82" s="19">
        <v>0</v>
      </c>
      <c r="J82" s="19">
        <v>2</v>
      </c>
      <c r="K82" s="19">
        <v>9</v>
      </c>
      <c r="L82" s="20">
        <v>0</v>
      </c>
      <c r="M82" s="20">
        <v>1.3422818791946308E-2</v>
      </c>
      <c r="N82" s="20">
        <v>7.3770491803278687E-2</v>
      </c>
      <c r="P82" s="19">
        <v>0</v>
      </c>
      <c r="Q82" s="19">
        <v>0</v>
      </c>
      <c r="R82" s="19">
        <v>0</v>
      </c>
      <c r="S82" s="20">
        <v>0</v>
      </c>
      <c r="T82" s="20">
        <v>0</v>
      </c>
      <c r="U82" s="20">
        <v>0</v>
      </c>
      <c r="X82" s="19">
        <v>22</v>
      </c>
      <c r="Y82" s="19">
        <v>37</v>
      </c>
      <c r="Z82" s="19">
        <v>37</v>
      </c>
      <c r="AA82" s="20">
        <v>3.0344827586206897E-2</v>
      </c>
      <c r="AB82" s="20">
        <v>4.6776232616940583E-2</v>
      </c>
      <c r="AC82" s="20">
        <v>5.0546448087431695E-2</v>
      </c>
      <c r="AE82" s="19">
        <v>0</v>
      </c>
      <c r="AF82" s="19">
        <v>3</v>
      </c>
      <c r="AG82" s="19">
        <v>5</v>
      </c>
      <c r="AH82" s="20">
        <v>0</v>
      </c>
      <c r="AI82" s="20">
        <v>5.0847457627118647E-2</v>
      </c>
      <c r="AJ82" s="20">
        <v>9.8039215686274508E-2</v>
      </c>
      <c r="AL82" s="19">
        <v>0</v>
      </c>
      <c r="AM82" s="19">
        <v>0</v>
      </c>
      <c r="AN82" s="19">
        <v>0</v>
      </c>
      <c r="AO82" s="20">
        <v>0</v>
      </c>
      <c r="AP82" s="20">
        <v>0</v>
      </c>
      <c r="AQ82" s="20">
        <v>0</v>
      </c>
    </row>
    <row r="83" spans="1:43" x14ac:dyDescent="0.25">
      <c r="A83" s="18" t="s">
        <v>80</v>
      </c>
      <c r="B83" s="19">
        <v>0</v>
      </c>
      <c r="C83" s="19">
        <v>0</v>
      </c>
      <c r="D83" s="19">
        <v>0</v>
      </c>
      <c r="E83" s="20">
        <v>0</v>
      </c>
      <c r="F83" s="20">
        <v>0</v>
      </c>
      <c r="G83" s="20">
        <v>0</v>
      </c>
      <c r="I83" s="19">
        <v>0</v>
      </c>
      <c r="J83" s="19">
        <v>1</v>
      </c>
      <c r="K83" s="19">
        <v>0</v>
      </c>
      <c r="L83" s="20">
        <v>0</v>
      </c>
      <c r="M83" s="20">
        <v>3.8461538461538464E-2</v>
      </c>
      <c r="N83" s="20">
        <v>0</v>
      </c>
      <c r="P83" s="19">
        <v>0</v>
      </c>
      <c r="Q83" s="19">
        <v>1</v>
      </c>
      <c r="R83" s="19">
        <v>0</v>
      </c>
      <c r="S83" s="20">
        <v>0</v>
      </c>
      <c r="T83" s="20">
        <v>1</v>
      </c>
      <c r="U83" s="20">
        <v>0</v>
      </c>
      <c r="X83" s="19">
        <v>0</v>
      </c>
      <c r="Y83" s="19">
        <v>0</v>
      </c>
      <c r="Z83" s="19">
        <v>0</v>
      </c>
      <c r="AA83" s="20">
        <v>0</v>
      </c>
      <c r="AB83" s="20">
        <v>0</v>
      </c>
      <c r="AC83" s="20">
        <v>0</v>
      </c>
      <c r="AE83" s="19">
        <v>0</v>
      </c>
      <c r="AF83" s="19">
        <v>0</v>
      </c>
      <c r="AG83" s="19">
        <v>0</v>
      </c>
      <c r="AH83" s="20">
        <v>0</v>
      </c>
      <c r="AI83" s="20">
        <v>0</v>
      </c>
      <c r="AJ83" s="20">
        <v>0</v>
      </c>
      <c r="AL83" s="19">
        <v>0</v>
      </c>
      <c r="AM83" s="19">
        <v>0</v>
      </c>
      <c r="AN83" s="19">
        <v>0</v>
      </c>
      <c r="AO83" s="20">
        <v>0</v>
      </c>
      <c r="AP83" s="20">
        <v>0</v>
      </c>
      <c r="AQ83" s="20">
        <v>0</v>
      </c>
    </row>
    <row r="84" spans="1:43" x14ac:dyDescent="0.25">
      <c r="A84" s="18" t="s">
        <v>37</v>
      </c>
      <c r="B84" s="19">
        <v>0</v>
      </c>
      <c r="C84" s="19">
        <v>0</v>
      </c>
      <c r="D84" s="19">
        <v>0</v>
      </c>
      <c r="E84" s="20">
        <v>0</v>
      </c>
      <c r="F84" s="20">
        <v>0</v>
      </c>
      <c r="G84" s="20">
        <v>0</v>
      </c>
      <c r="I84" s="19">
        <v>0</v>
      </c>
      <c r="J84" s="19">
        <v>3</v>
      </c>
      <c r="K84" s="19">
        <v>3</v>
      </c>
      <c r="L84" s="20">
        <v>0</v>
      </c>
      <c r="M84" s="20">
        <v>2.7272727272727271E-2</v>
      </c>
      <c r="N84" s="20">
        <v>4.4776119402985072E-2</v>
      </c>
      <c r="P84" s="19">
        <v>0</v>
      </c>
      <c r="Q84" s="19">
        <v>0</v>
      </c>
      <c r="R84" s="19">
        <v>0</v>
      </c>
      <c r="S84" s="20">
        <v>0</v>
      </c>
      <c r="T84" s="20">
        <v>0</v>
      </c>
      <c r="U84" s="20">
        <v>0</v>
      </c>
      <c r="X84" s="19">
        <v>0</v>
      </c>
      <c r="Y84" s="19">
        <v>0</v>
      </c>
      <c r="Z84" s="19">
        <v>0</v>
      </c>
      <c r="AA84" s="20">
        <v>0</v>
      </c>
      <c r="AB84" s="20">
        <v>0</v>
      </c>
      <c r="AC84" s="20">
        <v>0</v>
      </c>
      <c r="AE84" s="19">
        <v>0</v>
      </c>
      <c r="AF84" s="19">
        <v>0</v>
      </c>
      <c r="AG84" s="19">
        <v>0</v>
      </c>
      <c r="AH84" s="20">
        <v>0</v>
      </c>
      <c r="AI84" s="20">
        <v>0</v>
      </c>
      <c r="AJ84" s="20">
        <v>0</v>
      </c>
      <c r="AL84" s="19">
        <v>0</v>
      </c>
      <c r="AM84" s="19">
        <v>0</v>
      </c>
      <c r="AN84" s="19">
        <v>0</v>
      </c>
      <c r="AO84" s="20">
        <v>0</v>
      </c>
      <c r="AP84" s="20">
        <v>0</v>
      </c>
      <c r="AQ84" s="20">
        <v>0</v>
      </c>
    </row>
    <row r="85" spans="1:43" x14ac:dyDescent="0.25">
      <c r="A85" s="18" t="s">
        <v>43</v>
      </c>
      <c r="B85" s="19">
        <v>395</v>
      </c>
      <c r="C85" s="19">
        <v>375</v>
      </c>
      <c r="D85" s="19">
        <v>367</v>
      </c>
      <c r="E85" s="20">
        <v>5.6517384461296324E-2</v>
      </c>
      <c r="F85" s="20">
        <v>5.156056647875705E-2</v>
      </c>
      <c r="G85" s="20">
        <v>5.108574610244989E-2</v>
      </c>
      <c r="I85" s="19">
        <v>30</v>
      </c>
      <c r="J85" s="19">
        <v>30</v>
      </c>
      <c r="K85" s="19">
        <v>33</v>
      </c>
      <c r="L85" s="20">
        <v>3.0581039755351681E-2</v>
      </c>
      <c r="M85" s="20">
        <v>2.564102564102564E-2</v>
      </c>
      <c r="N85" s="20">
        <v>2.8645833333333332E-2</v>
      </c>
      <c r="P85" s="19">
        <v>0</v>
      </c>
      <c r="Q85" s="19">
        <v>0</v>
      </c>
      <c r="R85" s="19">
        <v>0</v>
      </c>
      <c r="S85" s="20">
        <v>0</v>
      </c>
      <c r="T85" s="20">
        <v>0</v>
      </c>
      <c r="U85" s="20">
        <v>0</v>
      </c>
      <c r="X85" s="19">
        <v>801</v>
      </c>
      <c r="Y85" s="19">
        <v>879</v>
      </c>
      <c r="Z85" s="19">
        <v>746</v>
      </c>
      <c r="AA85" s="20">
        <v>2.2853067047075605E-2</v>
      </c>
      <c r="AB85" s="20">
        <v>2.4488772496796121E-2</v>
      </c>
      <c r="AC85" s="20">
        <v>2.1492365312590033E-2</v>
      </c>
      <c r="AE85" s="19">
        <v>44</v>
      </c>
      <c r="AF85" s="19">
        <v>38</v>
      </c>
      <c r="AG85" s="19">
        <v>25</v>
      </c>
      <c r="AH85" s="20">
        <v>1.8272425249169437E-2</v>
      </c>
      <c r="AI85" s="20">
        <v>1.5503875968992248E-2</v>
      </c>
      <c r="AJ85" s="20">
        <v>1.0548523206751054E-2</v>
      </c>
      <c r="AL85" s="19">
        <v>8</v>
      </c>
      <c r="AM85" s="19">
        <v>7</v>
      </c>
      <c r="AN85" s="19">
        <v>3</v>
      </c>
      <c r="AO85" s="20">
        <v>0</v>
      </c>
      <c r="AP85" s="20">
        <v>4.1666666666666664E-2</v>
      </c>
      <c r="AQ85" s="20">
        <v>2.2388059701492536E-2</v>
      </c>
    </row>
    <row r="86" spans="1:43" x14ac:dyDescent="0.25">
      <c r="A86" s="18" t="s">
        <v>126</v>
      </c>
      <c r="B86" s="19">
        <v>8</v>
      </c>
      <c r="C86" s="19">
        <v>6</v>
      </c>
      <c r="D86" s="19">
        <v>3</v>
      </c>
      <c r="E86" s="20">
        <v>2.0100502512562814E-2</v>
      </c>
      <c r="F86" s="20">
        <v>1.5228426395939087E-2</v>
      </c>
      <c r="G86" s="20">
        <v>7.9365079365079361E-3</v>
      </c>
      <c r="I86" s="19">
        <v>6</v>
      </c>
      <c r="J86" s="19">
        <v>2</v>
      </c>
      <c r="K86" s="19">
        <v>1</v>
      </c>
      <c r="L86" s="20">
        <v>1.5665796344647518E-2</v>
      </c>
      <c r="M86" s="20">
        <v>5.2910052910052907E-3</v>
      </c>
      <c r="N86" s="20">
        <v>2.8735632183908046E-3</v>
      </c>
      <c r="P86" s="19">
        <v>0</v>
      </c>
      <c r="Q86" s="19">
        <v>0</v>
      </c>
      <c r="R86" s="19">
        <v>0</v>
      </c>
      <c r="S86" s="20">
        <v>0</v>
      </c>
      <c r="T86" s="20">
        <v>0</v>
      </c>
      <c r="U86" s="20">
        <v>0</v>
      </c>
      <c r="X86" s="19">
        <v>0</v>
      </c>
      <c r="Y86" s="19">
        <v>0</v>
      </c>
      <c r="Z86" s="19">
        <v>0</v>
      </c>
      <c r="AA86" s="20">
        <v>0</v>
      </c>
      <c r="AB86" s="20">
        <v>0</v>
      </c>
      <c r="AC86" s="20">
        <v>0</v>
      </c>
      <c r="AE86" s="19">
        <v>0</v>
      </c>
      <c r="AF86" s="19">
        <v>0</v>
      </c>
      <c r="AG86" s="19">
        <v>0</v>
      </c>
      <c r="AH86" s="20">
        <v>0</v>
      </c>
      <c r="AI86" s="20">
        <v>0</v>
      </c>
      <c r="AJ86" s="20">
        <v>0</v>
      </c>
      <c r="AL86" s="19">
        <v>0</v>
      </c>
      <c r="AM86" s="19">
        <v>0</v>
      </c>
      <c r="AN86" s="19">
        <v>0</v>
      </c>
      <c r="AO86" s="20">
        <v>0</v>
      </c>
      <c r="AP86" s="20">
        <v>0</v>
      </c>
      <c r="AQ86" s="20">
        <v>0</v>
      </c>
    </row>
    <row r="87" spans="1:43" x14ac:dyDescent="0.25">
      <c r="A87" s="18" t="s">
        <v>49</v>
      </c>
      <c r="B87" s="19">
        <v>1</v>
      </c>
      <c r="C87" s="19">
        <v>0</v>
      </c>
      <c r="D87" s="19">
        <v>0</v>
      </c>
      <c r="E87" s="20">
        <v>7.1428571428571425E-2</v>
      </c>
      <c r="F87" s="20">
        <v>0</v>
      </c>
      <c r="G87" s="20">
        <v>0</v>
      </c>
      <c r="I87" s="19">
        <v>0</v>
      </c>
      <c r="J87" s="19">
        <v>0</v>
      </c>
      <c r="K87" s="19">
        <v>0</v>
      </c>
      <c r="L87" s="20">
        <v>0</v>
      </c>
      <c r="M87" s="20">
        <v>0</v>
      </c>
      <c r="N87" s="20">
        <v>0</v>
      </c>
      <c r="P87" s="19">
        <v>0</v>
      </c>
      <c r="Q87" s="19">
        <v>0</v>
      </c>
      <c r="R87" s="19">
        <v>0</v>
      </c>
      <c r="S87" s="20">
        <v>0</v>
      </c>
      <c r="T87" s="20">
        <v>0</v>
      </c>
      <c r="U87" s="20">
        <v>0</v>
      </c>
      <c r="X87" s="19">
        <v>0</v>
      </c>
      <c r="Y87" s="19">
        <v>0</v>
      </c>
      <c r="Z87" s="19">
        <v>0</v>
      </c>
      <c r="AA87" s="20">
        <v>0</v>
      </c>
      <c r="AB87" s="20">
        <v>0</v>
      </c>
      <c r="AC87" s="20">
        <v>0</v>
      </c>
      <c r="AE87" s="19">
        <v>0</v>
      </c>
      <c r="AF87" s="19">
        <v>0</v>
      </c>
      <c r="AG87" s="19">
        <v>0</v>
      </c>
      <c r="AH87" s="20">
        <v>0</v>
      </c>
      <c r="AI87" s="20">
        <v>0</v>
      </c>
      <c r="AJ87" s="20">
        <v>0</v>
      </c>
      <c r="AL87" s="19">
        <v>0</v>
      </c>
      <c r="AM87" s="19">
        <v>0</v>
      </c>
      <c r="AN87" s="19">
        <v>0</v>
      </c>
      <c r="AO87" s="20">
        <v>0</v>
      </c>
      <c r="AP87" s="20">
        <v>0</v>
      </c>
      <c r="AQ87" s="20">
        <v>0</v>
      </c>
    </row>
    <row r="88" spans="1:43" x14ac:dyDescent="0.25">
      <c r="A88" s="18" t="s">
        <v>53</v>
      </c>
      <c r="B88" s="19">
        <v>0</v>
      </c>
      <c r="C88" s="19">
        <v>1</v>
      </c>
      <c r="D88" s="19">
        <v>0</v>
      </c>
      <c r="E88" s="20">
        <v>0</v>
      </c>
      <c r="F88" s="20">
        <v>0.25</v>
      </c>
      <c r="G88" s="20">
        <v>0</v>
      </c>
      <c r="I88" s="19">
        <v>0</v>
      </c>
      <c r="J88" s="19">
        <v>0</v>
      </c>
      <c r="K88" s="19">
        <v>0</v>
      </c>
      <c r="L88" s="20">
        <v>0</v>
      </c>
      <c r="M88" s="20">
        <v>0</v>
      </c>
      <c r="N88" s="20">
        <v>0</v>
      </c>
      <c r="P88" s="19">
        <v>0</v>
      </c>
      <c r="Q88" s="19">
        <v>0</v>
      </c>
      <c r="R88" s="19">
        <v>0</v>
      </c>
      <c r="S88" s="20">
        <v>0</v>
      </c>
      <c r="T88" s="20">
        <v>0</v>
      </c>
      <c r="U88" s="20">
        <v>0</v>
      </c>
      <c r="X88" s="19">
        <v>0</v>
      </c>
      <c r="Y88" s="19">
        <v>0</v>
      </c>
      <c r="Z88" s="19">
        <v>0</v>
      </c>
      <c r="AA88" s="20">
        <v>0</v>
      </c>
      <c r="AB88" s="20">
        <v>0</v>
      </c>
      <c r="AC88" s="20">
        <v>0</v>
      </c>
      <c r="AE88" s="19">
        <v>0</v>
      </c>
      <c r="AF88" s="19">
        <v>0</v>
      </c>
      <c r="AG88" s="19">
        <v>0</v>
      </c>
      <c r="AH88" s="20">
        <v>0</v>
      </c>
      <c r="AI88" s="20">
        <v>0</v>
      </c>
      <c r="AJ88" s="20">
        <v>0</v>
      </c>
      <c r="AL88" s="19">
        <v>0</v>
      </c>
      <c r="AM88" s="19">
        <v>0</v>
      </c>
      <c r="AN88" s="19">
        <v>0</v>
      </c>
      <c r="AO88" s="20">
        <v>0</v>
      </c>
      <c r="AP88" s="20">
        <v>0</v>
      </c>
      <c r="AQ88" s="20">
        <v>0</v>
      </c>
    </row>
    <row r="89" spans="1:43" x14ac:dyDescent="0.25">
      <c r="A89" s="18" t="s">
        <v>55</v>
      </c>
      <c r="B89" s="19">
        <v>26</v>
      </c>
      <c r="C89" s="19">
        <v>29</v>
      </c>
      <c r="D89" s="19">
        <v>14</v>
      </c>
      <c r="E89" s="20">
        <v>4.710144927536232E-2</v>
      </c>
      <c r="F89" s="20">
        <v>5.2536231884057968E-2</v>
      </c>
      <c r="G89" s="20">
        <v>2.4432809773123908E-2</v>
      </c>
      <c r="I89" s="19">
        <v>2</v>
      </c>
      <c r="J89" s="19">
        <v>4</v>
      </c>
      <c r="K89" s="19">
        <v>4</v>
      </c>
      <c r="L89" s="20">
        <v>4.2553191489361701E-2</v>
      </c>
      <c r="M89" s="20">
        <v>6.8965517241379309E-2</v>
      </c>
      <c r="N89" s="20">
        <v>5.7971014492753624E-2</v>
      </c>
      <c r="P89" s="19">
        <v>0</v>
      </c>
      <c r="Q89" s="19">
        <v>0</v>
      </c>
      <c r="R89" s="19">
        <v>0</v>
      </c>
      <c r="S89" s="20">
        <v>0</v>
      </c>
      <c r="T89" s="20">
        <v>0</v>
      </c>
      <c r="U89" s="20">
        <v>0</v>
      </c>
      <c r="X89" s="19">
        <v>17</v>
      </c>
      <c r="Y89" s="19">
        <v>17</v>
      </c>
      <c r="Z89" s="19">
        <v>7</v>
      </c>
      <c r="AA89" s="20">
        <v>5.4838709677419356E-2</v>
      </c>
      <c r="AB89" s="20">
        <v>5.0746268656716415E-2</v>
      </c>
      <c r="AC89" s="20">
        <v>1.8567639257294429E-2</v>
      </c>
      <c r="AE89" s="19">
        <v>0</v>
      </c>
      <c r="AF89" s="19">
        <v>0</v>
      </c>
      <c r="AG89" s="19">
        <v>1</v>
      </c>
      <c r="AH89" s="20">
        <v>0</v>
      </c>
      <c r="AI89" s="20">
        <v>0</v>
      </c>
      <c r="AJ89" s="20">
        <v>0.25</v>
      </c>
      <c r="AL89" s="19">
        <v>0</v>
      </c>
      <c r="AM89" s="19">
        <v>0</v>
      </c>
      <c r="AN89" s="19">
        <v>0</v>
      </c>
      <c r="AO89" s="20">
        <v>0</v>
      </c>
      <c r="AP89" s="20">
        <v>0</v>
      </c>
      <c r="AQ89" s="20">
        <v>0</v>
      </c>
    </row>
    <row r="90" spans="1:43" x14ac:dyDescent="0.25">
      <c r="A90" s="18" t="s">
        <v>58</v>
      </c>
      <c r="B90" s="19">
        <v>0</v>
      </c>
      <c r="C90" s="19">
        <v>0</v>
      </c>
      <c r="D90" s="19">
        <v>0</v>
      </c>
      <c r="E90" s="20">
        <v>0</v>
      </c>
      <c r="F90" s="20">
        <v>0</v>
      </c>
      <c r="G90" s="20">
        <v>0</v>
      </c>
      <c r="I90" s="19">
        <v>0</v>
      </c>
      <c r="J90" s="19">
        <v>0</v>
      </c>
      <c r="K90" s="19">
        <v>0</v>
      </c>
      <c r="L90" s="20">
        <v>0</v>
      </c>
      <c r="M90" s="20">
        <v>0</v>
      </c>
      <c r="N90" s="20">
        <v>0</v>
      </c>
      <c r="P90" s="19">
        <v>1</v>
      </c>
      <c r="Q90" s="19">
        <v>0</v>
      </c>
      <c r="R90" s="19">
        <v>0</v>
      </c>
      <c r="S90" s="20">
        <v>0</v>
      </c>
      <c r="T90" s="20">
        <v>0</v>
      </c>
      <c r="U90" s="20">
        <v>0</v>
      </c>
      <c r="X90" s="19">
        <v>0</v>
      </c>
      <c r="Y90" s="19">
        <v>0</v>
      </c>
      <c r="Z90" s="19">
        <v>0</v>
      </c>
      <c r="AA90" s="20">
        <v>0</v>
      </c>
      <c r="AB90" s="20">
        <v>0</v>
      </c>
      <c r="AC90" s="20">
        <v>0</v>
      </c>
      <c r="AE90" s="19">
        <v>0</v>
      </c>
      <c r="AF90" s="19">
        <v>0</v>
      </c>
      <c r="AG90" s="19">
        <v>0</v>
      </c>
      <c r="AH90" s="20">
        <v>0</v>
      </c>
      <c r="AI90" s="20">
        <v>0</v>
      </c>
      <c r="AJ90" s="20">
        <v>0</v>
      </c>
      <c r="AL90" s="19">
        <v>0</v>
      </c>
      <c r="AM90" s="19">
        <v>0</v>
      </c>
      <c r="AN90" s="19">
        <v>0</v>
      </c>
      <c r="AO90" s="20">
        <v>0</v>
      </c>
      <c r="AP90" s="20">
        <v>0</v>
      </c>
      <c r="AQ90" s="20">
        <v>0</v>
      </c>
    </row>
    <row r="91" spans="1:43" s="43" customFormat="1" x14ac:dyDescent="0.25">
      <c r="A91" s="29" t="s">
        <v>71</v>
      </c>
      <c r="B91" s="27">
        <v>1687</v>
      </c>
      <c r="C91" s="27">
        <v>1513</v>
      </c>
      <c r="D91" s="27">
        <v>1340</v>
      </c>
      <c r="E91" s="22">
        <v>2.4965223310740817E-2</v>
      </c>
      <c r="F91" s="22">
        <v>2.2452734989463687E-2</v>
      </c>
      <c r="G91" s="22">
        <v>2.0650013098888906E-2</v>
      </c>
      <c r="I91" s="27">
        <v>216</v>
      </c>
      <c r="J91" s="27">
        <v>175</v>
      </c>
      <c r="K91" s="27">
        <v>152</v>
      </c>
      <c r="L91" s="22">
        <v>1.5888194189040087E-2</v>
      </c>
      <c r="M91" s="22">
        <v>1.2806439809732895E-2</v>
      </c>
      <c r="N91" s="22">
        <v>1.1568612527589619E-2</v>
      </c>
      <c r="P91" s="27">
        <v>2</v>
      </c>
      <c r="Q91" s="27">
        <v>1</v>
      </c>
      <c r="R91" s="27">
        <v>0</v>
      </c>
      <c r="S91" s="22">
        <v>0</v>
      </c>
      <c r="T91" s="22">
        <v>4.7619047619047616E-2</v>
      </c>
      <c r="U91" s="22">
        <v>0</v>
      </c>
      <c r="X91" s="27">
        <v>1182</v>
      </c>
      <c r="Y91" s="27">
        <v>1310</v>
      </c>
      <c r="Z91" s="27">
        <v>1113</v>
      </c>
      <c r="AA91" s="22">
        <v>2.5807860262008733E-2</v>
      </c>
      <c r="AB91" s="22">
        <v>2.7559220768292168E-2</v>
      </c>
      <c r="AC91" s="22">
        <v>2.448144645096012E-2</v>
      </c>
      <c r="AE91" s="27">
        <v>51</v>
      </c>
      <c r="AF91" s="27">
        <v>45</v>
      </c>
      <c r="AG91" s="27">
        <v>34</v>
      </c>
      <c r="AH91" s="22">
        <v>1.8318965517241378E-2</v>
      </c>
      <c r="AI91" s="22">
        <v>1.5795015795015795E-2</v>
      </c>
      <c r="AJ91" s="22">
        <v>1.2278801011195377E-2</v>
      </c>
      <c r="AL91" s="27">
        <v>8</v>
      </c>
      <c r="AM91" s="27">
        <v>7</v>
      </c>
      <c r="AN91" s="27">
        <v>3</v>
      </c>
      <c r="AO91" s="22">
        <v>0</v>
      </c>
      <c r="AP91" s="22">
        <v>3.954802259887006E-2</v>
      </c>
      <c r="AQ91" s="22">
        <v>2.0689655172413793E-2</v>
      </c>
    </row>
    <row r="92" spans="1:43" x14ac:dyDescent="0.25">
      <c r="A92" s="18"/>
      <c r="B92" s="19"/>
      <c r="C92" s="19"/>
      <c r="D92" s="19"/>
      <c r="E92" s="19"/>
      <c r="F92" s="19"/>
      <c r="G92" s="19"/>
      <c r="I92" s="19"/>
      <c r="J92" s="19"/>
      <c r="K92" s="19"/>
      <c r="L92" s="19"/>
      <c r="M92" s="19"/>
      <c r="N92" s="19"/>
      <c r="P92" s="19"/>
      <c r="Q92" s="19"/>
      <c r="R92" s="19"/>
      <c r="S92" s="19"/>
      <c r="T92" s="19"/>
      <c r="U92" s="19"/>
      <c r="X92" s="19"/>
      <c r="Y92" s="19"/>
      <c r="Z92" s="19"/>
      <c r="AA92" s="19"/>
      <c r="AB92" s="19"/>
      <c r="AC92" s="19"/>
      <c r="AE92" s="19"/>
      <c r="AF92" s="19"/>
      <c r="AG92" s="19"/>
      <c r="AH92" s="19"/>
      <c r="AI92" s="19"/>
      <c r="AJ92" s="19"/>
      <c r="AL92" s="19"/>
      <c r="AM92" s="19"/>
      <c r="AN92" s="19"/>
      <c r="AO92" s="19"/>
      <c r="AP92" s="19"/>
      <c r="AQ92" s="19"/>
    </row>
    <row r="93" spans="1:43" x14ac:dyDescent="0.25">
      <c r="A93" s="28" t="s">
        <v>72</v>
      </c>
      <c r="B93" s="25" t="s">
        <v>12</v>
      </c>
      <c r="C93" s="25" t="s">
        <v>164</v>
      </c>
      <c r="D93" s="25" t="s">
        <v>195</v>
      </c>
      <c r="E93" s="25" t="s">
        <v>12</v>
      </c>
      <c r="F93" s="25" t="s">
        <v>164</v>
      </c>
      <c r="G93" s="25" t="s">
        <v>195</v>
      </c>
      <c r="I93" s="25" t="s">
        <v>12</v>
      </c>
      <c r="J93" s="25" t="s">
        <v>164</v>
      </c>
      <c r="K93" s="25" t="s">
        <v>195</v>
      </c>
      <c r="L93" s="25" t="s">
        <v>12</v>
      </c>
      <c r="M93" s="25" t="s">
        <v>164</v>
      </c>
      <c r="N93" s="25" t="s">
        <v>195</v>
      </c>
      <c r="P93" s="25" t="s">
        <v>12</v>
      </c>
      <c r="Q93" s="25" t="s">
        <v>164</v>
      </c>
      <c r="R93" s="25" t="s">
        <v>195</v>
      </c>
      <c r="S93" s="25" t="s">
        <v>12</v>
      </c>
      <c r="T93" s="25" t="s">
        <v>164</v>
      </c>
      <c r="U93" s="25" t="s">
        <v>195</v>
      </c>
      <c r="X93" s="25" t="s">
        <v>12</v>
      </c>
      <c r="Y93" s="25" t="s">
        <v>164</v>
      </c>
      <c r="Z93" s="25" t="s">
        <v>195</v>
      </c>
      <c r="AA93" s="25" t="s">
        <v>12</v>
      </c>
      <c r="AB93" s="25" t="s">
        <v>164</v>
      </c>
      <c r="AC93" s="25" t="s">
        <v>195</v>
      </c>
      <c r="AE93" s="25" t="s">
        <v>12</v>
      </c>
      <c r="AF93" s="25" t="s">
        <v>164</v>
      </c>
      <c r="AG93" s="25" t="s">
        <v>195</v>
      </c>
      <c r="AH93" s="25" t="s">
        <v>12</v>
      </c>
      <c r="AI93" s="25" t="s">
        <v>164</v>
      </c>
      <c r="AJ93" s="25" t="s">
        <v>195</v>
      </c>
      <c r="AL93" s="25" t="s">
        <v>12</v>
      </c>
      <c r="AM93" s="25" t="s">
        <v>164</v>
      </c>
      <c r="AN93" s="25" t="s">
        <v>195</v>
      </c>
      <c r="AO93" s="25" t="s">
        <v>12</v>
      </c>
      <c r="AP93" s="25" t="s">
        <v>164</v>
      </c>
      <c r="AQ93" s="25" t="s">
        <v>195</v>
      </c>
    </row>
    <row r="94" spans="1:43" x14ac:dyDescent="0.25">
      <c r="A94" s="18" t="s">
        <v>22</v>
      </c>
      <c r="B94" s="19">
        <v>0</v>
      </c>
      <c r="C94" s="19">
        <v>0</v>
      </c>
      <c r="D94" s="19">
        <v>0</v>
      </c>
      <c r="E94" s="20">
        <v>0</v>
      </c>
      <c r="F94" s="20">
        <v>0</v>
      </c>
      <c r="G94" s="20">
        <v>0</v>
      </c>
      <c r="I94" s="19">
        <v>40</v>
      </c>
      <c r="J94" s="19">
        <v>24</v>
      </c>
      <c r="K94" s="19">
        <v>75</v>
      </c>
      <c r="L94" s="20">
        <v>1.2577825294006666E-3</v>
      </c>
      <c r="M94" s="20">
        <v>7.4733760976521146E-4</v>
      </c>
      <c r="N94" s="20">
        <v>2.3376137638698416E-3</v>
      </c>
      <c r="P94" s="19">
        <v>0</v>
      </c>
      <c r="Q94" s="19">
        <v>0</v>
      </c>
      <c r="R94" s="19">
        <v>0</v>
      </c>
      <c r="S94" s="20">
        <v>0</v>
      </c>
      <c r="T94" s="20">
        <v>0</v>
      </c>
      <c r="U94" s="20">
        <v>0</v>
      </c>
      <c r="X94" s="19">
        <v>0</v>
      </c>
      <c r="Y94" s="19">
        <v>0</v>
      </c>
      <c r="Z94" s="19">
        <v>0</v>
      </c>
      <c r="AA94" s="20">
        <v>0</v>
      </c>
      <c r="AB94" s="20">
        <v>0</v>
      </c>
      <c r="AC94" s="20">
        <v>0</v>
      </c>
      <c r="AE94" s="19">
        <v>0</v>
      </c>
      <c r="AF94" s="19">
        <v>0</v>
      </c>
      <c r="AG94" s="19">
        <v>0</v>
      </c>
      <c r="AH94" s="20">
        <v>0</v>
      </c>
      <c r="AI94" s="20">
        <v>0</v>
      </c>
      <c r="AJ94" s="20">
        <v>0</v>
      </c>
      <c r="AL94" s="19">
        <v>0</v>
      </c>
      <c r="AM94" s="19">
        <v>0</v>
      </c>
      <c r="AN94" s="19">
        <v>0</v>
      </c>
      <c r="AO94" s="20">
        <v>0</v>
      </c>
      <c r="AP94" s="20">
        <v>0</v>
      </c>
      <c r="AQ94" s="20">
        <v>0</v>
      </c>
    </row>
    <row r="95" spans="1:43" x14ac:dyDescent="0.25">
      <c r="A95" s="18" t="s">
        <v>80</v>
      </c>
      <c r="B95" s="19">
        <v>0</v>
      </c>
      <c r="C95" s="19">
        <v>0</v>
      </c>
      <c r="D95" s="19">
        <v>0</v>
      </c>
      <c r="E95" s="20">
        <v>0</v>
      </c>
      <c r="F95" s="20">
        <v>0</v>
      </c>
      <c r="G95" s="20">
        <v>0</v>
      </c>
      <c r="I95" s="19">
        <v>0</v>
      </c>
      <c r="J95" s="19">
        <v>1</v>
      </c>
      <c r="K95" s="19">
        <v>0</v>
      </c>
      <c r="L95" s="20">
        <v>0</v>
      </c>
      <c r="M95" s="20">
        <v>1.2658227848101266E-2</v>
      </c>
      <c r="N95" s="20">
        <v>0</v>
      </c>
      <c r="P95" s="19">
        <v>2</v>
      </c>
      <c r="Q95" s="19">
        <v>2</v>
      </c>
      <c r="R95" s="19">
        <v>2</v>
      </c>
      <c r="S95" s="20">
        <v>0</v>
      </c>
      <c r="T95" s="20">
        <v>2</v>
      </c>
      <c r="U95" s="20">
        <v>2</v>
      </c>
      <c r="X95" s="19">
        <v>0</v>
      </c>
      <c r="Y95" s="19">
        <v>0</v>
      </c>
      <c r="Z95" s="19">
        <v>0</v>
      </c>
      <c r="AA95" s="20">
        <v>0</v>
      </c>
      <c r="AB95" s="20">
        <v>0</v>
      </c>
      <c r="AC95" s="20">
        <v>0</v>
      </c>
      <c r="AE95" s="19">
        <v>0</v>
      </c>
      <c r="AF95" s="19">
        <v>0</v>
      </c>
      <c r="AG95" s="19">
        <v>0</v>
      </c>
      <c r="AH95" s="20">
        <v>0</v>
      </c>
      <c r="AI95" s="20">
        <v>0</v>
      </c>
      <c r="AJ95" s="20">
        <v>0</v>
      </c>
      <c r="AL95" s="19">
        <v>0</v>
      </c>
      <c r="AM95" s="19">
        <v>0</v>
      </c>
      <c r="AN95" s="19">
        <v>0</v>
      </c>
      <c r="AO95" s="20">
        <v>0</v>
      </c>
      <c r="AP95" s="20">
        <v>0</v>
      </c>
      <c r="AQ95" s="20">
        <v>0</v>
      </c>
    </row>
    <row r="96" spans="1:43" s="43" customFormat="1" x14ac:dyDescent="0.25">
      <c r="A96" s="29" t="s">
        <v>73</v>
      </c>
      <c r="B96" s="27">
        <v>0</v>
      </c>
      <c r="C96" s="27">
        <v>0</v>
      </c>
      <c r="D96" s="27">
        <v>0</v>
      </c>
      <c r="E96" s="22">
        <v>0</v>
      </c>
      <c r="F96" s="22">
        <v>0</v>
      </c>
      <c r="G96" s="22">
        <v>0</v>
      </c>
      <c r="I96" s="27">
        <v>40</v>
      </c>
      <c r="J96" s="27">
        <v>25</v>
      </c>
      <c r="K96" s="27">
        <v>75</v>
      </c>
      <c r="L96" s="22">
        <v>1.257071024512885E-3</v>
      </c>
      <c r="M96" s="22">
        <v>7.7656633429627558E-4</v>
      </c>
      <c r="N96" s="22">
        <v>2.3347030257751212E-3</v>
      </c>
      <c r="P96" s="27">
        <v>2</v>
      </c>
      <c r="Q96" s="27">
        <v>2</v>
      </c>
      <c r="R96" s="27">
        <v>2</v>
      </c>
      <c r="S96" s="22">
        <v>0</v>
      </c>
      <c r="T96" s="22">
        <v>1.6949152542372881E-2</v>
      </c>
      <c r="U96" s="22">
        <v>1.4492753623188406E-2</v>
      </c>
      <c r="X96" s="27">
        <v>0</v>
      </c>
      <c r="Y96" s="27">
        <v>0</v>
      </c>
      <c r="Z96" s="27">
        <v>0</v>
      </c>
      <c r="AA96" s="22">
        <v>0</v>
      </c>
      <c r="AB96" s="22">
        <v>0</v>
      </c>
      <c r="AC96" s="22">
        <v>0</v>
      </c>
      <c r="AE96" s="27">
        <v>0</v>
      </c>
      <c r="AF96" s="27">
        <v>0</v>
      </c>
      <c r="AG96" s="27">
        <v>0</v>
      </c>
      <c r="AH96" s="22">
        <v>0</v>
      </c>
      <c r="AI96" s="22">
        <v>0</v>
      </c>
      <c r="AJ96" s="22">
        <v>0</v>
      </c>
      <c r="AL96" s="27">
        <v>0</v>
      </c>
      <c r="AM96" s="27">
        <v>0</v>
      </c>
      <c r="AN96" s="27">
        <v>0</v>
      </c>
      <c r="AO96" s="22">
        <v>0</v>
      </c>
      <c r="AP96" s="22">
        <v>0</v>
      </c>
      <c r="AQ96" s="22">
        <v>0</v>
      </c>
    </row>
  </sheetData>
  <mergeCells count="20">
    <mergeCell ref="AI5:AJ5"/>
    <mergeCell ref="AP5:AQ5"/>
    <mergeCell ref="B6:D6"/>
    <mergeCell ref="E6:G6"/>
    <mergeCell ref="I6:K6"/>
    <mergeCell ref="L6:N6"/>
    <mergeCell ref="P6:R6"/>
    <mergeCell ref="S6:U6"/>
    <mergeCell ref="X6:Z6"/>
    <mergeCell ref="AA6:AC6"/>
    <mergeCell ref="AN5:AO5"/>
    <mergeCell ref="AE5:AF5"/>
    <mergeCell ref="AG5:AH5"/>
    <mergeCell ref="AL5:AM5"/>
    <mergeCell ref="B4:E4"/>
    <mergeCell ref="I4:L4"/>
    <mergeCell ref="P4:S4"/>
    <mergeCell ref="Z4:AA4"/>
    <mergeCell ref="B3:S3"/>
    <mergeCell ref="X3:AO3"/>
  </mergeCells>
  <conditionalFormatting sqref="A6">
    <cfRule type="duplicateValues" dxfId="14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2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" sqref="D1"/>
    </sheetView>
  </sheetViews>
  <sheetFormatPr defaultRowHeight="15" x14ac:dyDescent="0.25"/>
  <cols>
    <col min="1" max="1" width="21.7109375" customWidth="1"/>
    <col min="2" max="2" width="10.28515625" customWidth="1"/>
    <col min="3" max="3" width="10.28515625" style="48" customWidth="1"/>
    <col min="4" max="4" width="10.28515625" style="88" customWidth="1"/>
    <col min="5" max="5" width="10.28515625" style="48" customWidth="1"/>
    <col min="6" max="7" width="10.28515625" customWidth="1"/>
    <col min="8" max="8" width="10.28515625" style="48" customWidth="1"/>
    <col min="9" max="9" width="10.28515625" style="88" customWidth="1"/>
    <col min="10" max="10" width="10.28515625" style="48" customWidth="1"/>
    <col min="11" max="12" width="10.28515625" customWidth="1"/>
    <col min="13" max="13" width="10.28515625" style="48" customWidth="1"/>
    <col min="14" max="14" width="10.28515625" style="88" customWidth="1"/>
    <col min="15" max="18" width="10.28515625" customWidth="1"/>
    <col min="19" max="19" width="10.28515625" style="48" customWidth="1"/>
    <col min="20" max="20" width="10.28515625" style="88" customWidth="1"/>
    <col min="21" max="21" width="10.28515625" style="48" customWidth="1"/>
    <col min="22" max="23" width="10.28515625" customWidth="1"/>
    <col min="24" max="24" width="10.28515625" style="48" customWidth="1"/>
    <col min="25" max="25" width="10.28515625" style="88" customWidth="1"/>
    <col min="26" max="26" width="10.28515625" style="48" customWidth="1"/>
    <col min="27" max="28" width="10.28515625" customWidth="1"/>
    <col min="29" max="29" width="10.28515625" style="48" customWidth="1"/>
    <col min="30" max="30" width="10.28515625" style="88" customWidth="1"/>
    <col min="31" max="31" width="10.28515625" style="48" customWidth="1"/>
    <col min="32" max="43" width="10.28515625" customWidth="1"/>
  </cols>
  <sheetData>
    <row r="1" spans="1:43" x14ac:dyDescent="0.25">
      <c r="A1" s="30" t="s">
        <v>0</v>
      </c>
      <c r="B1" s="85" t="s">
        <v>153</v>
      </c>
      <c r="C1" s="96"/>
      <c r="D1" s="146"/>
      <c r="E1" s="54"/>
    </row>
    <row r="2" spans="1:43" x14ac:dyDescent="0.25">
      <c r="A2" s="42" t="s">
        <v>177</v>
      </c>
      <c r="B2" s="42"/>
      <c r="C2" s="108"/>
      <c r="D2" s="15"/>
      <c r="E2" s="105"/>
    </row>
    <row r="3" spans="1:43" x14ac:dyDescent="0.25">
      <c r="A3" s="40" t="s">
        <v>199</v>
      </c>
      <c r="B3" s="172" t="s">
        <v>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48"/>
      <c r="U3" s="20"/>
      <c r="X3" s="173" t="s">
        <v>92</v>
      </c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</row>
    <row r="4" spans="1:43" x14ac:dyDescent="0.25">
      <c r="A4" s="30" t="s">
        <v>4</v>
      </c>
      <c r="B4" s="166" t="s">
        <v>3</v>
      </c>
      <c r="C4" s="166"/>
      <c r="D4" s="166"/>
      <c r="E4" s="166"/>
      <c r="F4" s="166"/>
      <c r="G4" s="166"/>
      <c r="H4"/>
      <c r="I4" s="39" t="s">
        <v>95</v>
      </c>
      <c r="J4" s="39"/>
      <c r="K4" s="39"/>
      <c r="L4" s="39"/>
      <c r="M4" s="143"/>
      <c r="N4" s="143"/>
      <c r="O4" s="21"/>
      <c r="P4" s="171" t="s">
        <v>81</v>
      </c>
      <c r="Q4" s="171"/>
      <c r="R4" s="171"/>
      <c r="S4" s="171"/>
      <c r="T4" s="171"/>
      <c r="U4" s="171"/>
      <c r="X4" s="166" t="s">
        <v>3</v>
      </c>
      <c r="Y4" s="166"/>
      <c r="Z4" s="166"/>
      <c r="AA4" s="166"/>
      <c r="AB4" s="166"/>
      <c r="AC4" s="166"/>
      <c r="AD4"/>
      <c r="AE4" s="176" t="s">
        <v>95</v>
      </c>
      <c r="AF4" s="176"/>
      <c r="AG4" s="176"/>
      <c r="AH4" s="176"/>
      <c r="AI4" s="176"/>
      <c r="AJ4" s="176"/>
      <c r="AL4" s="176" t="s">
        <v>81</v>
      </c>
      <c r="AM4" s="176"/>
      <c r="AN4" s="176"/>
      <c r="AO4" s="176"/>
      <c r="AP4" s="176"/>
      <c r="AQ4" s="176"/>
    </row>
    <row r="5" spans="1:43" s="98" customFormat="1" x14ac:dyDescent="0.25">
      <c r="A5" s="144"/>
      <c r="B5" s="40" t="s">
        <v>12</v>
      </c>
      <c r="C5" s="155" t="s">
        <v>164</v>
      </c>
      <c r="D5" s="40" t="s">
        <v>195</v>
      </c>
      <c r="E5" s="40" t="s">
        <v>12</v>
      </c>
      <c r="F5" s="40" t="s">
        <v>164</v>
      </c>
      <c r="G5" s="40" t="s">
        <v>195</v>
      </c>
      <c r="I5" s="40" t="s">
        <v>12</v>
      </c>
      <c r="J5" s="155" t="s">
        <v>164</v>
      </c>
      <c r="K5" s="40" t="s">
        <v>195</v>
      </c>
      <c r="L5" s="40" t="s">
        <v>12</v>
      </c>
      <c r="M5" s="40" t="s">
        <v>164</v>
      </c>
      <c r="N5" s="40" t="s">
        <v>195</v>
      </c>
      <c r="O5" s="145"/>
      <c r="P5" s="40" t="s">
        <v>12</v>
      </c>
      <c r="Q5" s="155" t="s">
        <v>164</v>
      </c>
      <c r="R5" s="40" t="s">
        <v>195</v>
      </c>
      <c r="S5" s="40" t="s">
        <v>12</v>
      </c>
      <c r="T5" s="40" t="s">
        <v>164</v>
      </c>
      <c r="U5" s="40" t="s">
        <v>195</v>
      </c>
      <c r="X5" s="40" t="s">
        <v>12</v>
      </c>
      <c r="Y5" s="155" t="s">
        <v>164</v>
      </c>
      <c r="Z5" s="40" t="s">
        <v>195</v>
      </c>
      <c r="AA5" s="40" t="s">
        <v>12</v>
      </c>
      <c r="AB5" s="40" t="s">
        <v>164</v>
      </c>
      <c r="AC5" s="40" t="s">
        <v>195</v>
      </c>
      <c r="AE5" s="40" t="s">
        <v>12</v>
      </c>
      <c r="AF5" s="155" t="s">
        <v>164</v>
      </c>
      <c r="AG5" s="40" t="s">
        <v>195</v>
      </c>
      <c r="AH5" s="40" t="s">
        <v>12</v>
      </c>
      <c r="AI5" s="40" t="s">
        <v>164</v>
      </c>
      <c r="AJ5" s="40" t="s">
        <v>195</v>
      </c>
      <c r="AL5" s="40" t="s">
        <v>12</v>
      </c>
      <c r="AM5" s="155" t="s">
        <v>164</v>
      </c>
      <c r="AN5" s="40" t="s">
        <v>195</v>
      </c>
      <c r="AO5" s="40" t="s">
        <v>12</v>
      </c>
      <c r="AP5" s="40" t="s">
        <v>164</v>
      </c>
      <c r="AQ5" s="40" t="s">
        <v>195</v>
      </c>
    </row>
    <row r="6" spans="1:43" s="34" customFormat="1" ht="38.25" customHeight="1" x14ac:dyDescent="0.25">
      <c r="A6" s="41" t="s">
        <v>9</v>
      </c>
      <c r="B6" s="174" t="s">
        <v>178</v>
      </c>
      <c r="C6" s="174"/>
      <c r="D6" s="174"/>
      <c r="E6" s="174" t="s">
        <v>200</v>
      </c>
      <c r="F6" s="174"/>
      <c r="G6" s="174"/>
      <c r="I6" s="174" t="s">
        <v>178</v>
      </c>
      <c r="J6" s="174"/>
      <c r="K6" s="174"/>
      <c r="L6" s="174" t="s">
        <v>200</v>
      </c>
      <c r="M6" s="174"/>
      <c r="N6" s="174"/>
      <c r="P6" s="174" t="s">
        <v>178</v>
      </c>
      <c r="Q6" s="174"/>
      <c r="R6" s="174"/>
      <c r="S6" s="174" t="s">
        <v>200</v>
      </c>
      <c r="T6" s="174"/>
      <c r="U6" s="174"/>
      <c r="V6"/>
      <c r="W6"/>
      <c r="X6" s="174" t="s">
        <v>178</v>
      </c>
      <c r="Y6" s="174"/>
      <c r="Z6" s="174"/>
      <c r="AA6" s="174" t="s">
        <v>200</v>
      </c>
      <c r="AB6" s="174"/>
      <c r="AC6" s="174"/>
      <c r="AE6" s="174" t="s">
        <v>178</v>
      </c>
      <c r="AF6" s="174"/>
      <c r="AG6" s="174"/>
      <c r="AH6" s="174" t="s">
        <v>200</v>
      </c>
      <c r="AI6" s="174"/>
      <c r="AJ6" s="174"/>
      <c r="AL6" s="174" t="s">
        <v>178</v>
      </c>
      <c r="AM6" s="174"/>
      <c r="AN6" s="174"/>
      <c r="AO6" s="174" t="s">
        <v>200</v>
      </c>
      <c r="AP6" s="174"/>
      <c r="AQ6" s="174"/>
    </row>
    <row r="7" spans="1:43" x14ac:dyDescent="0.25">
      <c r="A7" s="9" t="s">
        <v>201</v>
      </c>
      <c r="B7" s="10" t="s">
        <v>12</v>
      </c>
      <c r="C7" s="10" t="s">
        <v>164</v>
      </c>
      <c r="D7" s="10" t="s">
        <v>195</v>
      </c>
      <c r="E7" s="10" t="s">
        <v>12</v>
      </c>
      <c r="F7" s="10" t="s">
        <v>164</v>
      </c>
      <c r="G7" s="10" t="s">
        <v>195</v>
      </c>
      <c r="H7"/>
      <c r="I7" s="10" t="s">
        <v>12</v>
      </c>
      <c r="J7" s="10" t="s">
        <v>164</v>
      </c>
      <c r="K7" s="10" t="s">
        <v>195</v>
      </c>
      <c r="L7" s="10" t="s">
        <v>12</v>
      </c>
      <c r="M7" s="10" t="s">
        <v>164</v>
      </c>
      <c r="N7" s="10" t="s">
        <v>195</v>
      </c>
      <c r="P7" s="10" t="s">
        <v>12</v>
      </c>
      <c r="Q7" s="10" t="s">
        <v>164</v>
      </c>
      <c r="R7" s="10" t="s">
        <v>195</v>
      </c>
      <c r="S7" s="10" t="s">
        <v>12</v>
      </c>
      <c r="T7" s="10" t="s">
        <v>164</v>
      </c>
      <c r="U7" s="10" t="s">
        <v>195</v>
      </c>
      <c r="X7" s="10" t="s">
        <v>12</v>
      </c>
      <c r="Y7" s="10" t="s">
        <v>164</v>
      </c>
      <c r="Z7" s="10" t="s">
        <v>195</v>
      </c>
      <c r="AA7" s="10" t="s">
        <v>12</v>
      </c>
      <c r="AB7" s="10" t="s">
        <v>164</v>
      </c>
      <c r="AC7" s="10" t="s">
        <v>195</v>
      </c>
      <c r="AD7"/>
      <c r="AE7" s="10" t="s">
        <v>12</v>
      </c>
      <c r="AF7" s="10" t="s">
        <v>164</v>
      </c>
      <c r="AG7" s="10" t="s">
        <v>195</v>
      </c>
      <c r="AH7" s="10" t="s">
        <v>12</v>
      </c>
      <c r="AI7" s="10" t="s">
        <v>164</v>
      </c>
      <c r="AJ7" s="10" t="s">
        <v>195</v>
      </c>
      <c r="AL7" s="10" t="s">
        <v>12</v>
      </c>
      <c r="AM7" s="10" t="s">
        <v>164</v>
      </c>
      <c r="AN7" s="10" t="s">
        <v>195</v>
      </c>
      <c r="AO7" s="10" t="s">
        <v>12</v>
      </c>
      <c r="AP7" s="10" t="s">
        <v>164</v>
      </c>
      <c r="AQ7" s="10" t="s">
        <v>195</v>
      </c>
    </row>
    <row r="8" spans="1:43" x14ac:dyDescent="0.25">
      <c r="A8" s="18" t="s">
        <v>18</v>
      </c>
      <c r="B8" s="19">
        <v>354</v>
      </c>
      <c r="C8" s="19">
        <v>348</v>
      </c>
      <c r="D8" s="19">
        <v>325</v>
      </c>
      <c r="E8" s="20">
        <v>4.0731322847510675E-3</v>
      </c>
      <c r="F8" s="20">
        <v>5.0560818271633634E-3</v>
      </c>
      <c r="G8" s="20">
        <v>4.1535138727363348E-3</v>
      </c>
      <c r="H8"/>
      <c r="I8" s="19">
        <v>23</v>
      </c>
      <c r="J8" s="19">
        <v>10</v>
      </c>
      <c r="K8" s="19">
        <v>4</v>
      </c>
      <c r="L8" s="20">
        <v>8.3605961468556887E-3</v>
      </c>
      <c r="M8" s="20">
        <v>4.253509145044662E-3</v>
      </c>
      <c r="N8" s="20">
        <v>1.4705882352941176E-3</v>
      </c>
      <c r="P8" s="19">
        <v>0</v>
      </c>
      <c r="Q8" s="19">
        <v>1</v>
      </c>
      <c r="R8" s="19">
        <v>0</v>
      </c>
      <c r="S8" s="20">
        <v>0</v>
      </c>
      <c r="T8" s="20">
        <v>6.4766839378238344E-4</v>
      </c>
      <c r="U8" s="20">
        <v>0</v>
      </c>
      <c r="X8" s="19">
        <v>291</v>
      </c>
      <c r="Y8" s="19">
        <v>311</v>
      </c>
      <c r="Z8" s="19">
        <v>297</v>
      </c>
      <c r="AA8" s="20">
        <v>5.1352639102122928E-3</v>
      </c>
      <c r="AB8" s="20">
        <v>6.8091255418837853E-3</v>
      </c>
      <c r="AC8" s="20">
        <v>5.8645814821396839E-3</v>
      </c>
      <c r="AD8"/>
      <c r="AE8" s="19">
        <v>9</v>
      </c>
      <c r="AF8" s="19">
        <v>19</v>
      </c>
      <c r="AG8" s="19">
        <v>2</v>
      </c>
      <c r="AH8" s="20">
        <v>2.0881670533642691E-2</v>
      </c>
      <c r="AI8" s="20">
        <v>5.1912568306010931E-2</v>
      </c>
      <c r="AJ8" s="20">
        <v>4.830917874396135E-3</v>
      </c>
      <c r="AL8" s="19">
        <v>0</v>
      </c>
      <c r="AM8" s="19">
        <v>0</v>
      </c>
      <c r="AN8" s="19">
        <v>0</v>
      </c>
      <c r="AO8" s="20">
        <v>0</v>
      </c>
      <c r="AP8" s="20">
        <v>0</v>
      </c>
      <c r="AQ8" s="20">
        <v>0</v>
      </c>
    </row>
    <row r="9" spans="1:43" x14ac:dyDescent="0.25">
      <c r="A9" s="18" t="s">
        <v>19</v>
      </c>
      <c r="B9" s="19">
        <v>28</v>
      </c>
      <c r="C9" s="19">
        <v>26</v>
      </c>
      <c r="D9" s="19">
        <v>19</v>
      </c>
      <c r="E9" s="20">
        <v>2.2743370307555347E-5</v>
      </c>
      <c r="F9" s="20">
        <v>2.0989577867297431E-5</v>
      </c>
      <c r="G9" s="20">
        <v>1.5337906182064176E-5</v>
      </c>
      <c r="H9"/>
      <c r="I9" s="19">
        <v>2</v>
      </c>
      <c r="J9" s="19">
        <v>333</v>
      </c>
      <c r="K9" s="19">
        <v>5</v>
      </c>
      <c r="L9" s="20">
        <v>2.1613677134890959E-5</v>
      </c>
      <c r="M9" s="20">
        <v>3.5144747812687993E-3</v>
      </c>
      <c r="N9" s="20">
        <v>5.1978293864482189E-5</v>
      </c>
      <c r="P9" s="19">
        <v>0</v>
      </c>
      <c r="Q9" s="19">
        <v>1</v>
      </c>
      <c r="R9" s="19">
        <v>0</v>
      </c>
      <c r="S9" s="20">
        <v>0</v>
      </c>
      <c r="T9" s="20">
        <v>8.3444592790387181E-5</v>
      </c>
      <c r="U9" s="20">
        <v>0</v>
      </c>
      <c r="X9" s="19">
        <v>3</v>
      </c>
      <c r="Y9" s="19">
        <v>2</v>
      </c>
      <c r="Z9" s="19">
        <v>5</v>
      </c>
      <c r="AA9" s="20">
        <v>4.4171432273415277E-6</v>
      </c>
      <c r="AB9" s="20">
        <v>2.9244682951080958E-6</v>
      </c>
      <c r="AC9" s="20">
        <v>7.286622198840261E-6</v>
      </c>
      <c r="AD9"/>
      <c r="AE9" s="19">
        <v>0</v>
      </c>
      <c r="AF9" s="19">
        <v>2</v>
      </c>
      <c r="AG9" s="19">
        <v>0</v>
      </c>
      <c r="AH9" s="20">
        <v>0</v>
      </c>
      <c r="AI9" s="20">
        <v>1.1574074074074075E-4</v>
      </c>
      <c r="AJ9" s="20">
        <v>0</v>
      </c>
      <c r="AL9" s="19">
        <v>0</v>
      </c>
      <c r="AM9" s="19">
        <v>3</v>
      </c>
      <c r="AN9" s="19">
        <v>0</v>
      </c>
      <c r="AO9" s="20">
        <v>0</v>
      </c>
      <c r="AP9" s="20">
        <v>1.869158878504673E-3</v>
      </c>
      <c r="AQ9" s="20">
        <v>0</v>
      </c>
    </row>
    <row r="10" spans="1:43" x14ac:dyDescent="0.25">
      <c r="A10" s="18" t="s">
        <v>20</v>
      </c>
      <c r="B10" s="19">
        <v>3</v>
      </c>
      <c r="C10" s="19">
        <v>0</v>
      </c>
      <c r="D10" s="19">
        <v>0</v>
      </c>
      <c r="E10" s="20">
        <v>1.0384934921074495E-5</v>
      </c>
      <c r="F10" s="20">
        <v>0</v>
      </c>
      <c r="G10" s="20">
        <v>0</v>
      </c>
      <c r="H10"/>
      <c r="I10" s="19">
        <v>0</v>
      </c>
      <c r="J10" s="19">
        <v>0</v>
      </c>
      <c r="K10" s="19">
        <v>0</v>
      </c>
      <c r="L10" s="20">
        <v>0</v>
      </c>
      <c r="M10" s="20">
        <v>0</v>
      </c>
      <c r="N10" s="20">
        <v>0</v>
      </c>
      <c r="P10" s="19">
        <v>0</v>
      </c>
      <c r="Q10" s="19">
        <v>0</v>
      </c>
      <c r="R10" s="19">
        <v>0</v>
      </c>
      <c r="S10" s="20">
        <v>0</v>
      </c>
      <c r="T10" s="20">
        <v>0</v>
      </c>
      <c r="U10" s="20">
        <v>0</v>
      </c>
      <c r="X10" s="19">
        <v>0</v>
      </c>
      <c r="Y10" s="19">
        <v>0</v>
      </c>
      <c r="Z10" s="19">
        <v>0</v>
      </c>
      <c r="AA10" s="20">
        <v>0</v>
      </c>
      <c r="AB10" s="20">
        <v>0</v>
      </c>
      <c r="AC10" s="20">
        <v>0</v>
      </c>
      <c r="AD10"/>
      <c r="AE10" s="19">
        <v>0</v>
      </c>
      <c r="AF10" s="19">
        <v>0</v>
      </c>
      <c r="AG10" s="19">
        <v>0</v>
      </c>
      <c r="AH10" s="20">
        <v>0</v>
      </c>
      <c r="AI10" s="20">
        <v>0</v>
      </c>
      <c r="AJ10" s="20">
        <v>0</v>
      </c>
      <c r="AL10" s="19">
        <v>0</v>
      </c>
      <c r="AM10" s="19">
        <v>0</v>
      </c>
      <c r="AN10" s="19">
        <v>0</v>
      </c>
      <c r="AO10" s="20">
        <v>0</v>
      </c>
      <c r="AP10" s="20">
        <v>0</v>
      </c>
      <c r="AQ10" s="20">
        <v>0</v>
      </c>
    </row>
    <row r="11" spans="1:43" x14ac:dyDescent="0.25">
      <c r="A11" s="18" t="s">
        <v>21</v>
      </c>
      <c r="B11" s="19">
        <v>2</v>
      </c>
      <c r="C11" s="19">
        <v>0</v>
      </c>
      <c r="D11" s="19">
        <v>2</v>
      </c>
      <c r="E11" s="20">
        <v>2.158079309414621E-5</v>
      </c>
      <c r="F11" s="20">
        <v>0</v>
      </c>
      <c r="G11" s="20">
        <v>2.1350185746615995E-5</v>
      </c>
      <c r="H11"/>
      <c r="I11" s="19">
        <v>0</v>
      </c>
      <c r="J11" s="19">
        <v>0</v>
      </c>
      <c r="K11" s="19">
        <v>0</v>
      </c>
      <c r="L11" s="20">
        <v>0</v>
      </c>
      <c r="M11" s="20">
        <v>0</v>
      </c>
      <c r="N11" s="20">
        <v>0</v>
      </c>
      <c r="P11" s="19">
        <v>0</v>
      </c>
      <c r="Q11" s="19">
        <v>0</v>
      </c>
      <c r="R11" s="19">
        <v>0</v>
      </c>
      <c r="S11" s="20">
        <v>0</v>
      </c>
      <c r="T11" s="20">
        <v>0</v>
      </c>
      <c r="U11" s="20">
        <v>0</v>
      </c>
      <c r="X11" s="19">
        <v>0</v>
      </c>
      <c r="Y11" s="19">
        <v>0</v>
      </c>
      <c r="Z11" s="19">
        <v>0</v>
      </c>
      <c r="AA11" s="20">
        <v>0</v>
      </c>
      <c r="AB11" s="20">
        <v>0</v>
      </c>
      <c r="AC11" s="20">
        <v>0</v>
      </c>
      <c r="AD11"/>
      <c r="AE11" s="19">
        <v>0</v>
      </c>
      <c r="AF11" s="19">
        <v>0</v>
      </c>
      <c r="AG11" s="19">
        <v>0</v>
      </c>
      <c r="AH11" s="20">
        <v>0</v>
      </c>
      <c r="AI11" s="20">
        <v>0</v>
      </c>
      <c r="AJ11" s="20">
        <v>0</v>
      </c>
      <c r="AL11" s="19">
        <v>0</v>
      </c>
      <c r="AM11" s="19">
        <v>0</v>
      </c>
      <c r="AN11" s="19">
        <v>0</v>
      </c>
      <c r="AO11" s="20">
        <v>0</v>
      </c>
      <c r="AP11" s="20">
        <v>0</v>
      </c>
      <c r="AQ11" s="20">
        <v>0</v>
      </c>
    </row>
    <row r="12" spans="1:43" x14ac:dyDescent="0.25">
      <c r="A12" s="18" t="s">
        <v>22</v>
      </c>
      <c r="B12" s="19">
        <v>4040</v>
      </c>
      <c r="C12" s="19">
        <v>8696</v>
      </c>
      <c r="D12" s="19">
        <v>7649</v>
      </c>
      <c r="E12" s="20">
        <v>0.2049616965146365</v>
      </c>
      <c r="F12" s="20">
        <v>0.59770430957454124</v>
      </c>
      <c r="G12" s="20">
        <v>1.0944341107454572</v>
      </c>
      <c r="H12"/>
      <c r="I12" s="19">
        <v>57</v>
      </c>
      <c r="J12" s="19">
        <v>70</v>
      </c>
      <c r="K12" s="19">
        <v>125</v>
      </c>
      <c r="L12" s="20">
        <v>1.52E-2</v>
      </c>
      <c r="M12" s="20">
        <v>1.9455252918287938E-2</v>
      </c>
      <c r="N12" s="20">
        <v>3.5211267605633804E-2</v>
      </c>
      <c r="P12" s="19">
        <v>10</v>
      </c>
      <c r="Q12" s="19">
        <v>17</v>
      </c>
      <c r="R12" s="19">
        <v>7</v>
      </c>
      <c r="S12" s="20">
        <v>4.8520135856380394E-3</v>
      </c>
      <c r="T12" s="20">
        <v>8.5255767301905712E-3</v>
      </c>
      <c r="U12" s="20">
        <v>3.6591740721380033E-3</v>
      </c>
      <c r="X12" s="19">
        <v>0</v>
      </c>
      <c r="Y12" s="19">
        <v>0</v>
      </c>
      <c r="Z12" s="19">
        <v>0</v>
      </c>
      <c r="AA12" s="20">
        <v>0</v>
      </c>
      <c r="AB12" s="20">
        <v>0</v>
      </c>
      <c r="AC12" s="20">
        <v>0</v>
      </c>
      <c r="AD12"/>
      <c r="AE12" s="19">
        <v>0</v>
      </c>
      <c r="AF12" s="19">
        <v>0</v>
      </c>
      <c r="AG12" s="19">
        <v>0</v>
      </c>
      <c r="AH12" s="20">
        <v>0</v>
      </c>
      <c r="AI12" s="20">
        <v>0</v>
      </c>
      <c r="AJ12" s="20">
        <v>0</v>
      </c>
      <c r="AL12" s="19">
        <v>0</v>
      </c>
      <c r="AM12" s="19">
        <v>0</v>
      </c>
      <c r="AN12" s="19">
        <v>0</v>
      </c>
      <c r="AO12" s="20">
        <v>0</v>
      </c>
      <c r="AP12" s="20">
        <v>0</v>
      </c>
      <c r="AQ12" s="20">
        <v>0</v>
      </c>
    </row>
    <row r="13" spans="1:43" x14ac:dyDescent="0.25">
      <c r="A13" s="18" t="s">
        <v>24</v>
      </c>
      <c r="B13" s="19">
        <v>0</v>
      </c>
      <c r="C13" s="19">
        <v>0</v>
      </c>
      <c r="D13" s="19">
        <v>0</v>
      </c>
      <c r="E13" s="20">
        <v>0</v>
      </c>
      <c r="F13" s="20">
        <v>0</v>
      </c>
      <c r="G13" s="20">
        <v>0</v>
      </c>
      <c r="H13"/>
      <c r="I13" s="19">
        <v>1</v>
      </c>
      <c r="J13" s="19">
        <v>0</v>
      </c>
      <c r="K13" s="19">
        <v>4</v>
      </c>
      <c r="L13" s="20">
        <v>1.9428793471925395E-4</v>
      </c>
      <c r="M13" s="20">
        <v>0</v>
      </c>
      <c r="N13" s="20">
        <v>8.0824408971509392E-4</v>
      </c>
      <c r="P13" s="19">
        <v>0</v>
      </c>
      <c r="Q13" s="19">
        <v>0</v>
      </c>
      <c r="R13" s="19">
        <v>0</v>
      </c>
      <c r="S13" s="20">
        <v>0</v>
      </c>
      <c r="T13" s="20">
        <v>0</v>
      </c>
      <c r="U13" s="20">
        <v>0</v>
      </c>
      <c r="X13" s="19">
        <v>0</v>
      </c>
      <c r="Y13" s="19">
        <v>0</v>
      </c>
      <c r="Z13" s="19">
        <v>0</v>
      </c>
      <c r="AA13" s="20">
        <v>0</v>
      </c>
      <c r="AB13" s="20">
        <v>0</v>
      </c>
      <c r="AC13" s="20">
        <v>0</v>
      </c>
      <c r="AD13"/>
      <c r="AE13" s="19">
        <v>0</v>
      </c>
      <c r="AF13" s="19">
        <v>0</v>
      </c>
      <c r="AG13" s="19">
        <v>0</v>
      </c>
      <c r="AH13" s="20">
        <v>0</v>
      </c>
      <c r="AI13" s="20">
        <v>0</v>
      </c>
      <c r="AJ13" s="20">
        <v>0</v>
      </c>
      <c r="AL13" s="19">
        <v>0</v>
      </c>
      <c r="AM13" s="19">
        <v>0</v>
      </c>
      <c r="AN13" s="19">
        <v>0</v>
      </c>
      <c r="AO13" s="20">
        <v>0</v>
      </c>
      <c r="AP13" s="20">
        <v>0</v>
      </c>
      <c r="AQ13" s="20">
        <v>0</v>
      </c>
    </row>
    <row r="14" spans="1:43" x14ac:dyDescent="0.25">
      <c r="A14" s="18" t="s">
        <v>25</v>
      </c>
      <c r="B14" s="19">
        <v>114</v>
      </c>
      <c r="C14" s="19">
        <v>117</v>
      </c>
      <c r="D14" s="19">
        <v>68</v>
      </c>
      <c r="E14" s="20">
        <v>3.2824647279009501E-2</v>
      </c>
      <c r="F14" s="20">
        <v>3.3163265306122451E-2</v>
      </c>
      <c r="G14" s="20">
        <v>1.9063638912251192E-2</v>
      </c>
      <c r="H14"/>
      <c r="I14" s="19">
        <v>102</v>
      </c>
      <c r="J14" s="19">
        <v>78</v>
      </c>
      <c r="K14" s="19">
        <v>91</v>
      </c>
      <c r="L14" s="20">
        <v>2.3261117445838083E-2</v>
      </c>
      <c r="M14" s="20">
        <v>1.6813968527699934E-2</v>
      </c>
      <c r="N14" s="20">
        <v>1.9586741282823936E-2</v>
      </c>
      <c r="P14" s="19">
        <v>0</v>
      </c>
      <c r="Q14" s="19">
        <v>2</v>
      </c>
      <c r="R14" s="19">
        <v>2</v>
      </c>
      <c r="S14" s="20">
        <v>0</v>
      </c>
      <c r="T14" s="20">
        <v>1.3793103448275862E-2</v>
      </c>
      <c r="U14" s="20">
        <v>1.2738853503184714E-2</v>
      </c>
      <c r="X14" s="19">
        <v>52</v>
      </c>
      <c r="Y14" s="19">
        <v>70</v>
      </c>
      <c r="Z14" s="19">
        <v>43</v>
      </c>
      <c r="AA14" s="20">
        <v>2.5540275049115914E-2</v>
      </c>
      <c r="AB14" s="20">
        <v>3.3573141486810551E-2</v>
      </c>
      <c r="AC14" s="20">
        <v>2.0330969267139481E-2</v>
      </c>
      <c r="AD14"/>
      <c r="AE14" s="19">
        <v>26</v>
      </c>
      <c r="AF14" s="19">
        <v>37</v>
      </c>
      <c r="AG14" s="19">
        <v>65</v>
      </c>
      <c r="AH14" s="20">
        <v>1.1850501367365542E-2</v>
      </c>
      <c r="AI14" s="20">
        <v>1.6270888302550572E-2</v>
      </c>
      <c r="AJ14" s="20">
        <v>2.7414592998734711E-2</v>
      </c>
      <c r="AL14" s="19">
        <v>0</v>
      </c>
      <c r="AM14" s="19">
        <v>0</v>
      </c>
      <c r="AN14" s="19">
        <v>0</v>
      </c>
      <c r="AO14" s="20">
        <v>0</v>
      </c>
      <c r="AP14" s="20">
        <v>0</v>
      </c>
      <c r="AQ14" s="20">
        <v>0</v>
      </c>
    </row>
    <row r="15" spans="1:43" x14ac:dyDescent="0.25">
      <c r="A15" s="18" t="s">
        <v>83</v>
      </c>
      <c r="B15" s="19">
        <v>0</v>
      </c>
      <c r="C15" s="19">
        <v>0</v>
      </c>
      <c r="D15" s="19">
        <v>0</v>
      </c>
      <c r="E15" s="20">
        <v>0</v>
      </c>
      <c r="F15" s="20">
        <v>0</v>
      </c>
      <c r="G15" s="20">
        <v>0</v>
      </c>
      <c r="H15"/>
      <c r="I15" s="19">
        <v>0</v>
      </c>
      <c r="J15" s="19">
        <v>0</v>
      </c>
      <c r="K15" s="19">
        <v>0</v>
      </c>
      <c r="L15" s="20">
        <v>0</v>
      </c>
      <c r="M15" s="20">
        <v>0</v>
      </c>
      <c r="N15" s="20">
        <v>0</v>
      </c>
      <c r="P15" s="19">
        <v>0</v>
      </c>
      <c r="Q15" s="19">
        <v>0</v>
      </c>
      <c r="R15" s="19">
        <v>7</v>
      </c>
      <c r="S15" s="20">
        <v>0</v>
      </c>
      <c r="T15" s="20">
        <v>0</v>
      </c>
      <c r="U15" s="20">
        <v>1.1666666666666667</v>
      </c>
      <c r="X15" s="19">
        <v>0</v>
      </c>
      <c r="Y15" s="19">
        <v>0</v>
      </c>
      <c r="Z15" s="19">
        <v>0</v>
      </c>
      <c r="AA15" s="20">
        <v>0</v>
      </c>
      <c r="AB15" s="20">
        <v>0</v>
      </c>
      <c r="AC15" s="20">
        <v>0</v>
      </c>
      <c r="AD15"/>
      <c r="AE15" s="19">
        <v>0</v>
      </c>
      <c r="AF15" s="19">
        <v>0</v>
      </c>
      <c r="AG15" s="19">
        <v>0</v>
      </c>
      <c r="AH15" s="20">
        <v>0</v>
      </c>
      <c r="AI15" s="20">
        <v>0</v>
      </c>
      <c r="AJ15" s="20">
        <v>0</v>
      </c>
      <c r="AL15" s="19">
        <v>0</v>
      </c>
      <c r="AM15" s="19">
        <v>0</v>
      </c>
      <c r="AN15" s="19">
        <v>0</v>
      </c>
      <c r="AO15" s="20">
        <v>0</v>
      </c>
      <c r="AP15" s="20">
        <v>0</v>
      </c>
      <c r="AQ15" s="20">
        <v>0</v>
      </c>
    </row>
    <row r="16" spans="1:43" x14ac:dyDescent="0.25">
      <c r="A16" s="18" t="s">
        <v>28</v>
      </c>
      <c r="B16" s="19">
        <v>1</v>
      </c>
      <c r="C16" s="19">
        <v>0</v>
      </c>
      <c r="D16" s="19">
        <v>0</v>
      </c>
      <c r="E16" s="20">
        <v>2.1860790486183981E-5</v>
      </c>
      <c r="F16" s="20">
        <v>0</v>
      </c>
      <c r="G16" s="20">
        <v>0</v>
      </c>
      <c r="H16"/>
      <c r="I16" s="19">
        <v>0</v>
      </c>
      <c r="J16" s="19">
        <v>0</v>
      </c>
      <c r="K16" s="19">
        <v>0</v>
      </c>
      <c r="L16" s="20">
        <v>0</v>
      </c>
      <c r="M16" s="20">
        <v>0</v>
      </c>
      <c r="N16" s="20">
        <v>0</v>
      </c>
      <c r="P16" s="19">
        <v>0</v>
      </c>
      <c r="Q16" s="19">
        <v>0</v>
      </c>
      <c r="R16" s="19">
        <v>0</v>
      </c>
      <c r="S16" s="20">
        <v>0</v>
      </c>
      <c r="T16" s="20">
        <v>0</v>
      </c>
      <c r="U16" s="20">
        <v>0</v>
      </c>
      <c r="X16" s="19">
        <v>8</v>
      </c>
      <c r="Y16" s="19">
        <v>0</v>
      </c>
      <c r="Z16" s="19">
        <v>0</v>
      </c>
      <c r="AA16" s="20">
        <v>7.7257363592467406E-4</v>
      </c>
      <c r="AB16" s="20">
        <v>0</v>
      </c>
      <c r="AC16" s="20">
        <v>0</v>
      </c>
      <c r="AD16"/>
      <c r="AE16" s="19">
        <v>0</v>
      </c>
      <c r="AF16" s="19">
        <v>0</v>
      </c>
      <c r="AG16" s="19">
        <v>0</v>
      </c>
      <c r="AH16" s="20">
        <v>0</v>
      </c>
      <c r="AI16" s="20">
        <v>0</v>
      </c>
      <c r="AJ16" s="20">
        <v>0</v>
      </c>
      <c r="AL16" s="19">
        <v>0</v>
      </c>
      <c r="AM16" s="19">
        <v>0</v>
      </c>
      <c r="AN16" s="19">
        <v>0</v>
      </c>
      <c r="AO16" s="20">
        <v>0</v>
      </c>
      <c r="AP16" s="20">
        <v>0</v>
      </c>
      <c r="AQ16" s="20">
        <v>0</v>
      </c>
    </row>
    <row r="17" spans="1:43" x14ac:dyDescent="0.25">
      <c r="A17" s="18" t="s">
        <v>30</v>
      </c>
      <c r="B17" s="19">
        <v>2</v>
      </c>
      <c r="C17" s="19">
        <v>1</v>
      </c>
      <c r="D17" s="19">
        <v>23</v>
      </c>
      <c r="E17" s="20">
        <v>2.1701530174892633E-6</v>
      </c>
      <c r="F17" s="20">
        <v>1.0300613092491264E-6</v>
      </c>
      <c r="G17" s="20">
        <v>2.4951696769623154E-5</v>
      </c>
      <c r="H17"/>
      <c r="I17" s="19">
        <v>7</v>
      </c>
      <c r="J17" s="19">
        <v>0</v>
      </c>
      <c r="K17" s="19">
        <v>2</v>
      </c>
      <c r="L17" s="20">
        <v>9.6619691093044761E-5</v>
      </c>
      <c r="M17" s="20">
        <v>0</v>
      </c>
      <c r="N17" s="20">
        <v>2.9034318564543289E-5</v>
      </c>
      <c r="P17" s="19">
        <v>18</v>
      </c>
      <c r="Q17" s="19">
        <v>15</v>
      </c>
      <c r="R17" s="19">
        <v>3</v>
      </c>
      <c r="S17" s="20">
        <v>2.4738867509620671E-3</v>
      </c>
      <c r="T17" s="20">
        <v>1.467997651203758E-3</v>
      </c>
      <c r="U17" s="20">
        <v>3.2418413658958289E-4</v>
      </c>
      <c r="X17" s="19">
        <v>1</v>
      </c>
      <c r="Y17" s="19">
        <v>0</v>
      </c>
      <c r="Z17" s="19">
        <v>9</v>
      </c>
      <c r="AA17" s="20">
        <v>2.5301274931243786E-6</v>
      </c>
      <c r="AB17" s="20">
        <v>0</v>
      </c>
      <c r="AC17" s="20">
        <v>2.2672538014288739E-5</v>
      </c>
      <c r="AD17"/>
      <c r="AE17" s="19">
        <v>0</v>
      </c>
      <c r="AF17" s="19">
        <v>0</v>
      </c>
      <c r="AG17" s="19">
        <v>0</v>
      </c>
      <c r="AH17" s="20">
        <v>0</v>
      </c>
      <c r="AI17" s="20">
        <v>0</v>
      </c>
      <c r="AJ17" s="20">
        <v>0</v>
      </c>
      <c r="AL17" s="19">
        <v>0</v>
      </c>
      <c r="AM17" s="19">
        <v>0</v>
      </c>
      <c r="AN17" s="19">
        <v>0</v>
      </c>
      <c r="AO17" s="20">
        <v>0</v>
      </c>
      <c r="AP17" s="20">
        <v>0</v>
      </c>
      <c r="AQ17" s="20">
        <v>0</v>
      </c>
    </row>
    <row r="18" spans="1:43" x14ac:dyDescent="0.25">
      <c r="A18" s="18" t="s">
        <v>80</v>
      </c>
      <c r="B18" s="19">
        <v>0</v>
      </c>
      <c r="C18" s="19">
        <v>0</v>
      </c>
      <c r="D18" s="19">
        <v>0</v>
      </c>
      <c r="E18" s="20">
        <v>0</v>
      </c>
      <c r="F18" s="20">
        <v>0</v>
      </c>
      <c r="G18" s="20">
        <v>0</v>
      </c>
      <c r="H18"/>
      <c r="I18" s="19">
        <v>7</v>
      </c>
      <c r="J18" s="19">
        <v>6</v>
      </c>
      <c r="K18" s="19">
        <v>6</v>
      </c>
      <c r="L18" s="20">
        <v>1.6241299303944315E-2</v>
      </c>
      <c r="M18" s="20">
        <v>1.4084507042253521E-2</v>
      </c>
      <c r="N18" s="20">
        <v>1.4669926650366748E-2</v>
      </c>
      <c r="P18" s="19">
        <v>14</v>
      </c>
      <c r="Q18" s="19">
        <v>9</v>
      </c>
      <c r="R18" s="19">
        <v>10</v>
      </c>
      <c r="S18" s="20">
        <v>5.0395968322534193E-3</v>
      </c>
      <c r="T18" s="20">
        <v>3.2281205164992827E-3</v>
      </c>
      <c r="U18" s="20">
        <v>3.4794711203897009E-3</v>
      </c>
      <c r="X18" s="19">
        <v>0</v>
      </c>
      <c r="Y18" s="19">
        <v>0</v>
      </c>
      <c r="Z18" s="19">
        <v>0</v>
      </c>
      <c r="AA18" s="20">
        <v>0</v>
      </c>
      <c r="AB18" s="20">
        <v>0</v>
      </c>
      <c r="AC18" s="20">
        <v>0</v>
      </c>
      <c r="AD18"/>
      <c r="AE18" s="19">
        <v>0</v>
      </c>
      <c r="AF18" s="19">
        <v>0</v>
      </c>
      <c r="AG18" s="19">
        <v>0</v>
      </c>
      <c r="AH18" s="20">
        <v>0</v>
      </c>
      <c r="AI18" s="20">
        <v>0</v>
      </c>
      <c r="AJ18" s="20">
        <v>0</v>
      </c>
      <c r="AL18" s="19">
        <v>0</v>
      </c>
      <c r="AM18" s="19">
        <v>0</v>
      </c>
      <c r="AN18" s="19">
        <v>0</v>
      </c>
      <c r="AO18" s="20">
        <v>0</v>
      </c>
      <c r="AP18" s="20">
        <v>0</v>
      </c>
      <c r="AQ18" s="20">
        <v>0</v>
      </c>
    </row>
    <row r="19" spans="1:43" x14ac:dyDescent="0.25">
      <c r="A19" s="18" t="s">
        <v>39</v>
      </c>
      <c r="B19" s="19">
        <v>0</v>
      </c>
      <c r="C19" s="19">
        <v>0</v>
      </c>
      <c r="D19" s="19">
        <v>2</v>
      </c>
      <c r="E19" s="20">
        <v>0</v>
      </c>
      <c r="F19" s="20">
        <v>0</v>
      </c>
      <c r="G19" s="20">
        <v>7.874015748031496E-4</v>
      </c>
      <c r="H19"/>
      <c r="I19" s="19">
        <v>0</v>
      </c>
      <c r="J19" s="19">
        <v>0</v>
      </c>
      <c r="K19" s="19">
        <v>0</v>
      </c>
      <c r="L19" s="20">
        <v>0</v>
      </c>
      <c r="M19" s="20">
        <v>0</v>
      </c>
      <c r="N19" s="20">
        <v>0</v>
      </c>
      <c r="P19" s="19">
        <v>0</v>
      </c>
      <c r="Q19" s="19">
        <v>0</v>
      </c>
      <c r="R19" s="19">
        <v>0</v>
      </c>
      <c r="S19" s="20">
        <v>0</v>
      </c>
      <c r="T19" s="20">
        <v>0</v>
      </c>
      <c r="U19" s="20">
        <v>0</v>
      </c>
      <c r="X19" s="19">
        <v>0</v>
      </c>
      <c r="Y19" s="19">
        <v>0</v>
      </c>
      <c r="Z19" s="19">
        <v>0</v>
      </c>
      <c r="AA19" s="20">
        <v>0</v>
      </c>
      <c r="AB19" s="20">
        <v>0</v>
      </c>
      <c r="AC19" s="20">
        <v>0</v>
      </c>
      <c r="AD19"/>
      <c r="AE19" s="19">
        <v>0</v>
      </c>
      <c r="AF19" s="19">
        <v>0</v>
      </c>
      <c r="AG19" s="19">
        <v>0</v>
      </c>
      <c r="AH19" s="20">
        <v>0</v>
      </c>
      <c r="AI19" s="20">
        <v>0</v>
      </c>
      <c r="AJ19" s="20">
        <v>0</v>
      </c>
      <c r="AL19" s="19">
        <v>0</v>
      </c>
      <c r="AM19" s="19">
        <v>0</v>
      </c>
      <c r="AN19" s="19">
        <v>0</v>
      </c>
      <c r="AO19" s="20">
        <v>0</v>
      </c>
      <c r="AP19" s="20">
        <v>0</v>
      </c>
      <c r="AQ19" s="20">
        <v>0</v>
      </c>
    </row>
    <row r="20" spans="1:43" x14ac:dyDescent="0.25">
      <c r="A20" s="18" t="s">
        <v>43</v>
      </c>
      <c r="B20" s="19">
        <v>44</v>
      </c>
      <c r="C20" s="19">
        <v>58</v>
      </c>
      <c r="D20" s="19">
        <v>32</v>
      </c>
      <c r="E20" s="20">
        <v>2.9621790327542946E-5</v>
      </c>
      <c r="F20" s="20">
        <v>3.9148902851997576E-5</v>
      </c>
      <c r="G20" s="20">
        <v>2.139834149479452E-5</v>
      </c>
      <c r="H20"/>
      <c r="I20" s="19">
        <v>4</v>
      </c>
      <c r="J20" s="19">
        <v>12</v>
      </c>
      <c r="K20" s="19">
        <v>18</v>
      </c>
      <c r="L20" s="20">
        <v>2.6461676876463661E-5</v>
      </c>
      <c r="M20" s="20">
        <v>8.0850547762461095E-5</v>
      </c>
      <c r="N20" s="20">
        <v>1.2148044164889452E-4</v>
      </c>
      <c r="P20" s="19">
        <v>0</v>
      </c>
      <c r="Q20" s="19">
        <v>0</v>
      </c>
      <c r="R20" s="19">
        <v>5</v>
      </c>
      <c r="S20" s="20">
        <v>0</v>
      </c>
      <c r="T20" s="20">
        <v>0</v>
      </c>
      <c r="U20" s="20">
        <v>2.8880032345636225E-4</v>
      </c>
      <c r="X20" s="19">
        <v>12</v>
      </c>
      <c r="Y20" s="19">
        <v>12</v>
      </c>
      <c r="Z20" s="19">
        <v>3</v>
      </c>
      <c r="AA20" s="20">
        <v>2.4623264059883779E-5</v>
      </c>
      <c r="AB20" s="20">
        <v>2.4436384962663239E-5</v>
      </c>
      <c r="AC20" s="20">
        <v>6.0107713021734948E-6</v>
      </c>
      <c r="AD20"/>
      <c r="AE20" s="19">
        <v>10</v>
      </c>
      <c r="AF20" s="19">
        <v>4</v>
      </c>
      <c r="AG20" s="19">
        <v>2</v>
      </c>
      <c r="AH20" s="20">
        <v>3.1672631678966208E-4</v>
      </c>
      <c r="AI20" s="20">
        <v>1.2396566151176124E-4</v>
      </c>
      <c r="AJ20" s="20">
        <v>5.9792519955753535E-5</v>
      </c>
      <c r="AL20" s="19">
        <v>0</v>
      </c>
      <c r="AM20" s="19">
        <v>0</v>
      </c>
      <c r="AN20" s="19">
        <v>0</v>
      </c>
      <c r="AO20" s="20">
        <v>0</v>
      </c>
      <c r="AP20" s="20">
        <v>0</v>
      </c>
      <c r="AQ20" s="20">
        <v>0</v>
      </c>
    </row>
    <row r="21" spans="1:43" x14ac:dyDescent="0.25">
      <c r="A21" s="18" t="s">
        <v>126</v>
      </c>
      <c r="B21" s="19">
        <v>0</v>
      </c>
      <c r="C21" s="19">
        <v>1</v>
      </c>
      <c r="D21" s="19">
        <v>1</v>
      </c>
      <c r="E21" s="20">
        <v>0</v>
      </c>
      <c r="F21" s="20">
        <v>2.1835014629459801E-5</v>
      </c>
      <c r="G21" s="20">
        <v>2.1480431327061047E-5</v>
      </c>
      <c r="H21"/>
      <c r="I21" s="19">
        <v>0</v>
      </c>
      <c r="J21" s="19">
        <v>0</v>
      </c>
      <c r="K21" s="19">
        <v>0</v>
      </c>
      <c r="L21" s="20">
        <v>0</v>
      </c>
      <c r="M21" s="20">
        <v>0</v>
      </c>
      <c r="N21" s="20">
        <v>0</v>
      </c>
      <c r="P21" s="19">
        <v>0</v>
      </c>
      <c r="Q21" s="19">
        <v>0</v>
      </c>
      <c r="R21" s="19">
        <v>0</v>
      </c>
      <c r="S21" s="20">
        <v>0</v>
      </c>
      <c r="T21" s="20">
        <v>0</v>
      </c>
      <c r="U21" s="20">
        <v>0</v>
      </c>
      <c r="X21" s="19">
        <v>0</v>
      </c>
      <c r="Y21" s="19">
        <v>0</v>
      </c>
      <c r="Z21" s="19">
        <v>0</v>
      </c>
      <c r="AA21" s="20">
        <v>0</v>
      </c>
      <c r="AB21" s="20">
        <v>0</v>
      </c>
      <c r="AC21" s="20">
        <v>0</v>
      </c>
      <c r="AD21"/>
      <c r="AE21" s="19">
        <v>0</v>
      </c>
      <c r="AF21" s="19">
        <v>0</v>
      </c>
      <c r="AG21" s="19">
        <v>0</v>
      </c>
      <c r="AH21" s="20">
        <v>0</v>
      </c>
      <c r="AI21" s="20">
        <v>0</v>
      </c>
      <c r="AJ21" s="20">
        <v>0</v>
      </c>
      <c r="AL21" s="19">
        <v>0</v>
      </c>
      <c r="AM21" s="19">
        <v>0</v>
      </c>
      <c r="AN21" s="19">
        <v>0</v>
      </c>
      <c r="AO21" s="20">
        <v>0</v>
      </c>
      <c r="AP21" s="20">
        <v>0</v>
      </c>
      <c r="AQ21" s="20">
        <v>0</v>
      </c>
    </row>
    <row r="22" spans="1:43" x14ac:dyDescent="0.25">
      <c r="A22" s="18" t="s">
        <v>49</v>
      </c>
      <c r="B22" s="19">
        <v>0</v>
      </c>
      <c r="C22" s="19">
        <v>0</v>
      </c>
      <c r="D22" s="19">
        <v>1</v>
      </c>
      <c r="E22" s="20">
        <v>0</v>
      </c>
      <c r="F22" s="20">
        <v>0</v>
      </c>
      <c r="G22" s="20">
        <v>1.884303749764462E-4</v>
      </c>
      <c r="H22"/>
      <c r="I22" s="19">
        <v>1</v>
      </c>
      <c r="J22" s="19">
        <v>0</v>
      </c>
      <c r="K22" s="19">
        <v>0</v>
      </c>
      <c r="L22" s="20">
        <v>1.8754688672168043E-4</v>
      </c>
      <c r="M22" s="20">
        <v>0</v>
      </c>
      <c r="N22" s="20">
        <v>0</v>
      </c>
      <c r="P22" s="19">
        <v>0</v>
      </c>
      <c r="Q22" s="19">
        <v>0</v>
      </c>
      <c r="R22" s="19">
        <v>0</v>
      </c>
      <c r="S22" s="20">
        <v>0</v>
      </c>
      <c r="T22" s="20">
        <v>0</v>
      </c>
      <c r="U22" s="20">
        <v>0</v>
      </c>
      <c r="X22" s="19">
        <v>0</v>
      </c>
      <c r="Y22" s="19">
        <v>0</v>
      </c>
      <c r="Z22" s="19">
        <v>0</v>
      </c>
      <c r="AA22" s="20">
        <v>0</v>
      </c>
      <c r="AB22" s="20">
        <v>0</v>
      </c>
      <c r="AC22" s="20">
        <v>0</v>
      </c>
      <c r="AD22"/>
      <c r="AE22" s="19">
        <v>0</v>
      </c>
      <c r="AF22" s="19">
        <v>0</v>
      </c>
      <c r="AG22" s="19">
        <v>0</v>
      </c>
      <c r="AH22" s="20">
        <v>0</v>
      </c>
      <c r="AI22" s="20">
        <v>0</v>
      </c>
      <c r="AJ22" s="20">
        <v>0</v>
      </c>
      <c r="AL22" s="19">
        <v>0</v>
      </c>
      <c r="AM22" s="19">
        <v>0</v>
      </c>
      <c r="AN22" s="19">
        <v>0</v>
      </c>
      <c r="AO22" s="20">
        <v>0</v>
      </c>
      <c r="AP22" s="20">
        <v>0</v>
      </c>
      <c r="AQ22" s="20">
        <v>0</v>
      </c>
    </row>
    <row r="23" spans="1:43" x14ac:dyDescent="0.25">
      <c r="A23" s="18" t="s">
        <v>52</v>
      </c>
      <c r="B23" s="19">
        <v>0</v>
      </c>
      <c r="C23" s="19">
        <v>0</v>
      </c>
      <c r="D23" s="19">
        <v>0</v>
      </c>
      <c r="E23" s="20">
        <v>0</v>
      </c>
      <c r="F23" s="20">
        <v>0</v>
      </c>
      <c r="G23" s="20">
        <v>0</v>
      </c>
      <c r="H23"/>
      <c r="I23" s="19">
        <v>0</v>
      </c>
      <c r="J23" s="19">
        <v>0</v>
      </c>
      <c r="K23" s="19">
        <v>3</v>
      </c>
      <c r="L23" s="20">
        <v>0</v>
      </c>
      <c r="M23" s="20">
        <v>0</v>
      </c>
      <c r="N23" s="20">
        <v>3.5608308605341248E-4</v>
      </c>
      <c r="P23" s="19">
        <v>0</v>
      </c>
      <c r="Q23" s="19">
        <v>0</v>
      </c>
      <c r="R23" s="19">
        <v>0</v>
      </c>
      <c r="S23" s="20">
        <v>0</v>
      </c>
      <c r="T23" s="20">
        <v>0</v>
      </c>
      <c r="U23" s="20">
        <v>0</v>
      </c>
      <c r="X23" s="19">
        <v>0</v>
      </c>
      <c r="Y23" s="19">
        <v>0</v>
      </c>
      <c r="Z23" s="19">
        <v>0</v>
      </c>
      <c r="AA23" s="20">
        <v>0</v>
      </c>
      <c r="AB23" s="20">
        <v>0</v>
      </c>
      <c r="AC23" s="20">
        <v>0</v>
      </c>
      <c r="AD23"/>
      <c r="AE23" s="19">
        <v>0</v>
      </c>
      <c r="AF23" s="19">
        <v>0</v>
      </c>
      <c r="AG23" s="19">
        <v>0</v>
      </c>
      <c r="AH23" s="20">
        <v>0</v>
      </c>
      <c r="AI23" s="20">
        <v>0</v>
      </c>
      <c r="AJ23" s="20">
        <v>0</v>
      </c>
      <c r="AL23" s="19">
        <v>0</v>
      </c>
      <c r="AM23" s="19">
        <v>0</v>
      </c>
      <c r="AN23" s="19">
        <v>0</v>
      </c>
      <c r="AO23" s="20">
        <v>0</v>
      </c>
      <c r="AP23" s="20">
        <v>0</v>
      </c>
      <c r="AQ23" s="20">
        <v>0</v>
      </c>
    </row>
    <row r="24" spans="1:43" x14ac:dyDescent="0.25">
      <c r="A24" s="18" t="s">
        <v>55</v>
      </c>
      <c r="B24" s="19">
        <v>7</v>
      </c>
      <c r="C24" s="19">
        <v>1</v>
      </c>
      <c r="D24" s="19">
        <v>7</v>
      </c>
      <c r="E24" s="20">
        <v>5.6408396792779724E-5</v>
      </c>
      <c r="F24" s="20">
        <v>8.0064051240992787E-6</v>
      </c>
      <c r="G24" s="20">
        <v>5.4287553415074879E-5</v>
      </c>
      <c r="H24"/>
      <c r="I24" s="19">
        <v>2</v>
      </c>
      <c r="J24" s="19">
        <v>0</v>
      </c>
      <c r="K24" s="19">
        <v>1</v>
      </c>
      <c r="L24" s="20">
        <v>3.1897926634768739E-4</v>
      </c>
      <c r="M24" s="20">
        <v>0</v>
      </c>
      <c r="N24" s="20">
        <v>1.5997440409534473E-4</v>
      </c>
      <c r="P24" s="19">
        <v>0</v>
      </c>
      <c r="Q24" s="19">
        <v>0</v>
      </c>
      <c r="R24" s="19">
        <v>0</v>
      </c>
      <c r="S24" s="20">
        <v>0</v>
      </c>
      <c r="T24" s="20">
        <v>0</v>
      </c>
      <c r="U24" s="20">
        <v>0</v>
      </c>
      <c r="X24" s="19">
        <v>25</v>
      </c>
      <c r="Y24" s="19">
        <v>1</v>
      </c>
      <c r="Z24" s="19">
        <v>7</v>
      </c>
      <c r="AA24" s="20">
        <v>5.5345243629762461E-4</v>
      </c>
      <c r="AB24" s="20">
        <v>2.1436227224008573E-5</v>
      </c>
      <c r="AC24" s="20">
        <v>1.4176353841791891E-4</v>
      </c>
      <c r="AD24"/>
      <c r="AE24" s="19">
        <v>0</v>
      </c>
      <c r="AF24" s="19">
        <v>0</v>
      </c>
      <c r="AG24" s="19">
        <v>0</v>
      </c>
      <c r="AH24" s="20">
        <v>0</v>
      </c>
      <c r="AI24" s="20">
        <v>0</v>
      </c>
      <c r="AJ24" s="20">
        <v>0</v>
      </c>
      <c r="AL24" s="19">
        <v>0</v>
      </c>
      <c r="AM24" s="19">
        <v>0</v>
      </c>
      <c r="AN24" s="19">
        <v>0</v>
      </c>
      <c r="AO24" s="20">
        <v>0</v>
      </c>
      <c r="AP24" s="20">
        <v>0</v>
      </c>
      <c r="AQ24" s="20">
        <v>0</v>
      </c>
    </row>
    <row r="25" spans="1:43" x14ac:dyDescent="0.25">
      <c r="A25" s="18" t="s">
        <v>58</v>
      </c>
      <c r="B25" s="19">
        <v>0</v>
      </c>
      <c r="C25" s="19">
        <v>0</v>
      </c>
      <c r="D25" s="19">
        <v>0</v>
      </c>
      <c r="E25" s="20">
        <v>0</v>
      </c>
      <c r="F25" s="20">
        <v>0</v>
      </c>
      <c r="G25" s="20">
        <v>0</v>
      </c>
      <c r="H25"/>
      <c r="I25" s="19">
        <v>0</v>
      </c>
      <c r="J25" s="19">
        <v>0</v>
      </c>
      <c r="K25" s="19">
        <v>2</v>
      </c>
      <c r="L25" s="20">
        <v>0</v>
      </c>
      <c r="M25" s="20">
        <v>0</v>
      </c>
      <c r="N25" s="20">
        <v>1.9801980198019802E-2</v>
      </c>
      <c r="P25" s="19">
        <v>37</v>
      </c>
      <c r="Q25" s="19">
        <v>0</v>
      </c>
      <c r="R25" s="19">
        <v>0</v>
      </c>
      <c r="S25" s="20">
        <v>8.2405345211581285E-2</v>
      </c>
      <c r="T25" s="20">
        <v>0</v>
      </c>
      <c r="U25" s="20">
        <v>0</v>
      </c>
      <c r="X25" s="19">
        <v>0</v>
      </c>
      <c r="Y25" s="19">
        <v>0</v>
      </c>
      <c r="Z25" s="19">
        <v>0</v>
      </c>
      <c r="AA25" s="20">
        <v>0</v>
      </c>
      <c r="AB25" s="20">
        <v>0</v>
      </c>
      <c r="AC25" s="20">
        <v>0</v>
      </c>
      <c r="AD25"/>
      <c r="AE25" s="19">
        <v>0</v>
      </c>
      <c r="AF25" s="19">
        <v>0</v>
      </c>
      <c r="AG25" s="19">
        <v>0</v>
      </c>
      <c r="AH25" s="20">
        <v>0</v>
      </c>
      <c r="AI25" s="20">
        <v>0</v>
      </c>
      <c r="AJ25" s="20">
        <v>0</v>
      </c>
      <c r="AL25" s="19">
        <v>0</v>
      </c>
      <c r="AM25" s="19">
        <v>0</v>
      </c>
      <c r="AN25" s="19">
        <v>0</v>
      </c>
      <c r="AO25" s="20">
        <v>0</v>
      </c>
      <c r="AP25" s="20">
        <v>0</v>
      </c>
      <c r="AQ25" s="20">
        <v>0</v>
      </c>
    </row>
    <row r="26" spans="1:43" s="43" customFormat="1" x14ac:dyDescent="0.25">
      <c r="A26" s="1" t="s">
        <v>62</v>
      </c>
      <c r="B26" s="21">
        <v>4595</v>
      </c>
      <c r="C26" s="21">
        <v>9248</v>
      </c>
      <c r="D26" s="21">
        <v>8129</v>
      </c>
      <c r="E26" s="22">
        <v>9.6550773519831466E-4</v>
      </c>
      <c r="F26" s="22">
        <v>1.916224838152766E-3</v>
      </c>
      <c r="G26" s="22">
        <v>1.6797824982327052E-3</v>
      </c>
      <c r="I26" s="21">
        <v>206</v>
      </c>
      <c r="J26" s="21">
        <v>509</v>
      </c>
      <c r="K26" s="21">
        <v>261</v>
      </c>
      <c r="L26" s="22">
        <v>4.9020191083560388E-4</v>
      </c>
      <c r="M26" s="22">
        <v>1.210314063421408E-3</v>
      </c>
      <c r="N26" s="22">
        <v>6.2351884412506693E-4</v>
      </c>
      <c r="P26" s="21">
        <v>79</v>
      </c>
      <c r="Q26" s="21">
        <v>45</v>
      </c>
      <c r="R26" s="21">
        <v>34</v>
      </c>
      <c r="S26" s="22">
        <v>1.4863593603010349E-3</v>
      </c>
      <c r="T26" s="22">
        <v>7.6344943419914151E-4</v>
      </c>
      <c r="U26" s="22">
        <v>5.7966072798567897E-4</v>
      </c>
      <c r="X26" s="21">
        <v>392</v>
      </c>
      <c r="Y26" s="21">
        <v>396</v>
      </c>
      <c r="Z26" s="21">
        <v>364</v>
      </c>
      <c r="AA26" s="22">
        <v>2.1862263279651809E-4</v>
      </c>
      <c r="AB26" s="22">
        <v>2.1723651021615033E-4</v>
      </c>
      <c r="AC26" s="22">
        <v>1.9926305515152477E-4</v>
      </c>
      <c r="AE26" s="21">
        <v>45</v>
      </c>
      <c r="AF26" s="21">
        <v>62</v>
      </c>
      <c r="AG26" s="21">
        <v>69</v>
      </c>
      <c r="AH26" s="22">
        <v>7.8252704065662714E-4</v>
      </c>
      <c r="AI26" s="22">
        <v>1.0474211477708513E-3</v>
      </c>
      <c r="AJ26" s="22">
        <v>1.1642425674079574E-3</v>
      </c>
      <c r="AL26" s="21">
        <v>0</v>
      </c>
      <c r="AM26" s="21">
        <v>3</v>
      </c>
      <c r="AN26" s="21">
        <v>0</v>
      </c>
      <c r="AO26" s="22">
        <v>0</v>
      </c>
      <c r="AP26" s="22">
        <v>7.2271741748976151E-4</v>
      </c>
      <c r="AQ26" s="22">
        <v>0</v>
      </c>
    </row>
    <row r="27" spans="1:43" x14ac:dyDescent="0.25">
      <c r="A27" s="23"/>
      <c r="B27" s="19"/>
      <c r="C27" s="19"/>
      <c r="D27" s="19"/>
      <c r="E27" s="19"/>
      <c r="F27" s="19"/>
      <c r="G27" s="19"/>
      <c r="H27"/>
      <c r="I27" s="19"/>
      <c r="J27" s="19"/>
      <c r="K27" s="19"/>
      <c r="L27" s="19"/>
      <c r="M27" s="19"/>
      <c r="N27" s="19"/>
      <c r="P27" s="19"/>
      <c r="Q27" s="19"/>
      <c r="R27" s="19"/>
      <c r="S27" s="19"/>
      <c r="T27" s="19"/>
      <c r="U27" s="19"/>
      <c r="X27" s="19"/>
      <c r="Y27" s="19"/>
      <c r="Z27" s="19"/>
      <c r="AA27" s="19"/>
      <c r="AB27" s="19"/>
      <c r="AC27" s="19"/>
      <c r="AD27"/>
      <c r="AE27" s="19"/>
      <c r="AF27" s="19"/>
      <c r="AG27" s="19"/>
      <c r="AH27" s="19"/>
      <c r="AI27" s="19"/>
      <c r="AJ27" s="19"/>
      <c r="AL27" s="19"/>
      <c r="AM27" s="19"/>
      <c r="AN27" s="19"/>
      <c r="AO27" s="19"/>
      <c r="AP27" s="19"/>
      <c r="AQ27" s="19"/>
    </row>
    <row r="28" spans="1:43" x14ac:dyDescent="0.25">
      <c r="A28" s="1" t="s">
        <v>63</v>
      </c>
      <c r="B28" s="19"/>
      <c r="C28" s="19"/>
      <c r="D28" s="19"/>
      <c r="E28" s="19"/>
      <c r="F28" s="19"/>
      <c r="G28" s="19"/>
      <c r="H28"/>
      <c r="I28" s="19"/>
      <c r="J28" s="19"/>
      <c r="K28" s="19"/>
      <c r="L28" s="19"/>
      <c r="M28" s="19"/>
      <c r="N28" s="19"/>
      <c r="P28" s="19"/>
      <c r="Q28" s="19"/>
      <c r="R28" s="19"/>
      <c r="S28" s="19"/>
      <c r="T28" s="19"/>
      <c r="U28" s="19"/>
      <c r="X28" s="19"/>
      <c r="Y28" s="19"/>
      <c r="Z28" s="19"/>
      <c r="AA28" s="19"/>
      <c r="AB28" s="19"/>
      <c r="AC28" s="19"/>
      <c r="AD28"/>
      <c r="AE28" s="19"/>
      <c r="AF28" s="19"/>
      <c r="AG28" s="19"/>
      <c r="AH28" s="19"/>
      <c r="AI28" s="19"/>
      <c r="AJ28" s="19"/>
      <c r="AL28" s="19"/>
      <c r="AM28" s="19"/>
      <c r="AN28" s="19"/>
      <c r="AO28" s="19"/>
      <c r="AP28" s="19"/>
      <c r="AQ28" s="19"/>
    </row>
    <row r="29" spans="1:43" x14ac:dyDescent="0.25">
      <c r="A29" s="24" t="s">
        <v>64</v>
      </c>
      <c r="B29" s="25" t="s">
        <v>12</v>
      </c>
      <c r="C29" s="25" t="s">
        <v>164</v>
      </c>
      <c r="D29" s="25" t="s">
        <v>195</v>
      </c>
      <c r="E29" s="25" t="s">
        <v>12</v>
      </c>
      <c r="F29" s="25" t="s">
        <v>164</v>
      </c>
      <c r="G29" s="25" t="s">
        <v>195</v>
      </c>
      <c r="H29"/>
      <c r="I29" s="25" t="s">
        <v>12</v>
      </c>
      <c r="J29" s="25" t="s">
        <v>164</v>
      </c>
      <c r="K29" s="25" t="s">
        <v>195</v>
      </c>
      <c r="L29" s="25" t="s">
        <v>12</v>
      </c>
      <c r="M29" s="25" t="s">
        <v>164</v>
      </c>
      <c r="N29" s="25" t="s">
        <v>195</v>
      </c>
      <c r="P29" s="25" t="s">
        <v>12</v>
      </c>
      <c r="Q29" s="25" t="s">
        <v>164</v>
      </c>
      <c r="R29" s="25" t="s">
        <v>195</v>
      </c>
      <c r="S29" s="25" t="s">
        <v>12</v>
      </c>
      <c r="T29" s="25" t="s">
        <v>164</v>
      </c>
      <c r="U29" s="25" t="s">
        <v>195</v>
      </c>
      <c r="X29" s="25" t="s">
        <v>12</v>
      </c>
      <c r="Y29" s="25" t="s">
        <v>164</v>
      </c>
      <c r="Z29" s="25" t="s">
        <v>195</v>
      </c>
      <c r="AA29" s="25" t="s">
        <v>12</v>
      </c>
      <c r="AB29" s="25" t="s">
        <v>164</v>
      </c>
      <c r="AC29" s="25" t="s">
        <v>195</v>
      </c>
      <c r="AD29"/>
      <c r="AE29" s="25" t="s">
        <v>12</v>
      </c>
      <c r="AF29" s="25" t="s">
        <v>164</v>
      </c>
      <c r="AG29" s="25" t="s">
        <v>195</v>
      </c>
      <c r="AH29" s="25" t="s">
        <v>12</v>
      </c>
      <c r="AI29" s="25" t="s">
        <v>164</v>
      </c>
      <c r="AJ29" s="25" t="s">
        <v>195</v>
      </c>
      <c r="AL29" s="25" t="s">
        <v>12</v>
      </c>
      <c r="AM29" s="25" t="s">
        <v>164</v>
      </c>
      <c r="AN29" s="25" t="s">
        <v>195</v>
      </c>
      <c r="AO29" s="25" t="s">
        <v>12</v>
      </c>
      <c r="AP29" s="25" t="s">
        <v>164</v>
      </c>
      <c r="AQ29" s="25" t="s">
        <v>195</v>
      </c>
    </row>
    <row r="30" spans="1:43" x14ac:dyDescent="0.25">
      <c r="A30" s="18" t="s">
        <v>18</v>
      </c>
      <c r="B30" s="19">
        <v>217</v>
      </c>
      <c r="C30" s="19">
        <v>211</v>
      </c>
      <c r="D30" s="19">
        <v>218</v>
      </c>
      <c r="E30" s="20">
        <v>3.4922831807135844E-3</v>
      </c>
      <c r="F30" s="20">
        <v>4.1202085489445628E-3</v>
      </c>
      <c r="G30" s="20">
        <v>3.7152546994563456E-3</v>
      </c>
      <c r="H30"/>
      <c r="I30" s="19">
        <v>12</v>
      </c>
      <c r="J30" s="19">
        <v>5</v>
      </c>
      <c r="K30" s="19">
        <v>4</v>
      </c>
      <c r="L30" s="20">
        <v>6.4412238325281803E-3</v>
      </c>
      <c r="M30" s="20">
        <v>2.8835063437139563E-3</v>
      </c>
      <c r="N30" s="20">
        <v>1.9445794846864365E-3</v>
      </c>
      <c r="P30" s="19">
        <v>0</v>
      </c>
      <c r="Q30" s="19">
        <v>1</v>
      </c>
      <c r="R30" s="19">
        <v>0</v>
      </c>
      <c r="S30" s="20">
        <v>0</v>
      </c>
      <c r="T30" s="20">
        <v>7.3909830007390983E-4</v>
      </c>
      <c r="U30" s="20">
        <v>0</v>
      </c>
      <c r="X30" s="19">
        <v>203</v>
      </c>
      <c r="Y30" s="19">
        <v>228</v>
      </c>
      <c r="Z30" s="19">
        <v>212</v>
      </c>
      <c r="AA30" s="20">
        <v>4.4578154508322721E-3</v>
      </c>
      <c r="AB30" s="20">
        <v>6.0990289703876091E-3</v>
      </c>
      <c r="AC30" s="20">
        <v>5.0369455202071804E-3</v>
      </c>
      <c r="AD30"/>
      <c r="AE30" s="19">
        <v>9</v>
      </c>
      <c r="AF30" s="19">
        <v>19</v>
      </c>
      <c r="AG30" s="19">
        <v>2</v>
      </c>
      <c r="AH30" s="20">
        <v>2.5210084033613446E-2</v>
      </c>
      <c r="AI30" s="20">
        <v>6.1488673139158574E-2</v>
      </c>
      <c r="AJ30" s="20">
        <v>5.6338028169014088E-3</v>
      </c>
      <c r="AL30" s="19">
        <v>0</v>
      </c>
      <c r="AM30" s="19">
        <v>0</v>
      </c>
      <c r="AN30" s="19">
        <v>0</v>
      </c>
      <c r="AO30" s="20">
        <v>0</v>
      </c>
      <c r="AP30" s="20">
        <v>0</v>
      </c>
      <c r="AQ30" s="20">
        <v>0</v>
      </c>
    </row>
    <row r="31" spans="1:43" x14ac:dyDescent="0.25">
      <c r="A31" s="18" t="s">
        <v>30</v>
      </c>
      <c r="B31" s="19">
        <v>0</v>
      </c>
      <c r="C31" s="19">
        <v>0</v>
      </c>
      <c r="D31" s="19">
        <v>0</v>
      </c>
      <c r="E31" s="20">
        <v>0</v>
      </c>
      <c r="F31" s="20">
        <v>0</v>
      </c>
      <c r="G31" s="20">
        <v>0</v>
      </c>
      <c r="H31"/>
      <c r="I31" s="19">
        <v>0</v>
      </c>
      <c r="J31" s="19">
        <v>0</v>
      </c>
      <c r="K31" s="19">
        <v>0</v>
      </c>
      <c r="L31" s="20">
        <v>0</v>
      </c>
      <c r="M31" s="20">
        <v>0</v>
      </c>
      <c r="N31" s="20">
        <v>0</v>
      </c>
      <c r="P31" s="19">
        <v>0</v>
      </c>
      <c r="Q31" s="19">
        <v>3</v>
      </c>
      <c r="R31" s="19">
        <v>0</v>
      </c>
      <c r="S31" s="20">
        <v>0</v>
      </c>
      <c r="T31" s="20">
        <v>1.8181818181818181E-2</v>
      </c>
      <c r="U31" s="20">
        <v>0</v>
      </c>
      <c r="X31" s="19">
        <v>0</v>
      </c>
      <c r="Y31" s="19">
        <v>0</v>
      </c>
      <c r="Z31" s="19">
        <v>0</v>
      </c>
      <c r="AA31" s="20">
        <v>0</v>
      </c>
      <c r="AB31" s="20">
        <v>0</v>
      </c>
      <c r="AC31" s="20">
        <v>0</v>
      </c>
      <c r="AD31"/>
      <c r="AE31" s="19">
        <v>0</v>
      </c>
      <c r="AF31" s="19">
        <v>0</v>
      </c>
      <c r="AG31" s="19">
        <v>0</v>
      </c>
      <c r="AH31" s="20">
        <v>0</v>
      </c>
      <c r="AI31" s="20">
        <v>0</v>
      </c>
      <c r="AJ31" s="20">
        <v>0</v>
      </c>
      <c r="AL31" s="19">
        <v>0</v>
      </c>
      <c r="AM31" s="19">
        <v>0</v>
      </c>
      <c r="AN31" s="19">
        <v>0</v>
      </c>
      <c r="AO31" s="20">
        <v>0</v>
      </c>
      <c r="AP31" s="20">
        <v>0</v>
      </c>
      <c r="AQ31" s="20">
        <v>0</v>
      </c>
    </row>
    <row r="32" spans="1:43" x14ac:dyDescent="0.25">
      <c r="A32" s="18" t="s">
        <v>80</v>
      </c>
      <c r="B32" s="19">
        <v>0</v>
      </c>
      <c r="C32" s="19">
        <v>0</v>
      </c>
      <c r="D32" s="19">
        <v>0</v>
      </c>
      <c r="E32" s="20">
        <v>0</v>
      </c>
      <c r="F32" s="20">
        <v>0</v>
      </c>
      <c r="G32" s="20">
        <v>0</v>
      </c>
      <c r="H32"/>
      <c r="I32" s="19">
        <v>0</v>
      </c>
      <c r="J32" s="19">
        <v>0</v>
      </c>
      <c r="K32" s="19">
        <v>1</v>
      </c>
      <c r="L32" s="20">
        <v>0</v>
      </c>
      <c r="M32" s="20">
        <v>0</v>
      </c>
      <c r="N32" s="20">
        <v>3.3333333333333333E-2</v>
      </c>
      <c r="P32" s="19">
        <v>0</v>
      </c>
      <c r="Q32" s="19">
        <v>0</v>
      </c>
      <c r="R32" s="19">
        <v>0</v>
      </c>
      <c r="S32" s="20">
        <v>0</v>
      </c>
      <c r="T32" s="20">
        <v>0</v>
      </c>
      <c r="U32" s="20">
        <v>0</v>
      </c>
      <c r="X32" s="19">
        <v>0</v>
      </c>
      <c r="Y32" s="19">
        <v>0</v>
      </c>
      <c r="Z32" s="19">
        <v>0</v>
      </c>
      <c r="AA32" s="20">
        <v>0</v>
      </c>
      <c r="AB32" s="20">
        <v>0</v>
      </c>
      <c r="AC32" s="20">
        <v>0</v>
      </c>
      <c r="AD32"/>
      <c r="AE32" s="19">
        <v>0</v>
      </c>
      <c r="AF32" s="19">
        <v>0</v>
      </c>
      <c r="AG32" s="19">
        <v>0</v>
      </c>
      <c r="AH32" s="20">
        <v>0</v>
      </c>
      <c r="AI32" s="20">
        <v>0</v>
      </c>
      <c r="AJ32" s="20">
        <v>0</v>
      </c>
      <c r="AL32" s="19">
        <v>0</v>
      </c>
      <c r="AM32" s="19">
        <v>0</v>
      </c>
      <c r="AN32" s="19">
        <v>0</v>
      </c>
      <c r="AO32" s="20">
        <v>0</v>
      </c>
      <c r="AP32" s="20">
        <v>0</v>
      </c>
      <c r="AQ32" s="20">
        <v>0</v>
      </c>
    </row>
    <row r="33" spans="1:43" x14ac:dyDescent="0.25">
      <c r="A33" s="18" t="s">
        <v>43</v>
      </c>
      <c r="B33" s="19">
        <v>0</v>
      </c>
      <c r="C33" s="19">
        <v>2</v>
      </c>
      <c r="D33" s="19">
        <v>0</v>
      </c>
      <c r="E33" s="20">
        <v>0</v>
      </c>
      <c r="F33" s="20">
        <v>9.7120380711892396E-5</v>
      </c>
      <c r="G33" s="20">
        <v>0</v>
      </c>
      <c r="H33"/>
      <c r="I33" s="19">
        <v>0</v>
      </c>
      <c r="J33" s="19">
        <v>0</v>
      </c>
      <c r="K33" s="19">
        <v>0</v>
      </c>
      <c r="L33" s="20">
        <v>0</v>
      </c>
      <c r="M33" s="20">
        <v>0</v>
      </c>
      <c r="N33" s="20">
        <v>0</v>
      </c>
      <c r="P33" s="19">
        <v>0</v>
      </c>
      <c r="Q33" s="19">
        <v>0</v>
      </c>
      <c r="R33" s="19">
        <v>0</v>
      </c>
      <c r="S33" s="20">
        <v>0</v>
      </c>
      <c r="T33" s="20">
        <v>0</v>
      </c>
      <c r="U33" s="20">
        <v>0</v>
      </c>
      <c r="X33" s="19">
        <v>0</v>
      </c>
      <c r="Y33" s="19">
        <v>1</v>
      </c>
      <c r="Z33" s="19">
        <v>0</v>
      </c>
      <c r="AA33" s="20">
        <v>0</v>
      </c>
      <c r="AB33" s="20">
        <v>7.1633237822349565E-5</v>
      </c>
      <c r="AC33" s="20">
        <v>0</v>
      </c>
      <c r="AD33"/>
      <c r="AE33" s="19">
        <v>0</v>
      </c>
      <c r="AF33" s="19">
        <v>0</v>
      </c>
      <c r="AG33" s="19">
        <v>0</v>
      </c>
      <c r="AH33" s="20">
        <v>0</v>
      </c>
      <c r="AI33" s="20">
        <v>0</v>
      </c>
      <c r="AJ33" s="20">
        <v>0</v>
      </c>
      <c r="AL33" s="19">
        <v>0</v>
      </c>
      <c r="AM33" s="19">
        <v>0</v>
      </c>
      <c r="AN33" s="19">
        <v>0</v>
      </c>
      <c r="AO33" s="20">
        <v>0</v>
      </c>
      <c r="AP33" s="20">
        <v>0</v>
      </c>
      <c r="AQ33" s="20">
        <v>0</v>
      </c>
    </row>
    <row r="34" spans="1:43" s="43" customFormat="1" x14ac:dyDescent="0.25">
      <c r="A34" s="26" t="s">
        <v>65</v>
      </c>
      <c r="B34" s="27">
        <v>217</v>
      </c>
      <c r="C34" s="27">
        <v>213</v>
      </c>
      <c r="D34" s="27">
        <v>218</v>
      </c>
      <c r="E34" s="22">
        <v>2.4913892078071184E-3</v>
      </c>
      <c r="F34" s="22">
        <v>2.6728237818574242E-3</v>
      </c>
      <c r="G34" s="22">
        <v>2.4403622482676787E-3</v>
      </c>
      <c r="I34" s="27">
        <v>12</v>
      </c>
      <c r="J34" s="27">
        <v>5</v>
      </c>
      <c r="K34" s="27">
        <v>5</v>
      </c>
      <c r="L34" s="22">
        <v>2.9542097488921715E-3</v>
      </c>
      <c r="M34" s="22">
        <v>1.240079365079365E-3</v>
      </c>
      <c r="N34" s="22">
        <v>1.147842056932966E-3</v>
      </c>
      <c r="P34" s="27">
        <v>0</v>
      </c>
      <c r="Q34" s="27">
        <v>4</v>
      </c>
      <c r="R34" s="27">
        <v>0</v>
      </c>
      <c r="S34" s="22">
        <v>0</v>
      </c>
      <c r="T34" s="22">
        <v>2.0887728459530026E-3</v>
      </c>
      <c r="U34" s="22">
        <v>0</v>
      </c>
      <c r="X34" s="27">
        <v>203</v>
      </c>
      <c r="Y34" s="27">
        <v>229</v>
      </c>
      <c r="Z34" s="27">
        <v>212</v>
      </c>
      <c r="AA34" s="22">
        <v>3.249195704019079E-3</v>
      </c>
      <c r="AB34" s="22">
        <v>4.0323290662252825E-3</v>
      </c>
      <c r="AC34" s="22">
        <v>3.3620908398883532E-3</v>
      </c>
      <c r="AE34" s="27">
        <v>9</v>
      </c>
      <c r="AF34" s="27">
        <v>19</v>
      </c>
      <c r="AG34" s="27">
        <v>2</v>
      </c>
      <c r="AH34" s="22">
        <v>8.2872928176795577E-3</v>
      </c>
      <c r="AI34" s="22">
        <v>1.7527675276752766E-2</v>
      </c>
      <c r="AJ34" s="22">
        <v>1.6488046166529267E-3</v>
      </c>
      <c r="AL34" s="27">
        <v>0</v>
      </c>
      <c r="AM34" s="27">
        <v>0</v>
      </c>
      <c r="AN34" s="27">
        <v>0</v>
      </c>
      <c r="AO34" s="22">
        <v>0</v>
      </c>
      <c r="AP34" s="22">
        <v>0</v>
      </c>
      <c r="AQ34" s="22">
        <v>0</v>
      </c>
    </row>
    <row r="35" spans="1:43" x14ac:dyDescent="0.25">
      <c r="A35" s="18"/>
      <c r="B35" s="19"/>
      <c r="C35" s="19"/>
      <c r="D35" s="19"/>
      <c r="E35" s="19"/>
      <c r="F35" s="19"/>
      <c r="G35" s="19"/>
      <c r="H35"/>
      <c r="I35" s="19"/>
      <c r="J35" s="19"/>
      <c r="K35" s="19"/>
      <c r="L35" s="19"/>
      <c r="M35" s="19"/>
      <c r="N35" s="19"/>
      <c r="P35" s="19"/>
      <c r="Q35" s="19"/>
      <c r="R35" s="19"/>
      <c r="S35" s="19"/>
      <c r="T35" s="19"/>
      <c r="U35" s="19"/>
      <c r="X35" s="19"/>
      <c r="Y35" s="19"/>
      <c r="Z35" s="19"/>
      <c r="AA35" s="19"/>
      <c r="AB35" s="19"/>
      <c r="AC35" s="19"/>
      <c r="AD35"/>
      <c r="AE35" s="19"/>
      <c r="AF35" s="19"/>
      <c r="AG35" s="19"/>
      <c r="AH35" s="19"/>
      <c r="AI35" s="19"/>
      <c r="AJ35" s="19"/>
      <c r="AL35" s="19"/>
      <c r="AM35" s="19"/>
      <c r="AN35" s="19"/>
      <c r="AO35" s="19"/>
      <c r="AP35" s="19"/>
      <c r="AQ35" s="19"/>
    </row>
    <row r="36" spans="1:43" x14ac:dyDescent="0.25">
      <c r="A36" s="28" t="s">
        <v>66</v>
      </c>
      <c r="B36" s="25" t="s">
        <v>12</v>
      </c>
      <c r="C36" s="25" t="s">
        <v>164</v>
      </c>
      <c r="D36" s="25" t="s">
        <v>195</v>
      </c>
      <c r="E36" s="25" t="s">
        <v>12</v>
      </c>
      <c r="F36" s="25" t="s">
        <v>164</v>
      </c>
      <c r="G36" s="25" t="s">
        <v>195</v>
      </c>
      <c r="H36"/>
      <c r="I36" s="25" t="s">
        <v>12</v>
      </c>
      <c r="J36" s="25" t="s">
        <v>164</v>
      </c>
      <c r="K36" s="25" t="s">
        <v>195</v>
      </c>
      <c r="L36" s="25" t="s">
        <v>12</v>
      </c>
      <c r="M36" s="25" t="s">
        <v>164</v>
      </c>
      <c r="N36" s="25" t="s">
        <v>195</v>
      </c>
      <c r="P36" s="25" t="s">
        <v>12</v>
      </c>
      <c r="Q36" s="25" t="s">
        <v>164</v>
      </c>
      <c r="R36" s="25" t="s">
        <v>195</v>
      </c>
      <c r="S36" s="25" t="s">
        <v>12</v>
      </c>
      <c r="T36" s="25" t="s">
        <v>164</v>
      </c>
      <c r="U36" s="25" t="s">
        <v>195</v>
      </c>
      <c r="X36" s="25" t="s">
        <v>12</v>
      </c>
      <c r="Y36" s="25" t="s">
        <v>164</v>
      </c>
      <c r="Z36" s="25" t="s">
        <v>195</v>
      </c>
      <c r="AA36" s="25" t="s">
        <v>12</v>
      </c>
      <c r="AB36" s="25" t="s">
        <v>164</v>
      </c>
      <c r="AC36" s="25" t="s">
        <v>195</v>
      </c>
      <c r="AD36"/>
      <c r="AE36" s="25" t="s">
        <v>12</v>
      </c>
      <c r="AF36" s="25" t="s">
        <v>164</v>
      </c>
      <c r="AG36" s="25" t="s">
        <v>195</v>
      </c>
      <c r="AH36" s="25" t="s">
        <v>12</v>
      </c>
      <c r="AI36" s="25" t="s">
        <v>164</v>
      </c>
      <c r="AJ36" s="25" t="s">
        <v>195</v>
      </c>
      <c r="AL36" s="25" t="s">
        <v>12</v>
      </c>
      <c r="AM36" s="25" t="s">
        <v>164</v>
      </c>
      <c r="AN36" s="25" t="s">
        <v>195</v>
      </c>
      <c r="AO36" s="25" t="s">
        <v>12</v>
      </c>
      <c r="AP36" s="25" t="s">
        <v>164</v>
      </c>
      <c r="AQ36" s="25" t="s">
        <v>195</v>
      </c>
    </row>
    <row r="37" spans="1:43" x14ac:dyDescent="0.25">
      <c r="A37" s="18" t="s">
        <v>18</v>
      </c>
      <c r="B37" s="19">
        <v>137</v>
      </c>
      <c r="C37" s="19">
        <v>137</v>
      </c>
      <c r="D37" s="19">
        <v>107</v>
      </c>
      <c r="E37" s="20">
        <v>5.5299911197222891E-3</v>
      </c>
      <c r="F37" s="20">
        <v>7.776579440313334E-3</v>
      </c>
      <c r="G37" s="20">
        <v>5.4675523760858453E-3</v>
      </c>
      <c r="H37"/>
      <c r="I37" s="19">
        <v>11</v>
      </c>
      <c r="J37" s="19">
        <v>5</v>
      </c>
      <c r="K37" s="19">
        <v>0</v>
      </c>
      <c r="L37" s="20">
        <v>1.2387387387387387E-2</v>
      </c>
      <c r="M37" s="20">
        <v>8.1037277147487843E-3</v>
      </c>
      <c r="N37" s="20">
        <v>0</v>
      </c>
      <c r="P37" s="19">
        <v>0</v>
      </c>
      <c r="Q37" s="19">
        <v>0</v>
      </c>
      <c r="R37" s="19">
        <v>0</v>
      </c>
      <c r="S37" s="20">
        <v>0</v>
      </c>
      <c r="T37" s="20">
        <v>0</v>
      </c>
      <c r="U37" s="20">
        <v>0</v>
      </c>
      <c r="X37" s="19">
        <v>88</v>
      </c>
      <c r="Y37" s="19">
        <v>83</v>
      </c>
      <c r="Z37" s="19">
        <v>85</v>
      </c>
      <c r="AA37" s="20">
        <v>7.9072692964327427E-3</v>
      </c>
      <c r="AB37" s="20">
        <v>1.0010855144132191E-2</v>
      </c>
      <c r="AC37" s="20">
        <v>9.9368716389992978E-3</v>
      </c>
      <c r="AD37"/>
      <c r="AE37" s="19">
        <v>0</v>
      </c>
      <c r="AF37" s="19">
        <v>0</v>
      </c>
      <c r="AG37" s="19">
        <v>0</v>
      </c>
      <c r="AH37" s="20">
        <v>0</v>
      </c>
      <c r="AI37" s="20">
        <v>0</v>
      </c>
      <c r="AJ37" s="20">
        <v>0</v>
      </c>
      <c r="AL37" s="19">
        <v>0</v>
      </c>
      <c r="AM37" s="19">
        <v>0</v>
      </c>
      <c r="AN37" s="19">
        <v>0</v>
      </c>
      <c r="AO37" s="20">
        <v>0</v>
      </c>
      <c r="AP37" s="20">
        <v>0</v>
      </c>
      <c r="AQ37" s="20">
        <v>0</v>
      </c>
    </row>
    <row r="38" spans="1:43" x14ac:dyDescent="0.25">
      <c r="A38" s="18" t="s">
        <v>19</v>
      </c>
      <c r="B38" s="19">
        <v>1</v>
      </c>
      <c r="C38" s="19">
        <v>4</v>
      </c>
      <c r="D38" s="19">
        <v>13</v>
      </c>
      <c r="E38" s="20">
        <v>1.4171371562025258E-6</v>
      </c>
      <c r="F38" s="20">
        <v>5.6497095343085677E-6</v>
      </c>
      <c r="G38" s="20">
        <v>1.838601870565257E-5</v>
      </c>
      <c r="H38"/>
      <c r="I38" s="19">
        <v>0</v>
      </c>
      <c r="J38" s="19">
        <v>323</v>
      </c>
      <c r="K38" s="19">
        <v>3</v>
      </c>
      <c r="L38" s="20">
        <v>0</v>
      </c>
      <c r="M38" s="20">
        <v>6.1159184291746348E-3</v>
      </c>
      <c r="N38" s="20">
        <v>5.5637982195845695E-5</v>
      </c>
      <c r="P38" s="19">
        <v>0</v>
      </c>
      <c r="Q38" s="19">
        <v>1</v>
      </c>
      <c r="R38" s="19">
        <v>0</v>
      </c>
      <c r="S38" s="20">
        <v>0</v>
      </c>
      <c r="T38" s="20">
        <v>1.5989766549408379E-4</v>
      </c>
      <c r="U38" s="20">
        <v>0</v>
      </c>
      <c r="X38" s="19">
        <v>1</v>
      </c>
      <c r="Y38" s="19">
        <v>0</v>
      </c>
      <c r="Z38" s="19">
        <v>4</v>
      </c>
      <c r="AA38" s="20">
        <v>2.0148372615943809E-6</v>
      </c>
      <c r="AB38" s="20">
        <v>0</v>
      </c>
      <c r="AC38" s="20">
        <v>7.9756264854604333E-6</v>
      </c>
      <c r="AD38"/>
      <c r="AE38" s="19">
        <v>0</v>
      </c>
      <c r="AF38" s="19">
        <v>1</v>
      </c>
      <c r="AG38" s="19">
        <v>0</v>
      </c>
      <c r="AH38" s="20">
        <v>0</v>
      </c>
      <c r="AI38" s="20">
        <v>7.425558773297691E-5</v>
      </c>
      <c r="AJ38" s="20">
        <v>0</v>
      </c>
      <c r="AL38" s="19">
        <v>0</v>
      </c>
      <c r="AM38" s="19">
        <v>3</v>
      </c>
      <c r="AN38" s="19">
        <v>0</v>
      </c>
      <c r="AO38" s="20">
        <v>0</v>
      </c>
      <c r="AP38" s="20">
        <v>2.5295109612141651E-3</v>
      </c>
      <c r="AQ38" s="20">
        <v>0</v>
      </c>
    </row>
    <row r="39" spans="1:43" x14ac:dyDescent="0.25">
      <c r="A39" s="18" t="s">
        <v>20</v>
      </c>
      <c r="B39" s="19">
        <v>1</v>
      </c>
      <c r="C39" s="19">
        <v>0</v>
      </c>
      <c r="D39" s="19">
        <v>0</v>
      </c>
      <c r="E39" s="20">
        <v>1.2526148334648579E-5</v>
      </c>
      <c r="F39" s="20">
        <v>0</v>
      </c>
      <c r="G39" s="20">
        <v>0</v>
      </c>
      <c r="H39"/>
      <c r="I39" s="19">
        <v>0</v>
      </c>
      <c r="J39" s="19">
        <v>0</v>
      </c>
      <c r="K39" s="19">
        <v>0</v>
      </c>
      <c r="L39" s="20">
        <v>0</v>
      </c>
      <c r="M39" s="20">
        <v>0</v>
      </c>
      <c r="N39" s="20">
        <v>0</v>
      </c>
      <c r="P39" s="19">
        <v>0</v>
      </c>
      <c r="Q39" s="19">
        <v>0</v>
      </c>
      <c r="R39" s="19">
        <v>0</v>
      </c>
      <c r="S39" s="20">
        <v>0</v>
      </c>
      <c r="T39" s="20">
        <v>0</v>
      </c>
      <c r="U39" s="20">
        <v>0</v>
      </c>
      <c r="X39" s="19">
        <v>0</v>
      </c>
      <c r="Y39" s="19">
        <v>0</v>
      </c>
      <c r="Z39" s="19">
        <v>0</v>
      </c>
      <c r="AA39" s="20">
        <v>0</v>
      </c>
      <c r="AB39" s="20">
        <v>0</v>
      </c>
      <c r="AC39" s="20">
        <v>0</v>
      </c>
      <c r="AD39"/>
      <c r="AE39" s="19">
        <v>0</v>
      </c>
      <c r="AF39" s="19">
        <v>0</v>
      </c>
      <c r="AG39" s="19">
        <v>0</v>
      </c>
      <c r="AH39" s="20">
        <v>0</v>
      </c>
      <c r="AI39" s="20">
        <v>0</v>
      </c>
      <c r="AJ39" s="20">
        <v>0</v>
      </c>
      <c r="AL39" s="19">
        <v>0</v>
      </c>
      <c r="AM39" s="19">
        <v>0</v>
      </c>
      <c r="AN39" s="19">
        <v>0</v>
      </c>
      <c r="AO39" s="20">
        <v>0</v>
      </c>
      <c r="AP39" s="20">
        <v>0</v>
      </c>
      <c r="AQ39" s="20">
        <v>0</v>
      </c>
    </row>
    <row r="40" spans="1:43" x14ac:dyDescent="0.25">
      <c r="A40" s="18" t="s">
        <v>21</v>
      </c>
      <c r="B40" s="19">
        <v>0</v>
      </c>
      <c r="C40" s="19">
        <v>0</v>
      </c>
      <c r="D40" s="19">
        <v>1</v>
      </c>
      <c r="E40" s="20">
        <v>0</v>
      </c>
      <c r="F40" s="20">
        <v>0</v>
      </c>
      <c r="G40" s="20">
        <v>1.9858606720152514E-5</v>
      </c>
      <c r="H40"/>
      <c r="I40" s="19">
        <v>0</v>
      </c>
      <c r="J40" s="19">
        <v>0</v>
      </c>
      <c r="K40" s="19">
        <v>0</v>
      </c>
      <c r="L40" s="20">
        <v>0</v>
      </c>
      <c r="M40" s="20">
        <v>0</v>
      </c>
      <c r="N40" s="20">
        <v>0</v>
      </c>
      <c r="P40" s="19">
        <v>0</v>
      </c>
      <c r="Q40" s="19">
        <v>0</v>
      </c>
      <c r="R40" s="19">
        <v>0</v>
      </c>
      <c r="S40" s="20">
        <v>0</v>
      </c>
      <c r="T40" s="20">
        <v>0</v>
      </c>
      <c r="U40" s="20">
        <v>0</v>
      </c>
      <c r="X40" s="19">
        <v>0</v>
      </c>
      <c r="Y40" s="19">
        <v>0</v>
      </c>
      <c r="Z40" s="19">
        <v>0</v>
      </c>
      <c r="AA40" s="20">
        <v>0</v>
      </c>
      <c r="AB40" s="20">
        <v>0</v>
      </c>
      <c r="AC40" s="20">
        <v>0</v>
      </c>
      <c r="AD40"/>
      <c r="AE40" s="19">
        <v>0</v>
      </c>
      <c r="AF40" s="19">
        <v>0</v>
      </c>
      <c r="AG40" s="19">
        <v>0</v>
      </c>
      <c r="AH40" s="20">
        <v>0</v>
      </c>
      <c r="AI40" s="20">
        <v>0</v>
      </c>
      <c r="AJ40" s="20">
        <v>0</v>
      </c>
      <c r="AL40" s="19">
        <v>0</v>
      </c>
      <c r="AM40" s="19">
        <v>0</v>
      </c>
      <c r="AN40" s="19">
        <v>0</v>
      </c>
      <c r="AO40" s="20">
        <v>0</v>
      </c>
      <c r="AP40" s="20">
        <v>0</v>
      </c>
      <c r="AQ40" s="20">
        <v>0</v>
      </c>
    </row>
    <row r="41" spans="1:43" x14ac:dyDescent="0.25">
      <c r="A41" s="18" t="s">
        <v>24</v>
      </c>
      <c r="B41" s="19">
        <v>0</v>
      </c>
      <c r="C41" s="19">
        <v>0</v>
      </c>
      <c r="D41" s="19">
        <v>0</v>
      </c>
      <c r="E41" s="20">
        <v>0</v>
      </c>
      <c r="F41" s="20">
        <v>0</v>
      </c>
      <c r="G41" s="20">
        <v>0</v>
      </c>
      <c r="H41"/>
      <c r="I41" s="19">
        <v>1</v>
      </c>
      <c r="J41" s="19">
        <v>0</v>
      </c>
      <c r="K41" s="19">
        <v>4</v>
      </c>
      <c r="L41" s="20">
        <v>1.9916351324437363E-4</v>
      </c>
      <c r="M41" s="20">
        <v>0</v>
      </c>
      <c r="N41" s="20">
        <v>8.1950419995902479E-4</v>
      </c>
      <c r="P41" s="19">
        <v>0</v>
      </c>
      <c r="Q41" s="19">
        <v>0</v>
      </c>
      <c r="R41" s="19">
        <v>0</v>
      </c>
      <c r="S41" s="20">
        <v>0</v>
      </c>
      <c r="T41" s="20">
        <v>0</v>
      </c>
      <c r="U41" s="20">
        <v>0</v>
      </c>
      <c r="X41" s="19">
        <v>0</v>
      </c>
      <c r="Y41" s="19">
        <v>0</v>
      </c>
      <c r="Z41" s="19">
        <v>0</v>
      </c>
      <c r="AA41" s="20">
        <v>0</v>
      </c>
      <c r="AB41" s="20">
        <v>0</v>
      </c>
      <c r="AC41" s="20">
        <v>0</v>
      </c>
      <c r="AD41"/>
      <c r="AE41" s="19">
        <v>0</v>
      </c>
      <c r="AF41" s="19">
        <v>0</v>
      </c>
      <c r="AG41" s="19">
        <v>0</v>
      </c>
      <c r="AH41" s="20">
        <v>0</v>
      </c>
      <c r="AI41" s="20">
        <v>0</v>
      </c>
      <c r="AJ41" s="20">
        <v>0</v>
      </c>
      <c r="AL41" s="19">
        <v>0</v>
      </c>
      <c r="AM41" s="19">
        <v>0</v>
      </c>
      <c r="AN41" s="19">
        <v>0</v>
      </c>
      <c r="AO41" s="20">
        <v>0</v>
      </c>
      <c r="AP41" s="20">
        <v>0</v>
      </c>
      <c r="AQ41" s="20">
        <v>0</v>
      </c>
    </row>
    <row r="42" spans="1:43" x14ac:dyDescent="0.25">
      <c r="A42" s="18" t="s">
        <v>25</v>
      </c>
      <c r="B42" s="19">
        <v>114</v>
      </c>
      <c r="C42" s="19">
        <v>117</v>
      </c>
      <c r="D42" s="19">
        <v>68</v>
      </c>
      <c r="E42" s="20">
        <v>3.2824647279009501E-2</v>
      </c>
      <c r="F42" s="20">
        <v>3.3163265306122451E-2</v>
      </c>
      <c r="G42" s="20">
        <v>1.9063638912251192E-2</v>
      </c>
      <c r="H42"/>
      <c r="I42" s="19">
        <v>102</v>
      </c>
      <c r="J42" s="19">
        <v>78</v>
      </c>
      <c r="K42" s="19">
        <v>91</v>
      </c>
      <c r="L42" s="20">
        <v>2.3261117445838083E-2</v>
      </c>
      <c r="M42" s="20">
        <v>1.6813968527699934E-2</v>
      </c>
      <c r="N42" s="20">
        <v>1.9586741282823936E-2</v>
      </c>
      <c r="P42" s="19">
        <v>0</v>
      </c>
      <c r="Q42" s="19">
        <v>2</v>
      </c>
      <c r="R42" s="19">
        <v>2</v>
      </c>
      <c r="S42" s="20">
        <v>0</v>
      </c>
      <c r="T42" s="20">
        <v>1.3793103448275862E-2</v>
      </c>
      <c r="U42" s="20">
        <v>1.2738853503184714E-2</v>
      </c>
      <c r="X42" s="19">
        <v>52</v>
      </c>
      <c r="Y42" s="19">
        <v>70</v>
      </c>
      <c r="Z42" s="19">
        <v>43</v>
      </c>
      <c r="AA42" s="20">
        <v>2.5540275049115914E-2</v>
      </c>
      <c r="AB42" s="20">
        <v>3.3573141486810551E-2</v>
      </c>
      <c r="AC42" s="20">
        <v>2.0330969267139481E-2</v>
      </c>
      <c r="AD42"/>
      <c r="AE42" s="19">
        <v>26</v>
      </c>
      <c r="AF42" s="19">
        <v>37</v>
      </c>
      <c r="AG42" s="19">
        <v>65</v>
      </c>
      <c r="AH42" s="20">
        <v>1.1850501367365542E-2</v>
      </c>
      <c r="AI42" s="20">
        <v>1.6270888302550572E-2</v>
      </c>
      <c r="AJ42" s="20">
        <v>2.7414592998734711E-2</v>
      </c>
      <c r="AL42" s="19">
        <v>0</v>
      </c>
      <c r="AM42" s="19">
        <v>0</v>
      </c>
      <c r="AN42" s="19">
        <v>0</v>
      </c>
      <c r="AO42" s="20">
        <v>0</v>
      </c>
      <c r="AP42" s="20">
        <v>0</v>
      </c>
      <c r="AQ42" s="20">
        <v>0</v>
      </c>
    </row>
    <row r="43" spans="1:43" x14ac:dyDescent="0.25">
      <c r="A43" s="18" t="s">
        <v>28</v>
      </c>
      <c r="B43" s="19">
        <v>1</v>
      </c>
      <c r="C43" s="19">
        <v>0</v>
      </c>
      <c r="D43" s="19">
        <v>0</v>
      </c>
      <c r="E43" s="20">
        <v>3.3036009250082593E-5</v>
      </c>
      <c r="F43" s="20">
        <v>0</v>
      </c>
      <c r="G43" s="20">
        <v>0</v>
      </c>
      <c r="H43"/>
      <c r="I43" s="19">
        <v>0</v>
      </c>
      <c r="J43" s="19">
        <v>0</v>
      </c>
      <c r="K43" s="19">
        <v>0</v>
      </c>
      <c r="L43" s="20">
        <v>0</v>
      </c>
      <c r="M43" s="20">
        <v>0</v>
      </c>
      <c r="N43" s="20">
        <v>0</v>
      </c>
      <c r="P43" s="19">
        <v>0</v>
      </c>
      <c r="Q43" s="19">
        <v>0</v>
      </c>
      <c r="R43" s="19">
        <v>0</v>
      </c>
      <c r="S43" s="20">
        <v>0</v>
      </c>
      <c r="T43" s="20">
        <v>0</v>
      </c>
      <c r="U43" s="20">
        <v>0</v>
      </c>
      <c r="X43" s="19">
        <v>8</v>
      </c>
      <c r="Y43" s="19">
        <v>0</v>
      </c>
      <c r="Z43" s="19">
        <v>0</v>
      </c>
      <c r="AA43" s="20">
        <v>7.7257363592467406E-4</v>
      </c>
      <c r="AB43" s="20">
        <v>0</v>
      </c>
      <c r="AC43" s="20">
        <v>0</v>
      </c>
      <c r="AD43"/>
      <c r="AE43" s="19">
        <v>0</v>
      </c>
      <c r="AF43" s="19">
        <v>0</v>
      </c>
      <c r="AG43" s="19">
        <v>0</v>
      </c>
      <c r="AH43" s="20">
        <v>0</v>
      </c>
      <c r="AI43" s="20">
        <v>0</v>
      </c>
      <c r="AJ43" s="20">
        <v>0</v>
      </c>
      <c r="AL43" s="19">
        <v>0</v>
      </c>
      <c r="AM43" s="19">
        <v>0</v>
      </c>
      <c r="AN43" s="19">
        <v>0</v>
      </c>
      <c r="AO43" s="20">
        <v>0</v>
      </c>
      <c r="AP43" s="20">
        <v>0</v>
      </c>
      <c r="AQ43" s="20">
        <v>0</v>
      </c>
    </row>
    <row r="44" spans="1:43" x14ac:dyDescent="0.25">
      <c r="A44" s="18" t="s">
        <v>30</v>
      </c>
      <c r="B44" s="19">
        <v>2</v>
      </c>
      <c r="C44" s="19">
        <v>1</v>
      </c>
      <c r="D44" s="19">
        <v>19</v>
      </c>
      <c r="E44" s="20">
        <v>2.6696281741878992E-6</v>
      </c>
      <c r="F44" s="20">
        <v>1.2671797900029651E-6</v>
      </c>
      <c r="G44" s="20">
        <v>2.5259575373243462E-5</v>
      </c>
      <c r="H44"/>
      <c r="I44" s="19">
        <v>3</v>
      </c>
      <c r="J44" s="19">
        <v>0</v>
      </c>
      <c r="K44" s="19">
        <v>1</v>
      </c>
      <c r="L44" s="20">
        <v>5.0015838348810458E-5</v>
      </c>
      <c r="M44" s="20">
        <v>0</v>
      </c>
      <c r="N44" s="20">
        <v>1.7286383515704678E-5</v>
      </c>
      <c r="P44" s="19">
        <v>12</v>
      </c>
      <c r="Q44" s="19">
        <v>8</v>
      </c>
      <c r="R44" s="19">
        <v>3</v>
      </c>
      <c r="S44" s="20">
        <v>2.0366598778004071E-3</v>
      </c>
      <c r="T44" s="20">
        <v>1.0193679918450561E-3</v>
      </c>
      <c r="U44" s="20">
        <v>4.2325056433408577E-4</v>
      </c>
      <c r="X44" s="19">
        <v>1</v>
      </c>
      <c r="Y44" s="19">
        <v>0</v>
      </c>
      <c r="Z44" s="19">
        <v>9</v>
      </c>
      <c r="AA44" s="20">
        <v>2.9103270043422077E-6</v>
      </c>
      <c r="AB44" s="20">
        <v>0</v>
      </c>
      <c r="AC44" s="20">
        <v>2.5938468189350819E-5</v>
      </c>
      <c r="AD44"/>
      <c r="AE44" s="19">
        <v>0</v>
      </c>
      <c r="AF44" s="19">
        <v>0</v>
      </c>
      <c r="AG44" s="19">
        <v>0</v>
      </c>
      <c r="AH44" s="20">
        <v>0</v>
      </c>
      <c r="AI44" s="20">
        <v>0</v>
      </c>
      <c r="AJ44" s="20">
        <v>0</v>
      </c>
      <c r="AL44" s="19">
        <v>0</v>
      </c>
      <c r="AM44" s="19">
        <v>0</v>
      </c>
      <c r="AN44" s="19">
        <v>0</v>
      </c>
      <c r="AO44" s="20">
        <v>0</v>
      </c>
      <c r="AP44" s="20">
        <v>0</v>
      </c>
      <c r="AQ44" s="20">
        <v>0</v>
      </c>
    </row>
    <row r="45" spans="1:43" x14ac:dyDescent="0.25">
      <c r="A45" s="18" t="s">
        <v>80</v>
      </c>
      <c r="B45" s="19">
        <v>0</v>
      </c>
      <c r="C45" s="19">
        <v>0</v>
      </c>
      <c r="D45" s="19">
        <v>0</v>
      </c>
      <c r="E45" s="20">
        <v>0</v>
      </c>
      <c r="F45" s="20">
        <v>0</v>
      </c>
      <c r="G45" s="20">
        <v>0</v>
      </c>
      <c r="H45"/>
      <c r="I45" s="19">
        <v>7</v>
      </c>
      <c r="J45" s="19">
        <v>6</v>
      </c>
      <c r="K45" s="19">
        <v>5</v>
      </c>
      <c r="L45" s="20">
        <v>3.8674033149171269E-2</v>
      </c>
      <c r="M45" s="20">
        <v>3.5714285714285712E-2</v>
      </c>
      <c r="N45" s="20">
        <v>3.6231884057971016E-2</v>
      </c>
      <c r="P45" s="19">
        <v>9</v>
      </c>
      <c r="Q45" s="19">
        <v>5</v>
      </c>
      <c r="R45" s="19">
        <v>6</v>
      </c>
      <c r="S45" s="20">
        <v>6.1266167460857727E-3</v>
      </c>
      <c r="T45" s="20">
        <v>3.3921302578018998E-3</v>
      </c>
      <c r="U45" s="20">
        <v>4.0133779264214043E-3</v>
      </c>
      <c r="X45" s="19">
        <v>0</v>
      </c>
      <c r="Y45" s="19">
        <v>0</v>
      </c>
      <c r="Z45" s="19">
        <v>0</v>
      </c>
      <c r="AA45" s="20">
        <v>0</v>
      </c>
      <c r="AB45" s="20">
        <v>0</v>
      </c>
      <c r="AC45" s="20">
        <v>0</v>
      </c>
      <c r="AD45"/>
      <c r="AE45" s="19">
        <v>0</v>
      </c>
      <c r="AF45" s="19">
        <v>0</v>
      </c>
      <c r="AG45" s="19">
        <v>0</v>
      </c>
      <c r="AH45" s="20">
        <v>0</v>
      </c>
      <c r="AI45" s="20">
        <v>0</v>
      </c>
      <c r="AJ45" s="20">
        <v>0</v>
      </c>
      <c r="AL45" s="19">
        <v>0</v>
      </c>
      <c r="AM45" s="19">
        <v>0</v>
      </c>
      <c r="AN45" s="19">
        <v>0</v>
      </c>
      <c r="AO45" s="20">
        <v>0</v>
      </c>
      <c r="AP45" s="20">
        <v>0</v>
      </c>
      <c r="AQ45" s="20">
        <v>0</v>
      </c>
    </row>
    <row r="46" spans="1:43" x14ac:dyDescent="0.25">
      <c r="A46" s="18" t="s">
        <v>39</v>
      </c>
      <c r="B46" s="19">
        <v>0</v>
      </c>
      <c r="C46" s="19">
        <v>0</v>
      </c>
      <c r="D46" s="19">
        <v>2</v>
      </c>
      <c r="E46" s="20">
        <v>0</v>
      </c>
      <c r="F46" s="20">
        <v>0</v>
      </c>
      <c r="G46" s="20">
        <v>9.7370983446932818E-4</v>
      </c>
      <c r="H46"/>
      <c r="I46" s="19">
        <v>0</v>
      </c>
      <c r="J46" s="19">
        <v>0</v>
      </c>
      <c r="K46" s="19">
        <v>0</v>
      </c>
      <c r="L46" s="20">
        <v>0</v>
      </c>
      <c r="M46" s="20">
        <v>0</v>
      </c>
      <c r="N46" s="20">
        <v>0</v>
      </c>
      <c r="P46" s="19">
        <v>0</v>
      </c>
      <c r="Q46" s="19">
        <v>0</v>
      </c>
      <c r="R46" s="19">
        <v>0</v>
      </c>
      <c r="S46" s="20">
        <v>0</v>
      </c>
      <c r="T46" s="20">
        <v>0</v>
      </c>
      <c r="U46" s="20">
        <v>0</v>
      </c>
      <c r="X46" s="19">
        <v>0</v>
      </c>
      <c r="Y46" s="19">
        <v>0</v>
      </c>
      <c r="Z46" s="19">
        <v>0</v>
      </c>
      <c r="AA46" s="20">
        <v>0</v>
      </c>
      <c r="AB46" s="20">
        <v>0</v>
      </c>
      <c r="AC46" s="20">
        <v>0</v>
      </c>
      <c r="AD46"/>
      <c r="AE46" s="19">
        <v>0</v>
      </c>
      <c r="AF46" s="19">
        <v>0</v>
      </c>
      <c r="AG46" s="19">
        <v>0</v>
      </c>
      <c r="AH46" s="20">
        <v>0</v>
      </c>
      <c r="AI46" s="20">
        <v>0</v>
      </c>
      <c r="AJ46" s="20">
        <v>0</v>
      </c>
      <c r="AL46" s="19">
        <v>0</v>
      </c>
      <c r="AM46" s="19">
        <v>0</v>
      </c>
      <c r="AN46" s="19">
        <v>0</v>
      </c>
      <c r="AO46" s="20">
        <v>0</v>
      </c>
      <c r="AP46" s="20">
        <v>0</v>
      </c>
      <c r="AQ46" s="20">
        <v>0</v>
      </c>
    </row>
    <row r="47" spans="1:43" x14ac:dyDescent="0.25">
      <c r="A47" s="18" t="s">
        <v>43</v>
      </c>
      <c r="B47" s="19">
        <v>23</v>
      </c>
      <c r="C47" s="19">
        <v>24</v>
      </c>
      <c r="D47" s="19">
        <v>12</v>
      </c>
      <c r="E47" s="20">
        <v>2.9424633279516105E-5</v>
      </c>
      <c r="F47" s="20">
        <v>3.0675238691701069E-5</v>
      </c>
      <c r="G47" s="20">
        <v>1.515182124891412E-5</v>
      </c>
      <c r="H47"/>
      <c r="I47" s="19">
        <v>2</v>
      </c>
      <c r="J47" s="19">
        <v>1</v>
      </c>
      <c r="K47" s="19">
        <v>7</v>
      </c>
      <c r="L47" s="20">
        <v>2.1777003484320557E-5</v>
      </c>
      <c r="M47" s="20">
        <v>1.0961787209786683E-5</v>
      </c>
      <c r="N47" s="20">
        <v>7.6498551991694444E-5</v>
      </c>
      <c r="P47" s="19">
        <v>0</v>
      </c>
      <c r="Q47" s="19">
        <v>0</v>
      </c>
      <c r="R47" s="19">
        <v>0</v>
      </c>
      <c r="S47" s="20">
        <v>0</v>
      </c>
      <c r="T47" s="20">
        <v>0</v>
      </c>
      <c r="U47" s="20">
        <v>0</v>
      </c>
      <c r="X47" s="19">
        <v>6</v>
      </c>
      <c r="Y47" s="19">
        <v>5</v>
      </c>
      <c r="Z47" s="19">
        <v>1</v>
      </c>
      <c r="AA47" s="20">
        <v>2.416616656127533E-5</v>
      </c>
      <c r="AB47" s="20">
        <v>2.0053422317052628E-5</v>
      </c>
      <c r="AC47" s="20">
        <v>3.9319304205592775E-6</v>
      </c>
      <c r="AD47"/>
      <c r="AE47" s="19">
        <v>10</v>
      </c>
      <c r="AF47" s="19">
        <v>0</v>
      </c>
      <c r="AG47" s="19">
        <v>1</v>
      </c>
      <c r="AH47" s="20">
        <v>5.8875478363261706E-4</v>
      </c>
      <c r="AI47" s="20">
        <v>0</v>
      </c>
      <c r="AJ47" s="20">
        <v>5.5423155794490936E-5</v>
      </c>
      <c r="AL47" s="19">
        <v>0</v>
      </c>
      <c r="AM47" s="19">
        <v>0</v>
      </c>
      <c r="AN47" s="19">
        <v>0</v>
      </c>
      <c r="AO47" s="20">
        <v>0</v>
      </c>
      <c r="AP47" s="20">
        <v>0</v>
      </c>
      <c r="AQ47" s="20">
        <v>0</v>
      </c>
    </row>
    <row r="48" spans="1:43" x14ac:dyDescent="0.25">
      <c r="A48" s="18" t="s">
        <v>49</v>
      </c>
      <c r="B48" s="19">
        <v>0</v>
      </c>
      <c r="C48" s="19">
        <v>0</v>
      </c>
      <c r="D48" s="19">
        <v>1</v>
      </c>
      <c r="E48" s="20">
        <v>0</v>
      </c>
      <c r="F48" s="20">
        <v>0</v>
      </c>
      <c r="G48" s="20">
        <v>2.9154518950437317E-4</v>
      </c>
      <c r="H48"/>
      <c r="I48" s="19">
        <v>1</v>
      </c>
      <c r="J48" s="19">
        <v>0</v>
      </c>
      <c r="K48" s="19">
        <v>0</v>
      </c>
      <c r="L48" s="20">
        <v>3.5676061362825543E-4</v>
      </c>
      <c r="M48" s="20">
        <v>0</v>
      </c>
      <c r="N48" s="20">
        <v>0</v>
      </c>
      <c r="P48" s="19">
        <v>0</v>
      </c>
      <c r="Q48" s="19">
        <v>0</v>
      </c>
      <c r="R48" s="19">
        <v>0</v>
      </c>
      <c r="S48" s="20">
        <v>0</v>
      </c>
      <c r="T48" s="20">
        <v>0</v>
      </c>
      <c r="U48" s="20">
        <v>0</v>
      </c>
      <c r="X48" s="19">
        <v>0</v>
      </c>
      <c r="Y48" s="19">
        <v>0</v>
      </c>
      <c r="Z48" s="19">
        <v>0</v>
      </c>
      <c r="AA48" s="20">
        <v>0</v>
      </c>
      <c r="AB48" s="20">
        <v>0</v>
      </c>
      <c r="AC48" s="20">
        <v>0</v>
      </c>
      <c r="AD48"/>
      <c r="AE48" s="19">
        <v>0</v>
      </c>
      <c r="AF48" s="19">
        <v>0</v>
      </c>
      <c r="AG48" s="19">
        <v>0</v>
      </c>
      <c r="AH48" s="20">
        <v>0</v>
      </c>
      <c r="AI48" s="20">
        <v>0</v>
      </c>
      <c r="AJ48" s="20">
        <v>0</v>
      </c>
      <c r="AL48" s="19">
        <v>0</v>
      </c>
      <c r="AM48" s="19">
        <v>0</v>
      </c>
      <c r="AN48" s="19">
        <v>0</v>
      </c>
      <c r="AO48" s="20">
        <v>0</v>
      </c>
      <c r="AP48" s="20">
        <v>0</v>
      </c>
      <c r="AQ48" s="20">
        <v>0</v>
      </c>
    </row>
    <row r="49" spans="1:43" x14ac:dyDescent="0.25">
      <c r="A49" s="18" t="s">
        <v>52</v>
      </c>
      <c r="B49" s="19">
        <v>0</v>
      </c>
      <c r="C49" s="19">
        <v>0</v>
      </c>
      <c r="D49" s="19">
        <v>0</v>
      </c>
      <c r="E49" s="20">
        <v>0</v>
      </c>
      <c r="F49" s="20">
        <v>0</v>
      </c>
      <c r="G49" s="20">
        <v>0</v>
      </c>
      <c r="H49"/>
      <c r="I49" s="19">
        <v>0</v>
      </c>
      <c r="J49" s="19">
        <v>0</v>
      </c>
      <c r="K49" s="19">
        <v>3</v>
      </c>
      <c r="L49" s="20">
        <v>0</v>
      </c>
      <c r="M49" s="20">
        <v>0</v>
      </c>
      <c r="N49" s="20">
        <v>4.7915668423574511E-4</v>
      </c>
      <c r="P49" s="19">
        <v>0</v>
      </c>
      <c r="Q49" s="19">
        <v>0</v>
      </c>
      <c r="R49" s="19">
        <v>0</v>
      </c>
      <c r="S49" s="20">
        <v>0</v>
      </c>
      <c r="T49" s="20">
        <v>0</v>
      </c>
      <c r="U49" s="20">
        <v>0</v>
      </c>
      <c r="X49" s="19">
        <v>0</v>
      </c>
      <c r="Y49" s="19">
        <v>0</v>
      </c>
      <c r="Z49" s="19">
        <v>0</v>
      </c>
      <c r="AA49" s="20">
        <v>0</v>
      </c>
      <c r="AB49" s="20">
        <v>0</v>
      </c>
      <c r="AC49" s="20">
        <v>0</v>
      </c>
      <c r="AD49"/>
      <c r="AE49" s="19">
        <v>0</v>
      </c>
      <c r="AF49" s="19">
        <v>0</v>
      </c>
      <c r="AG49" s="19">
        <v>0</v>
      </c>
      <c r="AH49" s="20">
        <v>0</v>
      </c>
      <c r="AI49" s="20">
        <v>0</v>
      </c>
      <c r="AJ49" s="20">
        <v>0</v>
      </c>
      <c r="AL49" s="19">
        <v>0</v>
      </c>
      <c r="AM49" s="19">
        <v>0</v>
      </c>
      <c r="AN49" s="19">
        <v>0</v>
      </c>
      <c r="AO49" s="20">
        <v>0</v>
      </c>
      <c r="AP49" s="20">
        <v>0</v>
      </c>
      <c r="AQ49" s="20">
        <v>0</v>
      </c>
    </row>
    <row r="50" spans="1:43" x14ac:dyDescent="0.25">
      <c r="A50" s="18" t="s">
        <v>55</v>
      </c>
      <c r="B50" s="19">
        <v>2</v>
      </c>
      <c r="C50" s="19">
        <v>1</v>
      </c>
      <c r="D50" s="19">
        <v>5</v>
      </c>
      <c r="E50" s="20">
        <v>6.5112644875634849E-5</v>
      </c>
      <c r="F50" s="20">
        <v>3.261046796021523E-5</v>
      </c>
      <c r="G50" s="20">
        <v>1.5927624872579002E-4</v>
      </c>
      <c r="H50"/>
      <c r="I50" s="19">
        <v>0</v>
      </c>
      <c r="J50" s="19">
        <v>0</v>
      </c>
      <c r="K50" s="19">
        <v>0</v>
      </c>
      <c r="L50" s="20">
        <v>0</v>
      </c>
      <c r="M50" s="20">
        <v>0</v>
      </c>
      <c r="N50" s="20">
        <v>0</v>
      </c>
      <c r="P50" s="19">
        <v>0</v>
      </c>
      <c r="Q50" s="19">
        <v>0</v>
      </c>
      <c r="R50" s="19">
        <v>0</v>
      </c>
      <c r="S50" s="20">
        <v>0</v>
      </c>
      <c r="T50" s="20">
        <v>0</v>
      </c>
      <c r="U50" s="20">
        <v>0</v>
      </c>
      <c r="X50" s="19">
        <v>0</v>
      </c>
      <c r="Y50" s="19">
        <v>0</v>
      </c>
      <c r="Z50" s="19">
        <v>1</v>
      </c>
      <c r="AA50" s="20">
        <v>0</v>
      </c>
      <c r="AB50" s="20">
        <v>0</v>
      </c>
      <c r="AC50" s="20">
        <v>1.7032873445750298E-4</v>
      </c>
      <c r="AD50"/>
      <c r="AE50" s="19">
        <v>0</v>
      </c>
      <c r="AF50" s="19">
        <v>0</v>
      </c>
      <c r="AG50" s="19">
        <v>0</v>
      </c>
      <c r="AH50" s="20">
        <v>0</v>
      </c>
      <c r="AI50" s="20">
        <v>0</v>
      </c>
      <c r="AJ50" s="20">
        <v>0</v>
      </c>
      <c r="AL50" s="19">
        <v>0</v>
      </c>
      <c r="AM50" s="19">
        <v>0</v>
      </c>
      <c r="AN50" s="19">
        <v>0</v>
      </c>
      <c r="AO50" s="20">
        <v>0</v>
      </c>
      <c r="AP50" s="20">
        <v>0</v>
      </c>
      <c r="AQ50" s="20">
        <v>0</v>
      </c>
    </row>
    <row r="51" spans="1:43" x14ac:dyDescent="0.25">
      <c r="A51" s="18" t="s">
        <v>58</v>
      </c>
      <c r="B51" s="19">
        <v>0</v>
      </c>
      <c r="C51" s="19">
        <v>0</v>
      </c>
      <c r="D51" s="19">
        <v>0</v>
      </c>
      <c r="E51" s="20">
        <v>0</v>
      </c>
      <c r="F51" s="20">
        <v>0</v>
      </c>
      <c r="G51" s="20">
        <v>0</v>
      </c>
      <c r="H51"/>
      <c r="I51" s="19">
        <v>0</v>
      </c>
      <c r="J51" s="19">
        <v>0</v>
      </c>
      <c r="K51" s="19">
        <v>0</v>
      </c>
      <c r="L51" s="20">
        <v>0</v>
      </c>
      <c r="M51" s="20">
        <v>0</v>
      </c>
      <c r="N51" s="20">
        <v>0</v>
      </c>
      <c r="P51" s="19">
        <v>1</v>
      </c>
      <c r="Q51" s="19">
        <v>0</v>
      </c>
      <c r="R51" s="19">
        <v>0</v>
      </c>
      <c r="S51" s="20">
        <v>6.2893081761006293E-3</v>
      </c>
      <c r="T51" s="20">
        <v>0</v>
      </c>
      <c r="U51" s="20">
        <v>0</v>
      </c>
      <c r="X51" s="19">
        <v>0</v>
      </c>
      <c r="Y51" s="19">
        <v>0</v>
      </c>
      <c r="Z51" s="19">
        <v>0</v>
      </c>
      <c r="AA51" s="20">
        <v>0</v>
      </c>
      <c r="AB51" s="20">
        <v>0</v>
      </c>
      <c r="AC51" s="20">
        <v>0</v>
      </c>
      <c r="AD51"/>
      <c r="AE51" s="19">
        <v>0</v>
      </c>
      <c r="AF51" s="19">
        <v>0</v>
      </c>
      <c r="AG51" s="19">
        <v>0</v>
      </c>
      <c r="AH51" s="20">
        <v>0</v>
      </c>
      <c r="AI51" s="20">
        <v>0</v>
      </c>
      <c r="AJ51" s="20">
        <v>0</v>
      </c>
      <c r="AL51" s="19">
        <v>0</v>
      </c>
      <c r="AM51" s="19">
        <v>0</v>
      </c>
      <c r="AN51" s="19">
        <v>0</v>
      </c>
      <c r="AO51" s="20">
        <v>0</v>
      </c>
      <c r="AP51" s="20">
        <v>0</v>
      </c>
      <c r="AQ51" s="20">
        <v>0</v>
      </c>
    </row>
    <row r="52" spans="1:43" s="43" customFormat="1" x14ac:dyDescent="0.25">
      <c r="A52" s="29" t="s">
        <v>67</v>
      </c>
      <c r="B52" s="27">
        <v>281</v>
      </c>
      <c r="C52" s="27">
        <v>284</v>
      </c>
      <c r="D52" s="27">
        <v>228</v>
      </c>
      <c r="E52" s="157">
        <v>1.0204848719473067E-4</v>
      </c>
      <c r="F52" s="157">
        <v>1.0099548116345372E-4</v>
      </c>
      <c r="G52" s="157">
        <v>8.1013262723879088E-5</v>
      </c>
      <c r="I52" s="27">
        <v>127</v>
      </c>
      <c r="J52" s="27">
        <v>413</v>
      </c>
      <c r="K52" s="27">
        <v>114</v>
      </c>
      <c r="L52" s="157">
        <v>4.9526572761164926E-4</v>
      </c>
      <c r="M52" s="157">
        <v>1.6026200703911091E-3</v>
      </c>
      <c r="N52" s="157">
        <v>4.458245015760287E-4</v>
      </c>
      <c r="P52" s="27">
        <v>22</v>
      </c>
      <c r="Q52" s="27">
        <v>16</v>
      </c>
      <c r="R52" s="27">
        <v>11</v>
      </c>
      <c r="S52" s="157">
        <v>7.4616741283407948E-4</v>
      </c>
      <c r="T52" s="157">
        <v>5.2079942712063016E-4</v>
      </c>
      <c r="U52" s="157">
        <v>3.6307225137802423E-4</v>
      </c>
      <c r="X52" s="27">
        <v>156</v>
      </c>
      <c r="Y52" s="27">
        <v>158</v>
      </c>
      <c r="Z52" s="27">
        <v>143</v>
      </c>
      <c r="AA52" s="157">
        <v>1.298708866934789E-4</v>
      </c>
      <c r="AB52" s="157">
        <v>1.283579203742202E-4</v>
      </c>
      <c r="AC52" s="157">
        <v>1.1670697001773456E-4</v>
      </c>
      <c r="AE52" s="27">
        <v>36</v>
      </c>
      <c r="AF52" s="27">
        <v>38</v>
      </c>
      <c r="AG52" s="27">
        <v>66</v>
      </c>
      <c r="AH52" s="157">
        <v>9.4714409745060382E-4</v>
      </c>
      <c r="AI52" s="157">
        <v>9.6593797661413325E-4</v>
      </c>
      <c r="AJ52" s="157">
        <v>1.6978365446453838E-3</v>
      </c>
      <c r="AL52" s="27">
        <v>0</v>
      </c>
      <c r="AM52" s="27">
        <v>3</v>
      </c>
      <c r="AN52" s="27">
        <v>0</v>
      </c>
      <c r="AO52" s="157">
        <v>0</v>
      </c>
      <c r="AP52" s="157">
        <v>1.0533707865168539E-3</v>
      </c>
      <c r="AQ52" s="157">
        <v>0</v>
      </c>
    </row>
    <row r="53" spans="1:43" x14ac:dyDescent="0.25">
      <c r="A53" s="18"/>
      <c r="B53" s="19"/>
      <c r="C53" s="19"/>
      <c r="D53" s="19"/>
      <c r="E53" s="19"/>
      <c r="F53" s="19"/>
      <c r="G53" s="19"/>
      <c r="H53"/>
      <c r="I53" s="19"/>
      <c r="J53" s="19"/>
      <c r="K53" s="19"/>
      <c r="L53" s="19"/>
      <c r="M53" s="19"/>
      <c r="N53" s="19"/>
      <c r="P53" s="19"/>
      <c r="Q53" s="19"/>
      <c r="R53" s="19"/>
      <c r="S53" s="19"/>
      <c r="T53" s="19"/>
      <c r="U53" s="19"/>
      <c r="X53" s="19"/>
      <c r="Y53" s="19"/>
      <c r="Z53" s="19"/>
      <c r="AA53" s="19"/>
      <c r="AB53" s="19"/>
      <c r="AC53" s="19"/>
      <c r="AD53"/>
      <c r="AE53" s="19"/>
      <c r="AF53" s="19"/>
      <c r="AG53" s="19"/>
      <c r="AH53" s="19"/>
      <c r="AI53" s="19"/>
      <c r="AJ53" s="19"/>
      <c r="AL53" s="19"/>
      <c r="AM53" s="19"/>
      <c r="AN53" s="19"/>
      <c r="AO53" s="19"/>
      <c r="AP53" s="19"/>
      <c r="AQ53" s="19"/>
    </row>
    <row r="54" spans="1:43" x14ac:dyDescent="0.25">
      <c r="A54" s="28" t="s">
        <v>68</v>
      </c>
      <c r="B54" s="25" t="s">
        <v>12</v>
      </c>
      <c r="C54" s="25" t="s">
        <v>164</v>
      </c>
      <c r="D54" s="25" t="s">
        <v>195</v>
      </c>
      <c r="E54" s="25" t="s">
        <v>12</v>
      </c>
      <c r="F54" s="25" t="s">
        <v>164</v>
      </c>
      <c r="G54" s="25" t="s">
        <v>195</v>
      </c>
      <c r="H54"/>
      <c r="I54" s="25" t="s">
        <v>12</v>
      </c>
      <c r="J54" s="25" t="s">
        <v>164</v>
      </c>
      <c r="K54" s="25" t="s">
        <v>195</v>
      </c>
      <c r="L54" s="25" t="s">
        <v>12</v>
      </c>
      <c r="M54" s="25" t="s">
        <v>164</v>
      </c>
      <c r="N54" s="25" t="s">
        <v>195</v>
      </c>
      <c r="P54" s="25" t="s">
        <v>12</v>
      </c>
      <c r="Q54" s="25" t="s">
        <v>164</v>
      </c>
      <c r="R54" s="25" t="s">
        <v>195</v>
      </c>
      <c r="S54" s="25" t="s">
        <v>12</v>
      </c>
      <c r="T54" s="25" t="s">
        <v>164</v>
      </c>
      <c r="U54" s="25" t="s">
        <v>195</v>
      </c>
      <c r="X54" s="25" t="s">
        <v>12</v>
      </c>
      <c r="Y54" s="25" t="s">
        <v>164</v>
      </c>
      <c r="Z54" s="25" t="s">
        <v>195</v>
      </c>
      <c r="AA54" s="25" t="s">
        <v>12</v>
      </c>
      <c r="AB54" s="25" t="s">
        <v>164</v>
      </c>
      <c r="AC54" s="25" t="s">
        <v>195</v>
      </c>
      <c r="AD54"/>
      <c r="AE54" s="25" t="s">
        <v>12</v>
      </c>
      <c r="AF54" s="25" t="s">
        <v>164</v>
      </c>
      <c r="AG54" s="25" t="s">
        <v>195</v>
      </c>
      <c r="AH54" s="25" t="s">
        <v>12</v>
      </c>
      <c r="AI54" s="25" t="s">
        <v>164</v>
      </c>
      <c r="AJ54" s="25" t="s">
        <v>195</v>
      </c>
      <c r="AL54" s="25" t="s">
        <v>12</v>
      </c>
      <c r="AM54" s="25" t="s">
        <v>164</v>
      </c>
      <c r="AN54" s="25" t="s">
        <v>195</v>
      </c>
      <c r="AO54" s="25" t="s">
        <v>12</v>
      </c>
      <c r="AP54" s="25" t="s">
        <v>164</v>
      </c>
      <c r="AQ54" s="25" t="s">
        <v>195</v>
      </c>
    </row>
    <row r="55" spans="1:43" x14ac:dyDescent="0.25">
      <c r="A55" s="18" t="s">
        <v>19</v>
      </c>
      <c r="B55" s="19">
        <v>26</v>
      </c>
      <c r="C55" s="19">
        <v>17</v>
      </c>
      <c r="D55" s="19">
        <v>4</v>
      </c>
      <c r="E55" s="20">
        <v>9.1620592080456976E-5</v>
      </c>
      <c r="F55" s="20">
        <v>5.8898120110589881E-5</v>
      </c>
      <c r="G55" s="20">
        <v>1.3773535528834897E-5</v>
      </c>
      <c r="H55"/>
      <c r="I55" s="19">
        <v>2</v>
      </c>
      <c r="J55" s="19">
        <v>1</v>
      </c>
      <c r="K55" s="19">
        <v>0</v>
      </c>
      <c r="L55" s="20">
        <v>1.373532037634778E-4</v>
      </c>
      <c r="M55" s="20">
        <v>6.6952329941081948E-5</v>
      </c>
      <c r="N55" s="20">
        <v>0</v>
      </c>
      <c r="P55" s="19">
        <v>0</v>
      </c>
      <c r="Q55" s="19">
        <v>0</v>
      </c>
      <c r="R55" s="19">
        <v>0</v>
      </c>
      <c r="S55" s="20">
        <v>0</v>
      </c>
      <c r="T55" s="20">
        <v>0</v>
      </c>
      <c r="U55" s="20">
        <v>0</v>
      </c>
      <c r="X55" s="19">
        <v>2</v>
      </c>
      <c r="Y55" s="19">
        <v>1</v>
      </c>
      <c r="Z55" s="19">
        <v>0</v>
      </c>
      <c r="AA55" s="20">
        <v>3.0263137984777641E-5</v>
      </c>
      <c r="AB55" s="20">
        <v>1.4936966003465376E-5</v>
      </c>
      <c r="AC55" s="20">
        <v>0</v>
      </c>
      <c r="AD55"/>
      <c r="AE55" s="19">
        <v>0</v>
      </c>
      <c r="AF55" s="19">
        <v>0</v>
      </c>
      <c r="AG55" s="19">
        <v>0</v>
      </c>
      <c r="AH55" s="20">
        <v>0</v>
      </c>
      <c r="AI55" s="20">
        <v>0</v>
      </c>
      <c r="AJ55" s="20">
        <v>0</v>
      </c>
      <c r="AL55" s="19">
        <v>0</v>
      </c>
      <c r="AM55" s="19">
        <v>0</v>
      </c>
      <c r="AN55" s="19">
        <v>0</v>
      </c>
      <c r="AO55" s="20">
        <v>0</v>
      </c>
      <c r="AP55" s="20">
        <v>0</v>
      </c>
      <c r="AQ55" s="20">
        <v>0</v>
      </c>
    </row>
    <row r="56" spans="1:43" x14ac:dyDescent="0.25">
      <c r="A56" s="18" t="s">
        <v>20</v>
      </c>
      <c r="B56" s="19">
        <v>2</v>
      </c>
      <c r="C56" s="19">
        <v>0</v>
      </c>
      <c r="D56" s="19">
        <v>0</v>
      </c>
      <c r="E56" s="20">
        <v>1.2618933447744996E-5</v>
      </c>
      <c r="F56" s="20">
        <v>0</v>
      </c>
      <c r="G56" s="20">
        <v>0</v>
      </c>
      <c r="H56"/>
      <c r="I56" s="19">
        <v>0</v>
      </c>
      <c r="J56" s="19">
        <v>0</v>
      </c>
      <c r="K56" s="19">
        <v>0</v>
      </c>
      <c r="L56" s="20">
        <v>0</v>
      </c>
      <c r="M56" s="20">
        <v>0</v>
      </c>
      <c r="N56" s="20">
        <v>0</v>
      </c>
      <c r="P56" s="19">
        <v>0</v>
      </c>
      <c r="Q56" s="19">
        <v>0</v>
      </c>
      <c r="R56" s="19">
        <v>0</v>
      </c>
      <c r="S56" s="20">
        <v>0</v>
      </c>
      <c r="T56" s="20">
        <v>0</v>
      </c>
      <c r="U56" s="20">
        <v>0</v>
      </c>
      <c r="X56" s="19">
        <v>0</v>
      </c>
      <c r="Y56" s="19">
        <v>0</v>
      </c>
      <c r="Z56" s="19">
        <v>0</v>
      </c>
      <c r="AA56" s="20">
        <v>0</v>
      </c>
      <c r="AB56" s="20">
        <v>0</v>
      </c>
      <c r="AC56" s="20">
        <v>0</v>
      </c>
      <c r="AD56"/>
      <c r="AE56" s="19">
        <v>0</v>
      </c>
      <c r="AF56" s="19">
        <v>0</v>
      </c>
      <c r="AG56" s="19">
        <v>0</v>
      </c>
      <c r="AH56" s="20">
        <v>0</v>
      </c>
      <c r="AI56" s="20">
        <v>0</v>
      </c>
      <c r="AJ56" s="20">
        <v>0</v>
      </c>
      <c r="AL56" s="19">
        <v>0</v>
      </c>
      <c r="AM56" s="19">
        <v>0</v>
      </c>
      <c r="AN56" s="19">
        <v>0</v>
      </c>
      <c r="AO56" s="20">
        <v>0</v>
      </c>
      <c r="AP56" s="20">
        <v>0</v>
      </c>
      <c r="AQ56" s="20">
        <v>0</v>
      </c>
    </row>
    <row r="57" spans="1:43" x14ac:dyDescent="0.25">
      <c r="A57" s="18" t="s">
        <v>21</v>
      </c>
      <c r="B57" s="19">
        <v>2</v>
      </c>
      <c r="C57" s="19">
        <v>0</v>
      </c>
      <c r="D57" s="19">
        <v>1</v>
      </c>
      <c r="E57" s="20">
        <v>5.0170579971904475E-5</v>
      </c>
      <c r="F57" s="20">
        <v>0</v>
      </c>
      <c r="G57" s="20">
        <v>2.6928048255062473E-5</v>
      </c>
      <c r="H57"/>
      <c r="I57" s="19">
        <v>0</v>
      </c>
      <c r="J57" s="19">
        <v>0</v>
      </c>
      <c r="K57" s="19">
        <v>0</v>
      </c>
      <c r="L57" s="20">
        <v>0</v>
      </c>
      <c r="M57" s="20">
        <v>0</v>
      </c>
      <c r="N57" s="20">
        <v>0</v>
      </c>
      <c r="P57" s="19">
        <v>0</v>
      </c>
      <c r="Q57" s="19">
        <v>0</v>
      </c>
      <c r="R57" s="19">
        <v>0</v>
      </c>
      <c r="S57" s="20">
        <v>0</v>
      </c>
      <c r="T57" s="20">
        <v>0</v>
      </c>
      <c r="U57" s="20">
        <v>0</v>
      </c>
      <c r="X57" s="19">
        <v>0</v>
      </c>
      <c r="Y57" s="19">
        <v>0</v>
      </c>
      <c r="Z57" s="19">
        <v>0</v>
      </c>
      <c r="AA57" s="20">
        <v>0</v>
      </c>
      <c r="AB57" s="20">
        <v>0</v>
      </c>
      <c r="AC57" s="20">
        <v>0</v>
      </c>
      <c r="AD57"/>
      <c r="AE57" s="19">
        <v>0</v>
      </c>
      <c r="AF57" s="19">
        <v>0</v>
      </c>
      <c r="AG57" s="19">
        <v>0</v>
      </c>
      <c r="AH57" s="20">
        <v>0</v>
      </c>
      <c r="AI57" s="20">
        <v>0</v>
      </c>
      <c r="AJ57" s="20">
        <v>0</v>
      </c>
      <c r="AL57" s="19">
        <v>0</v>
      </c>
      <c r="AM57" s="19">
        <v>0</v>
      </c>
      <c r="AN57" s="19">
        <v>0</v>
      </c>
      <c r="AO57" s="20">
        <v>0</v>
      </c>
      <c r="AP57" s="20">
        <v>0</v>
      </c>
      <c r="AQ57" s="20">
        <v>0</v>
      </c>
    </row>
    <row r="58" spans="1:43" x14ac:dyDescent="0.25">
      <c r="A58" s="18" t="s">
        <v>83</v>
      </c>
      <c r="B58" s="19">
        <v>0</v>
      </c>
      <c r="C58" s="19">
        <v>0</v>
      </c>
      <c r="D58" s="19">
        <v>0</v>
      </c>
      <c r="E58" s="20">
        <v>0</v>
      </c>
      <c r="F58" s="20">
        <v>0</v>
      </c>
      <c r="G58" s="20">
        <v>0</v>
      </c>
      <c r="H58"/>
      <c r="I58" s="19">
        <v>0</v>
      </c>
      <c r="J58" s="19">
        <v>0</v>
      </c>
      <c r="K58" s="19">
        <v>0</v>
      </c>
      <c r="L58" s="20">
        <v>0</v>
      </c>
      <c r="M58" s="20">
        <v>0</v>
      </c>
      <c r="N58" s="20">
        <v>0</v>
      </c>
      <c r="P58" s="19">
        <v>0</v>
      </c>
      <c r="Q58" s="19">
        <v>0</v>
      </c>
      <c r="R58" s="19">
        <v>7</v>
      </c>
      <c r="S58" s="20">
        <v>0</v>
      </c>
      <c r="T58" s="20">
        <v>0</v>
      </c>
      <c r="U58" s="20">
        <v>1.1666666666666667</v>
      </c>
      <c r="X58" s="19">
        <v>0</v>
      </c>
      <c r="Y58" s="19">
        <v>0</v>
      </c>
      <c r="Z58" s="19">
        <v>0</v>
      </c>
      <c r="AA58" s="20">
        <v>0</v>
      </c>
      <c r="AB58" s="20">
        <v>0</v>
      </c>
      <c r="AC58" s="20">
        <v>0</v>
      </c>
      <c r="AD58"/>
      <c r="AE58" s="19">
        <v>0</v>
      </c>
      <c r="AF58" s="19">
        <v>0</v>
      </c>
      <c r="AG58" s="19">
        <v>0</v>
      </c>
      <c r="AH58" s="20">
        <v>0</v>
      </c>
      <c r="AI58" s="20">
        <v>0</v>
      </c>
      <c r="AJ58" s="20">
        <v>0</v>
      </c>
      <c r="AL58" s="19">
        <v>0</v>
      </c>
      <c r="AM58" s="19">
        <v>0</v>
      </c>
      <c r="AN58" s="19">
        <v>0</v>
      </c>
      <c r="AO58" s="20">
        <v>0</v>
      </c>
      <c r="AP58" s="20">
        <v>0</v>
      </c>
      <c r="AQ58" s="20">
        <v>0</v>
      </c>
    </row>
    <row r="59" spans="1:43" x14ac:dyDescent="0.25">
      <c r="A59" s="18" t="s">
        <v>30</v>
      </c>
      <c r="B59" s="19">
        <v>0</v>
      </c>
      <c r="C59" s="19">
        <v>0</v>
      </c>
      <c r="D59" s="19">
        <v>4</v>
      </c>
      <c r="E59" s="20">
        <v>0</v>
      </c>
      <c r="F59" s="20">
        <v>0</v>
      </c>
      <c r="G59" s="20">
        <v>3.9128988711286754E-5</v>
      </c>
      <c r="H59"/>
      <c r="I59" s="19">
        <v>4</v>
      </c>
      <c r="J59" s="19">
        <v>0</v>
      </c>
      <c r="K59" s="19">
        <v>0</v>
      </c>
      <c r="L59" s="20">
        <v>4.8514251061249243E-4</v>
      </c>
      <c r="M59" s="20">
        <v>0</v>
      </c>
      <c r="N59" s="20">
        <v>0</v>
      </c>
      <c r="P59" s="19">
        <v>4</v>
      </c>
      <c r="Q59" s="19">
        <v>3</v>
      </c>
      <c r="R59" s="19">
        <v>0</v>
      </c>
      <c r="S59" s="20">
        <v>6.5146579804560263E-3</v>
      </c>
      <c r="T59" s="20">
        <v>2.6269702276707531E-3</v>
      </c>
      <c r="U59" s="20">
        <v>0</v>
      </c>
      <c r="X59" s="19">
        <v>0</v>
      </c>
      <c r="Y59" s="19">
        <v>0</v>
      </c>
      <c r="Z59" s="19">
        <v>0</v>
      </c>
      <c r="AA59" s="20">
        <v>0</v>
      </c>
      <c r="AB59" s="20">
        <v>0</v>
      </c>
      <c r="AC59" s="20">
        <v>0</v>
      </c>
      <c r="AD59"/>
      <c r="AE59" s="19">
        <v>0</v>
      </c>
      <c r="AF59" s="19">
        <v>0</v>
      </c>
      <c r="AG59" s="19">
        <v>0</v>
      </c>
      <c r="AH59" s="20">
        <v>0</v>
      </c>
      <c r="AI59" s="20">
        <v>0</v>
      </c>
      <c r="AJ59" s="20">
        <v>0</v>
      </c>
      <c r="AL59" s="19">
        <v>0</v>
      </c>
      <c r="AM59" s="19">
        <v>0</v>
      </c>
      <c r="AN59" s="19">
        <v>0</v>
      </c>
      <c r="AO59" s="20">
        <v>0</v>
      </c>
      <c r="AP59" s="20">
        <v>0</v>
      </c>
      <c r="AQ59" s="20">
        <v>0</v>
      </c>
    </row>
    <row r="60" spans="1:43" x14ac:dyDescent="0.25">
      <c r="A60" s="18" t="s">
        <v>80</v>
      </c>
      <c r="B60" s="19">
        <v>0</v>
      </c>
      <c r="C60" s="19">
        <v>0</v>
      </c>
      <c r="D60" s="19">
        <v>0</v>
      </c>
      <c r="E60" s="20">
        <v>0</v>
      </c>
      <c r="F60" s="20">
        <v>0</v>
      </c>
      <c r="G60" s="20">
        <v>0</v>
      </c>
      <c r="H60"/>
      <c r="I60" s="19">
        <v>0</v>
      </c>
      <c r="J60" s="19">
        <v>0</v>
      </c>
      <c r="K60" s="19">
        <v>0</v>
      </c>
      <c r="L60" s="20">
        <v>0</v>
      </c>
      <c r="M60" s="20">
        <v>0</v>
      </c>
      <c r="N60" s="20">
        <v>0</v>
      </c>
      <c r="P60" s="19">
        <v>2</v>
      </c>
      <c r="Q60" s="19">
        <v>2</v>
      </c>
      <c r="R60" s="19">
        <v>2</v>
      </c>
      <c r="S60" s="20">
        <v>2.0811654526534861E-3</v>
      </c>
      <c r="T60" s="20">
        <v>2.1482277121374865E-3</v>
      </c>
      <c r="U60" s="20">
        <v>2.0283975659229209E-3</v>
      </c>
      <c r="X60" s="19">
        <v>0</v>
      </c>
      <c r="Y60" s="19">
        <v>0</v>
      </c>
      <c r="Z60" s="19">
        <v>0</v>
      </c>
      <c r="AA60" s="20">
        <v>0</v>
      </c>
      <c r="AB60" s="20">
        <v>0</v>
      </c>
      <c r="AC60" s="20">
        <v>0</v>
      </c>
      <c r="AD60"/>
      <c r="AE60" s="19">
        <v>0</v>
      </c>
      <c r="AF60" s="19">
        <v>0</v>
      </c>
      <c r="AG60" s="19">
        <v>0</v>
      </c>
      <c r="AH60" s="20">
        <v>0</v>
      </c>
      <c r="AI60" s="20">
        <v>0</v>
      </c>
      <c r="AJ60" s="20">
        <v>0</v>
      </c>
      <c r="AL60" s="19">
        <v>0</v>
      </c>
      <c r="AM60" s="19">
        <v>0</v>
      </c>
      <c r="AN60" s="19">
        <v>0</v>
      </c>
      <c r="AO60" s="20">
        <v>0</v>
      </c>
      <c r="AP60" s="20">
        <v>0</v>
      </c>
      <c r="AQ60" s="20">
        <v>0</v>
      </c>
    </row>
    <row r="61" spans="1:43" x14ac:dyDescent="0.25">
      <c r="A61" s="18" t="s">
        <v>43</v>
      </c>
      <c r="B61" s="19">
        <v>15</v>
      </c>
      <c r="C61" s="19">
        <v>26</v>
      </c>
      <c r="D61" s="19">
        <v>14</v>
      </c>
      <c r="E61" s="20">
        <v>3.0666066974690273E-5</v>
      </c>
      <c r="F61" s="20">
        <v>5.376555323720328E-5</v>
      </c>
      <c r="G61" s="20">
        <v>2.8898810813935005E-5</v>
      </c>
      <c r="H61"/>
      <c r="I61" s="19">
        <v>2</v>
      </c>
      <c r="J61" s="19">
        <v>9</v>
      </c>
      <c r="K61" s="19">
        <v>7</v>
      </c>
      <c r="L61" s="20">
        <v>5.8702670971529207E-5</v>
      </c>
      <c r="M61" s="20">
        <v>2.6497085320614734E-4</v>
      </c>
      <c r="N61" s="20">
        <v>2.0893027698185292E-4</v>
      </c>
      <c r="P61" s="19">
        <v>0</v>
      </c>
      <c r="Q61" s="19">
        <v>0</v>
      </c>
      <c r="R61" s="19">
        <v>5</v>
      </c>
      <c r="S61" s="20">
        <v>0</v>
      </c>
      <c r="T61" s="20">
        <v>0</v>
      </c>
      <c r="U61" s="20">
        <v>1.0012014417300761E-3</v>
      </c>
      <c r="X61" s="19">
        <v>3</v>
      </c>
      <c r="Y61" s="19">
        <v>2</v>
      </c>
      <c r="Z61" s="19">
        <v>0</v>
      </c>
      <c r="AA61" s="20">
        <v>3.7860144625752468E-5</v>
      </c>
      <c r="AB61" s="20">
        <v>2.5206059536712625E-5</v>
      </c>
      <c r="AC61" s="20">
        <v>0</v>
      </c>
      <c r="AD61"/>
      <c r="AE61" s="19">
        <v>0</v>
      </c>
      <c r="AF61" s="19">
        <v>2</v>
      </c>
      <c r="AG61" s="19">
        <v>0</v>
      </c>
      <c r="AH61" s="20">
        <v>0</v>
      </c>
      <c r="AI61" s="20">
        <v>1.9884668920262477E-4</v>
      </c>
      <c r="AJ61" s="20">
        <v>0</v>
      </c>
      <c r="AL61" s="19">
        <v>0</v>
      </c>
      <c r="AM61" s="19">
        <v>0</v>
      </c>
      <c r="AN61" s="19">
        <v>0</v>
      </c>
      <c r="AO61" s="20">
        <v>0</v>
      </c>
      <c r="AP61" s="20">
        <v>0</v>
      </c>
      <c r="AQ61" s="20">
        <v>0</v>
      </c>
    </row>
    <row r="62" spans="1:43" x14ac:dyDescent="0.25">
      <c r="A62" s="18" t="s">
        <v>55</v>
      </c>
      <c r="B62" s="19">
        <v>0</v>
      </c>
      <c r="C62" s="19">
        <v>0</v>
      </c>
      <c r="D62" s="19">
        <v>1</v>
      </c>
      <c r="E62" s="20">
        <v>0</v>
      </c>
      <c r="F62" s="20">
        <v>0</v>
      </c>
      <c r="G62" s="20">
        <v>6.8390097113937905E-5</v>
      </c>
      <c r="H62"/>
      <c r="I62" s="19">
        <v>0</v>
      </c>
      <c r="J62" s="19">
        <v>0</v>
      </c>
      <c r="K62" s="19">
        <v>0</v>
      </c>
      <c r="L62" s="20">
        <v>0</v>
      </c>
      <c r="M62" s="20">
        <v>0</v>
      </c>
      <c r="N62" s="20">
        <v>0</v>
      </c>
      <c r="P62" s="19">
        <v>0</v>
      </c>
      <c r="Q62" s="19">
        <v>0</v>
      </c>
      <c r="R62" s="19">
        <v>0</v>
      </c>
      <c r="S62" s="20">
        <v>0</v>
      </c>
      <c r="T62" s="20">
        <v>0</v>
      </c>
      <c r="U62" s="20">
        <v>0</v>
      </c>
      <c r="X62" s="19">
        <v>0</v>
      </c>
      <c r="Y62" s="19">
        <v>0</v>
      </c>
      <c r="Z62" s="19">
        <v>0</v>
      </c>
      <c r="AA62" s="20">
        <v>0</v>
      </c>
      <c r="AB62" s="20">
        <v>0</v>
      </c>
      <c r="AC62" s="20">
        <v>0</v>
      </c>
      <c r="AD62"/>
      <c r="AE62" s="19">
        <v>0</v>
      </c>
      <c r="AF62" s="19">
        <v>0</v>
      </c>
      <c r="AG62" s="19">
        <v>0</v>
      </c>
      <c r="AH62" s="20">
        <v>0</v>
      </c>
      <c r="AI62" s="20">
        <v>0</v>
      </c>
      <c r="AJ62" s="20">
        <v>0</v>
      </c>
      <c r="AL62" s="19">
        <v>0</v>
      </c>
      <c r="AM62" s="19">
        <v>0</v>
      </c>
      <c r="AN62" s="19">
        <v>0</v>
      </c>
      <c r="AO62" s="20">
        <v>0</v>
      </c>
      <c r="AP62" s="20">
        <v>0</v>
      </c>
      <c r="AQ62" s="20">
        <v>0</v>
      </c>
    </row>
    <row r="63" spans="1:43" s="43" customFormat="1" x14ac:dyDescent="0.25">
      <c r="A63" s="29" t="s">
        <v>69</v>
      </c>
      <c r="B63" s="27">
        <v>45</v>
      </c>
      <c r="C63" s="27">
        <v>43</v>
      </c>
      <c r="D63" s="27">
        <v>24</v>
      </c>
      <c r="E63" s="22">
        <v>3.7782487061597209E-5</v>
      </c>
      <c r="F63" s="22">
        <v>3.5604102254981677E-5</v>
      </c>
      <c r="G63" s="22">
        <v>1.9738335466170139E-5</v>
      </c>
      <c r="I63" s="27">
        <v>8</v>
      </c>
      <c r="J63" s="27">
        <v>10</v>
      </c>
      <c r="K63" s="27">
        <v>7</v>
      </c>
      <c r="L63" s="22">
        <v>1.0132225543340594E-4</v>
      </c>
      <c r="M63" s="22">
        <v>1.2458730455366598E-4</v>
      </c>
      <c r="N63" s="22">
        <v>8.7556911992795315E-5</v>
      </c>
      <c r="P63" s="27">
        <v>6</v>
      </c>
      <c r="Q63" s="27">
        <v>5</v>
      </c>
      <c r="R63" s="27">
        <v>14</v>
      </c>
      <c r="S63" s="22">
        <v>4.5533884799271458E-4</v>
      </c>
      <c r="T63" s="22">
        <v>3.731064845907022E-4</v>
      </c>
      <c r="U63" s="22">
        <v>1.0417441773941513E-3</v>
      </c>
      <c r="X63" s="27">
        <v>5</v>
      </c>
      <c r="Y63" s="27">
        <v>3</v>
      </c>
      <c r="Z63" s="27">
        <v>0</v>
      </c>
      <c r="AA63" s="22">
        <v>3.4146241523195542E-5</v>
      </c>
      <c r="AB63" s="22">
        <v>2.0260824345406534E-5</v>
      </c>
      <c r="AC63" s="22">
        <v>0</v>
      </c>
      <c r="AE63" s="27">
        <v>0</v>
      </c>
      <c r="AF63" s="27">
        <v>2</v>
      </c>
      <c r="AG63" s="27">
        <v>0</v>
      </c>
      <c r="AH63" s="22">
        <v>0</v>
      </c>
      <c r="AI63" s="22">
        <v>1.6998130205677376E-4</v>
      </c>
      <c r="AJ63" s="22">
        <v>0</v>
      </c>
      <c r="AL63" s="27">
        <v>0</v>
      </c>
      <c r="AM63" s="27">
        <v>0</v>
      </c>
      <c r="AN63" s="27">
        <v>0</v>
      </c>
      <c r="AO63" s="22">
        <v>0</v>
      </c>
      <c r="AP63" s="22">
        <v>0</v>
      </c>
      <c r="AQ63" s="22">
        <v>0</v>
      </c>
    </row>
    <row r="64" spans="1:43" x14ac:dyDescent="0.25">
      <c r="A64" s="18"/>
      <c r="B64" s="19"/>
      <c r="C64" s="19"/>
      <c r="D64" s="19"/>
      <c r="E64" s="19"/>
      <c r="F64" s="19"/>
      <c r="G64" s="19"/>
      <c r="H64"/>
      <c r="I64" s="19"/>
      <c r="J64" s="19"/>
      <c r="K64" s="19"/>
      <c r="L64" s="19"/>
      <c r="M64" s="19"/>
      <c r="N64" s="19"/>
      <c r="P64" s="19"/>
      <c r="Q64" s="19"/>
      <c r="R64" s="19"/>
      <c r="S64" s="19"/>
      <c r="T64" s="19"/>
      <c r="U64" s="19"/>
      <c r="X64" s="19"/>
      <c r="Y64" s="19"/>
      <c r="Z64" s="19"/>
      <c r="AA64" s="19"/>
      <c r="AB64" s="19"/>
      <c r="AC64" s="19"/>
      <c r="AD64"/>
      <c r="AE64" s="19"/>
      <c r="AF64" s="19"/>
      <c r="AG64" s="19"/>
      <c r="AH64" s="19"/>
      <c r="AI64" s="19"/>
      <c r="AJ64" s="19"/>
      <c r="AL64" s="19"/>
      <c r="AM64" s="19"/>
      <c r="AN64" s="19"/>
      <c r="AO64" s="19"/>
      <c r="AP64" s="19"/>
      <c r="AQ64" s="19"/>
    </row>
    <row r="65" spans="1:43" x14ac:dyDescent="0.25">
      <c r="A65" s="28" t="s">
        <v>70</v>
      </c>
      <c r="B65" s="25" t="s">
        <v>12</v>
      </c>
      <c r="C65" s="25" t="s">
        <v>164</v>
      </c>
      <c r="D65" s="25" t="s">
        <v>195</v>
      </c>
      <c r="E65" s="25" t="s">
        <v>12</v>
      </c>
      <c r="F65" s="25" t="s">
        <v>164</v>
      </c>
      <c r="G65" s="25" t="s">
        <v>195</v>
      </c>
      <c r="H65"/>
      <c r="I65" s="25" t="s">
        <v>12</v>
      </c>
      <c r="J65" s="25" t="s">
        <v>164</v>
      </c>
      <c r="K65" s="25" t="s">
        <v>195</v>
      </c>
      <c r="L65" s="25" t="s">
        <v>12</v>
      </c>
      <c r="M65" s="25" t="s">
        <v>164</v>
      </c>
      <c r="N65" s="25" t="s">
        <v>195</v>
      </c>
      <c r="P65" s="25" t="s">
        <v>12</v>
      </c>
      <c r="Q65" s="25" t="s">
        <v>164</v>
      </c>
      <c r="R65" s="25" t="s">
        <v>195</v>
      </c>
      <c r="S65" s="25" t="s">
        <v>12</v>
      </c>
      <c r="T65" s="25" t="s">
        <v>164</v>
      </c>
      <c r="U65" s="25" t="s">
        <v>195</v>
      </c>
      <c r="X65" s="25" t="s">
        <v>12</v>
      </c>
      <c r="Y65" s="25" t="s">
        <v>164</v>
      </c>
      <c r="Z65" s="25" t="s">
        <v>195</v>
      </c>
      <c r="AA65" s="25" t="s">
        <v>12</v>
      </c>
      <c r="AB65" s="25" t="s">
        <v>164</v>
      </c>
      <c r="AC65" s="25" t="s">
        <v>195</v>
      </c>
      <c r="AD65"/>
      <c r="AE65" s="25" t="s">
        <v>12</v>
      </c>
      <c r="AF65" s="25" t="s">
        <v>164</v>
      </c>
      <c r="AG65" s="25" t="s">
        <v>195</v>
      </c>
      <c r="AH65" s="25" t="s">
        <v>12</v>
      </c>
      <c r="AI65" s="25" t="s">
        <v>164</v>
      </c>
      <c r="AJ65" s="25" t="s">
        <v>195</v>
      </c>
      <c r="AL65" s="25" t="s">
        <v>12</v>
      </c>
      <c r="AM65" s="25" t="s">
        <v>164</v>
      </c>
      <c r="AN65" s="25" t="s">
        <v>195</v>
      </c>
      <c r="AO65" s="25" t="s">
        <v>12</v>
      </c>
      <c r="AP65" s="25" t="s">
        <v>164</v>
      </c>
      <c r="AQ65" s="25" t="s">
        <v>195</v>
      </c>
    </row>
    <row r="66" spans="1:43" x14ac:dyDescent="0.25">
      <c r="A66" s="18" t="s">
        <v>19</v>
      </c>
      <c r="B66" s="19">
        <v>1</v>
      </c>
      <c r="C66" s="19">
        <v>5</v>
      </c>
      <c r="D66" s="19">
        <v>2</v>
      </c>
      <c r="E66" s="20">
        <v>4.1373432464077521E-6</v>
      </c>
      <c r="F66" s="20">
        <v>2.0654755757513167E-5</v>
      </c>
      <c r="G66" s="20">
        <v>8.2887811347341367E-6</v>
      </c>
      <c r="H66"/>
      <c r="I66" s="19">
        <v>0</v>
      </c>
      <c r="J66" s="19">
        <v>9</v>
      </c>
      <c r="K66" s="19">
        <v>2</v>
      </c>
      <c r="L66" s="20">
        <v>0</v>
      </c>
      <c r="M66" s="20">
        <v>3.3330864380416264E-4</v>
      </c>
      <c r="N66" s="20">
        <v>7.3841609747092484E-5</v>
      </c>
      <c r="P66" s="19">
        <v>0</v>
      </c>
      <c r="Q66" s="19">
        <v>0</v>
      </c>
      <c r="R66" s="19">
        <v>0</v>
      </c>
      <c r="S66" s="20">
        <v>0</v>
      </c>
      <c r="T66" s="20">
        <v>0</v>
      </c>
      <c r="U66" s="20">
        <v>0</v>
      </c>
      <c r="X66" s="19">
        <v>0</v>
      </c>
      <c r="Y66" s="19">
        <v>1</v>
      </c>
      <c r="Z66" s="19">
        <v>1</v>
      </c>
      <c r="AA66" s="20">
        <v>0</v>
      </c>
      <c r="AB66" s="20">
        <v>8.5418250463394007E-6</v>
      </c>
      <c r="AC66" s="20">
        <v>8.5560033197292884E-6</v>
      </c>
      <c r="AD66"/>
      <c r="AE66" s="19">
        <v>0</v>
      </c>
      <c r="AF66" s="19">
        <v>1</v>
      </c>
      <c r="AG66" s="19">
        <v>0</v>
      </c>
      <c r="AH66" s="20">
        <v>0</v>
      </c>
      <c r="AI66" s="20">
        <v>4.7505938242280285E-4</v>
      </c>
      <c r="AJ66" s="20">
        <v>0</v>
      </c>
      <c r="AL66" s="19">
        <v>0</v>
      </c>
      <c r="AM66" s="19">
        <v>0</v>
      </c>
      <c r="AN66" s="19">
        <v>0</v>
      </c>
      <c r="AO66" s="20">
        <v>0</v>
      </c>
      <c r="AP66" s="20">
        <v>0</v>
      </c>
      <c r="AQ66" s="20">
        <v>0</v>
      </c>
    </row>
    <row r="67" spans="1:43" x14ac:dyDescent="0.25">
      <c r="A67" s="18" t="s">
        <v>30</v>
      </c>
      <c r="B67" s="19">
        <v>0</v>
      </c>
      <c r="C67" s="19">
        <v>0</v>
      </c>
      <c r="D67" s="19">
        <v>0</v>
      </c>
      <c r="E67" s="20">
        <v>0</v>
      </c>
      <c r="F67" s="20">
        <v>0</v>
      </c>
      <c r="G67" s="20">
        <v>0</v>
      </c>
      <c r="H67"/>
      <c r="I67" s="19">
        <v>0</v>
      </c>
      <c r="J67" s="19">
        <v>0</v>
      </c>
      <c r="K67" s="19">
        <v>1</v>
      </c>
      <c r="L67" s="20">
        <v>0</v>
      </c>
      <c r="M67" s="20">
        <v>0</v>
      </c>
      <c r="N67" s="20">
        <v>3.2320620555914673E-4</v>
      </c>
      <c r="P67" s="19">
        <v>2</v>
      </c>
      <c r="Q67" s="19">
        <v>1</v>
      </c>
      <c r="R67" s="19">
        <v>0</v>
      </c>
      <c r="S67" s="20">
        <v>3.1201248049921998E-3</v>
      </c>
      <c r="T67" s="20">
        <v>9.4073377234242712E-4</v>
      </c>
      <c r="U67" s="20">
        <v>0</v>
      </c>
      <c r="X67" s="19">
        <v>0</v>
      </c>
      <c r="Y67" s="19">
        <v>0</v>
      </c>
      <c r="Z67" s="19">
        <v>0</v>
      </c>
      <c r="AA67" s="20">
        <v>0</v>
      </c>
      <c r="AB67" s="20">
        <v>0</v>
      </c>
      <c r="AC67" s="20">
        <v>0</v>
      </c>
      <c r="AD67"/>
      <c r="AE67" s="19">
        <v>0</v>
      </c>
      <c r="AF67" s="19">
        <v>0</v>
      </c>
      <c r="AG67" s="19">
        <v>0</v>
      </c>
      <c r="AH67" s="20">
        <v>0</v>
      </c>
      <c r="AI67" s="20">
        <v>0</v>
      </c>
      <c r="AJ67" s="20">
        <v>0</v>
      </c>
      <c r="AL67" s="19">
        <v>0</v>
      </c>
      <c r="AM67" s="19">
        <v>0</v>
      </c>
      <c r="AN67" s="19">
        <v>0</v>
      </c>
      <c r="AO67" s="20">
        <v>0</v>
      </c>
      <c r="AP67" s="20">
        <v>0</v>
      </c>
      <c r="AQ67" s="20">
        <v>0</v>
      </c>
    </row>
    <row r="68" spans="1:43" x14ac:dyDescent="0.25">
      <c r="A68" s="18" t="s">
        <v>43</v>
      </c>
      <c r="B68" s="19">
        <v>6</v>
      </c>
      <c r="C68" s="19">
        <v>6</v>
      </c>
      <c r="D68" s="19">
        <v>6</v>
      </c>
      <c r="E68" s="20">
        <v>3.0526894193784724E-5</v>
      </c>
      <c r="F68" s="20">
        <v>3.077570155776343E-5</v>
      </c>
      <c r="G68" s="20">
        <v>3.0598350748894638E-5</v>
      </c>
      <c r="H68"/>
      <c r="I68" s="19">
        <v>0</v>
      </c>
      <c r="J68" s="19">
        <v>2</v>
      </c>
      <c r="K68" s="19">
        <v>4</v>
      </c>
      <c r="L68" s="20">
        <v>0</v>
      </c>
      <c r="M68" s="20">
        <v>9.2781592132120983E-5</v>
      </c>
      <c r="N68" s="20">
        <v>1.864888806004942E-4</v>
      </c>
      <c r="P68" s="19">
        <v>0</v>
      </c>
      <c r="Q68" s="19">
        <v>0</v>
      </c>
      <c r="R68" s="19">
        <v>0</v>
      </c>
      <c r="S68" s="20">
        <v>0</v>
      </c>
      <c r="T68" s="20">
        <v>0</v>
      </c>
      <c r="U68" s="20">
        <v>0</v>
      </c>
      <c r="X68" s="19">
        <v>3</v>
      </c>
      <c r="Y68" s="19">
        <v>4</v>
      </c>
      <c r="Z68" s="19">
        <v>2</v>
      </c>
      <c r="AA68" s="20">
        <v>2.030017187478854E-5</v>
      </c>
      <c r="AB68" s="20">
        <v>2.6948548483807292E-5</v>
      </c>
      <c r="AC68" s="20">
        <v>1.340635327081504E-5</v>
      </c>
      <c r="AD68"/>
      <c r="AE68" s="19">
        <v>0</v>
      </c>
      <c r="AF68" s="19">
        <v>2</v>
      </c>
      <c r="AG68" s="19">
        <v>1</v>
      </c>
      <c r="AH68" s="20">
        <v>0</v>
      </c>
      <c r="AI68" s="20">
        <v>4.8227634434530988E-4</v>
      </c>
      <c r="AJ68" s="20">
        <v>2.3651844843897824E-4</v>
      </c>
      <c r="AL68" s="19">
        <v>0</v>
      </c>
      <c r="AM68" s="19">
        <v>0</v>
      </c>
      <c r="AN68" s="19">
        <v>0</v>
      </c>
      <c r="AO68" s="20">
        <v>0</v>
      </c>
      <c r="AP68" s="20">
        <v>0</v>
      </c>
      <c r="AQ68" s="20">
        <v>0</v>
      </c>
    </row>
    <row r="69" spans="1:43" x14ac:dyDescent="0.25">
      <c r="A69" s="18" t="s">
        <v>126</v>
      </c>
      <c r="B69" s="19">
        <v>0</v>
      </c>
      <c r="C69" s="19">
        <v>1</v>
      </c>
      <c r="D69" s="19">
        <v>1</v>
      </c>
      <c r="E69" s="20">
        <v>0</v>
      </c>
      <c r="F69" s="20">
        <v>4.833252779120348E-5</v>
      </c>
      <c r="G69" s="20">
        <v>4.8671274213958921E-5</v>
      </c>
      <c r="H69"/>
      <c r="I69" s="19">
        <v>0</v>
      </c>
      <c r="J69" s="19">
        <v>0</v>
      </c>
      <c r="K69" s="19">
        <v>0</v>
      </c>
      <c r="L69" s="20">
        <v>0</v>
      </c>
      <c r="M69" s="20">
        <v>0</v>
      </c>
      <c r="N69" s="20">
        <v>0</v>
      </c>
      <c r="P69" s="19">
        <v>0</v>
      </c>
      <c r="Q69" s="19">
        <v>0</v>
      </c>
      <c r="R69" s="19">
        <v>0</v>
      </c>
      <c r="S69" s="20">
        <v>0</v>
      </c>
      <c r="T69" s="20">
        <v>0</v>
      </c>
      <c r="U69" s="20">
        <v>0</v>
      </c>
      <c r="X69" s="19">
        <v>0</v>
      </c>
      <c r="Y69" s="19">
        <v>0</v>
      </c>
      <c r="Z69" s="19">
        <v>0</v>
      </c>
      <c r="AA69" s="20">
        <v>0</v>
      </c>
      <c r="AB69" s="20">
        <v>0</v>
      </c>
      <c r="AC69" s="20">
        <v>0</v>
      </c>
      <c r="AD69"/>
      <c r="AE69" s="19">
        <v>0</v>
      </c>
      <c r="AF69" s="19">
        <v>0</v>
      </c>
      <c r="AG69" s="19">
        <v>0</v>
      </c>
      <c r="AH69" s="20">
        <v>0</v>
      </c>
      <c r="AI69" s="20">
        <v>0</v>
      </c>
      <c r="AJ69" s="20">
        <v>0</v>
      </c>
      <c r="AL69" s="19">
        <v>0</v>
      </c>
      <c r="AM69" s="19">
        <v>0</v>
      </c>
      <c r="AN69" s="19">
        <v>0</v>
      </c>
      <c r="AO69" s="20">
        <v>0</v>
      </c>
      <c r="AP69" s="20">
        <v>0</v>
      </c>
      <c r="AQ69" s="20">
        <v>0</v>
      </c>
    </row>
    <row r="70" spans="1:43" x14ac:dyDescent="0.25">
      <c r="A70" s="18" t="s">
        <v>55</v>
      </c>
      <c r="B70" s="19">
        <v>5</v>
      </c>
      <c r="C70" s="19">
        <v>0</v>
      </c>
      <c r="D70" s="19">
        <v>1</v>
      </c>
      <c r="E70" s="20">
        <v>6.4072170893294205E-5</v>
      </c>
      <c r="F70" s="20">
        <v>0</v>
      </c>
      <c r="G70" s="20">
        <v>1.2064181445288937E-5</v>
      </c>
      <c r="H70"/>
      <c r="I70" s="19">
        <v>2</v>
      </c>
      <c r="J70" s="19">
        <v>0</v>
      </c>
      <c r="K70" s="19">
        <v>1</v>
      </c>
      <c r="L70" s="20">
        <v>5.2534804307853957E-4</v>
      </c>
      <c r="M70" s="20">
        <v>0</v>
      </c>
      <c r="N70" s="20">
        <v>2.5940337224383917E-4</v>
      </c>
      <c r="P70" s="19">
        <v>0</v>
      </c>
      <c r="Q70" s="19">
        <v>0</v>
      </c>
      <c r="R70" s="19">
        <v>0</v>
      </c>
      <c r="S70" s="20">
        <v>0</v>
      </c>
      <c r="T70" s="20">
        <v>0</v>
      </c>
      <c r="U70" s="20">
        <v>0</v>
      </c>
      <c r="X70" s="19">
        <v>25</v>
      </c>
      <c r="Y70" s="19">
        <v>1</v>
      </c>
      <c r="Z70" s="19">
        <v>6</v>
      </c>
      <c r="AA70" s="20">
        <v>6.1641640160761397E-4</v>
      </c>
      <c r="AB70" s="20">
        <v>2.4099289070972408E-5</v>
      </c>
      <c r="AC70" s="20">
        <v>1.3790884225526925E-4</v>
      </c>
      <c r="AD70"/>
      <c r="AE70" s="19">
        <v>0</v>
      </c>
      <c r="AF70" s="19">
        <v>0</v>
      </c>
      <c r="AG70" s="19">
        <v>0</v>
      </c>
      <c r="AH70" s="20">
        <v>0</v>
      </c>
      <c r="AI70" s="20">
        <v>0</v>
      </c>
      <c r="AJ70" s="20">
        <v>0</v>
      </c>
      <c r="AL70" s="19">
        <v>0</v>
      </c>
      <c r="AM70" s="19">
        <v>0</v>
      </c>
      <c r="AN70" s="19">
        <v>0</v>
      </c>
      <c r="AO70" s="20">
        <v>0</v>
      </c>
      <c r="AP70" s="20">
        <v>0</v>
      </c>
      <c r="AQ70" s="20">
        <v>0</v>
      </c>
    </row>
    <row r="71" spans="1:43" x14ac:dyDescent="0.25">
      <c r="A71" s="18" t="s">
        <v>58</v>
      </c>
      <c r="B71" s="19">
        <v>0</v>
      </c>
      <c r="C71" s="19">
        <v>0</v>
      </c>
      <c r="D71" s="19">
        <v>0</v>
      </c>
      <c r="E71" s="20">
        <v>0</v>
      </c>
      <c r="F71" s="20">
        <v>0</v>
      </c>
      <c r="G71" s="20">
        <v>0</v>
      </c>
      <c r="H71"/>
      <c r="I71" s="19">
        <v>0</v>
      </c>
      <c r="J71" s="19">
        <v>0</v>
      </c>
      <c r="K71" s="19">
        <v>2</v>
      </c>
      <c r="L71" s="20">
        <v>0</v>
      </c>
      <c r="M71" s="20">
        <v>0</v>
      </c>
      <c r="N71" s="20">
        <v>1.9801980198019802E-2</v>
      </c>
      <c r="P71" s="19">
        <v>36</v>
      </c>
      <c r="Q71" s="19">
        <v>0</v>
      </c>
      <c r="R71" s="19">
        <v>0</v>
      </c>
      <c r="S71" s="20">
        <v>0.15126050420168066</v>
      </c>
      <c r="T71" s="20">
        <v>0</v>
      </c>
      <c r="U71" s="20">
        <v>0</v>
      </c>
      <c r="X71" s="19">
        <v>0</v>
      </c>
      <c r="Y71" s="19">
        <v>0</v>
      </c>
      <c r="Z71" s="19">
        <v>0</v>
      </c>
      <c r="AA71" s="20">
        <v>0</v>
      </c>
      <c r="AB71" s="20">
        <v>0</v>
      </c>
      <c r="AC71" s="20">
        <v>0</v>
      </c>
      <c r="AD71"/>
      <c r="AE71" s="19">
        <v>0</v>
      </c>
      <c r="AF71" s="19">
        <v>0</v>
      </c>
      <c r="AG71" s="19">
        <v>0</v>
      </c>
      <c r="AH71" s="20">
        <v>0</v>
      </c>
      <c r="AI71" s="20">
        <v>0</v>
      </c>
      <c r="AJ71" s="20">
        <v>0</v>
      </c>
      <c r="AL71" s="19">
        <v>0</v>
      </c>
      <c r="AM71" s="19">
        <v>0</v>
      </c>
      <c r="AN71" s="19">
        <v>0</v>
      </c>
      <c r="AO71" s="20">
        <v>0</v>
      </c>
      <c r="AP71" s="20">
        <v>0</v>
      </c>
      <c r="AQ71" s="20">
        <v>0</v>
      </c>
    </row>
    <row r="72" spans="1:43" s="43" customFormat="1" x14ac:dyDescent="0.25">
      <c r="A72" s="29" t="s">
        <v>71</v>
      </c>
      <c r="B72" s="27">
        <v>12</v>
      </c>
      <c r="C72" s="27">
        <v>12</v>
      </c>
      <c r="D72" s="27">
        <v>10</v>
      </c>
      <c r="E72" s="22">
        <v>1.6955810332305623E-5</v>
      </c>
      <c r="F72" s="22">
        <v>1.6851234493353593E-5</v>
      </c>
      <c r="G72" s="22">
        <v>1.4046107753311018E-5</v>
      </c>
      <c r="I72" s="27">
        <v>2</v>
      </c>
      <c r="J72" s="27">
        <v>11</v>
      </c>
      <c r="K72" s="27">
        <v>10</v>
      </c>
      <c r="L72" s="22">
        <v>2.6015244933531049E-5</v>
      </c>
      <c r="M72" s="22">
        <v>1.4707651990212726E-4</v>
      </c>
      <c r="N72" s="22">
        <v>1.3374705756473358E-4</v>
      </c>
      <c r="P72" s="27">
        <v>38</v>
      </c>
      <c r="Q72" s="27">
        <v>1</v>
      </c>
      <c r="R72" s="27">
        <v>0</v>
      </c>
      <c r="S72" s="22">
        <v>6.0509554140127392E-3</v>
      </c>
      <c r="T72" s="22">
        <v>9.3976130062964003E-5</v>
      </c>
      <c r="U72" s="22">
        <v>0</v>
      </c>
      <c r="X72" s="27">
        <v>28</v>
      </c>
      <c r="Y72" s="27">
        <v>6</v>
      </c>
      <c r="Z72" s="27">
        <v>9</v>
      </c>
      <c r="AA72" s="22">
        <v>7.3117549517554735E-5</v>
      </c>
      <c r="AB72" s="22">
        <v>1.5499670631999069E-5</v>
      </c>
      <c r="AC72" s="22">
        <v>2.3170019025160065E-5</v>
      </c>
      <c r="AE72" s="27">
        <v>0</v>
      </c>
      <c r="AF72" s="27">
        <v>3</v>
      </c>
      <c r="AG72" s="27">
        <v>1</v>
      </c>
      <c r="AH72" s="22">
        <v>0</v>
      </c>
      <c r="AI72" s="22">
        <v>4.2838783378552052E-4</v>
      </c>
      <c r="AJ72" s="22">
        <v>1.419244961680386E-4</v>
      </c>
      <c r="AL72" s="27">
        <v>0</v>
      </c>
      <c r="AM72" s="27">
        <v>0</v>
      </c>
      <c r="AN72" s="27">
        <v>0</v>
      </c>
      <c r="AO72" s="22">
        <v>0</v>
      </c>
      <c r="AP72" s="22">
        <v>0</v>
      </c>
      <c r="AQ72" s="22">
        <v>0</v>
      </c>
    </row>
    <row r="73" spans="1:43" x14ac:dyDescent="0.25">
      <c r="A73" s="18"/>
      <c r="B73" s="19"/>
      <c r="C73" s="19"/>
      <c r="D73" s="19"/>
      <c r="E73" s="19"/>
      <c r="F73" s="19"/>
      <c r="G73" s="19"/>
      <c r="H73"/>
      <c r="I73" s="19"/>
      <c r="J73" s="19"/>
      <c r="K73" s="19"/>
      <c r="L73" s="19"/>
      <c r="M73" s="19"/>
      <c r="N73" s="19"/>
      <c r="P73" s="19"/>
      <c r="Q73" s="19"/>
      <c r="R73" s="19"/>
      <c r="S73" s="19"/>
      <c r="T73" s="19"/>
      <c r="U73" s="19"/>
      <c r="X73" s="19"/>
      <c r="Y73" s="19"/>
      <c r="Z73" s="19"/>
      <c r="AA73" s="19"/>
      <c r="AB73" s="19"/>
      <c r="AC73" s="19"/>
      <c r="AD73"/>
      <c r="AE73" s="19"/>
      <c r="AF73" s="19"/>
      <c r="AG73" s="19"/>
      <c r="AH73" s="19"/>
      <c r="AI73" s="19"/>
      <c r="AJ73" s="19"/>
      <c r="AL73" s="19"/>
      <c r="AM73" s="19"/>
      <c r="AN73" s="19"/>
      <c r="AO73" s="19"/>
      <c r="AP73" s="19"/>
      <c r="AQ73" s="19"/>
    </row>
    <row r="74" spans="1:43" x14ac:dyDescent="0.25">
      <c r="A74" s="28" t="s">
        <v>72</v>
      </c>
      <c r="B74" s="25" t="s">
        <v>12</v>
      </c>
      <c r="C74" s="25" t="s">
        <v>164</v>
      </c>
      <c r="D74" s="25" t="s">
        <v>195</v>
      </c>
      <c r="E74" s="25" t="s">
        <v>12</v>
      </c>
      <c r="F74" s="25" t="s">
        <v>164</v>
      </c>
      <c r="G74" s="25" t="s">
        <v>195</v>
      </c>
      <c r="H74"/>
      <c r="I74" s="25" t="s">
        <v>12</v>
      </c>
      <c r="J74" s="25" t="s">
        <v>164</v>
      </c>
      <c r="K74" s="25" t="s">
        <v>195</v>
      </c>
      <c r="L74" s="25" t="s">
        <v>12</v>
      </c>
      <c r="M74" s="25" t="s">
        <v>164</v>
      </c>
      <c r="N74" s="25" t="s">
        <v>195</v>
      </c>
      <c r="P74" s="25" t="s">
        <v>12</v>
      </c>
      <c r="Q74" s="25" t="s">
        <v>164</v>
      </c>
      <c r="R74" s="25" t="s">
        <v>195</v>
      </c>
      <c r="S74" s="25" t="s">
        <v>12</v>
      </c>
      <c r="T74" s="25" t="s">
        <v>164</v>
      </c>
      <c r="U74" s="25" t="s">
        <v>195</v>
      </c>
      <c r="X74" s="25"/>
      <c r="Y74" s="25"/>
      <c r="Z74" s="25"/>
      <c r="AA74" s="25"/>
      <c r="AB74" s="25"/>
      <c r="AC74" s="25"/>
      <c r="AD74"/>
      <c r="AE74" s="25"/>
      <c r="AF74" s="25"/>
      <c r="AG74" s="25"/>
      <c r="AH74" s="25"/>
      <c r="AI74" s="25"/>
      <c r="AJ74" s="25"/>
      <c r="AL74" s="25"/>
      <c r="AM74" s="25"/>
      <c r="AN74" s="25"/>
      <c r="AO74" s="25"/>
      <c r="AP74" s="25"/>
      <c r="AQ74" s="25"/>
    </row>
    <row r="75" spans="1:43" x14ac:dyDescent="0.25">
      <c r="A75" s="18" t="s">
        <v>22</v>
      </c>
      <c r="B75" s="19">
        <v>4040</v>
      </c>
      <c r="C75" s="19">
        <v>8696</v>
      </c>
      <c r="D75" s="19">
        <v>7649</v>
      </c>
      <c r="E75" s="20">
        <v>0.2049616965146365</v>
      </c>
      <c r="F75" s="20">
        <v>0.59770430957454124</v>
      </c>
      <c r="G75" s="20">
        <v>1.0944341107454572</v>
      </c>
      <c r="H75"/>
      <c r="I75" s="19">
        <v>57</v>
      </c>
      <c r="J75" s="19">
        <v>70</v>
      </c>
      <c r="K75" s="19">
        <v>125</v>
      </c>
      <c r="L75" s="20">
        <v>1.52E-2</v>
      </c>
      <c r="M75" s="20">
        <v>1.9455252918287938E-2</v>
      </c>
      <c r="N75" s="20">
        <v>3.5211267605633804E-2</v>
      </c>
      <c r="P75" s="19">
        <v>10</v>
      </c>
      <c r="Q75" s="19">
        <v>17</v>
      </c>
      <c r="R75" s="19">
        <v>7</v>
      </c>
      <c r="S75" s="20">
        <v>4.8520135856380394E-3</v>
      </c>
      <c r="T75" s="20">
        <v>8.5255767301905712E-3</v>
      </c>
      <c r="U75" s="20">
        <v>3.6591740721380033E-3</v>
      </c>
      <c r="X75" s="19"/>
      <c r="Y75" s="19"/>
      <c r="Z75" s="19"/>
      <c r="AA75" s="20"/>
      <c r="AB75" s="20"/>
      <c r="AC75" s="20"/>
      <c r="AD75"/>
      <c r="AE75" s="19"/>
      <c r="AF75" s="19"/>
      <c r="AG75" s="19"/>
      <c r="AH75" s="20"/>
      <c r="AI75" s="20"/>
      <c r="AJ75" s="20"/>
      <c r="AL75" s="19"/>
      <c r="AM75" s="19"/>
      <c r="AN75" s="19"/>
      <c r="AO75" s="20"/>
      <c r="AP75" s="20"/>
      <c r="AQ75" s="20"/>
    </row>
    <row r="76" spans="1:43" x14ac:dyDescent="0.25">
      <c r="A76" s="18" t="s">
        <v>80</v>
      </c>
      <c r="B76" s="19">
        <v>0</v>
      </c>
      <c r="C76" s="19">
        <v>0</v>
      </c>
      <c r="D76" s="19">
        <v>0</v>
      </c>
      <c r="E76" s="20">
        <v>0</v>
      </c>
      <c r="F76" s="20">
        <v>0</v>
      </c>
      <c r="G76" s="20">
        <v>0</v>
      </c>
      <c r="H76"/>
      <c r="I76" s="19">
        <v>0</v>
      </c>
      <c r="J76" s="19">
        <v>0</v>
      </c>
      <c r="K76" s="19">
        <v>0</v>
      </c>
      <c r="L76" s="20">
        <v>0</v>
      </c>
      <c r="M76" s="20">
        <v>0</v>
      </c>
      <c r="N76" s="20">
        <v>0</v>
      </c>
      <c r="P76" s="19">
        <v>3</v>
      </c>
      <c r="Q76" s="19">
        <v>2</v>
      </c>
      <c r="R76" s="19">
        <v>2</v>
      </c>
      <c r="S76" s="20">
        <v>1.1952191235059761E-2</v>
      </c>
      <c r="T76" s="20">
        <v>7.575757575757576E-3</v>
      </c>
      <c r="U76" s="20">
        <v>7.4074074074074077E-3</v>
      </c>
      <c r="X76" s="19"/>
      <c r="Y76" s="19"/>
      <c r="Z76" s="19"/>
      <c r="AA76" s="20"/>
      <c r="AB76" s="20"/>
      <c r="AC76" s="20"/>
      <c r="AD76"/>
      <c r="AE76" s="19"/>
      <c r="AF76" s="19"/>
      <c r="AG76" s="19"/>
      <c r="AH76" s="20"/>
      <c r="AI76" s="20"/>
      <c r="AJ76" s="20"/>
      <c r="AL76" s="19"/>
      <c r="AM76" s="19"/>
      <c r="AN76" s="19"/>
      <c r="AO76" s="20"/>
      <c r="AP76" s="20"/>
      <c r="AQ76" s="20"/>
    </row>
    <row r="77" spans="1:43" s="43" customFormat="1" x14ac:dyDescent="0.25">
      <c r="A77" s="29" t="s">
        <v>73</v>
      </c>
      <c r="B77" s="27">
        <v>4040</v>
      </c>
      <c r="C77" s="27">
        <v>8696</v>
      </c>
      <c r="D77" s="27">
        <v>7649</v>
      </c>
      <c r="E77" s="22">
        <v>0.2049616965146365</v>
      </c>
      <c r="F77" s="22">
        <v>0.5948830209330962</v>
      </c>
      <c r="G77" s="22">
        <v>0.98278298856482071</v>
      </c>
      <c r="I77" s="27">
        <v>57</v>
      </c>
      <c r="J77" s="27">
        <v>70</v>
      </c>
      <c r="K77" s="27">
        <v>125</v>
      </c>
      <c r="L77" s="22">
        <v>1.4574277678343135E-2</v>
      </c>
      <c r="M77" s="22">
        <v>1.8612071257644244E-2</v>
      </c>
      <c r="N77" s="22">
        <v>3.2773990561090718E-2</v>
      </c>
      <c r="P77" s="27">
        <v>13</v>
      </c>
      <c r="Q77" s="27">
        <v>19</v>
      </c>
      <c r="R77" s="27">
        <v>9</v>
      </c>
      <c r="S77" s="22">
        <v>5.6131260794473233E-3</v>
      </c>
      <c r="T77" s="22">
        <v>8.3922261484098946E-3</v>
      </c>
      <c r="U77" s="22">
        <v>4.0340654415060512E-3</v>
      </c>
      <c r="X77" s="27"/>
      <c r="Y77" s="27"/>
      <c r="Z77" s="27"/>
      <c r="AA77" s="22"/>
      <c r="AB77" s="22"/>
      <c r="AC77" s="22"/>
      <c r="AE77" s="27"/>
      <c r="AF77" s="27"/>
      <c r="AG77" s="27"/>
      <c r="AH77" s="22"/>
      <c r="AI77" s="22"/>
      <c r="AJ77" s="22"/>
      <c r="AL77" s="27"/>
      <c r="AM77" s="27"/>
      <c r="AN77" s="27"/>
      <c r="AO77" s="22"/>
      <c r="AP77" s="22"/>
      <c r="AQ77" s="22"/>
    </row>
    <row r="78" spans="1:43" x14ac:dyDescent="0.25">
      <c r="A78" s="19"/>
      <c r="B78" s="19"/>
      <c r="C78" s="20"/>
      <c r="D78" s="87"/>
      <c r="E78" s="20"/>
      <c r="G78" s="19"/>
      <c r="H78" s="20"/>
      <c r="I78" s="87"/>
      <c r="J78" s="20"/>
      <c r="L78" s="19"/>
      <c r="M78" s="20"/>
      <c r="N78" s="87"/>
      <c r="O78" s="20"/>
      <c r="P78" s="20"/>
      <c r="R78" s="19"/>
      <c r="S78" s="20"/>
      <c r="T78" s="87"/>
      <c r="U78" s="20"/>
      <c r="W78" s="19"/>
      <c r="X78" s="20"/>
      <c r="Y78" s="87"/>
      <c r="Z78" s="20"/>
      <c r="AB78" s="19"/>
      <c r="AC78" s="20"/>
      <c r="AD78" s="87"/>
      <c r="AE78" s="20"/>
    </row>
    <row r="79" spans="1:43" x14ac:dyDescent="0.25">
      <c r="A79" s="19"/>
      <c r="B79" s="19"/>
      <c r="C79" s="20"/>
      <c r="D79" s="87"/>
      <c r="E79" s="20"/>
      <c r="G79" s="19"/>
      <c r="H79" s="20"/>
      <c r="I79" s="87"/>
      <c r="J79" s="20"/>
      <c r="L79" s="19"/>
      <c r="M79" s="20"/>
      <c r="N79" s="87"/>
      <c r="O79" s="20"/>
      <c r="P79" s="20"/>
      <c r="R79" s="19"/>
      <c r="S79" s="20"/>
      <c r="T79" s="87"/>
      <c r="U79" s="20"/>
      <c r="W79" s="19"/>
      <c r="X79" s="20"/>
      <c r="Y79" s="87"/>
      <c r="Z79" s="20"/>
      <c r="AB79" s="19"/>
      <c r="AC79" s="20"/>
      <c r="AD79" s="87"/>
      <c r="AE79" s="20"/>
    </row>
    <row r="80" spans="1:43" x14ac:dyDescent="0.25">
      <c r="A80" s="19"/>
      <c r="B80" s="19"/>
      <c r="C80" s="20"/>
      <c r="D80" s="87"/>
      <c r="E80" s="20"/>
      <c r="G80" s="19"/>
      <c r="H80" s="20"/>
      <c r="I80" s="87"/>
      <c r="J80" s="20"/>
      <c r="L80" s="19"/>
      <c r="M80" s="20"/>
      <c r="N80" s="87"/>
      <c r="O80" s="20"/>
      <c r="P80" s="20"/>
      <c r="R80" s="19"/>
      <c r="S80" s="20"/>
      <c r="T80" s="87"/>
      <c r="U80" s="20"/>
      <c r="W80" s="19"/>
      <c r="X80" s="20"/>
      <c r="Y80" s="87"/>
      <c r="Z80" s="20"/>
      <c r="AB80" s="19"/>
      <c r="AC80" s="20"/>
      <c r="AD80" s="87"/>
      <c r="AE80" s="20"/>
    </row>
    <row r="81" spans="1:31" x14ac:dyDescent="0.25">
      <c r="A81" s="19"/>
      <c r="B81" s="19"/>
      <c r="C81" s="20"/>
      <c r="D81" s="87"/>
      <c r="E81" s="20"/>
      <c r="G81" s="19"/>
      <c r="H81" s="20"/>
      <c r="I81" s="87"/>
      <c r="J81" s="20"/>
      <c r="L81" s="19"/>
      <c r="M81" s="20"/>
      <c r="N81" s="87"/>
      <c r="O81" s="20"/>
      <c r="P81" s="20"/>
      <c r="R81" s="19"/>
      <c r="S81" s="20"/>
      <c r="T81" s="87"/>
      <c r="U81" s="20"/>
      <c r="W81" s="19"/>
      <c r="X81" s="20"/>
      <c r="Y81" s="87"/>
      <c r="Z81" s="20"/>
      <c r="AB81" s="19"/>
      <c r="AC81" s="20"/>
      <c r="AD81" s="87"/>
      <c r="AE81" s="20"/>
    </row>
    <row r="82" spans="1:31" x14ac:dyDescent="0.25">
      <c r="A82" s="19"/>
      <c r="B82" s="19"/>
      <c r="C82" s="20"/>
      <c r="D82" s="87"/>
      <c r="E82" s="20"/>
      <c r="G82" s="19"/>
      <c r="H82" s="20"/>
      <c r="I82" s="87"/>
      <c r="J82" s="20"/>
      <c r="L82" s="19"/>
      <c r="M82" s="20"/>
      <c r="N82" s="87"/>
      <c r="O82" s="20"/>
      <c r="P82" s="20"/>
      <c r="R82" s="19"/>
      <c r="S82" s="20"/>
      <c r="T82" s="87"/>
      <c r="U82" s="20"/>
      <c r="W82" s="19"/>
      <c r="X82" s="20"/>
      <c r="Y82" s="87"/>
      <c r="Z82" s="20"/>
      <c r="AB82" s="19"/>
      <c r="AC82" s="20"/>
      <c r="AD82" s="87"/>
      <c r="AE82" s="20"/>
    </row>
    <row r="83" spans="1:31" x14ac:dyDescent="0.25">
      <c r="A83" s="19"/>
      <c r="B83" s="19"/>
      <c r="C83" s="20"/>
      <c r="D83" s="87"/>
      <c r="E83" s="20"/>
      <c r="G83" s="19"/>
      <c r="H83" s="20"/>
      <c r="I83" s="87"/>
      <c r="J83" s="20"/>
      <c r="L83" s="19"/>
      <c r="M83" s="20"/>
      <c r="N83" s="87"/>
      <c r="O83" s="20"/>
      <c r="P83" s="20"/>
      <c r="R83" s="19"/>
      <c r="S83" s="20"/>
      <c r="T83" s="87"/>
      <c r="U83" s="20"/>
      <c r="W83" s="19"/>
      <c r="X83" s="20"/>
      <c r="Y83" s="87"/>
      <c r="Z83" s="20"/>
      <c r="AB83" s="19"/>
      <c r="AC83" s="20"/>
      <c r="AD83" s="87"/>
      <c r="AE83" s="20"/>
    </row>
    <row r="84" spans="1:31" x14ac:dyDescent="0.25">
      <c r="A84" s="19"/>
      <c r="B84" s="19"/>
      <c r="C84" s="20"/>
      <c r="D84" s="87"/>
      <c r="E84" s="20"/>
      <c r="G84" s="19"/>
      <c r="H84" s="20"/>
      <c r="I84" s="87"/>
      <c r="J84" s="20"/>
      <c r="L84" s="19"/>
      <c r="M84" s="20"/>
      <c r="N84" s="87"/>
      <c r="O84" s="20"/>
      <c r="P84" s="20"/>
      <c r="R84" s="19"/>
      <c r="S84" s="20"/>
      <c r="T84" s="87"/>
      <c r="U84" s="20"/>
      <c r="W84" s="19"/>
      <c r="X84" s="20"/>
      <c r="Y84" s="87"/>
      <c r="Z84" s="20"/>
      <c r="AB84" s="19"/>
      <c r="AC84" s="20"/>
      <c r="AD84" s="87"/>
      <c r="AE84" s="20"/>
    </row>
    <row r="85" spans="1:31" x14ac:dyDescent="0.25">
      <c r="A85" s="19"/>
      <c r="B85" s="19"/>
      <c r="C85" s="20"/>
      <c r="D85" s="87"/>
      <c r="E85" s="20"/>
      <c r="G85" s="19"/>
      <c r="H85" s="20"/>
      <c r="I85" s="87"/>
      <c r="J85" s="20"/>
      <c r="L85" s="19"/>
      <c r="M85" s="20"/>
      <c r="N85" s="87"/>
      <c r="O85" s="20"/>
      <c r="P85" s="20"/>
      <c r="R85" s="19"/>
      <c r="S85" s="20"/>
      <c r="T85" s="87"/>
      <c r="U85" s="20"/>
      <c r="W85" s="19"/>
      <c r="X85" s="20"/>
      <c r="Y85" s="87"/>
      <c r="Z85" s="20"/>
      <c r="AB85" s="19"/>
      <c r="AC85" s="20"/>
      <c r="AD85" s="87"/>
      <c r="AE85" s="20"/>
    </row>
    <row r="86" spans="1:31" x14ac:dyDescent="0.25">
      <c r="A86" s="19"/>
      <c r="B86" s="19"/>
      <c r="C86" s="20"/>
      <c r="D86" s="87"/>
      <c r="E86" s="20"/>
      <c r="G86" s="19"/>
      <c r="H86" s="20"/>
      <c r="I86" s="87"/>
      <c r="J86" s="20"/>
      <c r="L86" s="19"/>
      <c r="M86" s="20"/>
      <c r="N86" s="87"/>
      <c r="O86" s="20"/>
      <c r="P86" s="20"/>
      <c r="R86" s="19"/>
      <c r="S86" s="20"/>
      <c r="T86" s="87"/>
      <c r="U86" s="20"/>
      <c r="W86" s="19"/>
      <c r="X86" s="20"/>
      <c r="Y86" s="87"/>
      <c r="Z86" s="20"/>
      <c r="AB86" s="19"/>
      <c r="AC86" s="20"/>
      <c r="AD86" s="87"/>
      <c r="AE86" s="20"/>
    </row>
    <row r="87" spans="1:31" s="43" customFormat="1" x14ac:dyDescent="0.25">
      <c r="A87" s="19"/>
      <c r="B87" s="19"/>
      <c r="C87" s="20"/>
      <c r="D87" s="87"/>
      <c r="E87" s="20"/>
      <c r="F87"/>
      <c r="G87" s="19"/>
      <c r="H87" s="20"/>
      <c r="I87" s="87"/>
      <c r="J87" s="20"/>
      <c r="K87"/>
      <c r="L87" s="19"/>
      <c r="M87" s="20"/>
      <c r="N87" s="87"/>
      <c r="O87" s="20"/>
      <c r="P87" s="20"/>
      <c r="Q87"/>
      <c r="R87" s="19"/>
      <c r="S87" s="20"/>
      <c r="T87" s="87"/>
      <c r="U87" s="20"/>
      <c r="V87"/>
      <c r="W87" s="19"/>
      <c r="X87" s="20"/>
      <c r="Y87" s="87"/>
      <c r="Z87" s="20"/>
      <c r="AA87"/>
      <c r="AB87" s="19"/>
      <c r="AC87" s="20"/>
      <c r="AD87" s="87"/>
      <c r="AE87" s="20"/>
    </row>
    <row r="88" spans="1:31" x14ac:dyDescent="0.25">
      <c r="A88" s="19"/>
      <c r="B88" s="19"/>
      <c r="C88" s="20"/>
      <c r="D88" s="87"/>
      <c r="E88" s="20"/>
      <c r="G88" s="19"/>
      <c r="H88" s="20"/>
      <c r="I88" s="87"/>
      <c r="J88" s="20"/>
      <c r="L88" s="19"/>
      <c r="M88" s="20"/>
      <c r="N88" s="87"/>
      <c r="O88" s="20"/>
      <c r="P88" s="20"/>
      <c r="R88" s="19"/>
      <c r="S88" s="20"/>
      <c r="T88" s="87"/>
      <c r="U88" s="20"/>
      <c r="W88" s="19"/>
      <c r="X88" s="20"/>
      <c r="Y88" s="87"/>
      <c r="Z88" s="20"/>
      <c r="AB88" s="19"/>
      <c r="AC88" s="20"/>
      <c r="AD88" s="87"/>
      <c r="AE88" s="20"/>
    </row>
    <row r="89" spans="1:31" x14ac:dyDescent="0.25">
      <c r="A89" s="19"/>
      <c r="B89" s="19"/>
      <c r="C89" s="20"/>
      <c r="D89" s="87"/>
      <c r="E89" s="20"/>
      <c r="G89" s="19"/>
      <c r="H89" s="20"/>
      <c r="I89" s="87"/>
      <c r="J89" s="20"/>
      <c r="L89" s="19"/>
      <c r="M89" s="20"/>
      <c r="N89" s="87"/>
      <c r="O89" s="20"/>
      <c r="P89" s="20"/>
      <c r="R89" s="19"/>
      <c r="S89" s="20"/>
      <c r="T89" s="87"/>
      <c r="U89" s="20"/>
      <c r="W89" s="19"/>
      <c r="X89" s="20"/>
      <c r="Y89" s="87"/>
      <c r="Z89" s="20"/>
      <c r="AB89" s="19"/>
      <c r="AC89" s="20"/>
      <c r="AD89" s="87"/>
      <c r="AE89" s="20"/>
    </row>
    <row r="90" spans="1:31" x14ac:dyDescent="0.25">
      <c r="A90" s="19"/>
      <c r="B90" s="19"/>
      <c r="C90" s="20"/>
      <c r="D90" s="87"/>
      <c r="E90" s="20"/>
      <c r="G90" s="19"/>
      <c r="H90" s="20"/>
      <c r="I90" s="87"/>
      <c r="J90" s="20"/>
      <c r="L90" s="19"/>
      <c r="M90" s="20"/>
      <c r="N90" s="87"/>
      <c r="O90" s="20"/>
      <c r="P90" s="20"/>
      <c r="R90" s="19"/>
      <c r="S90" s="20"/>
      <c r="T90" s="87"/>
      <c r="U90" s="20"/>
      <c r="W90" s="19"/>
      <c r="X90" s="20"/>
      <c r="Y90" s="87"/>
      <c r="Z90" s="20"/>
      <c r="AB90" s="19"/>
      <c r="AC90" s="20"/>
      <c r="AD90" s="87"/>
      <c r="AE90" s="20"/>
    </row>
    <row r="91" spans="1:31" x14ac:dyDescent="0.25">
      <c r="A91" s="19"/>
      <c r="B91" s="19"/>
      <c r="C91" s="20"/>
      <c r="D91" s="87"/>
      <c r="E91" s="20"/>
      <c r="G91" s="19"/>
      <c r="H91" s="20"/>
      <c r="I91" s="87"/>
      <c r="J91" s="20"/>
      <c r="L91" s="19"/>
      <c r="M91" s="20"/>
      <c r="N91" s="87"/>
      <c r="O91" s="20"/>
      <c r="P91" s="20"/>
      <c r="R91" s="19"/>
      <c r="S91" s="20"/>
      <c r="T91" s="87"/>
      <c r="U91" s="20"/>
      <c r="W91" s="19"/>
      <c r="X91" s="20"/>
      <c r="Y91" s="87"/>
      <c r="Z91" s="20"/>
      <c r="AB91" s="19"/>
      <c r="AC91" s="20"/>
      <c r="AD91" s="87"/>
      <c r="AE91" s="20"/>
    </row>
    <row r="92" spans="1:31" s="43" customFormat="1" x14ac:dyDescent="0.25">
      <c r="A92" s="19"/>
      <c r="B92" s="19"/>
      <c r="C92" s="20"/>
      <c r="D92" s="87"/>
      <c r="E92" s="20"/>
      <c r="F92"/>
      <c r="G92" s="19"/>
      <c r="H92" s="20"/>
      <c r="I92" s="87"/>
      <c r="J92" s="20"/>
      <c r="K92"/>
      <c r="L92" s="19"/>
      <c r="M92" s="20"/>
      <c r="N92" s="87"/>
      <c r="O92" s="20"/>
      <c r="P92" s="20"/>
      <c r="Q92"/>
      <c r="R92" s="19"/>
      <c r="S92" s="20"/>
      <c r="T92" s="87"/>
      <c r="U92" s="20"/>
      <c r="V92"/>
      <c r="W92" s="19"/>
      <c r="X92" s="20"/>
      <c r="Y92" s="87"/>
      <c r="Z92" s="20"/>
      <c r="AA92"/>
      <c r="AB92" s="19"/>
      <c r="AC92" s="20"/>
      <c r="AD92" s="87"/>
      <c r="AE92" s="20"/>
    </row>
  </sheetData>
  <mergeCells count="19">
    <mergeCell ref="B6:D6"/>
    <mergeCell ref="E6:G6"/>
    <mergeCell ref="I6:K6"/>
    <mergeCell ref="L6:N6"/>
    <mergeCell ref="P6:R6"/>
    <mergeCell ref="B3:S3"/>
    <mergeCell ref="X3:AO3"/>
    <mergeCell ref="AL6:AN6"/>
    <mergeCell ref="AO6:AQ6"/>
    <mergeCell ref="B4:G4"/>
    <mergeCell ref="P4:U4"/>
    <mergeCell ref="X4:AC4"/>
    <mergeCell ref="AE4:AJ4"/>
    <mergeCell ref="AL4:AQ4"/>
    <mergeCell ref="S6:U6"/>
    <mergeCell ref="X6:Z6"/>
    <mergeCell ref="AA6:AC6"/>
    <mergeCell ref="AE6:AG6"/>
    <mergeCell ref="AH6:AJ6"/>
  </mergeCells>
  <conditionalFormatting sqref="A6">
    <cfRule type="duplicateValues" dxfId="13" priority="2"/>
  </conditionalFormatting>
  <conditionalFormatting sqref="A7">
    <cfRule type="duplicateValues" dxfId="12" priority="1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443"/>
  <sheetViews>
    <sheetView topLeftCell="W1" workbookViewId="0">
      <selection activeCell="AF1" sqref="A1:AF1048576"/>
    </sheetView>
  </sheetViews>
  <sheetFormatPr defaultRowHeight="15" x14ac:dyDescent="0.25"/>
  <sheetData>
    <row r="1" spans="1:32" x14ac:dyDescent="0.25">
      <c r="A1" s="1" t="s">
        <v>4</v>
      </c>
      <c r="B1" s="30"/>
      <c r="C1" s="30"/>
      <c r="D1" s="30"/>
      <c r="E1" s="30"/>
    </row>
    <row r="2" spans="1:32" x14ac:dyDescent="0.25">
      <c r="A2" s="9" t="s">
        <v>9</v>
      </c>
      <c r="B2" s="10" t="s">
        <v>12</v>
      </c>
      <c r="C2" s="10" t="s">
        <v>164</v>
      </c>
      <c r="D2" s="10" t="s">
        <v>12</v>
      </c>
      <c r="E2" s="10" t="s">
        <v>164</v>
      </c>
      <c r="G2" s="10" t="s">
        <v>12</v>
      </c>
      <c r="H2" s="10" t="s">
        <v>164</v>
      </c>
      <c r="I2" s="10" t="s">
        <v>12</v>
      </c>
      <c r="J2" s="10" t="s">
        <v>164</v>
      </c>
      <c r="L2" s="10" t="s">
        <v>12</v>
      </c>
      <c r="M2" s="10" t="s">
        <v>164</v>
      </c>
      <c r="N2" s="10" t="s">
        <v>12</v>
      </c>
      <c r="O2" s="10" t="s">
        <v>164</v>
      </c>
      <c r="R2" s="10" t="s">
        <v>12</v>
      </c>
      <c r="S2" s="10" t="s">
        <v>164</v>
      </c>
      <c r="T2" s="10" t="s">
        <v>12</v>
      </c>
      <c r="U2" s="10" t="s">
        <v>164</v>
      </c>
      <c r="W2" s="10" t="s">
        <v>12</v>
      </c>
      <c r="X2" s="10" t="s">
        <v>164</v>
      </c>
      <c r="Y2" s="10" t="s">
        <v>12</v>
      </c>
      <c r="Z2" s="10" t="s">
        <v>164</v>
      </c>
      <c r="AB2" s="10" t="s">
        <v>12</v>
      </c>
      <c r="AC2" s="10" t="s">
        <v>164</v>
      </c>
      <c r="AD2" s="10" t="s">
        <v>12</v>
      </c>
      <c r="AE2" s="10" t="s">
        <v>164</v>
      </c>
      <c r="AF2">
        <v>1</v>
      </c>
    </row>
    <row r="3" spans="1:32" hidden="1" x14ac:dyDescent="0.25">
      <c r="A3" s="18" t="s">
        <v>17</v>
      </c>
      <c r="B3" s="19">
        <v>0</v>
      </c>
      <c r="C3" s="19">
        <v>0</v>
      </c>
      <c r="D3" s="20">
        <v>0</v>
      </c>
      <c r="E3" s="20">
        <v>0</v>
      </c>
      <c r="G3" s="19">
        <v>0</v>
      </c>
      <c r="H3" s="19">
        <v>0</v>
      </c>
      <c r="I3" s="20">
        <v>0</v>
      </c>
      <c r="J3" s="20">
        <v>0</v>
      </c>
      <c r="L3" s="19">
        <v>0</v>
      </c>
      <c r="M3" s="19">
        <v>0</v>
      </c>
      <c r="N3" s="20">
        <v>0</v>
      </c>
      <c r="O3" s="20">
        <v>0</v>
      </c>
      <c r="R3" s="19">
        <v>0</v>
      </c>
      <c r="S3" s="19">
        <v>0</v>
      </c>
      <c r="T3" s="20">
        <v>0</v>
      </c>
      <c r="U3" s="20">
        <v>0</v>
      </c>
      <c r="W3" s="19">
        <v>0</v>
      </c>
      <c r="X3" s="19">
        <v>0</v>
      </c>
      <c r="Y3" s="20">
        <v>0</v>
      </c>
      <c r="Z3" s="20">
        <v>0</v>
      </c>
      <c r="AB3" s="19">
        <v>0</v>
      </c>
      <c r="AC3" s="19">
        <v>0</v>
      </c>
      <c r="AD3" s="20">
        <v>0</v>
      </c>
      <c r="AE3" s="20">
        <v>0</v>
      </c>
      <c r="AF3">
        <f>SUM(A3:AE3)</f>
        <v>0</v>
      </c>
    </row>
    <row r="4" spans="1:32" x14ac:dyDescent="0.25">
      <c r="A4" s="18" t="s">
        <v>18</v>
      </c>
      <c r="B4" s="19">
        <v>354</v>
      </c>
      <c r="C4" s="19">
        <v>348</v>
      </c>
      <c r="D4" s="20">
        <v>4.0731322847510675E-3</v>
      </c>
      <c r="E4" s="20">
        <v>5.0560818271633634E-3</v>
      </c>
      <c r="G4" s="19">
        <v>23</v>
      </c>
      <c r="H4" s="19">
        <v>10</v>
      </c>
      <c r="I4" s="20">
        <v>8.3605961468556887E-3</v>
      </c>
      <c r="J4" s="20">
        <v>4.253509145044662E-3</v>
      </c>
      <c r="L4" s="19">
        <v>0</v>
      </c>
      <c r="M4" s="19">
        <v>1</v>
      </c>
      <c r="N4" s="20">
        <v>0</v>
      </c>
      <c r="O4" s="20">
        <v>6.4766839378238344E-4</v>
      </c>
      <c r="R4" s="19">
        <v>291</v>
      </c>
      <c r="S4" s="19">
        <v>311</v>
      </c>
      <c r="T4" s="20">
        <v>5.1352639102122928E-3</v>
      </c>
      <c r="U4" s="20">
        <v>6.8091255418837853E-3</v>
      </c>
      <c r="W4" s="19">
        <v>9</v>
      </c>
      <c r="X4" s="19">
        <v>19</v>
      </c>
      <c r="Y4" s="20">
        <v>2.0881670533642691E-2</v>
      </c>
      <c r="Z4" s="20">
        <v>5.1912568306010931E-2</v>
      </c>
      <c r="AB4" s="19">
        <v>0</v>
      </c>
      <c r="AC4" s="19">
        <v>0</v>
      </c>
      <c r="AD4" s="20">
        <v>0</v>
      </c>
      <c r="AE4" s="20">
        <v>0</v>
      </c>
      <c r="AF4">
        <f t="shared" ref="AF4:AF67" si="0">SUM(A4:AE4)</f>
        <v>1366.1071296160897</v>
      </c>
    </row>
    <row r="5" spans="1:32" x14ac:dyDescent="0.25">
      <c r="A5" s="18" t="s">
        <v>19</v>
      </c>
      <c r="B5" s="19">
        <v>28</v>
      </c>
      <c r="C5" s="19">
        <v>26</v>
      </c>
      <c r="D5" s="20">
        <v>2.2743370307555347E-5</v>
      </c>
      <c r="E5" s="20">
        <v>2.0989577867297431E-5</v>
      </c>
      <c r="G5" s="19">
        <v>2</v>
      </c>
      <c r="H5" s="19">
        <v>333</v>
      </c>
      <c r="I5" s="20">
        <v>2.1613677134890959E-5</v>
      </c>
      <c r="J5" s="20">
        <v>3.5144747812687993E-3</v>
      </c>
      <c r="L5" s="19">
        <v>0</v>
      </c>
      <c r="M5" s="19">
        <v>1</v>
      </c>
      <c r="N5" s="20">
        <v>0</v>
      </c>
      <c r="O5" s="20">
        <v>8.3444592790387181E-5</v>
      </c>
      <c r="R5" s="19">
        <v>3</v>
      </c>
      <c r="S5" s="19">
        <v>2</v>
      </c>
      <c r="T5" s="20">
        <v>4.4171432273415277E-6</v>
      </c>
      <c r="U5" s="20">
        <v>2.9244682951080958E-6</v>
      </c>
      <c r="W5" s="19">
        <v>0</v>
      </c>
      <c r="X5" s="19">
        <v>2</v>
      </c>
      <c r="Y5" s="20">
        <v>0</v>
      </c>
      <c r="Z5" s="20">
        <v>1.1574074074074075E-4</v>
      </c>
      <c r="AB5" s="19">
        <v>0</v>
      </c>
      <c r="AC5" s="19">
        <v>3</v>
      </c>
      <c r="AD5" s="20">
        <v>0</v>
      </c>
      <c r="AE5" s="20">
        <v>1.869158878504673E-3</v>
      </c>
      <c r="AF5">
        <f t="shared" si="0"/>
        <v>400.00565550723007</v>
      </c>
    </row>
    <row r="6" spans="1:32" x14ac:dyDescent="0.25">
      <c r="A6" s="18" t="s">
        <v>20</v>
      </c>
      <c r="B6" s="19">
        <v>3</v>
      </c>
      <c r="C6" s="19">
        <v>0</v>
      </c>
      <c r="D6" s="20">
        <v>1.0384934921074495E-5</v>
      </c>
      <c r="E6" s="20">
        <v>0</v>
      </c>
      <c r="G6" s="19">
        <v>0</v>
      </c>
      <c r="H6" s="19">
        <v>0</v>
      </c>
      <c r="I6" s="20">
        <v>0</v>
      </c>
      <c r="J6" s="20">
        <v>0</v>
      </c>
      <c r="L6" s="19">
        <v>0</v>
      </c>
      <c r="M6" s="19">
        <v>0</v>
      </c>
      <c r="N6" s="20">
        <v>0</v>
      </c>
      <c r="O6" s="20">
        <v>0</v>
      </c>
      <c r="R6" s="19">
        <v>0</v>
      </c>
      <c r="S6" s="19">
        <v>0</v>
      </c>
      <c r="T6" s="20">
        <v>0</v>
      </c>
      <c r="U6" s="20">
        <v>0</v>
      </c>
      <c r="W6" s="19">
        <v>0</v>
      </c>
      <c r="X6" s="19">
        <v>0</v>
      </c>
      <c r="Y6" s="20">
        <v>0</v>
      </c>
      <c r="Z6" s="20">
        <v>0</v>
      </c>
      <c r="AB6" s="19">
        <v>0</v>
      </c>
      <c r="AC6" s="19">
        <v>0</v>
      </c>
      <c r="AD6" s="20">
        <v>0</v>
      </c>
      <c r="AE6" s="20">
        <v>0</v>
      </c>
      <c r="AF6">
        <f t="shared" si="0"/>
        <v>3.0000103849349209</v>
      </c>
    </row>
    <row r="7" spans="1:32" x14ac:dyDescent="0.25">
      <c r="A7" s="18" t="s">
        <v>21</v>
      </c>
      <c r="B7" s="19">
        <v>2</v>
      </c>
      <c r="C7" s="19">
        <v>0</v>
      </c>
      <c r="D7" s="20">
        <v>2.158079309414621E-5</v>
      </c>
      <c r="E7" s="20">
        <v>0</v>
      </c>
      <c r="G7" s="19">
        <v>0</v>
      </c>
      <c r="H7" s="19">
        <v>0</v>
      </c>
      <c r="I7" s="20">
        <v>0</v>
      </c>
      <c r="J7" s="20">
        <v>0</v>
      </c>
      <c r="L7" s="19">
        <v>0</v>
      </c>
      <c r="M7" s="19">
        <v>0</v>
      </c>
      <c r="N7" s="20">
        <v>0</v>
      </c>
      <c r="O7" s="20">
        <v>0</v>
      </c>
      <c r="R7" s="19">
        <v>0</v>
      </c>
      <c r="S7" s="19">
        <v>0</v>
      </c>
      <c r="T7" s="20">
        <v>0</v>
      </c>
      <c r="U7" s="20">
        <v>0</v>
      </c>
      <c r="W7" s="19">
        <v>0</v>
      </c>
      <c r="X7" s="19">
        <v>0</v>
      </c>
      <c r="Y7" s="20">
        <v>0</v>
      </c>
      <c r="Z7" s="20">
        <v>0</v>
      </c>
      <c r="AB7" s="19">
        <v>0</v>
      </c>
      <c r="AC7" s="19">
        <v>0</v>
      </c>
      <c r="AD7" s="20">
        <v>0</v>
      </c>
      <c r="AE7" s="20">
        <v>0</v>
      </c>
      <c r="AF7">
        <f t="shared" si="0"/>
        <v>2.0000215807930943</v>
      </c>
    </row>
    <row r="8" spans="1:32" hidden="1" x14ac:dyDescent="0.25">
      <c r="A8" s="18" t="s">
        <v>169</v>
      </c>
      <c r="B8" s="19">
        <v>0</v>
      </c>
      <c r="C8" s="19">
        <v>0</v>
      </c>
      <c r="D8" s="20">
        <v>0</v>
      </c>
      <c r="E8" s="20">
        <v>0</v>
      </c>
      <c r="G8" s="19">
        <v>0</v>
      </c>
      <c r="H8" s="19">
        <v>0</v>
      </c>
      <c r="I8" s="20">
        <v>0</v>
      </c>
      <c r="J8" s="20">
        <v>0</v>
      </c>
      <c r="L8" s="19">
        <v>0</v>
      </c>
      <c r="M8" s="19">
        <v>0</v>
      </c>
      <c r="N8" s="20">
        <v>0</v>
      </c>
      <c r="O8" s="20">
        <v>0</v>
      </c>
      <c r="R8" s="19">
        <v>0</v>
      </c>
      <c r="S8" s="19">
        <v>0</v>
      </c>
      <c r="T8" s="20">
        <v>0</v>
      </c>
      <c r="U8" s="20">
        <v>0</v>
      </c>
      <c r="W8" s="19">
        <v>0</v>
      </c>
      <c r="X8" s="19">
        <v>0</v>
      </c>
      <c r="Y8" s="20">
        <v>0</v>
      </c>
      <c r="Z8" s="20">
        <v>0</v>
      </c>
      <c r="AB8" s="19">
        <v>0</v>
      </c>
      <c r="AC8" s="19">
        <v>0</v>
      </c>
      <c r="AD8" s="20">
        <v>0</v>
      </c>
      <c r="AE8" s="20">
        <v>0</v>
      </c>
      <c r="AF8">
        <f t="shared" si="0"/>
        <v>0</v>
      </c>
    </row>
    <row r="9" spans="1:32" x14ac:dyDescent="0.25">
      <c r="A9" s="18" t="s">
        <v>22</v>
      </c>
      <c r="B9" s="19">
        <v>4040</v>
      </c>
      <c r="C9" s="19">
        <v>8696</v>
      </c>
      <c r="D9" s="20">
        <v>0.2049616965146365</v>
      </c>
      <c r="E9" s="20">
        <v>0.59770430957454124</v>
      </c>
      <c r="G9" s="19">
        <v>57</v>
      </c>
      <c r="H9" s="19">
        <v>70</v>
      </c>
      <c r="I9" s="20">
        <v>1.52E-2</v>
      </c>
      <c r="J9" s="20">
        <v>1.9455252918287938E-2</v>
      </c>
      <c r="L9" s="19">
        <v>10</v>
      </c>
      <c r="M9" s="19">
        <v>17</v>
      </c>
      <c r="N9" s="20">
        <v>4.8520135856380394E-3</v>
      </c>
      <c r="O9" s="20">
        <v>8.5255767301905712E-3</v>
      </c>
      <c r="R9" s="19">
        <v>0</v>
      </c>
      <c r="S9" s="19">
        <v>0</v>
      </c>
      <c r="T9" s="20">
        <v>0</v>
      </c>
      <c r="U9" s="20">
        <v>0</v>
      </c>
      <c r="W9" s="19">
        <v>0</v>
      </c>
      <c r="X9" s="19">
        <v>0</v>
      </c>
      <c r="Y9" s="20">
        <v>0</v>
      </c>
      <c r="Z9" s="20">
        <v>0</v>
      </c>
      <c r="AB9" s="19">
        <v>0</v>
      </c>
      <c r="AC9" s="19">
        <v>0</v>
      </c>
      <c r="AD9" s="20">
        <v>0</v>
      </c>
      <c r="AE9" s="20">
        <v>0</v>
      </c>
      <c r="AF9">
        <f t="shared" si="0"/>
        <v>12890.850698849323</v>
      </c>
    </row>
    <row r="10" spans="1:32" hidden="1" x14ac:dyDescent="0.25">
      <c r="A10" s="18" t="s">
        <v>23</v>
      </c>
      <c r="B10" s="19">
        <v>0</v>
      </c>
      <c r="C10" s="19">
        <v>0</v>
      </c>
      <c r="D10" s="20">
        <v>0</v>
      </c>
      <c r="E10" s="20">
        <v>0</v>
      </c>
      <c r="G10" s="19">
        <v>0</v>
      </c>
      <c r="H10" s="19">
        <v>0</v>
      </c>
      <c r="I10" s="20">
        <v>0</v>
      </c>
      <c r="J10" s="20">
        <v>0</v>
      </c>
      <c r="L10" s="19">
        <v>0</v>
      </c>
      <c r="M10" s="19">
        <v>0</v>
      </c>
      <c r="N10" s="20">
        <v>0</v>
      </c>
      <c r="O10" s="20">
        <v>0</v>
      </c>
      <c r="R10" s="19">
        <v>0</v>
      </c>
      <c r="S10" s="19">
        <v>0</v>
      </c>
      <c r="T10" s="20">
        <v>0</v>
      </c>
      <c r="U10" s="20">
        <v>0</v>
      </c>
      <c r="W10" s="19">
        <v>0</v>
      </c>
      <c r="X10" s="19">
        <v>0</v>
      </c>
      <c r="Y10" s="20">
        <v>0</v>
      </c>
      <c r="Z10" s="20">
        <v>0</v>
      </c>
      <c r="AB10" s="19">
        <v>0</v>
      </c>
      <c r="AC10" s="19">
        <v>0</v>
      </c>
      <c r="AD10" s="20">
        <v>0</v>
      </c>
      <c r="AE10" s="20">
        <v>0</v>
      </c>
      <c r="AF10">
        <f t="shared" si="0"/>
        <v>0</v>
      </c>
    </row>
    <row r="11" spans="1:32" x14ac:dyDescent="0.25">
      <c r="A11" s="18" t="s">
        <v>24</v>
      </c>
      <c r="B11" s="19">
        <v>0</v>
      </c>
      <c r="C11" s="19">
        <v>0</v>
      </c>
      <c r="D11" s="20">
        <v>0</v>
      </c>
      <c r="E11" s="20">
        <v>0</v>
      </c>
      <c r="G11" s="19">
        <v>1</v>
      </c>
      <c r="H11" s="19">
        <v>0</v>
      </c>
      <c r="I11" s="20">
        <v>1.9428793471925395E-4</v>
      </c>
      <c r="J11" s="20">
        <v>0</v>
      </c>
      <c r="L11" s="19">
        <v>0</v>
      </c>
      <c r="M11" s="19">
        <v>0</v>
      </c>
      <c r="N11" s="20">
        <v>0</v>
      </c>
      <c r="O11" s="20">
        <v>0</v>
      </c>
      <c r="R11" s="19">
        <v>0</v>
      </c>
      <c r="S11" s="19">
        <v>0</v>
      </c>
      <c r="T11" s="20">
        <v>0</v>
      </c>
      <c r="U11" s="20">
        <v>0</v>
      </c>
      <c r="W11" s="19">
        <v>0</v>
      </c>
      <c r="X11" s="19">
        <v>0</v>
      </c>
      <c r="Y11" s="20">
        <v>0</v>
      </c>
      <c r="Z11" s="20">
        <v>0</v>
      </c>
      <c r="AB11" s="19">
        <v>0</v>
      </c>
      <c r="AC11" s="19">
        <v>0</v>
      </c>
      <c r="AD11" s="20">
        <v>0</v>
      </c>
      <c r="AE11" s="20">
        <v>0</v>
      </c>
      <c r="AF11">
        <f t="shared" si="0"/>
        <v>1.0001942879347192</v>
      </c>
    </row>
    <row r="12" spans="1:32" x14ac:dyDescent="0.25">
      <c r="A12" s="18" t="s">
        <v>25</v>
      </c>
      <c r="B12" s="19">
        <v>114</v>
      </c>
      <c r="C12" s="19">
        <v>117</v>
      </c>
      <c r="D12" s="20">
        <v>3.2824647279009501E-2</v>
      </c>
      <c r="E12" s="20">
        <v>3.3163265306122451E-2</v>
      </c>
      <c r="G12" s="19">
        <v>102</v>
      </c>
      <c r="H12" s="19">
        <v>78</v>
      </c>
      <c r="I12" s="20">
        <v>2.3261117445838083E-2</v>
      </c>
      <c r="J12" s="20">
        <v>1.6813968527699934E-2</v>
      </c>
      <c r="L12" s="19">
        <v>0</v>
      </c>
      <c r="M12" s="19">
        <v>2</v>
      </c>
      <c r="N12" s="20">
        <v>0</v>
      </c>
      <c r="O12" s="20">
        <v>1.3793103448275862E-2</v>
      </c>
      <c r="R12" s="19">
        <v>52</v>
      </c>
      <c r="S12" s="19">
        <v>70</v>
      </c>
      <c r="T12" s="20">
        <v>2.5540275049115914E-2</v>
      </c>
      <c r="U12" s="20">
        <v>3.3573141486810551E-2</v>
      </c>
      <c r="W12" s="19">
        <v>26</v>
      </c>
      <c r="X12" s="19">
        <v>37</v>
      </c>
      <c r="Y12" s="20">
        <v>1.1850501367365542E-2</v>
      </c>
      <c r="Z12" s="20">
        <v>1.6270888302550572E-2</v>
      </c>
      <c r="AB12" s="19">
        <v>0</v>
      </c>
      <c r="AC12" s="19">
        <v>0</v>
      </c>
      <c r="AD12" s="20">
        <v>0</v>
      </c>
      <c r="AE12" s="20">
        <v>0</v>
      </c>
      <c r="AF12">
        <f t="shared" si="0"/>
        <v>598.20709090821276</v>
      </c>
    </row>
    <row r="13" spans="1:32" hidden="1" x14ac:dyDescent="0.25">
      <c r="A13" s="18" t="s">
        <v>82</v>
      </c>
      <c r="B13" s="19">
        <v>0</v>
      </c>
      <c r="C13" s="19">
        <v>0</v>
      </c>
      <c r="D13" s="20">
        <v>0</v>
      </c>
      <c r="E13" s="20">
        <v>0</v>
      </c>
      <c r="G13" s="19">
        <v>0</v>
      </c>
      <c r="H13" s="19">
        <v>0</v>
      </c>
      <c r="I13" s="20">
        <v>0</v>
      </c>
      <c r="J13" s="20">
        <v>0</v>
      </c>
      <c r="L13" s="19">
        <v>0</v>
      </c>
      <c r="M13" s="19">
        <v>0</v>
      </c>
      <c r="N13" s="20">
        <v>0</v>
      </c>
      <c r="O13" s="20">
        <v>0</v>
      </c>
      <c r="R13" s="19">
        <v>0</v>
      </c>
      <c r="S13" s="19">
        <v>0</v>
      </c>
      <c r="T13" s="20">
        <v>0</v>
      </c>
      <c r="U13" s="20">
        <v>0</v>
      </c>
      <c r="W13" s="19">
        <v>0</v>
      </c>
      <c r="X13" s="19">
        <v>0</v>
      </c>
      <c r="Y13" s="20">
        <v>0</v>
      </c>
      <c r="Z13" s="20">
        <v>0</v>
      </c>
      <c r="AB13" s="19">
        <v>0</v>
      </c>
      <c r="AC13" s="19">
        <v>0</v>
      </c>
      <c r="AD13" s="20">
        <v>0</v>
      </c>
      <c r="AE13" s="20">
        <v>0</v>
      </c>
      <c r="AF13">
        <f t="shared" si="0"/>
        <v>0</v>
      </c>
    </row>
    <row r="14" spans="1:32" hidden="1" x14ac:dyDescent="0.25">
      <c r="A14" s="18" t="s">
        <v>83</v>
      </c>
      <c r="B14" s="19">
        <v>0</v>
      </c>
      <c r="C14" s="19">
        <v>0</v>
      </c>
      <c r="D14" s="20">
        <v>0</v>
      </c>
      <c r="E14" s="20">
        <v>0</v>
      </c>
      <c r="G14" s="19">
        <v>0</v>
      </c>
      <c r="H14" s="19">
        <v>0</v>
      </c>
      <c r="I14" s="20">
        <v>0</v>
      </c>
      <c r="J14" s="20">
        <v>0</v>
      </c>
      <c r="L14" s="19">
        <v>0</v>
      </c>
      <c r="M14" s="19">
        <v>0</v>
      </c>
      <c r="N14" s="20">
        <v>0</v>
      </c>
      <c r="O14" s="20">
        <v>0</v>
      </c>
      <c r="R14" s="19">
        <v>0</v>
      </c>
      <c r="S14" s="19">
        <v>0</v>
      </c>
      <c r="T14" s="20">
        <v>0</v>
      </c>
      <c r="U14" s="20">
        <v>0</v>
      </c>
      <c r="W14" s="19">
        <v>0</v>
      </c>
      <c r="X14" s="19">
        <v>0</v>
      </c>
      <c r="Y14" s="20">
        <v>0</v>
      </c>
      <c r="Z14" s="20">
        <v>0</v>
      </c>
      <c r="AB14" s="19">
        <v>0</v>
      </c>
      <c r="AC14" s="19">
        <v>0</v>
      </c>
      <c r="AD14" s="20">
        <v>0</v>
      </c>
      <c r="AE14" s="20">
        <v>0</v>
      </c>
      <c r="AF14">
        <f t="shared" si="0"/>
        <v>0</v>
      </c>
    </row>
    <row r="15" spans="1:32" hidden="1" x14ac:dyDescent="0.25">
      <c r="A15" s="18" t="s">
        <v>84</v>
      </c>
      <c r="B15" s="19">
        <v>0</v>
      </c>
      <c r="C15" s="19">
        <v>0</v>
      </c>
      <c r="D15" s="20">
        <v>0</v>
      </c>
      <c r="E15" s="20">
        <v>0</v>
      </c>
      <c r="G15" s="19">
        <v>0</v>
      </c>
      <c r="H15" s="19">
        <v>0</v>
      </c>
      <c r="I15" s="20">
        <v>0</v>
      </c>
      <c r="J15" s="20">
        <v>0</v>
      </c>
      <c r="L15" s="19">
        <v>0</v>
      </c>
      <c r="M15" s="19">
        <v>0</v>
      </c>
      <c r="N15" s="20">
        <v>0</v>
      </c>
      <c r="O15" s="20">
        <v>0</v>
      </c>
      <c r="R15" s="19">
        <v>0</v>
      </c>
      <c r="S15" s="19">
        <v>0</v>
      </c>
      <c r="T15" s="20">
        <v>0</v>
      </c>
      <c r="U15" s="20">
        <v>0</v>
      </c>
      <c r="W15" s="19">
        <v>0</v>
      </c>
      <c r="X15" s="19">
        <v>0</v>
      </c>
      <c r="Y15" s="20">
        <v>0</v>
      </c>
      <c r="Z15" s="20">
        <v>0</v>
      </c>
      <c r="AB15" s="19">
        <v>0</v>
      </c>
      <c r="AC15" s="19">
        <v>0</v>
      </c>
      <c r="AD15" s="20">
        <v>0</v>
      </c>
      <c r="AE15" s="20">
        <v>0</v>
      </c>
      <c r="AF15">
        <f t="shared" si="0"/>
        <v>0</v>
      </c>
    </row>
    <row r="16" spans="1:32" hidden="1" x14ac:dyDescent="0.25">
      <c r="A16" s="18" t="s">
        <v>26</v>
      </c>
      <c r="B16" s="19">
        <v>0</v>
      </c>
      <c r="C16" s="19">
        <v>0</v>
      </c>
      <c r="D16" s="20">
        <v>0</v>
      </c>
      <c r="E16" s="20">
        <v>0</v>
      </c>
      <c r="G16" s="19">
        <v>0</v>
      </c>
      <c r="H16" s="19">
        <v>0</v>
      </c>
      <c r="I16" s="20">
        <v>0</v>
      </c>
      <c r="J16" s="20">
        <v>0</v>
      </c>
      <c r="L16" s="19">
        <v>0</v>
      </c>
      <c r="M16" s="19">
        <v>0</v>
      </c>
      <c r="N16" s="20">
        <v>0</v>
      </c>
      <c r="O16" s="20">
        <v>0</v>
      </c>
      <c r="R16" s="19">
        <v>0</v>
      </c>
      <c r="S16" s="19">
        <v>0</v>
      </c>
      <c r="T16" s="20">
        <v>0</v>
      </c>
      <c r="U16" s="20">
        <v>0</v>
      </c>
      <c r="W16" s="19">
        <v>0</v>
      </c>
      <c r="X16" s="19">
        <v>0</v>
      </c>
      <c r="Y16" s="20">
        <v>0</v>
      </c>
      <c r="Z16" s="20">
        <v>0</v>
      </c>
      <c r="AB16" s="19">
        <v>0</v>
      </c>
      <c r="AC16" s="19">
        <v>0</v>
      </c>
      <c r="AD16" s="20">
        <v>0</v>
      </c>
      <c r="AE16" s="20">
        <v>0</v>
      </c>
      <c r="AF16">
        <f t="shared" si="0"/>
        <v>0</v>
      </c>
    </row>
    <row r="17" spans="1:32" hidden="1" x14ac:dyDescent="0.25">
      <c r="A17" s="18" t="s">
        <v>27</v>
      </c>
      <c r="B17" s="19">
        <v>0</v>
      </c>
      <c r="C17" s="19">
        <v>0</v>
      </c>
      <c r="D17" s="20">
        <v>0</v>
      </c>
      <c r="E17" s="20">
        <v>0</v>
      </c>
      <c r="G17" s="19">
        <v>0</v>
      </c>
      <c r="H17" s="19">
        <v>0</v>
      </c>
      <c r="I17" s="20">
        <v>0</v>
      </c>
      <c r="J17" s="20">
        <v>0</v>
      </c>
      <c r="L17" s="19">
        <v>0</v>
      </c>
      <c r="M17" s="19">
        <v>0</v>
      </c>
      <c r="N17" s="20">
        <v>0</v>
      </c>
      <c r="O17" s="20">
        <v>0</v>
      </c>
      <c r="R17" s="19">
        <v>0</v>
      </c>
      <c r="S17" s="19">
        <v>0</v>
      </c>
      <c r="T17" s="20">
        <v>0</v>
      </c>
      <c r="U17" s="20">
        <v>0</v>
      </c>
      <c r="W17" s="19">
        <v>0</v>
      </c>
      <c r="X17" s="19">
        <v>0</v>
      </c>
      <c r="Y17" s="20">
        <v>0</v>
      </c>
      <c r="Z17" s="20">
        <v>0</v>
      </c>
      <c r="AB17" s="19">
        <v>0</v>
      </c>
      <c r="AC17" s="19">
        <v>0</v>
      </c>
      <c r="AD17" s="20">
        <v>0</v>
      </c>
      <c r="AE17" s="20">
        <v>0</v>
      </c>
      <c r="AF17">
        <f t="shared" si="0"/>
        <v>0</v>
      </c>
    </row>
    <row r="18" spans="1:32" x14ac:dyDescent="0.25">
      <c r="A18" s="18" t="s">
        <v>28</v>
      </c>
      <c r="B18" s="19">
        <v>1</v>
      </c>
      <c r="C18" s="19">
        <v>0</v>
      </c>
      <c r="D18" s="20">
        <v>2.1860790486183981E-5</v>
      </c>
      <c r="E18" s="20">
        <v>0</v>
      </c>
      <c r="G18" s="19">
        <v>0</v>
      </c>
      <c r="H18" s="19">
        <v>0</v>
      </c>
      <c r="I18" s="20">
        <v>0</v>
      </c>
      <c r="J18" s="20">
        <v>0</v>
      </c>
      <c r="L18" s="19">
        <v>0</v>
      </c>
      <c r="M18" s="19">
        <v>0</v>
      </c>
      <c r="N18" s="20">
        <v>0</v>
      </c>
      <c r="O18" s="20">
        <v>0</v>
      </c>
      <c r="R18" s="19">
        <v>8</v>
      </c>
      <c r="S18" s="19">
        <v>0</v>
      </c>
      <c r="T18" s="20">
        <v>7.7257363592467406E-4</v>
      </c>
      <c r="U18" s="20">
        <v>0</v>
      </c>
      <c r="W18" s="19">
        <v>0</v>
      </c>
      <c r="X18" s="19">
        <v>0</v>
      </c>
      <c r="Y18" s="20">
        <v>0</v>
      </c>
      <c r="Z18" s="20">
        <v>0</v>
      </c>
      <c r="AB18" s="19">
        <v>0</v>
      </c>
      <c r="AC18" s="19">
        <v>0</v>
      </c>
      <c r="AD18" s="20">
        <v>0</v>
      </c>
      <c r="AE18" s="20">
        <v>0</v>
      </c>
      <c r="AF18">
        <f t="shared" si="0"/>
        <v>9.0007944344264104</v>
      </c>
    </row>
    <row r="19" spans="1:32" hidden="1" x14ac:dyDescent="0.25">
      <c r="A19" s="18" t="s">
        <v>170</v>
      </c>
      <c r="B19" s="19">
        <v>0</v>
      </c>
      <c r="C19" s="19">
        <v>0</v>
      </c>
      <c r="D19" s="20">
        <v>0</v>
      </c>
      <c r="E19" s="20">
        <v>0</v>
      </c>
      <c r="G19" s="19">
        <v>0</v>
      </c>
      <c r="H19" s="19">
        <v>0</v>
      </c>
      <c r="I19" s="20">
        <v>0</v>
      </c>
      <c r="J19" s="20">
        <v>0</v>
      </c>
      <c r="L19" s="19">
        <v>0</v>
      </c>
      <c r="M19" s="19">
        <v>0</v>
      </c>
      <c r="N19" s="20">
        <v>0</v>
      </c>
      <c r="O19" s="20">
        <v>0</v>
      </c>
      <c r="R19" s="19">
        <v>0</v>
      </c>
      <c r="S19" s="19">
        <v>0</v>
      </c>
      <c r="T19" s="20">
        <v>0</v>
      </c>
      <c r="U19" s="20">
        <v>0</v>
      </c>
      <c r="W19" s="19">
        <v>0</v>
      </c>
      <c r="X19" s="19">
        <v>0</v>
      </c>
      <c r="Y19" s="20">
        <v>0</v>
      </c>
      <c r="Z19" s="20">
        <v>0</v>
      </c>
      <c r="AB19" s="19">
        <v>0</v>
      </c>
      <c r="AC19" s="19">
        <v>0</v>
      </c>
      <c r="AD19" s="20">
        <v>0</v>
      </c>
      <c r="AE19" s="20">
        <v>0</v>
      </c>
      <c r="AF19">
        <f t="shared" si="0"/>
        <v>0</v>
      </c>
    </row>
    <row r="20" spans="1:32" hidden="1" x14ac:dyDescent="0.25">
      <c r="A20" s="18" t="s">
        <v>171</v>
      </c>
      <c r="B20" s="19">
        <v>0</v>
      </c>
      <c r="C20" s="19">
        <v>0</v>
      </c>
      <c r="D20" s="20">
        <v>0</v>
      </c>
      <c r="E20" s="20">
        <v>0</v>
      </c>
      <c r="G20" s="19">
        <v>0</v>
      </c>
      <c r="H20" s="19">
        <v>0</v>
      </c>
      <c r="I20" s="20">
        <v>0</v>
      </c>
      <c r="J20" s="20">
        <v>0</v>
      </c>
      <c r="L20" s="19">
        <v>0</v>
      </c>
      <c r="M20" s="19">
        <v>0</v>
      </c>
      <c r="N20" s="20">
        <v>0</v>
      </c>
      <c r="O20" s="20">
        <v>0</v>
      </c>
      <c r="R20" s="19">
        <v>0</v>
      </c>
      <c r="S20" s="19">
        <v>0</v>
      </c>
      <c r="T20" s="20">
        <v>0</v>
      </c>
      <c r="U20" s="20">
        <v>0</v>
      </c>
      <c r="W20" s="19">
        <v>0</v>
      </c>
      <c r="X20" s="19">
        <v>0</v>
      </c>
      <c r="Y20" s="20">
        <v>0</v>
      </c>
      <c r="Z20" s="20">
        <v>0</v>
      </c>
      <c r="AB20" s="19">
        <v>0</v>
      </c>
      <c r="AC20" s="19">
        <v>0</v>
      </c>
      <c r="AD20" s="20">
        <v>0</v>
      </c>
      <c r="AE20" s="20">
        <v>0</v>
      </c>
      <c r="AF20">
        <f t="shared" si="0"/>
        <v>0</v>
      </c>
    </row>
    <row r="21" spans="1:32" hidden="1" x14ac:dyDescent="0.25">
      <c r="A21" s="18" t="s">
        <v>29</v>
      </c>
      <c r="B21" s="19">
        <v>0</v>
      </c>
      <c r="C21" s="19">
        <v>0</v>
      </c>
      <c r="D21" s="20">
        <v>0</v>
      </c>
      <c r="E21" s="20">
        <v>0</v>
      </c>
      <c r="G21" s="19">
        <v>0</v>
      </c>
      <c r="H21" s="19">
        <v>0</v>
      </c>
      <c r="I21" s="20">
        <v>0</v>
      </c>
      <c r="J21" s="20">
        <v>0</v>
      </c>
      <c r="L21" s="19">
        <v>0</v>
      </c>
      <c r="M21" s="19">
        <v>0</v>
      </c>
      <c r="N21" s="20">
        <v>0</v>
      </c>
      <c r="O21" s="20">
        <v>0</v>
      </c>
      <c r="R21" s="19">
        <v>0</v>
      </c>
      <c r="S21" s="19">
        <v>0</v>
      </c>
      <c r="T21" s="20">
        <v>0</v>
      </c>
      <c r="U21" s="20">
        <v>0</v>
      </c>
      <c r="W21" s="19">
        <v>0</v>
      </c>
      <c r="X21" s="19">
        <v>0</v>
      </c>
      <c r="Y21" s="20">
        <v>0</v>
      </c>
      <c r="Z21" s="20">
        <v>0</v>
      </c>
      <c r="AB21" s="19">
        <v>0</v>
      </c>
      <c r="AC21" s="19">
        <v>0</v>
      </c>
      <c r="AD21" s="20">
        <v>0</v>
      </c>
      <c r="AE21" s="20">
        <v>0</v>
      </c>
      <c r="AF21">
        <f t="shared" si="0"/>
        <v>0</v>
      </c>
    </row>
    <row r="22" spans="1:32" x14ac:dyDescent="0.25">
      <c r="A22" s="18" t="s">
        <v>30</v>
      </c>
      <c r="B22" s="19">
        <v>2</v>
      </c>
      <c r="C22" s="19">
        <v>1</v>
      </c>
      <c r="D22" s="20">
        <v>2.1701530174892633E-6</v>
      </c>
      <c r="E22" s="20">
        <v>1.1042183348829198E-6</v>
      </c>
      <c r="G22" s="19">
        <v>7</v>
      </c>
      <c r="H22" s="19">
        <v>0</v>
      </c>
      <c r="I22" s="20">
        <v>9.6619691093044761E-5</v>
      </c>
      <c r="J22" s="20">
        <v>0</v>
      </c>
      <c r="L22" s="19">
        <v>18</v>
      </c>
      <c r="M22" s="19">
        <v>15</v>
      </c>
      <c r="N22" s="20">
        <v>2.4738867509620671E-3</v>
      </c>
      <c r="O22" s="20">
        <v>1.467997651203758E-3</v>
      </c>
      <c r="R22" s="19">
        <v>1</v>
      </c>
      <c r="S22" s="19">
        <v>0</v>
      </c>
      <c r="T22" s="20">
        <v>2.5301274931243786E-6</v>
      </c>
      <c r="U22" s="20">
        <v>0</v>
      </c>
      <c r="W22" s="19">
        <v>0</v>
      </c>
      <c r="X22" s="19">
        <v>0</v>
      </c>
      <c r="Y22" s="20">
        <v>0</v>
      </c>
      <c r="Z22" s="20">
        <v>0</v>
      </c>
      <c r="AB22" s="19">
        <v>0</v>
      </c>
      <c r="AC22" s="19">
        <v>0</v>
      </c>
      <c r="AD22" s="20">
        <v>0</v>
      </c>
      <c r="AE22" s="20">
        <v>0</v>
      </c>
      <c r="AF22">
        <f t="shared" si="0"/>
        <v>44.004044308592107</v>
      </c>
    </row>
    <row r="23" spans="1:32" hidden="1" x14ac:dyDescent="0.25">
      <c r="A23" s="18" t="s">
        <v>31</v>
      </c>
      <c r="B23" s="19">
        <v>0</v>
      </c>
      <c r="C23" s="19">
        <v>0</v>
      </c>
      <c r="D23" s="20">
        <v>0</v>
      </c>
      <c r="E23" s="20">
        <v>0</v>
      </c>
      <c r="G23" s="19">
        <v>0</v>
      </c>
      <c r="H23" s="19">
        <v>0</v>
      </c>
      <c r="I23" s="20">
        <v>0</v>
      </c>
      <c r="J23" s="20">
        <v>0</v>
      </c>
      <c r="L23" s="19">
        <v>0</v>
      </c>
      <c r="M23" s="19">
        <v>0</v>
      </c>
      <c r="N23" s="20">
        <v>0</v>
      </c>
      <c r="O23" s="20">
        <v>0</v>
      </c>
      <c r="R23" s="19">
        <v>0</v>
      </c>
      <c r="S23" s="19">
        <v>0</v>
      </c>
      <c r="T23" s="20">
        <v>0</v>
      </c>
      <c r="U23" s="20">
        <v>0</v>
      </c>
      <c r="W23" s="19">
        <v>0</v>
      </c>
      <c r="X23" s="19">
        <v>0</v>
      </c>
      <c r="Y23" s="20">
        <v>0</v>
      </c>
      <c r="Z23" s="20">
        <v>0</v>
      </c>
      <c r="AB23" s="19">
        <v>0</v>
      </c>
      <c r="AC23" s="19">
        <v>0</v>
      </c>
      <c r="AD23" s="20">
        <v>0</v>
      </c>
      <c r="AE23" s="20">
        <v>0</v>
      </c>
      <c r="AF23">
        <f t="shared" si="0"/>
        <v>0</v>
      </c>
    </row>
    <row r="24" spans="1:32" hidden="1" x14ac:dyDescent="0.25">
      <c r="A24" s="18" t="s">
        <v>79</v>
      </c>
      <c r="B24" s="19">
        <v>0</v>
      </c>
      <c r="C24" s="19">
        <v>0</v>
      </c>
      <c r="D24" s="20">
        <v>0</v>
      </c>
      <c r="E24" s="20">
        <v>0</v>
      </c>
      <c r="G24" s="19">
        <v>0</v>
      </c>
      <c r="H24" s="19">
        <v>0</v>
      </c>
      <c r="I24" s="20">
        <v>0</v>
      </c>
      <c r="J24" s="20">
        <v>0</v>
      </c>
      <c r="L24" s="19">
        <v>0</v>
      </c>
      <c r="M24" s="19">
        <v>0</v>
      </c>
      <c r="N24" s="20">
        <v>0</v>
      </c>
      <c r="O24" s="20">
        <v>0</v>
      </c>
      <c r="R24" s="19">
        <v>0</v>
      </c>
      <c r="S24" s="19">
        <v>0</v>
      </c>
      <c r="T24" s="20">
        <v>0</v>
      </c>
      <c r="U24" s="20">
        <v>0</v>
      </c>
      <c r="W24" s="19">
        <v>0</v>
      </c>
      <c r="X24" s="19">
        <v>0</v>
      </c>
      <c r="Y24" s="20">
        <v>0</v>
      </c>
      <c r="Z24" s="20">
        <v>0</v>
      </c>
      <c r="AB24" s="19">
        <v>0</v>
      </c>
      <c r="AC24" s="19">
        <v>0</v>
      </c>
      <c r="AD24" s="20">
        <v>0</v>
      </c>
      <c r="AE24" s="20">
        <v>0</v>
      </c>
      <c r="AF24">
        <f t="shared" si="0"/>
        <v>0</v>
      </c>
    </row>
    <row r="25" spans="1:32" hidden="1" x14ac:dyDescent="0.25">
      <c r="A25" s="18" t="s">
        <v>32</v>
      </c>
      <c r="B25" s="19">
        <v>0</v>
      </c>
      <c r="C25" s="19">
        <v>0</v>
      </c>
      <c r="D25" s="20">
        <v>0</v>
      </c>
      <c r="E25" s="20">
        <v>0</v>
      </c>
      <c r="G25" s="19">
        <v>0</v>
      </c>
      <c r="H25" s="19">
        <v>0</v>
      </c>
      <c r="I25" s="20">
        <v>0</v>
      </c>
      <c r="J25" s="20">
        <v>0</v>
      </c>
      <c r="L25" s="19">
        <v>0</v>
      </c>
      <c r="M25" s="19">
        <v>0</v>
      </c>
      <c r="N25" s="20">
        <v>0</v>
      </c>
      <c r="O25" s="20">
        <v>0</v>
      </c>
      <c r="R25" s="19">
        <v>0</v>
      </c>
      <c r="S25" s="19">
        <v>0</v>
      </c>
      <c r="T25" s="20">
        <v>0</v>
      </c>
      <c r="U25" s="20">
        <v>0</v>
      </c>
      <c r="W25" s="19">
        <v>0</v>
      </c>
      <c r="X25" s="19">
        <v>0</v>
      </c>
      <c r="Y25" s="20">
        <v>0</v>
      </c>
      <c r="Z25" s="20">
        <v>0</v>
      </c>
      <c r="AB25" s="19">
        <v>0</v>
      </c>
      <c r="AC25" s="19">
        <v>0</v>
      </c>
      <c r="AD25" s="20">
        <v>0</v>
      </c>
      <c r="AE25" s="20">
        <v>0</v>
      </c>
      <c r="AF25">
        <f t="shared" si="0"/>
        <v>0</v>
      </c>
    </row>
    <row r="26" spans="1:32" x14ac:dyDescent="0.25">
      <c r="A26" s="18" t="s">
        <v>80</v>
      </c>
      <c r="B26" s="19">
        <v>0</v>
      </c>
      <c r="C26" s="19">
        <v>0</v>
      </c>
      <c r="D26" s="20">
        <v>0</v>
      </c>
      <c r="E26" s="20">
        <v>0</v>
      </c>
      <c r="G26" s="19">
        <v>7</v>
      </c>
      <c r="H26" s="19">
        <v>6</v>
      </c>
      <c r="I26" s="20">
        <v>1.6241299303944315E-2</v>
      </c>
      <c r="J26" s="20">
        <v>1.4084507042253521E-2</v>
      </c>
      <c r="L26" s="19">
        <v>14</v>
      </c>
      <c r="M26" s="19">
        <v>9</v>
      </c>
      <c r="N26" s="20">
        <v>5.0395968322534193E-3</v>
      </c>
      <c r="O26" s="20">
        <v>3.2281205164992827E-3</v>
      </c>
      <c r="R26" s="19">
        <v>0</v>
      </c>
      <c r="S26" s="19">
        <v>0</v>
      </c>
      <c r="T26" s="20">
        <v>0</v>
      </c>
      <c r="U26" s="20">
        <v>0</v>
      </c>
      <c r="W26" s="19">
        <v>0</v>
      </c>
      <c r="X26" s="19">
        <v>0</v>
      </c>
      <c r="Y26" s="20">
        <v>0</v>
      </c>
      <c r="Z26" s="20">
        <v>0</v>
      </c>
      <c r="AB26" s="19">
        <v>0</v>
      </c>
      <c r="AC26" s="19">
        <v>0</v>
      </c>
      <c r="AD26" s="20">
        <v>0</v>
      </c>
      <c r="AE26" s="20">
        <v>0</v>
      </c>
      <c r="AF26">
        <f t="shared" si="0"/>
        <v>36.038593523694949</v>
      </c>
    </row>
    <row r="27" spans="1:32" hidden="1" x14ac:dyDescent="0.25">
      <c r="A27" s="18" t="s">
        <v>33</v>
      </c>
      <c r="B27" s="19">
        <v>0</v>
      </c>
      <c r="C27" s="19">
        <v>0</v>
      </c>
      <c r="D27" s="20">
        <v>0</v>
      </c>
      <c r="E27" s="20">
        <v>0</v>
      </c>
      <c r="G27" s="19">
        <v>0</v>
      </c>
      <c r="H27" s="19">
        <v>0</v>
      </c>
      <c r="I27" s="20">
        <v>0</v>
      </c>
      <c r="J27" s="20">
        <v>0</v>
      </c>
      <c r="L27" s="19">
        <v>0</v>
      </c>
      <c r="M27" s="19">
        <v>0</v>
      </c>
      <c r="N27" s="20">
        <v>0</v>
      </c>
      <c r="O27" s="20">
        <v>0</v>
      </c>
      <c r="R27" s="19">
        <v>0</v>
      </c>
      <c r="S27" s="19">
        <v>0</v>
      </c>
      <c r="T27" s="20">
        <v>0</v>
      </c>
      <c r="U27" s="20">
        <v>0</v>
      </c>
      <c r="W27" s="19">
        <v>0</v>
      </c>
      <c r="X27" s="19">
        <v>0</v>
      </c>
      <c r="Y27" s="20">
        <v>0</v>
      </c>
      <c r="Z27" s="20">
        <v>0</v>
      </c>
      <c r="AB27" s="19">
        <v>0</v>
      </c>
      <c r="AC27" s="19">
        <v>0</v>
      </c>
      <c r="AD27" s="20">
        <v>0</v>
      </c>
      <c r="AE27" s="20">
        <v>0</v>
      </c>
      <c r="AF27">
        <f t="shared" si="0"/>
        <v>0</v>
      </c>
    </row>
    <row r="28" spans="1:32" hidden="1" x14ac:dyDescent="0.25">
      <c r="A28" s="18" t="s">
        <v>34</v>
      </c>
      <c r="B28" s="19">
        <v>0</v>
      </c>
      <c r="C28" s="19">
        <v>0</v>
      </c>
      <c r="D28" s="20">
        <v>0</v>
      </c>
      <c r="E28" s="20">
        <v>0</v>
      </c>
      <c r="G28" s="19">
        <v>0</v>
      </c>
      <c r="H28" s="19">
        <v>0</v>
      </c>
      <c r="I28" s="20">
        <v>0</v>
      </c>
      <c r="J28" s="20">
        <v>0</v>
      </c>
      <c r="L28" s="19">
        <v>0</v>
      </c>
      <c r="M28" s="19">
        <v>0</v>
      </c>
      <c r="N28" s="20">
        <v>0</v>
      </c>
      <c r="O28" s="20">
        <v>0</v>
      </c>
      <c r="R28" s="19">
        <v>0</v>
      </c>
      <c r="S28" s="19">
        <v>0</v>
      </c>
      <c r="T28" s="20">
        <v>0</v>
      </c>
      <c r="U28" s="20">
        <v>0</v>
      </c>
      <c r="W28" s="19">
        <v>0</v>
      </c>
      <c r="X28" s="19">
        <v>0</v>
      </c>
      <c r="Y28" s="20">
        <v>0</v>
      </c>
      <c r="Z28" s="20">
        <v>0</v>
      </c>
      <c r="AB28" s="19">
        <v>0</v>
      </c>
      <c r="AC28" s="19">
        <v>0</v>
      </c>
      <c r="AD28" s="20">
        <v>0</v>
      </c>
      <c r="AE28" s="20">
        <v>0</v>
      </c>
      <c r="AF28">
        <f t="shared" si="0"/>
        <v>0</v>
      </c>
    </row>
    <row r="29" spans="1:32" hidden="1" x14ac:dyDescent="0.25">
      <c r="A29" s="18" t="s">
        <v>166</v>
      </c>
      <c r="B29" s="19">
        <v>0</v>
      </c>
      <c r="C29" s="19">
        <v>0</v>
      </c>
      <c r="D29" s="20">
        <v>0</v>
      </c>
      <c r="E29" s="20">
        <v>0</v>
      </c>
      <c r="G29" s="19">
        <v>0</v>
      </c>
      <c r="H29" s="19">
        <v>0</v>
      </c>
      <c r="I29" s="20">
        <v>0</v>
      </c>
      <c r="J29" s="20">
        <v>0</v>
      </c>
      <c r="L29" s="19">
        <v>0</v>
      </c>
      <c r="M29" s="19">
        <v>0</v>
      </c>
      <c r="N29" s="20">
        <v>0</v>
      </c>
      <c r="O29" s="20">
        <v>0</v>
      </c>
      <c r="R29" s="19">
        <v>0</v>
      </c>
      <c r="S29" s="19">
        <v>0</v>
      </c>
      <c r="T29" s="20">
        <v>0</v>
      </c>
      <c r="U29" s="20">
        <v>0</v>
      </c>
      <c r="W29" s="19">
        <v>0</v>
      </c>
      <c r="X29" s="19">
        <v>0</v>
      </c>
      <c r="Y29" s="20">
        <v>0</v>
      </c>
      <c r="Z29" s="20">
        <v>0</v>
      </c>
      <c r="AB29" s="19">
        <v>0</v>
      </c>
      <c r="AC29" s="19">
        <v>0</v>
      </c>
      <c r="AD29" s="20">
        <v>0</v>
      </c>
      <c r="AE29" s="20">
        <v>0</v>
      </c>
      <c r="AF29">
        <f t="shared" si="0"/>
        <v>0</v>
      </c>
    </row>
    <row r="30" spans="1:32" hidden="1" x14ac:dyDescent="0.25">
      <c r="A30" s="18" t="s">
        <v>172</v>
      </c>
      <c r="B30" s="19">
        <v>0</v>
      </c>
      <c r="C30" s="19">
        <v>0</v>
      </c>
      <c r="D30" s="20">
        <v>0</v>
      </c>
      <c r="E30" s="20">
        <v>0</v>
      </c>
      <c r="G30" s="19">
        <v>0</v>
      </c>
      <c r="H30" s="19">
        <v>0</v>
      </c>
      <c r="I30" s="20">
        <v>0</v>
      </c>
      <c r="J30" s="20">
        <v>0</v>
      </c>
      <c r="L30" s="19">
        <v>0</v>
      </c>
      <c r="M30" s="19">
        <v>0</v>
      </c>
      <c r="N30" s="20">
        <v>0</v>
      </c>
      <c r="O30" s="20">
        <v>0</v>
      </c>
      <c r="R30" s="19">
        <v>0</v>
      </c>
      <c r="S30" s="19">
        <v>0</v>
      </c>
      <c r="T30" s="20">
        <v>0</v>
      </c>
      <c r="U30" s="20">
        <v>0</v>
      </c>
      <c r="W30" s="19">
        <v>0</v>
      </c>
      <c r="X30" s="19">
        <v>0</v>
      </c>
      <c r="Y30" s="20">
        <v>0</v>
      </c>
      <c r="Z30" s="20">
        <v>0</v>
      </c>
      <c r="AB30" s="19">
        <v>0</v>
      </c>
      <c r="AC30" s="19">
        <v>0</v>
      </c>
      <c r="AD30" s="20">
        <v>0</v>
      </c>
      <c r="AE30" s="20">
        <v>0</v>
      </c>
      <c r="AF30">
        <f t="shared" si="0"/>
        <v>0</v>
      </c>
    </row>
    <row r="31" spans="1:32" hidden="1" x14ac:dyDescent="0.25">
      <c r="A31" s="18" t="s">
        <v>35</v>
      </c>
      <c r="B31" s="19">
        <v>0</v>
      </c>
      <c r="C31" s="19">
        <v>0</v>
      </c>
      <c r="D31" s="20">
        <v>0</v>
      </c>
      <c r="E31" s="20">
        <v>0</v>
      </c>
      <c r="G31" s="19">
        <v>0</v>
      </c>
      <c r="H31" s="19">
        <v>0</v>
      </c>
      <c r="I31" s="20">
        <v>0</v>
      </c>
      <c r="J31" s="20">
        <v>0</v>
      </c>
      <c r="L31" s="19">
        <v>0</v>
      </c>
      <c r="M31" s="19">
        <v>0</v>
      </c>
      <c r="N31" s="20">
        <v>0</v>
      </c>
      <c r="O31" s="20">
        <v>0</v>
      </c>
      <c r="R31" s="19">
        <v>0</v>
      </c>
      <c r="S31" s="19">
        <v>0</v>
      </c>
      <c r="T31" s="20">
        <v>0</v>
      </c>
      <c r="U31" s="20">
        <v>0</v>
      </c>
      <c r="W31" s="19">
        <v>0</v>
      </c>
      <c r="X31" s="19">
        <v>0</v>
      </c>
      <c r="Y31" s="20">
        <v>0</v>
      </c>
      <c r="Z31" s="20">
        <v>0</v>
      </c>
      <c r="AB31" s="19">
        <v>0</v>
      </c>
      <c r="AC31" s="19">
        <v>0</v>
      </c>
      <c r="AD31" s="20">
        <v>0</v>
      </c>
      <c r="AE31" s="20">
        <v>0</v>
      </c>
      <c r="AF31">
        <f t="shared" si="0"/>
        <v>0</v>
      </c>
    </row>
    <row r="32" spans="1:32" hidden="1" x14ac:dyDescent="0.25">
      <c r="A32" s="18" t="s">
        <v>85</v>
      </c>
      <c r="B32" s="19">
        <v>0</v>
      </c>
      <c r="C32" s="19">
        <v>0</v>
      </c>
      <c r="D32" s="20">
        <v>0</v>
      </c>
      <c r="E32" s="20">
        <v>0</v>
      </c>
      <c r="G32" s="19">
        <v>0</v>
      </c>
      <c r="H32" s="19">
        <v>0</v>
      </c>
      <c r="I32" s="20">
        <v>0</v>
      </c>
      <c r="J32" s="20">
        <v>0</v>
      </c>
      <c r="L32" s="19">
        <v>0</v>
      </c>
      <c r="M32" s="19">
        <v>0</v>
      </c>
      <c r="N32" s="20">
        <v>0</v>
      </c>
      <c r="O32" s="20">
        <v>0</v>
      </c>
      <c r="R32" s="19">
        <v>0</v>
      </c>
      <c r="S32" s="19">
        <v>0</v>
      </c>
      <c r="T32" s="20">
        <v>0</v>
      </c>
      <c r="U32" s="20">
        <v>0</v>
      </c>
      <c r="W32" s="19">
        <v>0</v>
      </c>
      <c r="X32" s="19">
        <v>0</v>
      </c>
      <c r="Y32" s="20">
        <v>0</v>
      </c>
      <c r="Z32" s="20">
        <v>0</v>
      </c>
      <c r="AB32" s="19">
        <v>0</v>
      </c>
      <c r="AC32" s="19">
        <v>0</v>
      </c>
      <c r="AD32" s="20">
        <v>0</v>
      </c>
      <c r="AE32" s="20">
        <v>0</v>
      </c>
      <c r="AF32">
        <f t="shared" si="0"/>
        <v>0</v>
      </c>
    </row>
    <row r="33" spans="1:32" hidden="1" x14ac:dyDescent="0.25">
      <c r="A33" s="18" t="s">
        <v>36</v>
      </c>
      <c r="B33" s="19">
        <v>0</v>
      </c>
      <c r="C33" s="19">
        <v>0</v>
      </c>
      <c r="D33" s="20">
        <v>0</v>
      </c>
      <c r="E33" s="20">
        <v>0</v>
      </c>
      <c r="G33" s="19">
        <v>0</v>
      </c>
      <c r="H33" s="19">
        <v>0</v>
      </c>
      <c r="I33" s="20">
        <v>0</v>
      </c>
      <c r="J33" s="20">
        <v>0</v>
      </c>
      <c r="L33" s="19">
        <v>0</v>
      </c>
      <c r="M33" s="19">
        <v>0</v>
      </c>
      <c r="N33" s="20">
        <v>0</v>
      </c>
      <c r="O33" s="20">
        <v>0</v>
      </c>
      <c r="R33" s="19">
        <v>0</v>
      </c>
      <c r="S33" s="19">
        <v>0</v>
      </c>
      <c r="T33" s="20">
        <v>0</v>
      </c>
      <c r="U33" s="20">
        <v>0</v>
      </c>
      <c r="W33" s="19">
        <v>0</v>
      </c>
      <c r="X33" s="19">
        <v>0</v>
      </c>
      <c r="Y33" s="20">
        <v>0</v>
      </c>
      <c r="Z33" s="20">
        <v>0</v>
      </c>
      <c r="AB33" s="19">
        <v>0</v>
      </c>
      <c r="AC33" s="19">
        <v>0</v>
      </c>
      <c r="AD33" s="20">
        <v>0</v>
      </c>
      <c r="AE33" s="20">
        <v>0</v>
      </c>
      <c r="AF33">
        <f t="shared" si="0"/>
        <v>0</v>
      </c>
    </row>
    <row r="34" spans="1:32" hidden="1" x14ac:dyDescent="0.25">
      <c r="A34" s="18" t="s">
        <v>37</v>
      </c>
      <c r="B34" s="19">
        <v>0</v>
      </c>
      <c r="C34" s="19">
        <v>0</v>
      </c>
      <c r="D34" s="20">
        <v>0</v>
      </c>
      <c r="E34" s="20">
        <v>0</v>
      </c>
      <c r="G34" s="19">
        <v>0</v>
      </c>
      <c r="H34" s="19">
        <v>0</v>
      </c>
      <c r="I34" s="20">
        <v>0</v>
      </c>
      <c r="J34" s="20">
        <v>0</v>
      </c>
      <c r="L34" s="19">
        <v>0</v>
      </c>
      <c r="M34" s="19">
        <v>0</v>
      </c>
      <c r="N34" s="20">
        <v>0</v>
      </c>
      <c r="O34" s="20">
        <v>0</v>
      </c>
      <c r="R34" s="19">
        <v>0</v>
      </c>
      <c r="S34" s="19">
        <v>0</v>
      </c>
      <c r="T34" s="20">
        <v>0</v>
      </c>
      <c r="U34" s="20">
        <v>0</v>
      </c>
      <c r="W34" s="19">
        <v>0</v>
      </c>
      <c r="X34" s="19">
        <v>0</v>
      </c>
      <c r="Y34" s="20">
        <v>0</v>
      </c>
      <c r="Z34" s="20">
        <v>0</v>
      </c>
      <c r="AB34" s="19">
        <v>0</v>
      </c>
      <c r="AC34" s="19">
        <v>0</v>
      </c>
      <c r="AD34" s="20">
        <v>0</v>
      </c>
      <c r="AE34" s="20">
        <v>0</v>
      </c>
      <c r="AF34">
        <f t="shared" si="0"/>
        <v>0</v>
      </c>
    </row>
    <row r="35" spans="1:32" hidden="1" x14ac:dyDescent="0.25">
      <c r="A35" s="18" t="s">
        <v>86</v>
      </c>
      <c r="B35" s="19">
        <v>0</v>
      </c>
      <c r="C35" s="19">
        <v>0</v>
      </c>
      <c r="D35" s="20">
        <v>0</v>
      </c>
      <c r="E35" s="20">
        <v>0</v>
      </c>
      <c r="G35" s="19">
        <v>0</v>
      </c>
      <c r="H35" s="19">
        <v>0</v>
      </c>
      <c r="I35" s="20">
        <v>0</v>
      </c>
      <c r="J35" s="20">
        <v>0</v>
      </c>
      <c r="L35" s="19">
        <v>0</v>
      </c>
      <c r="M35" s="19">
        <v>0</v>
      </c>
      <c r="N35" s="20">
        <v>0</v>
      </c>
      <c r="O35" s="20">
        <v>0</v>
      </c>
      <c r="R35" s="19">
        <v>0</v>
      </c>
      <c r="S35" s="19">
        <v>0</v>
      </c>
      <c r="T35" s="20">
        <v>0</v>
      </c>
      <c r="U35" s="20">
        <v>0</v>
      </c>
      <c r="W35" s="19">
        <v>0</v>
      </c>
      <c r="X35" s="19">
        <v>0</v>
      </c>
      <c r="Y35" s="20">
        <v>0</v>
      </c>
      <c r="Z35" s="20">
        <v>0</v>
      </c>
      <c r="AB35" s="19">
        <v>0</v>
      </c>
      <c r="AC35" s="19">
        <v>0</v>
      </c>
      <c r="AD35" s="20">
        <v>0</v>
      </c>
      <c r="AE35" s="20">
        <v>0</v>
      </c>
      <c r="AF35">
        <f t="shared" si="0"/>
        <v>0</v>
      </c>
    </row>
    <row r="36" spans="1:32" hidden="1" x14ac:dyDescent="0.25">
      <c r="A36" s="18" t="s">
        <v>38</v>
      </c>
      <c r="B36" s="19">
        <v>0</v>
      </c>
      <c r="C36" s="19">
        <v>0</v>
      </c>
      <c r="D36" s="20">
        <v>0</v>
      </c>
      <c r="E36" s="20">
        <v>0</v>
      </c>
      <c r="G36" s="19">
        <v>0</v>
      </c>
      <c r="H36" s="19">
        <v>0</v>
      </c>
      <c r="I36" s="20">
        <v>0</v>
      </c>
      <c r="J36" s="20">
        <v>0</v>
      </c>
      <c r="L36" s="19">
        <v>0</v>
      </c>
      <c r="M36" s="19">
        <v>0</v>
      </c>
      <c r="N36" s="20">
        <v>0</v>
      </c>
      <c r="O36" s="20">
        <v>0</v>
      </c>
      <c r="R36" s="19">
        <v>0</v>
      </c>
      <c r="S36" s="19">
        <v>0</v>
      </c>
      <c r="T36" s="20">
        <v>0</v>
      </c>
      <c r="U36" s="20">
        <v>0</v>
      </c>
      <c r="W36" s="19">
        <v>0</v>
      </c>
      <c r="X36" s="19">
        <v>0</v>
      </c>
      <c r="Y36" s="20">
        <v>0</v>
      </c>
      <c r="Z36" s="20">
        <v>0</v>
      </c>
      <c r="AB36" s="19">
        <v>0</v>
      </c>
      <c r="AC36" s="19">
        <v>0</v>
      </c>
      <c r="AD36" s="20">
        <v>0</v>
      </c>
      <c r="AE36" s="20">
        <v>0</v>
      </c>
      <c r="AF36">
        <f t="shared" si="0"/>
        <v>0</v>
      </c>
    </row>
    <row r="37" spans="1:32" hidden="1" x14ac:dyDescent="0.25">
      <c r="A37" s="18" t="s">
        <v>39</v>
      </c>
      <c r="B37" s="19">
        <v>0</v>
      </c>
      <c r="C37" s="19">
        <v>0</v>
      </c>
      <c r="D37" s="20">
        <v>0</v>
      </c>
      <c r="E37" s="20">
        <v>0</v>
      </c>
      <c r="G37" s="19">
        <v>0</v>
      </c>
      <c r="H37" s="19">
        <v>0</v>
      </c>
      <c r="I37" s="20">
        <v>0</v>
      </c>
      <c r="J37" s="20">
        <v>0</v>
      </c>
      <c r="L37" s="19">
        <v>0</v>
      </c>
      <c r="M37" s="19">
        <v>0</v>
      </c>
      <c r="N37" s="20">
        <v>0</v>
      </c>
      <c r="O37" s="20">
        <v>0</v>
      </c>
      <c r="R37" s="19">
        <v>0</v>
      </c>
      <c r="S37" s="19">
        <v>0</v>
      </c>
      <c r="T37" s="20">
        <v>0</v>
      </c>
      <c r="U37" s="20">
        <v>0</v>
      </c>
      <c r="W37" s="19">
        <v>0</v>
      </c>
      <c r="X37" s="19">
        <v>0</v>
      </c>
      <c r="Y37" s="20">
        <v>0</v>
      </c>
      <c r="Z37" s="20">
        <v>0</v>
      </c>
      <c r="AB37" s="19">
        <v>0</v>
      </c>
      <c r="AC37" s="19">
        <v>0</v>
      </c>
      <c r="AD37" s="20">
        <v>0</v>
      </c>
      <c r="AE37" s="20">
        <v>0</v>
      </c>
      <c r="AF37">
        <f t="shared" si="0"/>
        <v>0</v>
      </c>
    </row>
    <row r="38" spans="1:32" hidden="1" x14ac:dyDescent="0.25">
      <c r="A38" s="18" t="s">
        <v>40</v>
      </c>
      <c r="B38" s="19">
        <v>0</v>
      </c>
      <c r="C38" s="19">
        <v>0</v>
      </c>
      <c r="D38" s="20">
        <v>0</v>
      </c>
      <c r="E38" s="20">
        <v>0</v>
      </c>
      <c r="G38" s="19">
        <v>0</v>
      </c>
      <c r="H38" s="19">
        <v>0</v>
      </c>
      <c r="I38" s="20">
        <v>0</v>
      </c>
      <c r="J38" s="20">
        <v>0</v>
      </c>
      <c r="L38" s="19">
        <v>0</v>
      </c>
      <c r="M38" s="19">
        <v>0</v>
      </c>
      <c r="N38" s="20">
        <v>0</v>
      </c>
      <c r="O38" s="20">
        <v>0</v>
      </c>
      <c r="R38" s="19">
        <v>0</v>
      </c>
      <c r="S38" s="19">
        <v>0</v>
      </c>
      <c r="T38" s="20">
        <v>0</v>
      </c>
      <c r="U38" s="20">
        <v>0</v>
      </c>
      <c r="W38" s="19">
        <v>0</v>
      </c>
      <c r="X38" s="19">
        <v>0</v>
      </c>
      <c r="Y38" s="20">
        <v>0</v>
      </c>
      <c r="Z38" s="20">
        <v>0</v>
      </c>
      <c r="AB38" s="19">
        <v>0</v>
      </c>
      <c r="AC38" s="19">
        <v>0</v>
      </c>
      <c r="AD38" s="20">
        <v>0</v>
      </c>
      <c r="AE38" s="20">
        <v>0</v>
      </c>
      <c r="AF38">
        <f t="shared" si="0"/>
        <v>0</v>
      </c>
    </row>
    <row r="39" spans="1:32" hidden="1" x14ac:dyDescent="0.25">
      <c r="A39" s="18" t="s">
        <v>173</v>
      </c>
      <c r="B39" s="19">
        <v>0</v>
      </c>
      <c r="C39" s="19">
        <v>0</v>
      </c>
      <c r="D39" s="20">
        <v>0</v>
      </c>
      <c r="E39" s="20">
        <v>0</v>
      </c>
      <c r="G39" s="19">
        <v>0</v>
      </c>
      <c r="H39" s="19">
        <v>0</v>
      </c>
      <c r="I39" s="20">
        <v>0</v>
      </c>
      <c r="J39" s="20">
        <v>0</v>
      </c>
      <c r="L39" s="19">
        <v>0</v>
      </c>
      <c r="M39" s="19">
        <v>0</v>
      </c>
      <c r="N39" s="20">
        <v>0</v>
      </c>
      <c r="O39" s="20">
        <v>0</v>
      </c>
      <c r="R39" s="19">
        <v>0</v>
      </c>
      <c r="S39" s="19">
        <v>0</v>
      </c>
      <c r="T39" s="20">
        <v>0</v>
      </c>
      <c r="U39" s="20">
        <v>0</v>
      </c>
      <c r="W39" s="19">
        <v>0</v>
      </c>
      <c r="X39" s="19">
        <v>0</v>
      </c>
      <c r="Y39" s="20">
        <v>0</v>
      </c>
      <c r="Z39" s="20">
        <v>0</v>
      </c>
      <c r="AB39" s="19">
        <v>0</v>
      </c>
      <c r="AC39" s="19">
        <v>0</v>
      </c>
      <c r="AD39" s="20">
        <v>0</v>
      </c>
      <c r="AE39" s="20">
        <v>0</v>
      </c>
      <c r="AF39">
        <f t="shared" si="0"/>
        <v>0</v>
      </c>
    </row>
    <row r="40" spans="1:32" hidden="1" x14ac:dyDescent="0.25">
      <c r="A40" s="18" t="s">
        <v>41</v>
      </c>
      <c r="B40" s="19">
        <v>0</v>
      </c>
      <c r="C40" s="19">
        <v>0</v>
      </c>
      <c r="D40" s="20">
        <v>0</v>
      </c>
      <c r="E40" s="20">
        <v>0</v>
      </c>
      <c r="G40" s="19">
        <v>0</v>
      </c>
      <c r="H40" s="19">
        <v>0</v>
      </c>
      <c r="I40" s="20">
        <v>0</v>
      </c>
      <c r="J40" s="20">
        <v>0</v>
      </c>
      <c r="L40" s="19">
        <v>0</v>
      </c>
      <c r="M40" s="19">
        <v>0</v>
      </c>
      <c r="N40" s="20">
        <v>0</v>
      </c>
      <c r="O40" s="20">
        <v>0</v>
      </c>
      <c r="R40" s="19">
        <v>0</v>
      </c>
      <c r="S40" s="19">
        <v>0</v>
      </c>
      <c r="T40" s="20">
        <v>0</v>
      </c>
      <c r="U40" s="20">
        <v>0</v>
      </c>
      <c r="W40" s="19">
        <v>0</v>
      </c>
      <c r="X40" s="19">
        <v>0</v>
      </c>
      <c r="Y40" s="20">
        <v>0</v>
      </c>
      <c r="Z40" s="20">
        <v>0</v>
      </c>
      <c r="AB40" s="19">
        <v>0</v>
      </c>
      <c r="AC40" s="19">
        <v>0</v>
      </c>
      <c r="AD40" s="20">
        <v>0</v>
      </c>
      <c r="AE40" s="20">
        <v>0</v>
      </c>
      <c r="AF40">
        <f t="shared" si="0"/>
        <v>0</v>
      </c>
    </row>
    <row r="41" spans="1:32" hidden="1" x14ac:dyDescent="0.25">
      <c r="A41" s="18" t="s">
        <v>42</v>
      </c>
      <c r="B41" s="19">
        <v>0</v>
      </c>
      <c r="C41" s="19">
        <v>0</v>
      </c>
      <c r="D41" s="20">
        <v>0</v>
      </c>
      <c r="E41" s="20">
        <v>0</v>
      </c>
      <c r="G41" s="19">
        <v>0</v>
      </c>
      <c r="H41" s="19">
        <v>0</v>
      </c>
      <c r="I41" s="20">
        <v>0</v>
      </c>
      <c r="J41" s="20">
        <v>0</v>
      </c>
      <c r="L41" s="19">
        <v>0</v>
      </c>
      <c r="M41" s="19">
        <v>0</v>
      </c>
      <c r="N41" s="20">
        <v>0</v>
      </c>
      <c r="O41" s="20">
        <v>0</v>
      </c>
      <c r="R41" s="19">
        <v>0</v>
      </c>
      <c r="S41" s="19">
        <v>0</v>
      </c>
      <c r="T41" s="20">
        <v>0</v>
      </c>
      <c r="U41" s="20">
        <v>0</v>
      </c>
      <c r="W41" s="19">
        <v>0</v>
      </c>
      <c r="X41" s="19">
        <v>0</v>
      </c>
      <c r="Y41" s="20">
        <v>0</v>
      </c>
      <c r="Z41" s="20">
        <v>0</v>
      </c>
      <c r="AB41" s="19">
        <v>0</v>
      </c>
      <c r="AC41" s="19">
        <v>0</v>
      </c>
      <c r="AD41" s="20">
        <v>0</v>
      </c>
      <c r="AE41" s="20">
        <v>0</v>
      </c>
      <c r="AF41">
        <f t="shared" si="0"/>
        <v>0</v>
      </c>
    </row>
    <row r="42" spans="1:32" x14ac:dyDescent="0.25">
      <c r="A42" s="18" t="s">
        <v>43</v>
      </c>
      <c r="B42" s="19">
        <v>44</v>
      </c>
      <c r="C42" s="19">
        <v>57</v>
      </c>
      <c r="D42" s="20">
        <v>2.9621790327542946E-5</v>
      </c>
      <c r="E42" s="20">
        <v>3.9449424453660073E-5</v>
      </c>
      <c r="G42" s="19">
        <v>4</v>
      </c>
      <c r="H42" s="19">
        <v>12</v>
      </c>
      <c r="I42" s="20">
        <v>2.6461676876463661E-5</v>
      </c>
      <c r="J42" s="20">
        <v>8.2176583782451193E-5</v>
      </c>
      <c r="L42" s="19">
        <v>0</v>
      </c>
      <c r="M42" s="19">
        <v>0</v>
      </c>
      <c r="N42" s="20">
        <v>0</v>
      </c>
      <c r="O42" s="20">
        <v>0</v>
      </c>
      <c r="R42" s="19">
        <v>12</v>
      </c>
      <c r="S42" s="19">
        <v>12</v>
      </c>
      <c r="T42" s="20">
        <v>2.4623264059883779E-5</v>
      </c>
      <c r="U42" s="20">
        <v>2.4436384962663239E-5</v>
      </c>
      <c r="W42" s="19">
        <v>10</v>
      </c>
      <c r="X42" s="19">
        <v>4</v>
      </c>
      <c r="Y42" s="20">
        <v>3.1672631678966208E-4</v>
      </c>
      <c r="Z42" s="20">
        <v>1.2396566151176124E-4</v>
      </c>
      <c r="AB42" s="19">
        <v>0</v>
      </c>
      <c r="AC42" s="19">
        <v>0</v>
      </c>
      <c r="AD42" s="20">
        <v>0</v>
      </c>
      <c r="AE42" s="20">
        <v>0</v>
      </c>
      <c r="AF42">
        <f t="shared" si="0"/>
        <v>155.00066746110278</v>
      </c>
    </row>
    <row r="43" spans="1:32" hidden="1" x14ac:dyDescent="0.25">
      <c r="A43" s="18" t="s">
        <v>87</v>
      </c>
      <c r="B43" s="19">
        <v>0</v>
      </c>
      <c r="C43" s="19">
        <v>0</v>
      </c>
      <c r="D43" s="20">
        <v>0</v>
      </c>
      <c r="E43" s="20">
        <v>0</v>
      </c>
      <c r="G43" s="19">
        <v>0</v>
      </c>
      <c r="H43" s="19">
        <v>0</v>
      </c>
      <c r="I43" s="20">
        <v>0</v>
      </c>
      <c r="J43" s="20">
        <v>0</v>
      </c>
      <c r="L43" s="19">
        <v>0</v>
      </c>
      <c r="M43" s="19">
        <v>0</v>
      </c>
      <c r="N43" s="20">
        <v>0</v>
      </c>
      <c r="O43" s="20">
        <v>0</v>
      </c>
      <c r="R43" s="19">
        <v>0</v>
      </c>
      <c r="S43" s="19">
        <v>0</v>
      </c>
      <c r="T43" s="20">
        <v>0</v>
      </c>
      <c r="U43" s="20">
        <v>0</v>
      </c>
      <c r="W43" s="19">
        <v>0</v>
      </c>
      <c r="X43" s="19">
        <v>0</v>
      </c>
      <c r="Y43" s="20">
        <v>0</v>
      </c>
      <c r="Z43" s="20">
        <v>0</v>
      </c>
      <c r="AB43" s="19">
        <v>0</v>
      </c>
      <c r="AC43" s="19">
        <v>0</v>
      </c>
      <c r="AD43" s="20">
        <v>0</v>
      </c>
      <c r="AE43" s="20">
        <v>0</v>
      </c>
      <c r="AF43">
        <f t="shared" si="0"/>
        <v>0</v>
      </c>
    </row>
    <row r="44" spans="1:32" hidden="1" x14ac:dyDescent="0.25">
      <c r="A44" s="18" t="s">
        <v>44</v>
      </c>
      <c r="B44" s="19">
        <v>0</v>
      </c>
      <c r="C44" s="19">
        <v>0</v>
      </c>
      <c r="D44" s="20">
        <v>0</v>
      </c>
      <c r="E44" s="20">
        <v>0</v>
      </c>
      <c r="G44" s="19">
        <v>0</v>
      </c>
      <c r="H44" s="19">
        <v>0</v>
      </c>
      <c r="I44" s="20">
        <v>0</v>
      </c>
      <c r="J44" s="20">
        <v>0</v>
      </c>
      <c r="L44" s="19">
        <v>0</v>
      </c>
      <c r="M44" s="19">
        <v>0</v>
      </c>
      <c r="N44" s="20">
        <v>0</v>
      </c>
      <c r="O44" s="20">
        <v>0</v>
      </c>
      <c r="R44" s="19">
        <v>0</v>
      </c>
      <c r="S44" s="19">
        <v>0</v>
      </c>
      <c r="T44" s="20">
        <v>0</v>
      </c>
      <c r="U44" s="20">
        <v>0</v>
      </c>
      <c r="W44" s="19">
        <v>0</v>
      </c>
      <c r="X44" s="19">
        <v>0</v>
      </c>
      <c r="Y44" s="20">
        <v>0</v>
      </c>
      <c r="Z44" s="20">
        <v>0</v>
      </c>
      <c r="AB44" s="19">
        <v>0</v>
      </c>
      <c r="AC44" s="19">
        <v>0</v>
      </c>
      <c r="AD44" s="20">
        <v>0</v>
      </c>
      <c r="AE44" s="20">
        <v>0</v>
      </c>
      <c r="AF44">
        <f t="shared" si="0"/>
        <v>0</v>
      </c>
    </row>
    <row r="45" spans="1:32" hidden="1" x14ac:dyDescent="0.25">
      <c r="A45" s="18" t="s">
        <v>45</v>
      </c>
      <c r="B45" s="19">
        <v>0</v>
      </c>
      <c r="C45" s="19">
        <v>0</v>
      </c>
      <c r="D45" s="20">
        <v>0</v>
      </c>
      <c r="E45" s="20">
        <v>0</v>
      </c>
      <c r="G45" s="19">
        <v>0</v>
      </c>
      <c r="H45" s="19">
        <v>0</v>
      </c>
      <c r="I45" s="20">
        <v>0</v>
      </c>
      <c r="J45" s="20">
        <v>0</v>
      </c>
      <c r="L45" s="19">
        <v>0</v>
      </c>
      <c r="M45" s="19">
        <v>0</v>
      </c>
      <c r="N45" s="20">
        <v>0</v>
      </c>
      <c r="O45" s="20">
        <v>0</v>
      </c>
      <c r="R45" s="19">
        <v>0</v>
      </c>
      <c r="S45" s="19">
        <v>0</v>
      </c>
      <c r="T45" s="20">
        <v>0</v>
      </c>
      <c r="U45" s="20">
        <v>0</v>
      </c>
      <c r="W45" s="19">
        <v>0</v>
      </c>
      <c r="X45" s="19">
        <v>0</v>
      </c>
      <c r="Y45" s="20">
        <v>0</v>
      </c>
      <c r="Z45" s="20">
        <v>0</v>
      </c>
      <c r="AB45" s="19">
        <v>0</v>
      </c>
      <c r="AC45" s="19">
        <v>0</v>
      </c>
      <c r="AD45" s="20">
        <v>0</v>
      </c>
      <c r="AE45" s="20">
        <v>0</v>
      </c>
      <c r="AF45">
        <f t="shared" si="0"/>
        <v>0</v>
      </c>
    </row>
    <row r="46" spans="1:32" hidden="1" x14ac:dyDescent="0.25">
      <c r="A46" s="18" t="s">
        <v>174</v>
      </c>
      <c r="B46" s="19">
        <v>0</v>
      </c>
      <c r="C46" s="19">
        <v>0</v>
      </c>
      <c r="D46" s="20">
        <v>0</v>
      </c>
      <c r="E46" s="20">
        <v>0</v>
      </c>
      <c r="G46" s="19">
        <v>0</v>
      </c>
      <c r="H46" s="19">
        <v>0</v>
      </c>
      <c r="I46" s="20">
        <v>0</v>
      </c>
      <c r="J46" s="20">
        <v>0</v>
      </c>
      <c r="L46" s="19">
        <v>0</v>
      </c>
      <c r="M46" s="19">
        <v>0</v>
      </c>
      <c r="N46" s="20">
        <v>0</v>
      </c>
      <c r="O46" s="20">
        <v>0</v>
      </c>
      <c r="R46" s="19">
        <v>0</v>
      </c>
      <c r="S46" s="19">
        <v>0</v>
      </c>
      <c r="T46" s="20">
        <v>0</v>
      </c>
      <c r="U46" s="20">
        <v>0</v>
      </c>
      <c r="W46" s="19">
        <v>0</v>
      </c>
      <c r="X46" s="19">
        <v>0</v>
      </c>
      <c r="Y46" s="20">
        <v>0</v>
      </c>
      <c r="Z46" s="20">
        <v>0</v>
      </c>
      <c r="AB46" s="19">
        <v>0</v>
      </c>
      <c r="AC46" s="19">
        <v>0</v>
      </c>
      <c r="AD46" s="20">
        <v>0</v>
      </c>
      <c r="AE46" s="20">
        <v>0</v>
      </c>
      <c r="AF46">
        <f t="shared" si="0"/>
        <v>0</v>
      </c>
    </row>
    <row r="47" spans="1:32" hidden="1" x14ac:dyDescent="0.25">
      <c r="A47" s="18" t="s">
        <v>46</v>
      </c>
      <c r="B47" s="19">
        <v>0</v>
      </c>
      <c r="C47" s="19">
        <v>0</v>
      </c>
      <c r="D47" s="20">
        <v>0</v>
      </c>
      <c r="E47" s="20">
        <v>0</v>
      </c>
      <c r="G47" s="19">
        <v>0</v>
      </c>
      <c r="H47" s="19">
        <v>0</v>
      </c>
      <c r="I47" s="20">
        <v>0</v>
      </c>
      <c r="J47" s="20">
        <v>0</v>
      </c>
      <c r="L47" s="19">
        <v>0</v>
      </c>
      <c r="M47" s="19">
        <v>0</v>
      </c>
      <c r="N47" s="20">
        <v>0</v>
      </c>
      <c r="O47" s="20">
        <v>0</v>
      </c>
      <c r="R47" s="19">
        <v>0</v>
      </c>
      <c r="S47" s="19">
        <v>0</v>
      </c>
      <c r="T47" s="20">
        <v>0</v>
      </c>
      <c r="U47" s="20">
        <v>0</v>
      </c>
      <c r="W47" s="19">
        <v>0</v>
      </c>
      <c r="X47" s="19">
        <v>0</v>
      </c>
      <c r="Y47" s="20">
        <v>0</v>
      </c>
      <c r="Z47" s="20">
        <v>0</v>
      </c>
      <c r="AB47" s="19">
        <v>0</v>
      </c>
      <c r="AC47" s="19">
        <v>0</v>
      </c>
      <c r="AD47" s="20">
        <v>0</v>
      </c>
      <c r="AE47" s="20">
        <v>0</v>
      </c>
      <c r="AF47">
        <f t="shared" si="0"/>
        <v>0</v>
      </c>
    </row>
    <row r="48" spans="1:32" x14ac:dyDescent="0.25">
      <c r="A48" s="18" t="s">
        <v>126</v>
      </c>
      <c r="B48" s="19">
        <v>0</v>
      </c>
      <c r="C48" s="19">
        <v>1</v>
      </c>
      <c r="D48" s="20">
        <v>0</v>
      </c>
      <c r="E48" s="20">
        <v>2.1835014629459801E-5</v>
      </c>
      <c r="G48" s="19">
        <v>0</v>
      </c>
      <c r="H48" s="19">
        <v>0</v>
      </c>
      <c r="I48" s="20">
        <v>0</v>
      </c>
      <c r="J48" s="20">
        <v>0</v>
      </c>
      <c r="L48" s="19">
        <v>0</v>
      </c>
      <c r="M48" s="19">
        <v>0</v>
      </c>
      <c r="N48" s="20">
        <v>0</v>
      </c>
      <c r="O48" s="20">
        <v>0</v>
      </c>
      <c r="R48" s="19">
        <v>0</v>
      </c>
      <c r="S48" s="19">
        <v>0</v>
      </c>
      <c r="T48" s="20">
        <v>0</v>
      </c>
      <c r="U48" s="20">
        <v>0</v>
      </c>
      <c r="W48" s="19">
        <v>0</v>
      </c>
      <c r="X48" s="19">
        <v>0</v>
      </c>
      <c r="Y48" s="20">
        <v>0</v>
      </c>
      <c r="Z48" s="20">
        <v>0</v>
      </c>
      <c r="AB48" s="19">
        <v>0</v>
      </c>
      <c r="AC48" s="19">
        <v>0</v>
      </c>
      <c r="AD48" s="20">
        <v>0</v>
      </c>
      <c r="AE48" s="20">
        <v>0</v>
      </c>
      <c r="AF48">
        <f t="shared" si="0"/>
        <v>1.0000218350146295</v>
      </c>
    </row>
    <row r="49" spans="1:32" hidden="1" x14ac:dyDescent="0.25">
      <c r="A49" s="18" t="s">
        <v>47</v>
      </c>
      <c r="B49" s="19">
        <v>0</v>
      </c>
      <c r="C49" s="19">
        <v>0</v>
      </c>
      <c r="D49" s="20">
        <v>0</v>
      </c>
      <c r="E49" s="20">
        <v>0</v>
      </c>
      <c r="G49" s="19">
        <v>0</v>
      </c>
      <c r="H49" s="19">
        <v>0</v>
      </c>
      <c r="I49" s="20">
        <v>0</v>
      </c>
      <c r="J49" s="20">
        <v>0</v>
      </c>
      <c r="L49" s="19">
        <v>0</v>
      </c>
      <c r="M49" s="19">
        <v>0</v>
      </c>
      <c r="N49" s="20">
        <v>0</v>
      </c>
      <c r="O49" s="20">
        <v>0</v>
      </c>
      <c r="R49" s="19">
        <v>0</v>
      </c>
      <c r="S49" s="19">
        <v>0</v>
      </c>
      <c r="T49" s="20">
        <v>0</v>
      </c>
      <c r="U49" s="20">
        <v>0</v>
      </c>
      <c r="W49" s="19">
        <v>0</v>
      </c>
      <c r="X49" s="19">
        <v>0</v>
      </c>
      <c r="Y49" s="20">
        <v>0</v>
      </c>
      <c r="Z49" s="20">
        <v>0</v>
      </c>
      <c r="AB49" s="19">
        <v>0</v>
      </c>
      <c r="AC49" s="19">
        <v>0</v>
      </c>
      <c r="AD49" s="20">
        <v>0</v>
      </c>
      <c r="AE49" s="20">
        <v>0</v>
      </c>
      <c r="AF49">
        <f t="shared" si="0"/>
        <v>0</v>
      </c>
    </row>
    <row r="50" spans="1:32" hidden="1" x14ac:dyDescent="0.25">
      <c r="A50" s="18" t="s">
        <v>48</v>
      </c>
      <c r="B50" s="19">
        <v>0</v>
      </c>
      <c r="C50" s="19">
        <v>0</v>
      </c>
      <c r="D50" s="20">
        <v>0</v>
      </c>
      <c r="E50" s="20">
        <v>0</v>
      </c>
      <c r="G50" s="19">
        <v>0</v>
      </c>
      <c r="H50" s="19">
        <v>0</v>
      </c>
      <c r="I50" s="20">
        <v>0</v>
      </c>
      <c r="J50" s="20">
        <v>0</v>
      </c>
      <c r="L50" s="19">
        <v>0</v>
      </c>
      <c r="M50" s="19">
        <v>0</v>
      </c>
      <c r="N50" s="20">
        <v>0</v>
      </c>
      <c r="O50" s="20">
        <v>0</v>
      </c>
      <c r="R50" s="19">
        <v>0</v>
      </c>
      <c r="S50" s="19">
        <v>0</v>
      </c>
      <c r="T50" s="20">
        <v>0</v>
      </c>
      <c r="U50" s="20">
        <v>0</v>
      </c>
      <c r="W50" s="19">
        <v>0</v>
      </c>
      <c r="X50" s="19">
        <v>0</v>
      </c>
      <c r="Y50" s="20">
        <v>0</v>
      </c>
      <c r="Z50" s="20">
        <v>0</v>
      </c>
      <c r="AB50" s="19">
        <v>0</v>
      </c>
      <c r="AC50" s="19">
        <v>0</v>
      </c>
      <c r="AD50" s="20">
        <v>0</v>
      </c>
      <c r="AE50" s="20">
        <v>0</v>
      </c>
      <c r="AF50">
        <f t="shared" si="0"/>
        <v>0</v>
      </c>
    </row>
    <row r="51" spans="1:32" hidden="1" x14ac:dyDescent="0.25">
      <c r="A51" s="18" t="s">
        <v>88</v>
      </c>
      <c r="B51" s="19">
        <v>0</v>
      </c>
      <c r="C51" s="19">
        <v>0</v>
      </c>
      <c r="D51" s="20">
        <v>0</v>
      </c>
      <c r="E51" s="20">
        <v>0</v>
      </c>
      <c r="G51" s="19">
        <v>0</v>
      </c>
      <c r="H51" s="19">
        <v>0</v>
      </c>
      <c r="I51" s="20">
        <v>0</v>
      </c>
      <c r="J51" s="20">
        <v>0</v>
      </c>
      <c r="L51" s="19">
        <v>0</v>
      </c>
      <c r="M51" s="19">
        <v>0</v>
      </c>
      <c r="N51" s="20">
        <v>0</v>
      </c>
      <c r="O51" s="20">
        <v>0</v>
      </c>
      <c r="R51" s="19">
        <v>0</v>
      </c>
      <c r="S51" s="19">
        <v>0</v>
      </c>
      <c r="T51" s="20">
        <v>0</v>
      </c>
      <c r="U51" s="20">
        <v>0</v>
      </c>
      <c r="W51" s="19">
        <v>0</v>
      </c>
      <c r="X51" s="19">
        <v>0</v>
      </c>
      <c r="Y51" s="20">
        <v>0</v>
      </c>
      <c r="Z51" s="20">
        <v>0</v>
      </c>
      <c r="AB51" s="19">
        <v>0</v>
      </c>
      <c r="AC51" s="19">
        <v>0</v>
      </c>
      <c r="AD51" s="20">
        <v>0</v>
      </c>
      <c r="AE51" s="20">
        <v>0</v>
      </c>
      <c r="AF51">
        <f t="shared" si="0"/>
        <v>0</v>
      </c>
    </row>
    <row r="52" spans="1:32" x14ac:dyDescent="0.25">
      <c r="A52" s="18" t="s">
        <v>49</v>
      </c>
      <c r="B52" s="19">
        <v>0</v>
      </c>
      <c r="C52" s="19">
        <v>0</v>
      </c>
      <c r="D52" s="20">
        <v>0</v>
      </c>
      <c r="E52" s="20">
        <v>0</v>
      </c>
      <c r="G52" s="19">
        <v>1</v>
      </c>
      <c r="H52" s="19">
        <v>0</v>
      </c>
      <c r="I52" s="20">
        <v>1.8754688672168043E-4</v>
      </c>
      <c r="J52" s="20">
        <v>0</v>
      </c>
      <c r="L52" s="19">
        <v>0</v>
      </c>
      <c r="M52" s="19">
        <v>0</v>
      </c>
      <c r="N52" s="20">
        <v>0</v>
      </c>
      <c r="O52" s="20">
        <v>0</v>
      </c>
      <c r="R52" s="19">
        <v>0</v>
      </c>
      <c r="S52" s="19">
        <v>0</v>
      </c>
      <c r="T52" s="20">
        <v>0</v>
      </c>
      <c r="U52" s="20">
        <v>0</v>
      </c>
      <c r="W52" s="19">
        <v>0</v>
      </c>
      <c r="X52" s="19">
        <v>0</v>
      </c>
      <c r="Y52" s="20">
        <v>0</v>
      </c>
      <c r="Z52" s="20">
        <v>0</v>
      </c>
      <c r="AB52" s="19">
        <v>0</v>
      </c>
      <c r="AC52" s="19">
        <v>0</v>
      </c>
      <c r="AD52" s="20">
        <v>0</v>
      </c>
      <c r="AE52" s="20">
        <v>0</v>
      </c>
      <c r="AF52">
        <f t="shared" si="0"/>
        <v>1.0001875468867216</v>
      </c>
    </row>
    <row r="53" spans="1:32" hidden="1" x14ac:dyDescent="0.25">
      <c r="A53" s="18" t="s">
        <v>50</v>
      </c>
      <c r="B53" s="19">
        <v>0</v>
      </c>
      <c r="C53" s="19">
        <v>0</v>
      </c>
      <c r="D53" s="20">
        <v>0</v>
      </c>
      <c r="E53" s="20">
        <v>0</v>
      </c>
      <c r="G53" s="19">
        <v>0</v>
      </c>
      <c r="H53" s="19">
        <v>0</v>
      </c>
      <c r="I53" s="20">
        <v>0</v>
      </c>
      <c r="J53" s="20">
        <v>0</v>
      </c>
      <c r="L53" s="19">
        <v>0</v>
      </c>
      <c r="M53" s="19">
        <v>0</v>
      </c>
      <c r="N53" s="20">
        <v>0</v>
      </c>
      <c r="O53" s="20">
        <v>0</v>
      </c>
      <c r="R53" s="19">
        <v>0</v>
      </c>
      <c r="S53" s="19">
        <v>0</v>
      </c>
      <c r="T53" s="20">
        <v>0</v>
      </c>
      <c r="U53" s="20">
        <v>0</v>
      </c>
      <c r="W53" s="19">
        <v>0</v>
      </c>
      <c r="X53" s="19">
        <v>0</v>
      </c>
      <c r="Y53" s="20">
        <v>0</v>
      </c>
      <c r="Z53" s="20">
        <v>0</v>
      </c>
      <c r="AB53" s="19">
        <v>0</v>
      </c>
      <c r="AC53" s="19">
        <v>0</v>
      </c>
      <c r="AD53" s="20">
        <v>0</v>
      </c>
      <c r="AE53" s="20">
        <v>0</v>
      </c>
      <c r="AF53">
        <f t="shared" si="0"/>
        <v>0</v>
      </c>
    </row>
    <row r="54" spans="1:32" hidden="1" x14ac:dyDescent="0.25">
      <c r="A54" s="18" t="s">
        <v>51</v>
      </c>
      <c r="B54" s="19">
        <v>0</v>
      </c>
      <c r="C54" s="19">
        <v>0</v>
      </c>
      <c r="D54" s="20">
        <v>0</v>
      </c>
      <c r="E54" s="20">
        <v>0</v>
      </c>
      <c r="G54" s="19">
        <v>0</v>
      </c>
      <c r="H54" s="19">
        <v>0</v>
      </c>
      <c r="I54" s="20">
        <v>0</v>
      </c>
      <c r="J54" s="20">
        <v>0</v>
      </c>
      <c r="L54" s="19">
        <v>0</v>
      </c>
      <c r="M54" s="19">
        <v>0</v>
      </c>
      <c r="N54" s="20">
        <v>0</v>
      </c>
      <c r="O54" s="20">
        <v>0</v>
      </c>
      <c r="R54" s="19">
        <v>0</v>
      </c>
      <c r="S54" s="19">
        <v>0</v>
      </c>
      <c r="T54" s="20">
        <v>0</v>
      </c>
      <c r="U54" s="20">
        <v>0</v>
      </c>
      <c r="W54" s="19">
        <v>0</v>
      </c>
      <c r="X54" s="19">
        <v>0</v>
      </c>
      <c r="Y54" s="20">
        <v>0</v>
      </c>
      <c r="Z54" s="20">
        <v>0</v>
      </c>
      <c r="AB54" s="19">
        <v>0</v>
      </c>
      <c r="AC54" s="19">
        <v>0</v>
      </c>
      <c r="AD54" s="20">
        <v>0</v>
      </c>
      <c r="AE54" s="20">
        <v>0</v>
      </c>
      <c r="AF54">
        <f t="shared" si="0"/>
        <v>0</v>
      </c>
    </row>
    <row r="55" spans="1:32" hidden="1" x14ac:dyDescent="0.25">
      <c r="A55" s="18" t="s">
        <v>52</v>
      </c>
      <c r="B55" s="19">
        <v>0</v>
      </c>
      <c r="C55" s="19">
        <v>0</v>
      </c>
      <c r="D55" s="20">
        <v>0</v>
      </c>
      <c r="E55" s="20">
        <v>0</v>
      </c>
      <c r="G55" s="19">
        <v>0</v>
      </c>
      <c r="H55" s="19">
        <v>0</v>
      </c>
      <c r="I55" s="20">
        <v>0</v>
      </c>
      <c r="J55" s="20">
        <v>0</v>
      </c>
      <c r="L55" s="19">
        <v>0</v>
      </c>
      <c r="M55" s="19">
        <v>0</v>
      </c>
      <c r="N55" s="20">
        <v>0</v>
      </c>
      <c r="O55" s="20">
        <v>0</v>
      </c>
      <c r="R55" s="19">
        <v>0</v>
      </c>
      <c r="S55" s="19">
        <v>0</v>
      </c>
      <c r="T55" s="20">
        <v>0</v>
      </c>
      <c r="U55" s="20">
        <v>0</v>
      </c>
      <c r="W55" s="19">
        <v>0</v>
      </c>
      <c r="X55" s="19">
        <v>0</v>
      </c>
      <c r="Y55" s="20">
        <v>0</v>
      </c>
      <c r="Z55" s="20">
        <v>0</v>
      </c>
      <c r="AB55" s="19">
        <v>0</v>
      </c>
      <c r="AC55" s="19">
        <v>0</v>
      </c>
      <c r="AD55" s="20">
        <v>0</v>
      </c>
      <c r="AE55" s="20">
        <v>0</v>
      </c>
      <c r="AF55">
        <f t="shared" si="0"/>
        <v>0</v>
      </c>
    </row>
    <row r="56" spans="1:32" hidden="1" x14ac:dyDescent="0.25">
      <c r="A56" s="18" t="s">
        <v>89</v>
      </c>
      <c r="B56" s="19">
        <v>0</v>
      </c>
      <c r="C56" s="19">
        <v>0</v>
      </c>
      <c r="D56" s="20">
        <v>0</v>
      </c>
      <c r="E56" s="20">
        <v>0</v>
      </c>
      <c r="G56" s="19">
        <v>0</v>
      </c>
      <c r="H56" s="19">
        <v>0</v>
      </c>
      <c r="I56" s="20">
        <v>0</v>
      </c>
      <c r="J56" s="20">
        <v>0</v>
      </c>
      <c r="L56" s="19">
        <v>0</v>
      </c>
      <c r="M56" s="19">
        <v>0</v>
      </c>
      <c r="N56" s="20">
        <v>0</v>
      </c>
      <c r="O56" s="20">
        <v>0</v>
      </c>
      <c r="R56" s="19">
        <v>0</v>
      </c>
      <c r="S56" s="19">
        <v>0</v>
      </c>
      <c r="T56" s="20">
        <v>0</v>
      </c>
      <c r="U56" s="20">
        <v>0</v>
      </c>
      <c r="W56" s="19">
        <v>0</v>
      </c>
      <c r="X56" s="19">
        <v>0</v>
      </c>
      <c r="Y56" s="20">
        <v>0</v>
      </c>
      <c r="Z56" s="20">
        <v>0</v>
      </c>
      <c r="AB56" s="19">
        <v>0</v>
      </c>
      <c r="AC56" s="19">
        <v>0</v>
      </c>
      <c r="AD56" s="20">
        <v>0</v>
      </c>
      <c r="AE56" s="20">
        <v>0</v>
      </c>
      <c r="AF56">
        <f t="shared" si="0"/>
        <v>0</v>
      </c>
    </row>
    <row r="57" spans="1:32" hidden="1" x14ac:dyDescent="0.25">
      <c r="A57" s="18" t="s">
        <v>53</v>
      </c>
      <c r="B57" s="19">
        <v>0</v>
      </c>
      <c r="C57" s="19">
        <v>0</v>
      </c>
      <c r="D57" s="20">
        <v>0</v>
      </c>
      <c r="E57" s="20">
        <v>0</v>
      </c>
      <c r="G57" s="19">
        <v>0</v>
      </c>
      <c r="H57" s="19">
        <v>0</v>
      </c>
      <c r="I57" s="20">
        <v>0</v>
      </c>
      <c r="J57" s="20">
        <v>0</v>
      </c>
      <c r="L57" s="19">
        <v>0</v>
      </c>
      <c r="M57" s="19">
        <v>0</v>
      </c>
      <c r="N57" s="20">
        <v>0</v>
      </c>
      <c r="O57" s="20">
        <v>0</v>
      </c>
      <c r="R57" s="19">
        <v>0</v>
      </c>
      <c r="S57" s="19">
        <v>0</v>
      </c>
      <c r="T57" s="20">
        <v>0</v>
      </c>
      <c r="U57" s="20">
        <v>0</v>
      </c>
      <c r="W57" s="19">
        <v>0</v>
      </c>
      <c r="X57" s="19">
        <v>0</v>
      </c>
      <c r="Y57" s="20">
        <v>0</v>
      </c>
      <c r="Z57" s="20">
        <v>0</v>
      </c>
      <c r="AB57" s="19">
        <v>0</v>
      </c>
      <c r="AC57" s="19">
        <v>0</v>
      </c>
      <c r="AD57" s="20">
        <v>0</v>
      </c>
      <c r="AE57" s="20">
        <v>0</v>
      </c>
      <c r="AF57">
        <f t="shared" si="0"/>
        <v>0</v>
      </c>
    </row>
    <row r="58" spans="1:32" hidden="1" x14ac:dyDescent="0.25">
      <c r="A58" s="18" t="s">
        <v>54</v>
      </c>
      <c r="B58" s="19">
        <v>0</v>
      </c>
      <c r="C58" s="19">
        <v>0</v>
      </c>
      <c r="D58" s="20">
        <v>0</v>
      </c>
      <c r="E58" s="20">
        <v>0</v>
      </c>
      <c r="G58" s="19">
        <v>0</v>
      </c>
      <c r="H58" s="19">
        <v>0</v>
      </c>
      <c r="I58" s="20">
        <v>0</v>
      </c>
      <c r="J58" s="20">
        <v>0</v>
      </c>
      <c r="L58" s="19">
        <v>0</v>
      </c>
      <c r="M58" s="19">
        <v>0</v>
      </c>
      <c r="N58" s="20">
        <v>0</v>
      </c>
      <c r="O58" s="20">
        <v>0</v>
      </c>
      <c r="R58" s="19">
        <v>0</v>
      </c>
      <c r="S58" s="19">
        <v>0</v>
      </c>
      <c r="T58" s="20">
        <v>0</v>
      </c>
      <c r="U58" s="20">
        <v>0</v>
      </c>
      <c r="W58" s="19">
        <v>0</v>
      </c>
      <c r="X58" s="19">
        <v>0</v>
      </c>
      <c r="Y58" s="20">
        <v>0</v>
      </c>
      <c r="Z58" s="20">
        <v>0</v>
      </c>
      <c r="AB58" s="19">
        <v>0</v>
      </c>
      <c r="AC58" s="19">
        <v>0</v>
      </c>
      <c r="AD58" s="20">
        <v>0</v>
      </c>
      <c r="AE58" s="20">
        <v>0</v>
      </c>
      <c r="AF58">
        <f t="shared" si="0"/>
        <v>0</v>
      </c>
    </row>
    <row r="59" spans="1:32" hidden="1" x14ac:dyDescent="0.25">
      <c r="A59" s="18" t="s">
        <v>90</v>
      </c>
      <c r="B59" s="19">
        <v>0</v>
      </c>
      <c r="C59" s="19">
        <v>0</v>
      </c>
      <c r="D59" s="20">
        <v>0</v>
      </c>
      <c r="E59" s="20">
        <v>0</v>
      </c>
      <c r="G59" s="19">
        <v>0</v>
      </c>
      <c r="H59" s="19">
        <v>0</v>
      </c>
      <c r="I59" s="20">
        <v>0</v>
      </c>
      <c r="J59" s="20">
        <v>0</v>
      </c>
      <c r="L59" s="19">
        <v>0</v>
      </c>
      <c r="M59" s="19">
        <v>0</v>
      </c>
      <c r="N59" s="20">
        <v>0</v>
      </c>
      <c r="O59" s="20">
        <v>0</v>
      </c>
      <c r="R59" s="19">
        <v>0</v>
      </c>
      <c r="S59" s="19">
        <v>0</v>
      </c>
      <c r="T59" s="20">
        <v>0</v>
      </c>
      <c r="U59" s="20">
        <v>0</v>
      </c>
      <c r="W59" s="19">
        <v>0</v>
      </c>
      <c r="X59" s="19">
        <v>0</v>
      </c>
      <c r="Y59" s="20">
        <v>0</v>
      </c>
      <c r="Z59" s="20">
        <v>0</v>
      </c>
      <c r="AB59" s="19">
        <v>0</v>
      </c>
      <c r="AC59" s="19">
        <v>0</v>
      </c>
      <c r="AD59" s="20">
        <v>0</v>
      </c>
      <c r="AE59" s="20">
        <v>0</v>
      </c>
      <c r="AF59">
        <f t="shared" si="0"/>
        <v>0</v>
      </c>
    </row>
    <row r="60" spans="1:32" x14ac:dyDescent="0.25">
      <c r="A60" s="18" t="s">
        <v>55</v>
      </c>
      <c r="B60" s="19">
        <v>7</v>
      </c>
      <c r="C60" s="19">
        <v>1</v>
      </c>
      <c r="D60" s="20">
        <v>5.6408396792779724E-5</v>
      </c>
      <c r="E60" s="20">
        <v>8.0064051240992787E-6</v>
      </c>
      <c r="G60" s="19">
        <v>2</v>
      </c>
      <c r="H60" s="19">
        <v>0</v>
      </c>
      <c r="I60" s="20">
        <v>3.1897926634768739E-4</v>
      </c>
      <c r="J60" s="20">
        <v>0</v>
      </c>
      <c r="L60" s="19">
        <v>0</v>
      </c>
      <c r="M60" s="19">
        <v>0</v>
      </c>
      <c r="N60" s="20">
        <v>0</v>
      </c>
      <c r="O60" s="20">
        <v>0</v>
      </c>
      <c r="R60" s="19">
        <v>25</v>
      </c>
      <c r="S60" s="19">
        <v>1</v>
      </c>
      <c r="T60" s="20">
        <v>5.5345243629762461E-4</v>
      </c>
      <c r="U60" s="20">
        <v>2.1436227224008573E-5</v>
      </c>
      <c r="W60" s="19">
        <v>0</v>
      </c>
      <c r="X60" s="19">
        <v>0</v>
      </c>
      <c r="Y60" s="20">
        <v>0</v>
      </c>
      <c r="Z60" s="20">
        <v>0</v>
      </c>
      <c r="AB60" s="19">
        <v>0</v>
      </c>
      <c r="AC60" s="19">
        <v>0</v>
      </c>
      <c r="AD60" s="20">
        <v>0</v>
      </c>
      <c r="AE60" s="20">
        <v>0</v>
      </c>
      <c r="AF60">
        <f t="shared" si="0"/>
        <v>36.000958282731787</v>
      </c>
    </row>
    <row r="61" spans="1:32" hidden="1" x14ac:dyDescent="0.25">
      <c r="A61" s="18" t="s">
        <v>91</v>
      </c>
      <c r="B61" s="19">
        <v>0</v>
      </c>
      <c r="C61" s="19">
        <v>0</v>
      </c>
      <c r="D61" s="20">
        <v>0</v>
      </c>
      <c r="E61" s="20">
        <v>0</v>
      </c>
      <c r="G61" s="19">
        <v>0</v>
      </c>
      <c r="H61" s="19">
        <v>0</v>
      </c>
      <c r="I61" s="20">
        <v>0</v>
      </c>
      <c r="J61" s="20">
        <v>0</v>
      </c>
      <c r="L61" s="19">
        <v>0</v>
      </c>
      <c r="M61" s="19">
        <v>0</v>
      </c>
      <c r="N61" s="20">
        <v>0</v>
      </c>
      <c r="O61" s="20">
        <v>0</v>
      </c>
      <c r="R61" s="19">
        <v>0</v>
      </c>
      <c r="S61" s="19">
        <v>0</v>
      </c>
      <c r="T61" s="20">
        <v>0</v>
      </c>
      <c r="U61" s="20">
        <v>0</v>
      </c>
      <c r="W61" s="19">
        <v>0</v>
      </c>
      <c r="X61" s="19">
        <v>0</v>
      </c>
      <c r="Y61" s="20">
        <v>0</v>
      </c>
      <c r="Z61" s="20">
        <v>0</v>
      </c>
      <c r="AB61" s="19">
        <v>0</v>
      </c>
      <c r="AC61" s="19">
        <v>0</v>
      </c>
      <c r="AD61" s="20">
        <v>0</v>
      </c>
      <c r="AE61" s="20">
        <v>0</v>
      </c>
      <c r="AF61">
        <f t="shared" si="0"/>
        <v>0</v>
      </c>
    </row>
    <row r="62" spans="1:32" hidden="1" x14ac:dyDescent="0.25">
      <c r="A62" s="18" t="s">
        <v>175</v>
      </c>
      <c r="B62" s="19">
        <v>0</v>
      </c>
      <c r="C62" s="19">
        <v>0</v>
      </c>
      <c r="D62" s="20">
        <v>0</v>
      </c>
      <c r="E62" s="20">
        <v>0</v>
      </c>
      <c r="G62" s="19">
        <v>0</v>
      </c>
      <c r="H62" s="19">
        <v>0</v>
      </c>
      <c r="I62" s="20">
        <v>0</v>
      </c>
      <c r="J62" s="20">
        <v>0</v>
      </c>
      <c r="L62" s="19">
        <v>0</v>
      </c>
      <c r="M62" s="19">
        <v>0</v>
      </c>
      <c r="N62" s="20">
        <v>0</v>
      </c>
      <c r="O62" s="20">
        <v>0</v>
      </c>
      <c r="R62" s="19">
        <v>0</v>
      </c>
      <c r="S62" s="19">
        <v>0</v>
      </c>
      <c r="T62" s="20">
        <v>0</v>
      </c>
      <c r="U62" s="20">
        <v>0</v>
      </c>
      <c r="W62" s="19">
        <v>0</v>
      </c>
      <c r="X62" s="19">
        <v>0</v>
      </c>
      <c r="Y62" s="20">
        <v>0</v>
      </c>
      <c r="Z62" s="20">
        <v>0</v>
      </c>
      <c r="AB62" s="19">
        <v>0</v>
      </c>
      <c r="AC62" s="19">
        <v>0</v>
      </c>
      <c r="AD62" s="20">
        <v>0</v>
      </c>
      <c r="AE62" s="20">
        <v>0</v>
      </c>
      <c r="AF62">
        <f t="shared" si="0"/>
        <v>0</v>
      </c>
    </row>
    <row r="63" spans="1:32" hidden="1" x14ac:dyDescent="0.25">
      <c r="A63" s="18" t="s">
        <v>56</v>
      </c>
      <c r="B63" s="19">
        <v>0</v>
      </c>
      <c r="C63" s="19">
        <v>0</v>
      </c>
      <c r="D63" s="20">
        <v>0</v>
      </c>
      <c r="E63" s="20">
        <v>0</v>
      </c>
      <c r="G63" s="19">
        <v>0</v>
      </c>
      <c r="H63" s="19">
        <v>0</v>
      </c>
      <c r="I63" s="20">
        <v>0</v>
      </c>
      <c r="J63" s="20">
        <v>0</v>
      </c>
      <c r="L63" s="19">
        <v>0</v>
      </c>
      <c r="M63" s="19">
        <v>0</v>
      </c>
      <c r="N63" s="20">
        <v>0</v>
      </c>
      <c r="O63" s="20">
        <v>0</v>
      </c>
      <c r="R63" s="19">
        <v>0</v>
      </c>
      <c r="S63" s="19">
        <v>0</v>
      </c>
      <c r="T63" s="20">
        <v>0</v>
      </c>
      <c r="U63" s="20">
        <v>0</v>
      </c>
      <c r="W63" s="19">
        <v>0</v>
      </c>
      <c r="X63" s="19">
        <v>0</v>
      </c>
      <c r="Y63" s="20">
        <v>0</v>
      </c>
      <c r="Z63" s="20">
        <v>0</v>
      </c>
      <c r="AB63" s="19">
        <v>0</v>
      </c>
      <c r="AC63" s="19">
        <v>0</v>
      </c>
      <c r="AD63" s="20">
        <v>0</v>
      </c>
      <c r="AE63" s="20">
        <v>0</v>
      </c>
      <c r="AF63">
        <f t="shared" si="0"/>
        <v>0</v>
      </c>
    </row>
    <row r="64" spans="1:32" x14ac:dyDescent="0.25">
      <c r="A64" s="18" t="s">
        <v>57</v>
      </c>
      <c r="B64" s="19">
        <v>0</v>
      </c>
      <c r="C64" s="19">
        <v>1</v>
      </c>
      <c r="D64" s="20">
        <v>0</v>
      </c>
      <c r="E64" s="20">
        <v>2.7296301351166918E-5</v>
      </c>
      <c r="G64" s="19">
        <v>0</v>
      </c>
      <c r="H64" s="19">
        <v>0</v>
      </c>
      <c r="I64" s="20">
        <v>0</v>
      </c>
      <c r="J64" s="20">
        <v>0</v>
      </c>
      <c r="L64" s="19">
        <v>0</v>
      </c>
      <c r="M64" s="19">
        <v>0</v>
      </c>
      <c r="N64" s="20">
        <v>0</v>
      </c>
      <c r="O64" s="20">
        <v>0</v>
      </c>
      <c r="R64" s="19">
        <v>0</v>
      </c>
      <c r="S64" s="19">
        <v>0</v>
      </c>
      <c r="T64" s="20">
        <v>0</v>
      </c>
      <c r="U64" s="20">
        <v>0</v>
      </c>
      <c r="W64" s="19">
        <v>0</v>
      </c>
      <c r="X64" s="19">
        <v>0</v>
      </c>
      <c r="Y64" s="20">
        <v>0</v>
      </c>
      <c r="Z64" s="20">
        <v>0</v>
      </c>
      <c r="AB64" s="19">
        <v>0</v>
      </c>
      <c r="AC64" s="19">
        <v>0</v>
      </c>
      <c r="AD64" s="20">
        <v>0</v>
      </c>
      <c r="AE64" s="20">
        <v>0</v>
      </c>
      <c r="AF64">
        <f t="shared" si="0"/>
        <v>1.0000272963013512</v>
      </c>
    </row>
    <row r="65" spans="1:32" hidden="1" x14ac:dyDescent="0.25">
      <c r="A65" s="18" t="s">
        <v>176</v>
      </c>
      <c r="B65" s="19">
        <v>0</v>
      </c>
      <c r="C65" s="19">
        <v>0</v>
      </c>
      <c r="D65" s="20">
        <v>0</v>
      </c>
      <c r="E65" s="20">
        <v>0</v>
      </c>
      <c r="G65" s="19">
        <v>0</v>
      </c>
      <c r="H65" s="19">
        <v>0</v>
      </c>
      <c r="I65" s="20">
        <v>0</v>
      </c>
      <c r="J65" s="20">
        <v>0</v>
      </c>
      <c r="L65" s="19">
        <v>0</v>
      </c>
      <c r="M65" s="19">
        <v>0</v>
      </c>
      <c r="N65" s="20">
        <v>0</v>
      </c>
      <c r="O65" s="20">
        <v>0</v>
      </c>
      <c r="R65" s="19">
        <v>0</v>
      </c>
      <c r="S65" s="19">
        <v>0</v>
      </c>
      <c r="T65" s="20">
        <v>0</v>
      </c>
      <c r="U65" s="20">
        <v>0</v>
      </c>
      <c r="W65" s="19">
        <v>0</v>
      </c>
      <c r="X65" s="19">
        <v>0</v>
      </c>
      <c r="Y65" s="20">
        <v>0</v>
      </c>
      <c r="Z65" s="20">
        <v>0</v>
      </c>
      <c r="AB65" s="19">
        <v>0</v>
      </c>
      <c r="AC65" s="19">
        <v>0</v>
      </c>
      <c r="AD65" s="20">
        <v>0</v>
      </c>
      <c r="AE65" s="20">
        <v>0</v>
      </c>
      <c r="AF65">
        <f t="shared" si="0"/>
        <v>0</v>
      </c>
    </row>
    <row r="66" spans="1:32" x14ac:dyDescent="0.25">
      <c r="A66" s="18" t="s">
        <v>58</v>
      </c>
      <c r="B66" s="19">
        <v>0</v>
      </c>
      <c r="C66" s="19">
        <v>0</v>
      </c>
      <c r="D66" s="20">
        <v>0</v>
      </c>
      <c r="E66" s="20">
        <v>0</v>
      </c>
      <c r="G66" s="19">
        <v>0</v>
      </c>
      <c r="H66" s="19">
        <v>0</v>
      </c>
      <c r="I66" s="20">
        <v>0</v>
      </c>
      <c r="J66" s="20">
        <v>0</v>
      </c>
      <c r="L66" s="19">
        <v>37</v>
      </c>
      <c r="M66" s="19">
        <v>0</v>
      </c>
      <c r="N66" s="20">
        <v>8.2405345211581285E-2</v>
      </c>
      <c r="O66" s="20">
        <v>0</v>
      </c>
      <c r="R66" s="19">
        <v>0</v>
      </c>
      <c r="S66" s="19">
        <v>0</v>
      </c>
      <c r="T66" s="20">
        <v>0</v>
      </c>
      <c r="U66" s="20">
        <v>0</v>
      </c>
      <c r="W66" s="19">
        <v>0</v>
      </c>
      <c r="X66" s="19">
        <v>0</v>
      </c>
      <c r="Y66" s="20">
        <v>0</v>
      </c>
      <c r="Z66" s="20">
        <v>0</v>
      </c>
      <c r="AB66" s="19">
        <v>0</v>
      </c>
      <c r="AC66" s="19">
        <v>0</v>
      </c>
      <c r="AD66" s="20">
        <v>0</v>
      </c>
      <c r="AE66" s="20">
        <v>0</v>
      </c>
      <c r="AF66">
        <f t="shared" si="0"/>
        <v>37.082405345211583</v>
      </c>
    </row>
    <row r="67" spans="1:32" hidden="1" x14ac:dyDescent="0.25">
      <c r="A67" s="18" t="s">
        <v>59</v>
      </c>
      <c r="B67" s="19">
        <v>0</v>
      </c>
      <c r="C67" s="19">
        <v>0</v>
      </c>
      <c r="D67" s="20">
        <v>0</v>
      </c>
      <c r="E67" s="20">
        <v>0</v>
      </c>
      <c r="G67" s="19">
        <v>0</v>
      </c>
      <c r="H67" s="19">
        <v>0</v>
      </c>
      <c r="I67" s="20">
        <v>0</v>
      </c>
      <c r="J67" s="20">
        <v>0</v>
      </c>
      <c r="L67" s="19">
        <v>0</v>
      </c>
      <c r="M67" s="19">
        <v>0</v>
      </c>
      <c r="N67" s="20">
        <v>0</v>
      </c>
      <c r="O67" s="20">
        <v>0</v>
      </c>
      <c r="R67" s="19">
        <v>0</v>
      </c>
      <c r="S67" s="19">
        <v>0</v>
      </c>
      <c r="T67" s="20">
        <v>0</v>
      </c>
      <c r="U67" s="20">
        <v>0</v>
      </c>
      <c r="W67" s="19">
        <v>0</v>
      </c>
      <c r="X67" s="19">
        <v>0</v>
      </c>
      <c r="Y67" s="20">
        <v>0</v>
      </c>
      <c r="Z67" s="20">
        <v>0</v>
      </c>
      <c r="AB67" s="19">
        <v>0</v>
      </c>
      <c r="AC67" s="19">
        <v>0</v>
      </c>
      <c r="AD67" s="20">
        <v>0</v>
      </c>
      <c r="AE67" s="20">
        <v>0</v>
      </c>
      <c r="AF67">
        <f t="shared" si="0"/>
        <v>0</v>
      </c>
    </row>
    <row r="68" spans="1:32" hidden="1" x14ac:dyDescent="0.25">
      <c r="A68" s="18" t="s">
        <v>60</v>
      </c>
      <c r="B68" s="19">
        <v>0</v>
      </c>
      <c r="C68" s="19">
        <v>0</v>
      </c>
      <c r="D68" s="20">
        <v>0</v>
      </c>
      <c r="E68" s="20">
        <v>0</v>
      </c>
      <c r="G68" s="19">
        <v>0</v>
      </c>
      <c r="H68" s="19">
        <v>0</v>
      </c>
      <c r="I68" s="20">
        <v>0</v>
      </c>
      <c r="J68" s="20">
        <v>0</v>
      </c>
      <c r="L68" s="19">
        <v>0</v>
      </c>
      <c r="M68" s="19">
        <v>0</v>
      </c>
      <c r="N68" s="20">
        <v>0</v>
      </c>
      <c r="O68" s="20">
        <v>0</v>
      </c>
      <c r="R68" s="19">
        <v>0</v>
      </c>
      <c r="S68" s="19">
        <v>0</v>
      </c>
      <c r="T68" s="20">
        <v>0</v>
      </c>
      <c r="U68" s="20">
        <v>0</v>
      </c>
      <c r="W68" s="19">
        <v>0</v>
      </c>
      <c r="X68" s="19">
        <v>0</v>
      </c>
      <c r="Y68" s="20">
        <v>0</v>
      </c>
      <c r="Z68" s="20">
        <v>0</v>
      </c>
      <c r="AB68" s="19">
        <v>0</v>
      </c>
      <c r="AC68" s="19">
        <v>0</v>
      </c>
      <c r="AD68" s="20">
        <v>0</v>
      </c>
      <c r="AE68" s="20">
        <v>0</v>
      </c>
      <c r="AF68">
        <f t="shared" ref="AF68:AF131" si="1">SUM(A68:AE68)</f>
        <v>0</v>
      </c>
    </row>
    <row r="69" spans="1:32" hidden="1" x14ac:dyDescent="0.25">
      <c r="A69" s="18" t="s">
        <v>93</v>
      </c>
      <c r="B69" s="19">
        <v>0</v>
      </c>
      <c r="C69" s="19">
        <v>0</v>
      </c>
      <c r="D69" s="20">
        <v>0</v>
      </c>
      <c r="E69" s="20">
        <v>0</v>
      </c>
      <c r="G69" s="19">
        <v>0</v>
      </c>
      <c r="H69" s="19">
        <v>0</v>
      </c>
      <c r="I69" s="20">
        <v>0</v>
      </c>
      <c r="J69" s="20">
        <v>0</v>
      </c>
      <c r="L69" s="19">
        <v>0</v>
      </c>
      <c r="M69" s="19">
        <v>0</v>
      </c>
      <c r="N69" s="20">
        <v>0</v>
      </c>
      <c r="O69" s="20">
        <v>0</v>
      </c>
      <c r="R69" s="19">
        <v>0</v>
      </c>
      <c r="S69" s="19">
        <v>0</v>
      </c>
      <c r="T69" s="20">
        <v>0</v>
      </c>
      <c r="U69" s="20">
        <v>0</v>
      </c>
      <c r="W69" s="19">
        <v>0</v>
      </c>
      <c r="X69" s="19">
        <v>0</v>
      </c>
      <c r="Y69" s="20">
        <v>0</v>
      </c>
      <c r="Z69" s="20">
        <v>0</v>
      </c>
      <c r="AB69" s="19">
        <v>0</v>
      </c>
      <c r="AC69" s="19">
        <v>0</v>
      </c>
      <c r="AD69" s="20">
        <v>0</v>
      </c>
      <c r="AE69" s="20">
        <v>0</v>
      </c>
      <c r="AF69">
        <f t="shared" si="1"/>
        <v>0</v>
      </c>
    </row>
    <row r="70" spans="1:32" hidden="1" x14ac:dyDescent="0.25">
      <c r="A70" s="18" t="s">
        <v>61</v>
      </c>
      <c r="B70" s="19">
        <v>0</v>
      </c>
      <c r="C70" s="19">
        <v>0</v>
      </c>
      <c r="D70" s="20">
        <v>0</v>
      </c>
      <c r="E70" s="20">
        <v>0</v>
      </c>
      <c r="G70" s="19">
        <v>0</v>
      </c>
      <c r="H70" s="19">
        <v>0</v>
      </c>
      <c r="I70" s="20">
        <v>0</v>
      </c>
      <c r="J70" s="20">
        <v>0</v>
      </c>
      <c r="L70" s="19">
        <v>0</v>
      </c>
      <c r="M70" s="19">
        <v>0</v>
      </c>
      <c r="N70" s="20">
        <v>0</v>
      </c>
      <c r="O70" s="20">
        <v>0</v>
      </c>
      <c r="R70" s="19">
        <v>0</v>
      </c>
      <c r="S70" s="19">
        <v>0</v>
      </c>
      <c r="T70" s="20">
        <v>0</v>
      </c>
      <c r="U70" s="20">
        <v>0</v>
      </c>
      <c r="W70" s="19">
        <v>0</v>
      </c>
      <c r="X70" s="19">
        <v>0</v>
      </c>
      <c r="Y70" s="20">
        <v>0</v>
      </c>
      <c r="Z70" s="20">
        <v>0</v>
      </c>
      <c r="AB70" s="19">
        <v>0</v>
      </c>
      <c r="AC70" s="19">
        <v>0</v>
      </c>
      <c r="AD70" s="20">
        <v>0</v>
      </c>
      <c r="AE70" s="20">
        <v>0</v>
      </c>
      <c r="AF70">
        <f t="shared" si="1"/>
        <v>0</v>
      </c>
    </row>
    <row r="71" spans="1:32" x14ac:dyDescent="0.25">
      <c r="A71" s="1" t="s">
        <v>62</v>
      </c>
      <c r="B71" s="21">
        <v>4595</v>
      </c>
      <c r="C71" s="21">
        <v>9248</v>
      </c>
      <c r="D71" s="22">
        <v>9.6550773519831466E-4</v>
      </c>
      <c r="E71" s="22">
        <v>1.9424662011301088E-3</v>
      </c>
      <c r="G71" s="21">
        <v>206</v>
      </c>
      <c r="H71" s="21">
        <v>509</v>
      </c>
      <c r="I71" s="22">
        <v>4.9020191083560388E-4</v>
      </c>
      <c r="J71" s="22">
        <v>1.2330754937752702E-3</v>
      </c>
      <c r="L71" s="21">
        <v>79</v>
      </c>
      <c r="M71" s="21">
        <v>45</v>
      </c>
      <c r="N71" s="22">
        <v>1.4863593603010349E-3</v>
      </c>
      <c r="O71" s="22">
        <v>7.6344943419914151E-4</v>
      </c>
      <c r="R71" s="21">
        <v>392</v>
      </c>
      <c r="S71" s="21">
        <v>396</v>
      </c>
      <c r="T71" s="22">
        <v>2.1862263279651809E-4</v>
      </c>
      <c r="U71" s="22">
        <v>2.2028196090996476E-4</v>
      </c>
      <c r="W71" s="21">
        <v>45</v>
      </c>
      <c r="X71" s="21">
        <v>62</v>
      </c>
      <c r="Y71" s="22">
        <v>7.8252704065662714E-4</v>
      </c>
      <c r="Z71" s="22">
        <v>1.0633736386244748E-3</v>
      </c>
      <c r="AB71" s="21">
        <v>0</v>
      </c>
      <c r="AC71" s="21">
        <v>3</v>
      </c>
      <c r="AD71" s="22">
        <v>0</v>
      </c>
      <c r="AE71" s="22">
        <v>7.2271741748976151E-4</v>
      </c>
      <c r="AF71">
        <f t="shared" si="1"/>
        <v>15580.009888582825</v>
      </c>
    </row>
    <row r="72" spans="1:32" x14ac:dyDescent="0.25">
      <c r="A72" s="23"/>
      <c r="B72" s="19"/>
      <c r="C72" s="19"/>
      <c r="D72" s="19"/>
      <c r="E72" s="19"/>
      <c r="G72" s="19"/>
      <c r="H72" s="19"/>
      <c r="I72" s="19"/>
      <c r="J72" s="19"/>
      <c r="L72" s="19"/>
      <c r="M72" s="19"/>
      <c r="N72" s="19"/>
      <c r="O72" s="19"/>
      <c r="R72" s="19"/>
      <c r="S72" s="19"/>
      <c r="T72" s="19"/>
      <c r="U72" s="19"/>
      <c r="W72" s="19"/>
      <c r="X72" s="19"/>
      <c r="Y72" s="19"/>
      <c r="Z72" s="19"/>
      <c r="AB72" s="19"/>
      <c r="AC72" s="19"/>
      <c r="AD72" s="19"/>
      <c r="AE72" s="19"/>
      <c r="AF72">
        <v>1</v>
      </c>
    </row>
    <row r="73" spans="1:32" x14ac:dyDescent="0.25">
      <c r="A73" s="1" t="s">
        <v>63</v>
      </c>
      <c r="B73" s="19"/>
      <c r="C73" s="19"/>
      <c r="D73" s="19"/>
      <c r="E73" s="19"/>
      <c r="G73" s="19"/>
      <c r="H73" s="19"/>
      <c r="I73" s="19"/>
      <c r="J73" s="19"/>
      <c r="L73" s="19"/>
      <c r="M73" s="19"/>
      <c r="N73" s="19"/>
      <c r="O73" s="19"/>
      <c r="R73" s="19"/>
      <c r="S73" s="19"/>
      <c r="T73" s="19"/>
      <c r="U73" s="19"/>
      <c r="W73" s="19"/>
      <c r="X73" s="19"/>
      <c r="Y73" s="19"/>
      <c r="Z73" s="19"/>
      <c r="AB73" s="19"/>
      <c r="AC73" s="19"/>
      <c r="AD73" s="19"/>
      <c r="AE73" s="19"/>
      <c r="AF73">
        <v>1</v>
      </c>
    </row>
    <row r="74" spans="1:32" x14ac:dyDescent="0.25">
      <c r="A74" s="24" t="s">
        <v>64</v>
      </c>
      <c r="B74" s="25" t="s">
        <v>12</v>
      </c>
      <c r="C74" s="25" t="s">
        <v>164</v>
      </c>
      <c r="D74" s="25" t="s">
        <v>12</v>
      </c>
      <c r="E74" s="25" t="s">
        <v>164</v>
      </c>
      <c r="G74" s="25" t="s">
        <v>12</v>
      </c>
      <c r="H74" s="25" t="s">
        <v>164</v>
      </c>
      <c r="I74" s="25" t="s">
        <v>12</v>
      </c>
      <c r="J74" s="25" t="s">
        <v>164</v>
      </c>
      <c r="L74" s="25" t="s">
        <v>12</v>
      </c>
      <c r="M74" s="25" t="s">
        <v>164</v>
      </c>
      <c r="N74" s="25" t="s">
        <v>12</v>
      </c>
      <c r="O74" s="25" t="s">
        <v>164</v>
      </c>
      <c r="R74" s="25" t="s">
        <v>12</v>
      </c>
      <c r="S74" s="25" t="s">
        <v>164</v>
      </c>
      <c r="T74" s="25" t="s">
        <v>12</v>
      </c>
      <c r="U74" s="25" t="s">
        <v>164</v>
      </c>
      <c r="W74" s="25" t="s">
        <v>12</v>
      </c>
      <c r="X74" s="25" t="s">
        <v>164</v>
      </c>
      <c r="Y74" s="25" t="s">
        <v>12</v>
      </c>
      <c r="Z74" s="25" t="s">
        <v>164</v>
      </c>
      <c r="AB74" s="25" t="s">
        <v>12</v>
      </c>
      <c r="AC74" s="25" t="s">
        <v>164</v>
      </c>
      <c r="AD74" s="25" t="s">
        <v>12</v>
      </c>
      <c r="AE74" s="25" t="s">
        <v>164</v>
      </c>
      <c r="AF74">
        <v>1</v>
      </c>
    </row>
    <row r="75" spans="1:32" hidden="1" x14ac:dyDescent="0.25">
      <c r="A75" s="18" t="s">
        <v>17</v>
      </c>
      <c r="B75" s="19">
        <v>0</v>
      </c>
      <c r="C75" s="19">
        <v>0</v>
      </c>
      <c r="D75" s="20">
        <v>0</v>
      </c>
      <c r="E75" s="20">
        <v>0</v>
      </c>
      <c r="G75" s="19">
        <v>0</v>
      </c>
      <c r="H75" s="19">
        <v>0</v>
      </c>
      <c r="I75" s="20">
        <v>0</v>
      </c>
      <c r="J75" s="20">
        <v>0</v>
      </c>
      <c r="L75" s="19">
        <v>0</v>
      </c>
      <c r="M75" s="19">
        <v>0</v>
      </c>
      <c r="N75" s="20">
        <v>0</v>
      </c>
      <c r="O75" s="20">
        <v>0</v>
      </c>
      <c r="R75" s="19">
        <v>0</v>
      </c>
      <c r="S75" s="19">
        <v>0</v>
      </c>
      <c r="T75" s="20">
        <v>0</v>
      </c>
      <c r="U75" s="20">
        <v>0</v>
      </c>
      <c r="W75" s="19">
        <v>0</v>
      </c>
      <c r="X75" s="19">
        <v>0</v>
      </c>
      <c r="Y75" s="20">
        <v>0</v>
      </c>
      <c r="Z75" s="20">
        <v>0</v>
      </c>
      <c r="AB75" s="19">
        <v>0</v>
      </c>
      <c r="AC75" s="19">
        <v>0</v>
      </c>
      <c r="AD75" s="20">
        <v>0</v>
      </c>
      <c r="AE75" s="20">
        <v>0</v>
      </c>
      <c r="AF75">
        <f t="shared" si="1"/>
        <v>0</v>
      </c>
    </row>
    <row r="76" spans="1:32" x14ac:dyDescent="0.25">
      <c r="A76" s="18" t="s">
        <v>18</v>
      </c>
      <c r="B76" s="19">
        <v>217</v>
      </c>
      <c r="C76" s="19">
        <v>211</v>
      </c>
      <c r="D76" s="20">
        <v>3.4922831807135844E-3</v>
      </c>
      <c r="E76" s="20">
        <v>4.1202085489445628E-3</v>
      </c>
      <c r="G76" s="19">
        <v>12</v>
      </c>
      <c r="H76" s="19">
        <v>5</v>
      </c>
      <c r="I76" s="20">
        <v>6.4412238325281803E-3</v>
      </c>
      <c r="J76" s="20">
        <v>2.8835063437139563E-3</v>
      </c>
      <c r="L76" s="19">
        <v>0</v>
      </c>
      <c r="M76" s="19">
        <v>1</v>
      </c>
      <c r="N76" s="20">
        <v>0</v>
      </c>
      <c r="O76" s="20">
        <v>7.3909830007390983E-4</v>
      </c>
      <c r="R76" s="19">
        <v>203</v>
      </c>
      <c r="S76" s="19">
        <v>228</v>
      </c>
      <c r="T76" s="20">
        <v>4.4578154508322721E-3</v>
      </c>
      <c r="U76" s="20">
        <v>6.0990289703876091E-3</v>
      </c>
      <c r="W76" s="19">
        <v>9</v>
      </c>
      <c r="X76" s="19">
        <v>19</v>
      </c>
      <c r="Y76" s="20">
        <v>2.5210084033613446E-2</v>
      </c>
      <c r="Z76" s="20">
        <v>6.1488673139158574E-2</v>
      </c>
      <c r="AB76" s="19">
        <v>0</v>
      </c>
      <c r="AC76" s="19">
        <v>0</v>
      </c>
      <c r="AD76" s="20">
        <v>0</v>
      </c>
      <c r="AE76" s="20">
        <v>0</v>
      </c>
      <c r="AF76">
        <f t="shared" si="1"/>
        <v>905.11493192179989</v>
      </c>
    </row>
    <row r="77" spans="1:32" hidden="1" x14ac:dyDescent="0.25">
      <c r="A77" s="18" t="s">
        <v>19</v>
      </c>
      <c r="B77" s="19">
        <v>0</v>
      </c>
      <c r="C77" s="19">
        <v>0</v>
      </c>
      <c r="D77" s="20">
        <v>0</v>
      </c>
      <c r="E77" s="20">
        <v>0</v>
      </c>
      <c r="G77" s="19">
        <v>0</v>
      </c>
      <c r="H77" s="19">
        <v>0</v>
      </c>
      <c r="I77" s="20">
        <v>0</v>
      </c>
      <c r="J77" s="20">
        <v>0</v>
      </c>
      <c r="L77" s="19">
        <v>0</v>
      </c>
      <c r="M77" s="19">
        <v>0</v>
      </c>
      <c r="N77" s="20">
        <v>0</v>
      </c>
      <c r="O77" s="20">
        <v>0</v>
      </c>
      <c r="R77" s="19">
        <v>0</v>
      </c>
      <c r="S77" s="19">
        <v>0</v>
      </c>
      <c r="T77" s="20">
        <v>0</v>
      </c>
      <c r="U77" s="20">
        <v>0</v>
      </c>
      <c r="W77" s="19">
        <v>0</v>
      </c>
      <c r="X77" s="19">
        <v>0</v>
      </c>
      <c r="Y77" s="20">
        <v>0</v>
      </c>
      <c r="Z77" s="20">
        <v>0</v>
      </c>
      <c r="AB77" s="19">
        <v>0</v>
      </c>
      <c r="AC77" s="19">
        <v>0</v>
      </c>
      <c r="AD77" s="20">
        <v>0</v>
      </c>
      <c r="AE77" s="20">
        <v>0</v>
      </c>
      <c r="AF77">
        <f t="shared" si="1"/>
        <v>0</v>
      </c>
    </row>
    <row r="78" spans="1:32" hidden="1" x14ac:dyDescent="0.25">
      <c r="A78" s="18" t="s">
        <v>20</v>
      </c>
      <c r="B78" s="19">
        <v>0</v>
      </c>
      <c r="C78" s="19">
        <v>0</v>
      </c>
      <c r="D78" s="20">
        <v>0</v>
      </c>
      <c r="E78" s="20">
        <v>0</v>
      </c>
      <c r="G78" s="19">
        <v>0</v>
      </c>
      <c r="H78" s="19">
        <v>0</v>
      </c>
      <c r="I78" s="20">
        <v>0</v>
      </c>
      <c r="J78" s="20">
        <v>0</v>
      </c>
      <c r="L78" s="19">
        <v>0</v>
      </c>
      <c r="M78" s="19">
        <v>0</v>
      </c>
      <c r="N78" s="20">
        <v>0</v>
      </c>
      <c r="O78" s="20">
        <v>0</v>
      </c>
      <c r="R78" s="19">
        <v>0</v>
      </c>
      <c r="S78" s="19">
        <v>0</v>
      </c>
      <c r="T78" s="20">
        <v>0</v>
      </c>
      <c r="U78" s="20">
        <v>0</v>
      </c>
      <c r="W78" s="19">
        <v>0</v>
      </c>
      <c r="X78" s="19">
        <v>0</v>
      </c>
      <c r="Y78" s="20">
        <v>0</v>
      </c>
      <c r="Z78" s="20">
        <v>0</v>
      </c>
      <c r="AB78" s="19">
        <v>0</v>
      </c>
      <c r="AC78" s="19">
        <v>0</v>
      </c>
      <c r="AD78" s="20">
        <v>0</v>
      </c>
      <c r="AE78" s="20">
        <v>0</v>
      </c>
      <c r="AF78">
        <f t="shared" si="1"/>
        <v>0</v>
      </c>
    </row>
    <row r="79" spans="1:32" hidden="1" x14ac:dyDescent="0.25">
      <c r="A79" s="18" t="s">
        <v>21</v>
      </c>
      <c r="B79" s="19">
        <v>0</v>
      </c>
      <c r="C79" s="19">
        <v>0</v>
      </c>
      <c r="D79" s="20">
        <v>0</v>
      </c>
      <c r="E79" s="20">
        <v>0</v>
      </c>
      <c r="G79" s="19">
        <v>0</v>
      </c>
      <c r="H79" s="19">
        <v>0</v>
      </c>
      <c r="I79" s="20">
        <v>0</v>
      </c>
      <c r="J79" s="20">
        <v>0</v>
      </c>
      <c r="L79" s="19">
        <v>0</v>
      </c>
      <c r="M79" s="19">
        <v>0</v>
      </c>
      <c r="N79" s="20">
        <v>0</v>
      </c>
      <c r="O79" s="20">
        <v>0</v>
      </c>
      <c r="R79" s="19">
        <v>0</v>
      </c>
      <c r="S79" s="19">
        <v>0</v>
      </c>
      <c r="T79" s="20">
        <v>0</v>
      </c>
      <c r="U79" s="20">
        <v>0</v>
      </c>
      <c r="W79" s="19">
        <v>0</v>
      </c>
      <c r="X79" s="19">
        <v>0</v>
      </c>
      <c r="Y79" s="20">
        <v>0</v>
      </c>
      <c r="Z79" s="20">
        <v>0</v>
      </c>
      <c r="AB79" s="19">
        <v>0</v>
      </c>
      <c r="AC79" s="19">
        <v>0</v>
      </c>
      <c r="AD79" s="20">
        <v>0</v>
      </c>
      <c r="AE79" s="20">
        <v>0</v>
      </c>
      <c r="AF79">
        <f t="shared" si="1"/>
        <v>0</v>
      </c>
    </row>
    <row r="80" spans="1:32" hidden="1" x14ac:dyDescent="0.25">
      <c r="A80" s="18" t="s">
        <v>169</v>
      </c>
      <c r="B80" s="19">
        <v>0</v>
      </c>
      <c r="C80" s="19">
        <v>0</v>
      </c>
      <c r="D80" s="20">
        <v>0</v>
      </c>
      <c r="E80" s="20">
        <v>0</v>
      </c>
      <c r="G80" s="19">
        <v>0</v>
      </c>
      <c r="H80" s="19">
        <v>0</v>
      </c>
      <c r="I80" s="20">
        <v>0</v>
      </c>
      <c r="J80" s="20">
        <v>0</v>
      </c>
      <c r="L80" s="19">
        <v>0</v>
      </c>
      <c r="M80" s="19">
        <v>0</v>
      </c>
      <c r="N80" s="20">
        <v>0</v>
      </c>
      <c r="O80" s="20">
        <v>0</v>
      </c>
      <c r="R80" s="19">
        <v>0</v>
      </c>
      <c r="S80" s="19">
        <v>0</v>
      </c>
      <c r="T80" s="20">
        <v>0</v>
      </c>
      <c r="U80" s="20">
        <v>0</v>
      </c>
      <c r="W80" s="19">
        <v>0</v>
      </c>
      <c r="X80" s="19">
        <v>0</v>
      </c>
      <c r="Y80" s="20">
        <v>0</v>
      </c>
      <c r="Z80" s="20">
        <v>0</v>
      </c>
      <c r="AB80" s="19">
        <v>0</v>
      </c>
      <c r="AC80" s="19">
        <v>0</v>
      </c>
      <c r="AD80" s="20">
        <v>0</v>
      </c>
      <c r="AE80" s="20">
        <v>0</v>
      </c>
      <c r="AF80">
        <f t="shared" si="1"/>
        <v>0</v>
      </c>
    </row>
    <row r="81" spans="1:32" hidden="1" x14ac:dyDescent="0.25">
      <c r="A81" s="18" t="s">
        <v>22</v>
      </c>
      <c r="B81" s="19">
        <v>0</v>
      </c>
      <c r="C81" s="19">
        <v>0</v>
      </c>
      <c r="D81" s="20">
        <v>0</v>
      </c>
      <c r="E81" s="20">
        <v>0</v>
      </c>
      <c r="G81" s="19">
        <v>0</v>
      </c>
      <c r="H81" s="19">
        <v>0</v>
      </c>
      <c r="I81" s="20">
        <v>0</v>
      </c>
      <c r="J81" s="20">
        <v>0</v>
      </c>
      <c r="L81" s="19">
        <v>0</v>
      </c>
      <c r="M81" s="19">
        <v>0</v>
      </c>
      <c r="N81" s="20">
        <v>0</v>
      </c>
      <c r="O81" s="20">
        <v>0</v>
      </c>
      <c r="R81" s="19">
        <v>0</v>
      </c>
      <c r="S81" s="19">
        <v>0</v>
      </c>
      <c r="T81" s="20">
        <v>0</v>
      </c>
      <c r="U81" s="20">
        <v>0</v>
      </c>
      <c r="W81" s="19">
        <v>0</v>
      </c>
      <c r="X81" s="19">
        <v>0</v>
      </c>
      <c r="Y81" s="20">
        <v>0</v>
      </c>
      <c r="Z81" s="20">
        <v>0</v>
      </c>
      <c r="AB81" s="19">
        <v>0</v>
      </c>
      <c r="AC81" s="19">
        <v>0</v>
      </c>
      <c r="AD81" s="20">
        <v>0</v>
      </c>
      <c r="AE81" s="20">
        <v>0</v>
      </c>
      <c r="AF81">
        <f t="shared" si="1"/>
        <v>0</v>
      </c>
    </row>
    <row r="82" spans="1:32" hidden="1" x14ac:dyDescent="0.25">
      <c r="A82" s="18" t="s">
        <v>23</v>
      </c>
      <c r="B82" s="19">
        <v>0</v>
      </c>
      <c r="C82" s="19">
        <v>0</v>
      </c>
      <c r="D82" s="20">
        <v>0</v>
      </c>
      <c r="E82" s="20">
        <v>0</v>
      </c>
      <c r="G82" s="19">
        <v>0</v>
      </c>
      <c r="H82" s="19">
        <v>0</v>
      </c>
      <c r="I82" s="20">
        <v>0</v>
      </c>
      <c r="J82" s="20">
        <v>0</v>
      </c>
      <c r="L82" s="19">
        <v>0</v>
      </c>
      <c r="M82" s="19">
        <v>0</v>
      </c>
      <c r="N82" s="20">
        <v>0</v>
      </c>
      <c r="O82" s="20">
        <v>0</v>
      </c>
      <c r="R82" s="19">
        <v>0</v>
      </c>
      <c r="S82" s="19">
        <v>0</v>
      </c>
      <c r="T82" s="20">
        <v>0</v>
      </c>
      <c r="U82" s="20">
        <v>0</v>
      </c>
      <c r="W82" s="19">
        <v>0</v>
      </c>
      <c r="X82" s="19">
        <v>0</v>
      </c>
      <c r="Y82" s="20">
        <v>0</v>
      </c>
      <c r="Z82" s="20">
        <v>0</v>
      </c>
      <c r="AB82" s="19">
        <v>0</v>
      </c>
      <c r="AC82" s="19">
        <v>0</v>
      </c>
      <c r="AD82" s="20">
        <v>0</v>
      </c>
      <c r="AE82" s="20">
        <v>0</v>
      </c>
      <c r="AF82">
        <f t="shared" si="1"/>
        <v>0</v>
      </c>
    </row>
    <row r="83" spans="1:32" hidden="1" x14ac:dyDescent="0.25">
      <c r="A83" s="18" t="s">
        <v>24</v>
      </c>
      <c r="B83" s="19">
        <v>0</v>
      </c>
      <c r="C83" s="19">
        <v>0</v>
      </c>
      <c r="D83" s="20">
        <v>0</v>
      </c>
      <c r="E83" s="20">
        <v>0</v>
      </c>
      <c r="G83" s="19">
        <v>0</v>
      </c>
      <c r="H83" s="19">
        <v>0</v>
      </c>
      <c r="I83" s="20">
        <v>0</v>
      </c>
      <c r="J83" s="20">
        <v>0</v>
      </c>
      <c r="L83" s="19">
        <v>0</v>
      </c>
      <c r="M83" s="19">
        <v>0</v>
      </c>
      <c r="N83" s="20">
        <v>0</v>
      </c>
      <c r="O83" s="20">
        <v>0</v>
      </c>
      <c r="R83" s="19">
        <v>0</v>
      </c>
      <c r="S83" s="19">
        <v>0</v>
      </c>
      <c r="T83" s="20">
        <v>0</v>
      </c>
      <c r="U83" s="20">
        <v>0</v>
      </c>
      <c r="W83" s="19">
        <v>0</v>
      </c>
      <c r="X83" s="19">
        <v>0</v>
      </c>
      <c r="Y83" s="20">
        <v>0</v>
      </c>
      <c r="Z83" s="20">
        <v>0</v>
      </c>
      <c r="AB83" s="19">
        <v>0</v>
      </c>
      <c r="AC83" s="19">
        <v>0</v>
      </c>
      <c r="AD83" s="20">
        <v>0</v>
      </c>
      <c r="AE83" s="20">
        <v>0</v>
      </c>
      <c r="AF83">
        <f t="shared" si="1"/>
        <v>0</v>
      </c>
    </row>
    <row r="84" spans="1:32" hidden="1" x14ac:dyDescent="0.25">
      <c r="A84" s="18" t="s">
        <v>25</v>
      </c>
      <c r="B84" s="19">
        <v>0</v>
      </c>
      <c r="C84" s="19">
        <v>0</v>
      </c>
      <c r="D84" s="20">
        <v>0</v>
      </c>
      <c r="E84" s="20">
        <v>0</v>
      </c>
      <c r="G84" s="19">
        <v>0</v>
      </c>
      <c r="H84" s="19">
        <v>0</v>
      </c>
      <c r="I84" s="20">
        <v>0</v>
      </c>
      <c r="J84" s="20">
        <v>0</v>
      </c>
      <c r="L84" s="19">
        <v>0</v>
      </c>
      <c r="M84" s="19">
        <v>0</v>
      </c>
      <c r="N84" s="20">
        <v>0</v>
      </c>
      <c r="O84" s="20">
        <v>0</v>
      </c>
      <c r="R84" s="19">
        <v>0</v>
      </c>
      <c r="S84" s="19">
        <v>0</v>
      </c>
      <c r="T84" s="20">
        <v>0</v>
      </c>
      <c r="U84" s="20">
        <v>0</v>
      </c>
      <c r="W84" s="19">
        <v>0</v>
      </c>
      <c r="X84" s="19">
        <v>0</v>
      </c>
      <c r="Y84" s="20">
        <v>0</v>
      </c>
      <c r="Z84" s="20">
        <v>0</v>
      </c>
      <c r="AB84" s="19">
        <v>0</v>
      </c>
      <c r="AC84" s="19">
        <v>0</v>
      </c>
      <c r="AD84" s="20">
        <v>0</v>
      </c>
      <c r="AE84" s="20">
        <v>0</v>
      </c>
      <c r="AF84">
        <f t="shared" si="1"/>
        <v>0</v>
      </c>
    </row>
    <row r="85" spans="1:32" hidden="1" x14ac:dyDescent="0.25">
      <c r="A85" s="18" t="s">
        <v>82</v>
      </c>
      <c r="B85" s="19">
        <v>0</v>
      </c>
      <c r="C85" s="19">
        <v>0</v>
      </c>
      <c r="D85" s="20">
        <v>0</v>
      </c>
      <c r="E85" s="20">
        <v>0</v>
      </c>
      <c r="G85" s="19">
        <v>0</v>
      </c>
      <c r="H85" s="19">
        <v>0</v>
      </c>
      <c r="I85" s="20">
        <v>0</v>
      </c>
      <c r="J85" s="20">
        <v>0</v>
      </c>
      <c r="L85" s="19">
        <v>0</v>
      </c>
      <c r="M85" s="19">
        <v>0</v>
      </c>
      <c r="N85" s="20">
        <v>0</v>
      </c>
      <c r="O85" s="20">
        <v>0</v>
      </c>
      <c r="R85" s="19">
        <v>0</v>
      </c>
      <c r="S85" s="19">
        <v>0</v>
      </c>
      <c r="T85" s="20">
        <v>0</v>
      </c>
      <c r="U85" s="20">
        <v>0</v>
      </c>
      <c r="W85" s="19">
        <v>0</v>
      </c>
      <c r="X85" s="19">
        <v>0</v>
      </c>
      <c r="Y85" s="20">
        <v>0</v>
      </c>
      <c r="Z85" s="20">
        <v>0</v>
      </c>
      <c r="AB85" s="19">
        <v>0</v>
      </c>
      <c r="AC85" s="19">
        <v>0</v>
      </c>
      <c r="AD85" s="20">
        <v>0</v>
      </c>
      <c r="AE85" s="20">
        <v>0</v>
      </c>
      <c r="AF85">
        <f t="shared" si="1"/>
        <v>0</v>
      </c>
    </row>
    <row r="86" spans="1:32" hidden="1" x14ac:dyDescent="0.25">
      <c r="A86" s="18" t="s">
        <v>83</v>
      </c>
      <c r="B86" s="19">
        <v>0</v>
      </c>
      <c r="C86" s="19">
        <v>0</v>
      </c>
      <c r="D86" s="20">
        <v>0</v>
      </c>
      <c r="E86" s="20">
        <v>0</v>
      </c>
      <c r="G86" s="19">
        <v>0</v>
      </c>
      <c r="H86" s="19">
        <v>0</v>
      </c>
      <c r="I86" s="20">
        <v>0</v>
      </c>
      <c r="J86" s="20">
        <v>0</v>
      </c>
      <c r="L86" s="19">
        <v>0</v>
      </c>
      <c r="M86" s="19">
        <v>0</v>
      </c>
      <c r="N86" s="20">
        <v>0</v>
      </c>
      <c r="O86" s="20">
        <v>0</v>
      </c>
      <c r="R86" s="19">
        <v>0</v>
      </c>
      <c r="S86" s="19">
        <v>0</v>
      </c>
      <c r="T86" s="20">
        <v>0</v>
      </c>
      <c r="U86" s="20">
        <v>0</v>
      </c>
      <c r="W86" s="19">
        <v>0</v>
      </c>
      <c r="X86" s="19">
        <v>0</v>
      </c>
      <c r="Y86" s="20">
        <v>0</v>
      </c>
      <c r="Z86" s="20">
        <v>0</v>
      </c>
      <c r="AB86" s="19">
        <v>0</v>
      </c>
      <c r="AC86" s="19">
        <v>0</v>
      </c>
      <c r="AD86" s="20">
        <v>0</v>
      </c>
      <c r="AE86" s="20">
        <v>0</v>
      </c>
      <c r="AF86">
        <f t="shared" si="1"/>
        <v>0</v>
      </c>
    </row>
    <row r="87" spans="1:32" hidden="1" x14ac:dyDescent="0.25">
      <c r="A87" s="18" t="s">
        <v>84</v>
      </c>
      <c r="B87" s="19">
        <v>0</v>
      </c>
      <c r="C87" s="19">
        <v>0</v>
      </c>
      <c r="D87" s="20">
        <v>0</v>
      </c>
      <c r="E87" s="20">
        <v>0</v>
      </c>
      <c r="G87" s="19">
        <v>0</v>
      </c>
      <c r="H87" s="19">
        <v>0</v>
      </c>
      <c r="I87" s="20">
        <v>0</v>
      </c>
      <c r="J87" s="20">
        <v>0</v>
      </c>
      <c r="L87" s="19">
        <v>0</v>
      </c>
      <c r="M87" s="19">
        <v>0</v>
      </c>
      <c r="N87" s="20">
        <v>0</v>
      </c>
      <c r="O87" s="20">
        <v>0</v>
      </c>
      <c r="R87" s="19">
        <v>0</v>
      </c>
      <c r="S87" s="19">
        <v>0</v>
      </c>
      <c r="T87" s="20">
        <v>0</v>
      </c>
      <c r="U87" s="20">
        <v>0</v>
      </c>
      <c r="W87" s="19">
        <v>0</v>
      </c>
      <c r="X87" s="19">
        <v>0</v>
      </c>
      <c r="Y87" s="20">
        <v>0</v>
      </c>
      <c r="Z87" s="20">
        <v>0</v>
      </c>
      <c r="AB87" s="19">
        <v>0</v>
      </c>
      <c r="AC87" s="19">
        <v>0</v>
      </c>
      <c r="AD87" s="20">
        <v>0</v>
      </c>
      <c r="AE87" s="20">
        <v>0</v>
      </c>
      <c r="AF87">
        <f t="shared" si="1"/>
        <v>0</v>
      </c>
    </row>
    <row r="88" spans="1:32" hidden="1" x14ac:dyDescent="0.25">
      <c r="A88" s="18" t="s">
        <v>26</v>
      </c>
      <c r="B88" s="19">
        <v>0</v>
      </c>
      <c r="C88" s="19">
        <v>0</v>
      </c>
      <c r="D88" s="20">
        <v>0</v>
      </c>
      <c r="E88" s="20">
        <v>0</v>
      </c>
      <c r="G88" s="19">
        <v>0</v>
      </c>
      <c r="H88" s="19">
        <v>0</v>
      </c>
      <c r="I88" s="20">
        <v>0</v>
      </c>
      <c r="J88" s="20">
        <v>0</v>
      </c>
      <c r="L88" s="19">
        <v>0</v>
      </c>
      <c r="M88" s="19">
        <v>0</v>
      </c>
      <c r="N88" s="20">
        <v>0</v>
      </c>
      <c r="O88" s="20">
        <v>0</v>
      </c>
      <c r="R88" s="19">
        <v>0</v>
      </c>
      <c r="S88" s="19">
        <v>0</v>
      </c>
      <c r="T88" s="20">
        <v>0</v>
      </c>
      <c r="U88" s="20">
        <v>0</v>
      </c>
      <c r="W88" s="19">
        <v>0</v>
      </c>
      <c r="X88" s="19">
        <v>0</v>
      </c>
      <c r="Y88" s="20">
        <v>0</v>
      </c>
      <c r="Z88" s="20">
        <v>0</v>
      </c>
      <c r="AB88" s="19">
        <v>0</v>
      </c>
      <c r="AC88" s="19">
        <v>0</v>
      </c>
      <c r="AD88" s="20">
        <v>0</v>
      </c>
      <c r="AE88" s="20">
        <v>0</v>
      </c>
      <c r="AF88">
        <f t="shared" si="1"/>
        <v>0</v>
      </c>
    </row>
    <row r="89" spans="1:32" hidden="1" x14ac:dyDescent="0.25">
      <c r="A89" s="18" t="s">
        <v>27</v>
      </c>
      <c r="B89" s="19">
        <v>0</v>
      </c>
      <c r="C89" s="19">
        <v>0</v>
      </c>
      <c r="D89" s="20">
        <v>0</v>
      </c>
      <c r="E89" s="20">
        <v>0</v>
      </c>
      <c r="G89" s="19">
        <v>0</v>
      </c>
      <c r="H89" s="19">
        <v>0</v>
      </c>
      <c r="I89" s="20">
        <v>0</v>
      </c>
      <c r="J89" s="20">
        <v>0</v>
      </c>
      <c r="L89" s="19">
        <v>0</v>
      </c>
      <c r="M89" s="19">
        <v>0</v>
      </c>
      <c r="N89" s="20">
        <v>0</v>
      </c>
      <c r="O89" s="20">
        <v>0</v>
      </c>
      <c r="R89" s="19">
        <v>0</v>
      </c>
      <c r="S89" s="19">
        <v>0</v>
      </c>
      <c r="T89" s="20">
        <v>0</v>
      </c>
      <c r="U89" s="20">
        <v>0</v>
      </c>
      <c r="W89" s="19">
        <v>0</v>
      </c>
      <c r="X89" s="19">
        <v>0</v>
      </c>
      <c r="Y89" s="20">
        <v>0</v>
      </c>
      <c r="Z89" s="20">
        <v>0</v>
      </c>
      <c r="AB89" s="19">
        <v>0</v>
      </c>
      <c r="AC89" s="19">
        <v>0</v>
      </c>
      <c r="AD89" s="20">
        <v>0</v>
      </c>
      <c r="AE89" s="20">
        <v>0</v>
      </c>
      <c r="AF89">
        <f t="shared" si="1"/>
        <v>0</v>
      </c>
    </row>
    <row r="90" spans="1:32" hidden="1" x14ac:dyDescent="0.25">
      <c r="A90" s="18" t="s">
        <v>28</v>
      </c>
      <c r="B90" s="19">
        <v>0</v>
      </c>
      <c r="C90" s="19">
        <v>0</v>
      </c>
      <c r="D90" s="20">
        <v>0</v>
      </c>
      <c r="E90" s="20">
        <v>0</v>
      </c>
      <c r="G90" s="19">
        <v>0</v>
      </c>
      <c r="H90" s="19">
        <v>0</v>
      </c>
      <c r="I90" s="20">
        <v>0</v>
      </c>
      <c r="J90" s="20">
        <v>0</v>
      </c>
      <c r="L90" s="19">
        <v>0</v>
      </c>
      <c r="M90" s="19">
        <v>0</v>
      </c>
      <c r="N90" s="20">
        <v>0</v>
      </c>
      <c r="O90" s="20">
        <v>0</v>
      </c>
      <c r="R90" s="19">
        <v>0</v>
      </c>
      <c r="S90" s="19">
        <v>0</v>
      </c>
      <c r="T90" s="20">
        <v>0</v>
      </c>
      <c r="U90" s="20">
        <v>0</v>
      </c>
      <c r="W90" s="19">
        <v>0</v>
      </c>
      <c r="X90" s="19">
        <v>0</v>
      </c>
      <c r="Y90" s="20">
        <v>0</v>
      </c>
      <c r="Z90" s="20">
        <v>0</v>
      </c>
      <c r="AB90" s="19">
        <v>0</v>
      </c>
      <c r="AC90" s="19">
        <v>0</v>
      </c>
      <c r="AD90" s="20">
        <v>0</v>
      </c>
      <c r="AE90" s="20">
        <v>0</v>
      </c>
      <c r="AF90">
        <f t="shared" si="1"/>
        <v>0</v>
      </c>
    </row>
    <row r="91" spans="1:32" hidden="1" x14ac:dyDescent="0.25">
      <c r="A91" s="18" t="s">
        <v>170</v>
      </c>
      <c r="B91" s="19">
        <v>0</v>
      </c>
      <c r="C91" s="19">
        <v>0</v>
      </c>
      <c r="D91" s="20">
        <v>0</v>
      </c>
      <c r="E91" s="20">
        <v>0</v>
      </c>
      <c r="G91" s="19">
        <v>0</v>
      </c>
      <c r="H91" s="19">
        <v>0</v>
      </c>
      <c r="I91" s="20">
        <v>0</v>
      </c>
      <c r="J91" s="20">
        <v>0</v>
      </c>
      <c r="L91" s="19">
        <v>0</v>
      </c>
      <c r="M91" s="19">
        <v>0</v>
      </c>
      <c r="N91" s="20">
        <v>0</v>
      </c>
      <c r="O91" s="20">
        <v>0</v>
      </c>
      <c r="R91" s="19">
        <v>0</v>
      </c>
      <c r="S91" s="19">
        <v>0</v>
      </c>
      <c r="T91" s="20">
        <v>0</v>
      </c>
      <c r="U91" s="20">
        <v>0</v>
      </c>
      <c r="W91" s="19">
        <v>0</v>
      </c>
      <c r="X91" s="19">
        <v>0</v>
      </c>
      <c r="Y91" s="20">
        <v>0</v>
      </c>
      <c r="Z91" s="20">
        <v>0</v>
      </c>
      <c r="AB91" s="19">
        <v>0</v>
      </c>
      <c r="AC91" s="19">
        <v>0</v>
      </c>
      <c r="AD91" s="20">
        <v>0</v>
      </c>
      <c r="AE91" s="20">
        <v>0</v>
      </c>
      <c r="AF91">
        <f t="shared" si="1"/>
        <v>0</v>
      </c>
    </row>
    <row r="92" spans="1:32" hidden="1" x14ac:dyDescent="0.25">
      <c r="A92" s="18" t="s">
        <v>171</v>
      </c>
      <c r="B92" s="19">
        <v>0</v>
      </c>
      <c r="C92" s="19">
        <v>0</v>
      </c>
      <c r="D92" s="20">
        <v>0</v>
      </c>
      <c r="E92" s="20">
        <v>0</v>
      </c>
      <c r="G92" s="19">
        <v>0</v>
      </c>
      <c r="H92" s="19">
        <v>0</v>
      </c>
      <c r="I92" s="20">
        <v>0</v>
      </c>
      <c r="J92" s="20">
        <v>0</v>
      </c>
      <c r="L92" s="19">
        <v>0</v>
      </c>
      <c r="M92" s="19">
        <v>0</v>
      </c>
      <c r="N92" s="20">
        <v>0</v>
      </c>
      <c r="O92" s="20">
        <v>0</v>
      </c>
      <c r="R92" s="19">
        <v>0</v>
      </c>
      <c r="S92" s="19">
        <v>0</v>
      </c>
      <c r="T92" s="20">
        <v>0</v>
      </c>
      <c r="U92" s="20">
        <v>0</v>
      </c>
      <c r="W92" s="19">
        <v>0</v>
      </c>
      <c r="X92" s="19">
        <v>0</v>
      </c>
      <c r="Y92" s="20">
        <v>0</v>
      </c>
      <c r="Z92" s="20">
        <v>0</v>
      </c>
      <c r="AB92" s="19">
        <v>0</v>
      </c>
      <c r="AC92" s="19">
        <v>0</v>
      </c>
      <c r="AD92" s="20">
        <v>0</v>
      </c>
      <c r="AE92" s="20">
        <v>0</v>
      </c>
      <c r="AF92">
        <f t="shared" si="1"/>
        <v>0</v>
      </c>
    </row>
    <row r="93" spans="1:32" hidden="1" x14ac:dyDescent="0.25">
      <c r="A93" s="18" t="s">
        <v>29</v>
      </c>
      <c r="B93" s="19">
        <v>0</v>
      </c>
      <c r="C93" s="19">
        <v>0</v>
      </c>
      <c r="D93" s="20">
        <v>0</v>
      </c>
      <c r="E93" s="20">
        <v>0</v>
      </c>
      <c r="G93" s="19">
        <v>0</v>
      </c>
      <c r="H93" s="19">
        <v>0</v>
      </c>
      <c r="I93" s="20">
        <v>0</v>
      </c>
      <c r="J93" s="20">
        <v>0</v>
      </c>
      <c r="L93" s="19">
        <v>0</v>
      </c>
      <c r="M93" s="19">
        <v>0</v>
      </c>
      <c r="N93" s="20">
        <v>0</v>
      </c>
      <c r="O93" s="20">
        <v>0</v>
      </c>
      <c r="R93" s="19">
        <v>0</v>
      </c>
      <c r="S93" s="19">
        <v>0</v>
      </c>
      <c r="T93" s="20">
        <v>0</v>
      </c>
      <c r="U93" s="20">
        <v>0</v>
      </c>
      <c r="W93" s="19">
        <v>0</v>
      </c>
      <c r="X93" s="19">
        <v>0</v>
      </c>
      <c r="Y93" s="20">
        <v>0</v>
      </c>
      <c r="Z93" s="20">
        <v>0</v>
      </c>
      <c r="AB93" s="19">
        <v>0</v>
      </c>
      <c r="AC93" s="19">
        <v>0</v>
      </c>
      <c r="AD93" s="20">
        <v>0</v>
      </c>
      <c r="AE93" s="20">
        <v>0</v>
      </c>
      <c r="AF93">
        <f t="shared" si="1"/>
        <v>0</v>
      </c>
    </row>
    <row r="94" spans="1:32" x14ac:dyDescent="0.25">
      <c r="A94" s="18" t="s">
        <v>30</v>
      </c>
      <c r="B94" s="19">
        <v>0</v>
      </c>
      <c r="C94" s="19">
        <v>0</v>
      </c>
      <c r="D94" s="20">
        <v>0</v>
      </c>
      <c r="E94" s="20">
        <v>0</v>
      </c>
      <c r="G94" s="19">
        <v>0</v>
      </c>
      <c r="H94" s="19">
        <v>0</v>
      </c>
      <c r="I94" s="20">
        <v>0</v>
      </c>
      <c r="J94" s="20">
        <v>0</v>
      </c>
      <c r="L94" s="19">
        <v>0</v>
      </c>
      <c r="M94" s="19">
        <v>3</v>
      </c>
      <c r="N94" s="20">
        <v>0</v>
      </c>
      <c r="O94" s="20">
        <v>1.8181818181818181E-2</v>
      </c>
      <c r="R94" s="19">
        <v>0</v>
      </c>
      <c r="S94" s="19">
        <v>0</v>
      </c>
      <c r="T94" s="20">
        <v>0</v>
      </c>
      <c r="U94" s="20">
        <v>0</v>
      </c>
      <c r="W94" s="19">
        <v>0</v>
      </c>
      <c r="X94" s="19">
        <v>0</v>
      </c>
      <c r="Y94" s="20">
        <v>0</v>
      </c>
      <c r="Z94" s="20">
        <v>0</v>
      </c>
      <c r="AB94" s="19">
        <v>0</v>
      </c>
      <c r="AC94" s="19">
        <v>0</v>
      </c>
      <c r="AD94" s="20">
        <v>0</v>
      </c>
      <c r="AE94" s="20">
        <v>0</v>
      </c>
      <c r="AF94">
        <f t="shared" si="1"/>
        <v>3.0181818181818181</v>
      </c>
    </row>
    <row r="95" spans="1:32" hidden="1" x14ac:dyDescent="0.25">
      <c r="A95" s="18" t="s">
        <v>31</v>
      </c>
      <c r="B95" s="19">
        <v>0</v>
      </c>
      <c r="C95" s="19">
        <v>0</v>
      </c>
      <c r="D95" s="20">
        <v>0</v>
      </c>
      <c r="E95" s="20">
        <v>0</v>
      </c>
      <c r="G95" s="19">
        <v>0</v>
      </c>
      <c r="H95" s="19">
        <v>0</v>
      </c>
      <c r="I95" s="20">
        <v>0</v>
      </c>
      <c r="J95" s="20">
        <v>0</v>
      </c>
      <c r="L95" s="19">
        <v>0</v>
      </c>
      <c r="M95" s="19">
        <v>0</v>
      </c>
      <c r="N95" s="20">
        <v>0</v>
      </c>
      <c r="O95" s="20">
        <v>0</v>
      </c>
      <c r="R95" s="19">
        <v>0</v>
      </c>
      <c r="S95" s="19">
        <v>0</v>
      </c>
      <c r="T95" s="20">
        <v>0</v>
      </c>
      <c r="U95" s="20">
        <v>0</v>
      </c>
      <c r="W95" s="19">
        <v>0</v>
      </c>
      <c r="X95" s="19">
        <v>0</v>
      </c>
      <c r="Y95" s="20">
        <v>0</v>
      </c>
      <c r="Z95" s="20">
        <v>0</v>
      </c>
      <c r="AB95" s="19">
        <v>0</v>
      </c>
      <c r="AC95" s="19">
        <v>0</v>
      </c>
      <c r="AD95" s="20">
        <v>0</v>
      </c>
      <c r="AE95" s="20">
        <v>0</v>
      </c>
      <c r="AF95">
        <f t="shared" si="1"/>
        <v>0</v>
      </c>
    </row>
    <row r="96" spans="1:32" hidden="1" x14ac:dyDescent="0.25">
      <c r="A96" s="18" t="s">
        <v>79</v>
      </c>
      <c r="B96" s="19">
        <v>0</v>
      </c>
      <c r="C96" s="19">
        <v>0</v>
      </c>
      <c r="D96" s="20">
        <v>0</v>
      </c>
      <c r="E96" s="20">
        <v>0</v>
      </c>
      <c r="G96" s="19">
        <v>0</v>
      </c>
      <c r="H96" s="19">
        <v>0</v>
      </c>
      <c r="I96" s="20">
        <v>0</v>
      </c>
      <c r="J96" s="20">
        <v>0</v>
      </c>
      <c r="L96" s="19">
        <v>0</v>
      </c>
      <c r="M96" s="19">
        <v>0</v>
      </c>
      <c r="N96" s="20">
        <v>0</v>
      </c>
      <c r="O96" s="20">
        <v>0</v>
      </c>
      <c r="R96" s="19">
        <v>0</v>
      </c>
      <c r="S96" s="19">
        <v>0</v>
      </c>
      <c r="T96" s="20">
        <v>0</v>
      </c>
      <c r="U96" s="20">
        <v>0</v>
      </c>
      <c r="W96" s="19">
        <v>0</v>
      </c>
      <c r="X96" s="19">
        <v>0</v>
      </c>
      <c r="Y96" s="20">
        <v>0</v>
      </c>
      <c r="Z96" s="20">
        <v>0</v>
      </c>
      <c r="AB96" s="19">
        <v>0</v>
      </c>
      <c r="AC96" s="19">
        <v>0</v>
      </c>
      <c r="AD96" s="20">
        <v>0</v>
      </c>
      <c r="AE96" s="20">
        <v>0</v>
      </c>
      <c r="AF96">
        <f t="shared" si="1"/>
        <v>0</v>
      </c>
    </row>
    <row r="97" spans="1:32" hidden="1" x14ac:dyDescent="0.25">
      <c r="A97" s="18" t="s">
        <v>32</v>
      </c>
      <c r="B97" s="19">
        <v>0</v>
      </c>
      <c r="C97" s="19">
        <v>0</v>
      </c>
      <c r="D97" s="20">
        <v>0</v>
      </c>
      <c r="E97" s="20">
        <v>0</v>
      </c>
      <c r="G97" s="19">
        <v>0</v>
      </c>
      <c r="H97" s="19">
        <v>0</v>
      </c>
      <c r="I97" s="20">
        <v>0</v>
      </c>
      <c r="J97" s="20">
        <v>0</v>
      </c>
      <c r="L97" s="19">
        <v>0</v>
      </c>
      <c r="M97" s="19">
        <v>0</v>
      </c>
      <c r="N97" s="20">
        <v>0</v>
      </c>
      <c r="O97" s="20">
        <v>0</v>
      </c>
      <c r="R97" s="19">
        <v>0</v>
      </c>
      <c r="S97" s="19">
        <v>0</v>
      </c>
      <c r="T97" s="20">
        <v>0</v>
      </c>
      <c r="U97" s="20">
        <v>0</v>
      </c>
      <c r="W97" s="19">
        <v>0</v>
      </c>
      <c r="X97" s="19">
        <v>0</v>
      </c>
      <c r="Y97" s="20">
        <v>0</v>
      </c>
      <c r="Z97" s="20">
        <v>0</v>
      </c>
      <c r="AB97" s="19">
        <v>0</v>
      </c>
      <c r="AC97" s="19">
        <v>0</v>
      </c>
      <c r="AD97" s="20">
        <v>0</v>
      </c>
      <c r="AE97" s="20">
        <v>0</v>
      </c>
      <c r="AF97">
        <f t="shared" si="1"/>
        <v>0</v>
      </c>
    </row>
    <row r="98" spans="1:32" hidden="1" x14ac:dyDescent="0.25">
      <c r="A98" s="18" t="s">
        <v>80</v>
      </c>
      <c r="B98" s="19">
        <v>0</v>
      </c>
      <c r="C98" s="19">
        <v>0</v>
      </c>
      <c r="D98" s="20">
        <v>0</v>
      </c>
      <c r="E98" s="20">
        <v>0</v>
      </c>
      <c r="G98" s="19">
        <v>0</v>
      </c>
      <c r="H98" s="19">
        <v>0</v>
      </c>
      <c r="I98" s="20">
        <v>0</v>
      </c>
      <c r="J98" s="20">
        <v>0</v>
      </c>
      <c r="L98" s="19">
        <v>0</v>
      </c>
      <c r="M98" s="19">
        <v>0</v>
      </c>
      <c r="N98" s="20">
        <v>0</v>
      </c>
      <c r="O98" s="20">
        <v>0</v>
      </c>
      <c r="R98" s="19">
        <v>0</v>
      </c>
      <c r="S98" s="19">
        <v>0</v>
      </c>
      <c r="T98" s="20">
        <v>0</v>
      </c>
      <c r="U98" s="20">
        <v>0</v>
      </c>
      <c r="W98" s="19">
        <v>0</v>
      </c>
      <c r="X98" s="19">
        <v>0</v>
      </c>
      <c r="Y98" s="20">
        <v>0</v>
      </c>
      <c r="Z98" s="20">
        <v>0</v>
      </c>
      <c r="AB98" s="19">
        <v>0</v>
      </c>
      <c r="AC98" s="19">
        <v>0</v>
      </c>
      <c r="AD98" s="20">
        <v>0</v>
      </c>
      <c r="AE98" s="20">
        <v>0</v>
      </c>
      <c r="AF98">
        <f t="shared" si="1"/>
        <v>0</v>
      </c>
    </row>
    <row r="99" spans="1:32" hidden="1" x14ac:dyDescent="0.25">
      <c r="A99" s="18" t="s">
        <v>33</v>
      </c>
      <c r="B99" s="19">
        <v>0</v>
      </c>
      <c r="C99" s="19">
        <v>0</v>
      </c>
      <c r="D99" s="20">
        <v>0</v>
      </c>
      <c r="E99" s="20">
        <v>0</v>
      </c>
      <c r="G99" s="19">
        <v>0</v>
      </c>
      <c r="H99" s="19">
        <v>0</v>
      </c>
      <c r="I99" s="20">
        <v>0</v>
      </c>
      <c r="J99" s="20">
        <v>0</v>
      </c>
      <c r="L99" s="19">
        <v>0</v>
      </c>
      <c r="M99" s="19">
        <v>0</v>
      </c>
      <c r="N99" s="20">
        <v>0</v>
      </c>
      <c r="O99" s="20">
        <v>0</v>
      </c>
      <c r="R99" s="19">
        <v>0</v>
      </c>
      <c r="S99" s="19">
        <v>0</v>
      </c>
      <c r="T99" s="20">
        <v>0</v>
      </c>
      <c r="U99" s="20">
        <v>0</v>
      </c>
      <c r="W99" s="19">
        <v>0</v>
      </c>
      <c r="X99" s="19">
        <v>0</v>
      </c>
      <c r="Y99" s="20">
        <v>0</v>
      </c>
      <c r="Z99" s="20">
        <v>0</v>
      </c>
      <c r="AB99" s="19">
        <v>0</v>
      </c>
      <c r="AC99" s="19">
        <v>0</v>
      </c>
      <c r="AD99" s="20">
        <v>0</v>
      </c>
      <c r="AE99" s="20">
        <v>0</v>
      </c>
      <c r="AF99">
        <f t="shared" si="1"/>
        <v>0</v>
      </c>
    </row>
    <row r="100" spans="1:32" hidden="1" x14ac:dyDescent="0.25">
      <c r="A100" s="18" t="s">
        <v>34</v>
      </c>
      <c r="B100" s="19">
        <v>0</v>
      </c>
      <c r="C100" s="19">
        <v>0</v>
      </c>
      <c r="D100" s="20">
        <v>0</v>
      </c>
      <c r="E100" s="20">
        <v>0</v>
      </c>
      <c r="G100" s="19">
        <v>0</v>
      </c>
      <c r="H100" s="19">
        <v>0</v>
      </c>
      <c r="I100" s="20">
        <v>0</v>
      </c>
      <c r="J100" s="20">
        <v>0</v>
      </c>
      <c r="L100" s="19">
        <v>0</v>
      </c>
      <c r="M100" s="19">
        <v>0</v>
      </c>
      <c r="N100" s="20">
        <v>0</v>
      </c>
      <c r="O100" s="20">
        <v>0</v>
      </c>
      <c r="R100" s="19">
        <v>0</v>
      </c>
      <c r="S100" s="19">
        <v>0</v>
      </c>
      <c r="T100" s="20">
        <v>0</v>
      </c>
      <c r="U100" s="20">
        <v>0</v>
      </c>
      <c r="W100" s="19">
        <v>0</v>
      </c>
      <c r="X100" s="19">
        <v>0</v>
      </c>
      <c r="Y100" s="20">
        <v>0</v>
      </c>
      <c r="Z100" s="20">
        <v>0</v>
      </c>
      <c r="AB100" s="19">
        <v>0</v>
      </c>
      <c r="AC100" s="19">
        <v>0</v>
      </c>
      <c r="AD100" s="20">
        <v>0</v>
      </c>
      <c r="AE100" s="20">
        <v>0</v>
      </c>
      <c r="AF100">
        <f t="shared" si="1"/>
        <v>0</v>
      </c>
    </row>
    <row r="101" spans="1:32" hidden="1" x14ac:dyDescent="0.25">
      <c r="A101" s="18" t="s">
        <v>166</v>
      </c>
      <c r="B101" s="19">
        <v>0</v>
      </c>
      <c r="C101" s="19">
        <v>0</v>
      </c>
      <c r="D101" s="20">
        <v>0</v>
      </c>
      <c r="E101" s="20">
        <v>0</v>
      </c>
      <c r="G101" s="19">
        <v>0</v>
      </c>
      <c r="H101" s="19">
        <v>0</v>
      </c>
      <c r="I101" s="20">
        <v>0</v>
      </c>
      <c r="J101" s="20">
        <v>0</v>
      </c>
      <c r="L101" s="19">
        <v>0</v>
      </c>
      <c r="M101" s="19">
        <v>0</v>
      </c>
      <c r="N101" s="20">
        <v>0</v>
      </c>
      <c r="O101" s="20">
        <v>0</v>
      </c>
      <c r="R101" s="19">
        <v>0</v>
      </c>
      <c r="S101" s="19">
        <v>0</v>
      </c>
      <c r="T101" s="20">
        <v>0</v>
      </c>
      <c r="U101" s="20">
        <v>0</v>
      </c>
      <c r="W101" s="19">
        <v>0</v>
      </c>
      <c r="X101" s="19">
        <v>0</v>
      </c>
      <c r="Y101" s="20">
        <v>0</v>
      </c>
      <c r="Z101" s="20">
        <v>0</v>
      </c>
      <c r="AB101" s="19">
        <v>0</v>
      </c>
      <c r="AC101" s="19">
        <v>0</v>
      </c>
      <c r="AD101" s="20">
        <v>0</v>
      </c>
      <c r="AE101" s="20">
        <v>0</v>
      </c>
      <c r="AF101">
        <f t="shared" si="1"/>
        <v>0</v>
      </c>
    </row>
    <row r="102" spans="1:32" hidden="1" x14ac:dyDescent="0.25">
      <c r="A102" s="18" t="s">
        <v>172</v>
      </c>
      <c r="B102" s="19">
        <v>0</v>
      </c>
      <c r="C102" s="19">
        <v>0</v>
      </c>
      <c r="D102" s="20">
        <v>0</v>
      </c>
      <c r="E102" s="20">
        <v>0</v>
      </c>
      <c r="G102" s="19">
        <v>0</v>
      </c>
      <c r="H102" s="19">
        <v>0</v>
      </c>
      <c r="I102" s="20">
        <v>0</v>
      </c>
      <c r="J102" s="20">
        <v>0</v>
      </c>
      <c r="L102" s="19">
        <v>0</v>
      </c>
      <c r="M102" s="19">
        <v>0</v>
      </c>
      <c r="N102" s="20">
        <v>0</v>
      </c>
      <c r="O102" s="20">
        <v>0</v>
      </c>
      <c r="R102" s="19">
        <v>0</v>
      </c>
      <c r="S102" s="19">
        <v>0</v>
      </c>
      <c r="T102" s="20">
        <v>0</v>
      </c>
      <c r="U102" s="20">
        <v>0</v>
      </c>
      <c r="W102" s="19">
        <v>0</v>
      </c>
      <c r="X102" s="19">
        <v>0</v>
      </c>
      <c r="Y102" s="20">
        <v>0</v>
      </c>
      <c r="Z102" s="20">
        <v>0</v>
      </c>
      <c r="AB102" s="19">
        <v>0</v>
      </c>
      <c r="AC102" s="19">
        <v>0</v>
      </c>
      <c r="AD102" s="20">
        <v>0</v>
      </c>
      <c r="AE102" s="20">
        <v>0</v>
      </c>
      <c r="AF102">
        <f t="shared" si="1"/>
        <v>0</v>
      </c>
    </row>
    <row r="103" spans="1:32" hidden="1" x14ac:dyDescent="0.25">
      <c r="A103" s="18" t="s">
        <v>35</v>
      </c>
      <c r="B103" s="19">
        <v>0</v>
      </c>
      <c r="C103" s="19">
        <v>0</v>
      </c>
      <c r="D103" s="20">
        <v>0</v>
      </c>
      <c r="E103" s="20">
        <v>0</v>
      </c>
      <c r="G103" s="19">
        <v>0</v>
      </c>
      <c r="H103" s="19">
        <v>0</v>
      </c>
      <c r="I103" s="20">
        <v>0</v>
      </c>
      <c r="J103" s="20">
        <v>0</v>
      </c>
      <c r="L103" s="19">
        <v>0</v>
      </c>
      <c r="M103" s="19">
        <v>0</v>
      </c>
      <c r="N103" s="20">
        <v>0</v>
      </c>
      <c r="O103" s="20">
        <v>0</v>
      </c>
      <c r="R103" s="19">
        <v>0</v>
      </c>
      <c r="S103" s="19">
        <v>0</v>
      </c>
      <c r="T103" s="20">
        <v>0</v>
      </c>
      <c r="U103" s="20">
        <v>0</v>
      </c>
      <c r="W103" s="19">
        <v>0</v>
      </c>
      <c r="X103" s="19">
        <v>0</v>
      </c>
      <c r="Y103" s="20">
        <v>0</v>
      </c>
      <c r="Z103" s="20">
        <v>0</v>
      </c>
      <c r="AB103" s="19">
        <v>0</v>
      </c>
      <c r="AC103" s="19">
        <v>0</v>
      </c>
      <c r="AD103" s="20">
        <v>0</v>
      </c>
      <c r="AE103" s="20">
        <v>0</v>
      </c>
      <c r="AF103">
        <f t="shared" si="1"/>
        <v>0</v>
      </c>
    </row>
    <row r="104" spans="1:32" hidden="1" x14ac:dyDescent="0.25">
      <c r="A104" s="18" t="s">
        <v>85</v>
      </c>
      <c r="B104" s="19">
        <v>0</v>
      </c>
      <c r="C104" s="19">
        <v>0</v>
      </c>
      <c r="D104" s="20">
        <v>0</v>
      </c>
      <c r="E104" s="20">
        <v>0</v>
      </c>
      <c r="G104" s="19">
        <v>0</v>
      </c>
      <c r="H104" s="19">
        <v>0</v>
      </c>
      <c r="I104" s="20">
        <v>0</v>
      </c>
      <c r="J104" s="20">
        <v>0</v>
      </c>
      <c r="L104" s="19">
        <v>0</v>
      </c>
      <c r="M104" s="19">
        <v>0</v>
      </c>
      <c r="N104" s="20">
        <v>0</v>
      </c>
      <c r="O104" s="20">
        <v>0</v>
      </c>
      <c r="R104" s="19">
        <v>0</v>
      </c>
      <c r="S104" s="19">
        <v>0</v>
      </c>
      <c r="T104" s="20">
        <v>0</v>
      </c>
      <c r="U104" s="20">
        <v>0</v>
      </c>
      <c r="W104" s="19">
        <v>0</v>
      </c>
      <c r="X104" s="19">
        <v>0</v>
      </c>
      <c r="Y104" s="20">
        <v>0</v>
      </c>
      <c r="Z104" s="20">
        <v>0</v>
      </c>
      <c r="AB104" s="19">
        <v>0</v>
      </c>
      <c r="AC104" s="19">
        <v>0</v>
      </c>
      <c r="AD104" s="20">
        <v>0</v>
      </c>
      <c r="AE104" s="20">
        <v>0</v>
      </c>
      <c r="AF104">
        <f t="shared" si="1"/>
        <v>0</v>
      </c>
    </row>
    <row r="105" spans="1:32" hidden="1" x14ac:dyDescent="0.25">
      <c r="A105" s="18" t="s">
        <v>36</v>
      </c>
      <c r="B105" s="19">
        <v>0</v>
      </c>
      <c r="C105" s="19">
        <v>0</v>
      </c>
      <c r="D105" s="20">
        <v>0</v>
      </c>
      <c r="E105" s="20">
        <v>0</v>
      </c>
      <c r="G105" s="19">
        <v>0</v>
      </c>
      <c r="H105" s="19">
        <v>0</v>
      </c>
      <c r="I105" s="20">
        <v>0</v>
      </c>
      <c r="J105" s="20">
        <v>0</v>
      </c>
      <c r="L105" s="19">
        <v>0</v>
      </c>
      <c r="M105" s="19">
        <v>0</v>
      </c>
      <c r="N105" s="20">
        <v>0</v>
      </c>
      <c r="O105" s="20">
        <v>0</v>
      </c>
      <c r="R105" s="19">
        <v>0</v>
      </c>
      <c r="S105" s="19">
        <v>0</v>
      </c>
      <c r="T105" s="20">
        <v>0</v>
      </c>
      <c r="U105" s="20">
        <v>0</v>
      </c>
      <c r="W105" s="19">
        <v>0</v>
      </c>
      <c r="X105" s="19">
        <v>0</v>
      </c>
      <c r="Y105" s="20">
        <v>0</v>
      </c>
      <c r="Z105" s="20">
        <v>0</v>
      </c>
      <c r="AB105" s="19">
        <v>0</v>
      </c>
      <c r="AC105" s="19">
        <v>0</v>
      </c>
      <c r="AD105" s="20">
        <v>0</v>
      </c>
      <c r="AE105" s="20">
        <v>0</v>
      </c>
      <c r="AF105">
        <f t="shared" si="1"/>
        <v>0</v>
      </c>
    </row>
    <row r="106" spans="1:32" hidden="1" x14ac:dyDescent="0.25">
      <c r="A106" s="18" t="s">
        <v>37</v>
      </c>
      <c r="B106" s="19">
        <v>0</v>
      </c>
      <c r="C106" s="19">
        <v>0</v>
      </c>
      <c r="D106" s="20">
        <v>0</v>
      </c>
      <c r="E106" s="20">
        <v>0</v>
      </c>
      <c r="G106" s="19">
        <v>0</v>
      </c>
      <c r="H106" s="19">
        <v>0</v>
      </c>
      <c r="I106" s="20">
        <v>0</v>
      </c>
      <c r="J106" s="20">
        <v>0</v>
      </c>
      <c r="L106" s="19">
        <v>0</v>
      </c>
      <c r="M106" s="19">
        <v>0</v>
      </c>
      <c r="N106" s="20">
        <v>0</v>
      </c>
      <c r="O106" s="20">
        <v>0</v>
      </c>
      <c r="R106" s="19">
        <v>0</v>
      </c>
      <c r="S106" s="19">
        <v>0</v>
      </c>
      <c r="T106" s="20">
        <v>0</v>
      </c>
      <c r="U106" s="20">
        <v>0</v>
      </c>
      <c r="W106" s="19">
        <v>0</v>
      </c>
      <c r="X106" s="19">
        <v>0</v>
      </c>
      <c r="Y106" s="20">
        <v>0</v>
      </c>
      <c r="Z106" s="20">
        <v>0</v>
      </c>
      <c r="AB106" s="19">
        <v>0</v>
      </c>
      <c r="AC106" s="19">
        <v>0</v>
      </c>
      <c r="AD106" s="20">
        <v>0</v>
      </c>
      <c r="AE106" s="20">
        <v>0</v>
      </c>
      <c r="AF106">
        <f t="shared" si="1"/>
        <v>0</v>
      </c>
    </row>
    <row r="107" spans="1:32" hidden="1" x14ac:dyDescent="0.25">
      <c r="A107" s="18" t="s">
        <v>86</v>
      </c>
      <c r="B107" s="19">
        <v>0</v>
      </c>
      <c r="C107" s="19">
        <v>0</v>
      </c>
      <c r="D107" s="20">
        <v>0</v>
      </c>
      <c r="E107" s="20">
        <v>0</v>
      </c>
      <c r="G107" s="19">
        <v>0</v>
      </c>
      <c r="H107" s="19">
        <v>0</v>
      </c>
      <c r="I107" s="20">
        <v>0</v>
      </c>
      <c r="J107" s="20">
        <v>0</v>
      </c>
      <c r="L107" s="19">
        <v>0</v>
      </c>
      <c r="M107" s="19">
        <v>0</v>
      </c>
      <c r="N107" s="20">
        <v>0</v>
      </c>
      <c r="O107" s="20">
        <v>0</v>
      </c>
      <c r="R107" s="19">
        <v>0</v>
      </c>
      <c r="S107" s="19">
        <v>0</v>
      </c>
      <c r="T107" s="20">
        <v>0</v>
      </c>
      <c r="U107" s="20">
        <v>0</v>
      </c>
      <c r="W107" s="19">
        <v>0</v>
      </c>
      <c r="X107" s="19">
        <v>0</v>
      </c>
      <c r="Y107" s="20">
        <v>0</v>
      </c>
      <c r="Z107" s="20">
        <v>0</v>
      </c>
      <c r="AB107" s="19">
        <v>0</v>
      </c>
      <c r="AC107" s="19">
        <v>0</v>
      </c>
      <c r="AD107" s="20">
        <v>0</v>
      </c>
      <c r="AE107" s="20">
        <v>0</v>
      </c>
      <c r="AF107">
        <f t="shared" si="1"/>
        <v>0</v>
      </c>
    </row>
    <row r="108" spans="1:32" hidden="1" x14ac:dyDescent="0.25">
      <c r="A108" s="18" t="s">
        <v>38</v>
      </c>
      <c r="B108" s="19">
        <v>0</v>
      </c>
      <c r="C108" s="19">
        <v>0</v>
      </c>
      <c r="D108" s="20">
        <v>0</v>
      </c>
      <c r="E108" s="20">
        <v>0</v>
      </c>
      <c r="G108" s="19">
        <v>0</v>
      </c>
      <c r="H108" s="19">
        <v>0</v>
      </c>
      <c r="I108" s="20">
        <v>0</v>
      </c>
      <c r="J108" s="20">
        <v>0</v>
      </c>
      <c r="L108" s="19">
        <v>0</v>
      </c>
      <c r="M108" s="19">
        <v>0</v>
      </c>
      <c r="N108" s="20">
        <v>0</v>
      </c>
      <c r="O108" s="20">
        <v>0</v>
      </c>
      <c r="R108" s="19">
        <v>0</v>
      </c>
      <c r="S108" s="19">
        <v>0</v>
      </c>
      <c r="T108" s="20">
        <v>0</v>
      </c>
      <c r="U108" s="20">
        <v>0</v>
      </c>
      <c r="W108" s="19">
        <v>0</v>
      </c>
      <c r="X108" s="19">
        <v>0</v>
      </c>
      <c r="Y108" s="20">
        <v>0</v>
      </c>
      <c r="Z108" s="20">
        <v>0</v>
      </c>
      <c r="AB108" s="19">
        <v>0</v>
      </c>
      <c r="AC108" s="19">
        <v>0</v>
      </c>
      <c r="AD108" s="20">
        <v>0</v>
      </c>
      <c r="AE108" s="20">
        <v>0</v>
      </c>
      <c r="AF108">
        <f t="shared" si="1"/>
        <v>0</v>
      </c>
    </row>
    <row r="109" spans="1:32" hidden="1" x14ac:dyDescent="0.25">
      <c r="A109" s="18" t="s">
        <v>39</v>
      </c>
      <c r="B109" s="19">
        <v>0</v>
      </c>
      <c r="C109" s="19">
        <v>0</v>
      </c>
      <c r="D109" s="20">
        <v>0</v>
      </c>
      <c r="E109" s="20">
        <v>0</v>
      </c>
      <c r="G109" s="19">
        <v>0</v>
      </c>
      <c r="H109" s="19">
        <v>0</v>
      </c>
      <c r="I109" s="20">
        <v>0</v>
      </c>
      <c r="J109" s="20">
        <v>0</v>
      </c>
      <c r="L109" s="19">
        <v>0</v>
      </c>
      <c r="M109" s="19">
        <v>0</v>
      </c>
      <c r="N109" s="20">
        <v>0</v>
      </c>
      <c r="O109" s="20">
        <v>0</v>
      </c>
      <c r="R109" s="19">
        <v>0</v>
      </c>
      <c r="S109" s="19">
        <v>0</v>
      </c>
      <c r="T109" s="20">
        <v>0</v>
      </c>
      <c r="U109" s="20">
        <v>0</v>
      </c>
      <c r="W109" s="19">
        <v>0</v>
      </c>
      <c r="X109" s="19">
        <v>0</v>
      </c>
      <c r="Y109" s="20">
        <v>0</v>
      </c>
      <c r="Z109" s="20">
        <v>0</v>
      </c>
      <c r="AB109" s="19">
        <v>0</v>
      </c>
      <c r="AC109" s="19">
        <v>0</v>
      </c>
      <c r="AD109" s="20">
        <v>0</v>
      </c>
      <c r="AE109" s="20">
        <v>0</v>
      </c>
      <c r="AF109">
        <f t="shared" si="1"/>
        <v>0</v>
      </c>
    </row>
    <row r="110" spans="1:32" hidden="1" x14ac:dyDescent="0.25">
      <c r="A110" s="18" t="s">
        <v>40</v>
      </c>
      <c r="B110" s="19">
        <v>0</v>
      </c>
      <c r="C110" s="19">
        <v>0</v>
      </c>
      <c r="D110" s="20">
        <v>0</v>
      </c>
      <c r="E110" s="20">
        <v>0</v>
      </c>
      <c r="G110" s="19">
        <v>0</v>
      </c>
      <c r="H110" s="19">
        <v>0</v>
      </c>
      <c r="I110" s="20">
        <v>0</v>
      </c>
      <c r="J110" s="20">
        <v>0</v>
      </c>
      <c r="L110" s="19">
        <v>0</v>
      </c>
      <c r="M110" s="19">
        <v>0</v>
      </c>
      <c r="N110" s="20">
        <v>0</v>
      </c>
      <c r="O110" s="20">
        <v>0</v>
      </c>
      <c r="R110" s="19">
        <v>0</v>
      </c>
      <c r="S110" s="19">
        <v>0</v>
      </c>
      <c r="T110" s="20">
        <v>0</v>
      </c>
      <c r="U110" s="20">
        <v>0</v>
      </c>
      <c r="W110" s="19">
        <v>0</v>
      </c>
      <c r="X110" s="19">
        <v>0</v>
      </c>
      <c r="Y110" s="20">
        <v>0</v>
      </c>
      <c r="Z110" s="20">
        <v>0</v>
      </c>
      <c r="AB110" s="19">
        <v>0</v>
      </c>
      <c r="AC110" s="19">
        <v>0</v>
      </c>
      <c r="AD110" s="20">
        <v>0</v>
      </c>
      <c r="AE110" s="20">
        <v>0</v>
      </c>
      <c r="AF110">
        <f t="shared" si="1"/>
        <v>0</v>
      </c>
    </row>
    <row r="111" spans="1:32" hidden="1" x14ac:dyDescent="0.25">
      <c r="A111" s="18" t="s">
        <v>173</v>
      </c>
      <c r="B111" s="19">
        <v>0</v>
      </c>
      <c r="C111" s="19">
        <v>0</v>
      </c>
      <c r="D111" s="20">
        <v>0</v>
      </c>
      <c r="E111" s="20">
        <v>0</v>
      </c>
      <c r="G111" s="19">
        <v>0</v>
      </c>
      <c r="H111" s="19">
        <v>0</v>
      </c>
      <c r="I111" s="20">
        <v>0</v>
      </c>
      <c r="J111" s="20">
        <v>0</v>
      </c>
      <c r="L111" s="19">
        <v>0</v>
      </c>
      <c r="M111" s="19">
        <v>0</v>
      </c>
      <c r="N111" s="20">
        <v>0</v>
      </c>
      <c r="O111" s="20">
        <v>0</v>
      </c>
      <c r="R111" s="19">
        <v>0</v>
      </c>
      <c r="S111" s="19">
        <v>0</v>
      </c>
      <c r="T111" s="20">
        <v>0</v>
      </c>
      <c r="U111" s="20">
        <v>0</v>
      </c>
      <c r="W111" s="19">
        <v>0</v>
      </c>
      <c r="X111" s="19">
        <v>0</v>
      </c>
      <c r="Y111" s="20">
        <v>0</v>
      </c>
      <c r="Z111" s="20">
        <v>0</v>
      </c>
      <c r="AB111" s="19">
        <v>0</v>
      </c>
      <c r="AC111" s="19">
        <v>0</v>
      </c>
      <c r="AD111" s="20">
        <v>0</v>
      </c>
      <c r="AE111" s="20">
        <v>0</v>
      </c>
      <c r="AF111">
        <f t="shared" si="1"/>
        <v>0</v>
      </c>
    </row>
    <row r="112" spans="1:32" hidden="1" x14ac:dyDescent="0.25">
      <c r="A112" s="18" t="s">
        <v>41</v>
      </c>
      <c r="B112" s="19">
        <v>0</v>
      </c>
      <c r="C112" s="19">
        <v>0</v>
      </c>
      <c r="D112" s="20">
        <v>0</v>
      </c>
      <c r="E112" s="20">
        <v>0</v>
      </c>
      <c r="G112" s="19">
        <v>0</v>
      </c>
      <c r="H112" s="19">
        <v>0</v>
      </c>
      <c r="I112" s="20">
        <v>0</v>
      </c>
      <c r="J112" s="20">
        <v>0</v>
      </c>
      <c r="L112" s="19">
        <v>0</v>
      </c>
      <c r="M112" s="19">
        <v>0</v>
      </c>
      <c r="N112" s="20">
        <v>0</v>
      </c>
      <c r="O112" s="20">
        <v>0</v>
      </c>
      <c r="R112" s="19">
        <v>0</v>
      </c>
      <c r="S112" s="19">
        <v>0</v>
      </c>
      <c r="T112" s="20">
        <v>0</v>
      </c>
      <c r="U112" s="20">
        <v>0</v>
      </c>
      <c r="W112" s="19">
        <v>0</v>
      </c>
      <c r="X112" s="19">
        <v>0</v>
      </c>
      <c r="Y112" s="20">
        <v>0</v>
      </c>
      <c r="Z112" s="20">
        <v>0</v>
      </c>
      <c r="AB112" s="19">
        <v>0</v>
      </c>
      <c r="AC112" s="19">
        <v>0</v>
      </c>
      <c r="AD112" s="20">
        <v>0</v>
      </c>
      <c r="AE112" s="20">
        <v>0</v>
      </c>
      <c r="AF112">
        <f t="shared" si="1"/>
        <v>0</v>
      </c>
    </row>
    <row r="113" spans="1:32" hidden="1" x14ac:dyDescent="0.25">
      <c r="A113" s="18" t="s">
        <v>42</v>
      </c>
      <c r="B113" s="19">
        <v>0</v>
      </c>
      <c r="C113" s="19">
        <v>0</v>
      </c>
      <c r="D113" s="20">
        <v>0</v>
      </c>
      <c r="E113" s="20">
        <v>0</v>
      </c>
      <c r="G113" s="19">
        <v>0</v>
      </c>
      <c r="H113" s="19">
        <v>0</v>
      </c>
      <c r="I113" s="20">
        <v>0</v>
      </c>
      <c r="J113" s="20">
        <v>0</v>
      </c>
      <c r="L113" s="19">
        <v>0</v>
      </c>
      <c r="M113" s="19">
        <v>0</v>
      </c>
      <c r="N113" s="20">
        <v>0</v>
      </c>
      <c r="O113" s="20">
        <v>0</v>
      </c>
      <c r="R113" s="19">
        <v>0</v>
      </c>
      <c r="S113" s="19">
        <v>0</v>
      </c>
      <c r="T113" s="20">
        <v>0</v>
      </c>
      <c r="U113" s="20">
        <v>0</v>
      </c>
      <c r="W113" s="19">
        <v>0</v>
      </c>
      <c r="X113" s="19">
        <v>0</v>
      </c>
      <c r="Y113" s="20">
        <v>0</v>
      </c>
      <c r="Z113" s="20">
        <v>0</v>
      </c>
      <c r="AB113" s="19">
        <v>0</v>
      </c>
      <c r="AC113" s="19">
        <v>0</v>
      </c>
      <c r="AD113" s="20">
        <v>0</v>
      </c>
      <c r="AE113" s="20">
        <v>0</v>
      </c>
      <c r="AF113">
        <f t="shared" si="1"/>
        <v>0</v>
      </c>
    </row>
    <row r="114" spans="1:32" x14ac:dyDescent="0.25">
      <c r="A114" s="18" t="s">
        <v>43</v>
      </c>
      <c r="B114" s="19">
        <v>0</v>
      </c>
      <c r="C114" s="19">
        <v>2</v>
      </c>
      <c r="D114" s="20">
        <v>0</v>
      </c>
      <c r="E114" s="20">
        <v>9.7120380711892396E-5</v>
      </c>
      <c r="G114" s="19">
        <v>0</v>
      </c>
      <c r="H114" s="19">
        <v>0</v>
      </c>
      <c r="I114" s="20">
        <v>0</v>
      </c>
      <c r="J114" s="20">
        <v>0</v>
      </c>
      <c r="L114" s="19">
        <v>0</v>
      </c>
      <c r="M114" s="19">
        <v>0</v>
      </c>
      <c r="N114" s="20">
        <v>0</v>
      </c>
      <c r="O114" s="20">
        <v>0</v>
      </c>
      <c r="R114" s="19">
        <v>0</v>
      </c>
      <c r="S114" s="19">
        <v>1</v>
      </c>
      <c r="T114" s="20">
        <v>0</v>
      </c>
      <c r="U114" s="20">
        <v>7.1633237822349565E-5</v>
      </c>
      <c r="W114" s="19">
        <v>0</v>
      </c>
      <c r="X114" s="19">
        <v>0</v>
      </c>
      <c r="Y114" s="20">
        <v>0</v>
      </c>
      <c r="Z114" s="20">
        <v>0</v>
      </c>
      <c r="AB114" s="19">
        <v>0</v>
      </c>
      <c r="AC114" s="19">
        <v>0</v>
      </c>
      <c r="AD114" s="20">
        <v>0</v>
      </c>
      <c r="AE114" s="20">
        <v>0</v>
      </c>
      <c r="AF114">
        <f t="shared" si="1"/>
        <v>3.0001687536185342</v>
      </c>
    </row>
    <row r="115" spans="1:32" hidden="1" x14ac:dyDescent="0.25">
      <c r="A115" s="18" t="s">
        <v>87</v>
      </c>
      <c r="B115" s="19">
        <v>0</v>
      </c>
      <c r="C115" s="19">
        <v>0</v>
      </c>
      <c r="D115" s="20">
        <v>0</v>
      </c>
      <c r="E115" s="20">
        <v>0</v>
      </c>
      <c r="G115" s="19">
        <v>0</v>
      </c>
      <c r="H115" s="19">
        <v>0</v>
      </c>
      <c r="I115" s="20">
        <v>0</v>
      </c>
      <c r="J115" s="20">
        <v>0</v>
      </c>
      <c r="L115" s="19">
        <v>0</v>
      </c>
      <c r="M115" s="19">
        <v>0</v>
      </c>
      <c r="N115" s="20">
        <v>0</v>
      </c>
      <c r="O115" s="20">
        <v>0</v>
      </c>
      <c r="R115" s="19">
        <v>0</v>
      </c>
      <c r="S115" s="19">
        <v>0</v>
      </c>
      <c r="T115" s="20">
        <v>0</v>
      </c>
      <c r="U115" s="20">
        <v>0</v>
      </c>
      <c r="W115" s="19">
        <v>0</v>
      </c>
      <c r="X115" s="19">
        <v>0</v>
      </c>
      <c r="Y115" s="20">
        <v>0</v>
      </c>
      <c r="Z115" s="20">
        <v>0</v>
      </c>
      <c r="AB115" s="19">
        <v>0</v>
      </c>
      <c r="AC115" s="19">
        <v>0</v>
      </c>
      <c r="AD115" s="20">
        <v>0</v>
      </c>
      <c r="AE115" s="20">
        <v>0</v>
      </c>
      <c r="AF115">
        <f t="shared" si="1"/>
        <v>0</v>
      </c>
    </row>
    <row r="116" spans="1:32" hidden="1" x14ac:dyDescent="0.25">
      <c r="A116" s="18" t="s">
        <v>44</v>
      </c>
      <c r="B116" s="19">
        <v>0</v>
      </c>
      <c r="C116" s="19">
        <v>0</v>
      </c>
      <c r="D116" s="20">
        <v>0</v>
      </c>
      <c r="E116" s="20">
        <v>0</v>
      </c>
      <c r="G116" s="19">
        <v>0</v>
      </c>
      <c r="H116" s="19">
        <v>0</v>
      </c>
      <c r="I116" s="20">
        <v>0</v>
      </c>
      <c r="J116" s="20">
        <v>0</v>
      </c>
      <c r="L116" s="19">
        <v>0</v>
      </c>
      <c r="M116" s="19">
        <v>0</v>
      </c>
      <c r="N116" s="20">
        <v>0</v>
      </c>
      <c r="O116" s="20">
        <v>0</v>
      </c>
      <c r="R116" s="19">
        <v>0</v>
      </c>
      <c r="S116" s="19">
        <v>0</v>
      </c>
      <c r="T116" s="20">
        <v>0</v>
      </c>
      <c r="U116" s="20">
        <v>0</v>
      </c>
      <c r="W116" s="19">
        <v>0</v>
      </c>
      <c r="X116" s="19">
        <v>0</v>
      </c>
      <c r="Y116" s="20">
        <v>0</v>
      </c>
      <c r="Z116" s="20">
        <v>0</v>
      </c>
      <c r="AB116" s="19">
        <v>0</v>
      </c>
      <c r="AC116" s="19">
        <v>0</v>
      </c>
      <c r="AD116" s="20">
        <v>0</v>
      </c>
      <c r="AE116" s="20">
        <v>0</v>
      </c>
      <c r="AF116">
        <f t="shared" si="1"/>
        <v>0</v>
      </c>
    </row>
    <row r="117" spans="1:32" hidden="1" x14ac:dyDescent="0.25">
      <c r="A117" s="18" t="s">
        <v>45</v>
      </c>
      <c r="B117" s="19">
        <v>0</v>
      </c>
      <c r="C117" s="19">
        <v>0</v>
      </c>
      <c r="D117" s="20">
        <v>0</v>
      </c>
      <c r="E117" s="20">
        <v>0</v>
      </c>
      <c r="G117" s="19">
        <v>0</v>
      </c>
      <c r="H117" s="19">
        <v>0</v>
      </c>
      <c r="I117" s="20">
        <v>0</v>
      </c>
      <c r="J117" s="20">
        <v>0</v>
      </c>
      <c r="L117" s="19">
        <v>0</v>
      </c>
      <c r="M117" s="19">
        <v>0</v>
      </c>
      <c r="N117" s="20">
        <v>0</v>
      </c>
      <c r="O117" s="20">
        <v>0</v>
      </c>
      <c r="R117" s="19">
        <v>0</v>
      </c>
      <c r="S117" s="19">
        <v>0</v>
      </c>
      <c r="T117" s="20">
        <v>0</v>
      </c>
      <c r="U117" s="20">
        <v>0</v>
      </c>
      <c r="W117" s="19">
        <v>0</v>
      </c>
      <c r="X117" s="19">
        <v>0</v>
      </c>
      <c r="Y117" s="20">
        <v>0</v>
      </c>
      <c r="Z117" s="20">
        <v>0</v>
      </c>
      <c r="AB117" s="19">
        <v>0</v>
      </c>
      <c r="AC117" s="19">
        <v>0</v>
      </c>
      <c r="AD117" s="20">
        <v>0</v>
      </c>
      <c r="AE117" s="20">
        <v>0</v>
      </c>
      <c r="AF117">
        <f t="shared" si="1"/>
        <v>0</v>
      </c>
    </row>
    <row r="118" spans="1:32" hidden="1" x14ac:dyDescent="0.25">
      <c r="A118" s="18" t="s">
        <v>174</v>
      </c>
      <c r="B118" s="19">
        <v>0</v>
      </c>
      <c r="C118" s="19">
        <v>0</v>
      </c>
      <c r="D118" s="20">
        <v>0</v>
      </c>
      <c r="E118" s="20">
        <v>0</v>
      </c>
      <c r="G118" s="19">
        <v>0</v>
      </c>
      <c r="H118" s="19">
        <v>0</v>
      </c>
      <c r="I118" s="20">
        <v>0</v>
      </c>
      <c r="J118" s="20">
        <v>0</v>
      </c>
      <c r="L118" s="19">
        <v>0</v>
      </c>
      <c r="M118" s="19">
        <v>0</v>
      </c>
      <c r="N118" s="20">
        <v>0</v>
      </c>
      <c r="O118" s="20">
        <v>0</v>
      </c>
      <c r="R118" s="19">
        <v>0</v>
      </c>
      <c r="S118" s="19">
        <v>0</v>
      </c>
      <c r="T118" s="20">
        <v>0</v>
      </c>
      <c r="U118" s="20">
        <v>0</v>
      </c>
      <c r="W118" s="19">
        <v>0</v>
      </c>
      <c r="X118" s="19">
        <v>0</v>
      </c>
      <c r="Y118" s="20">
        <v>0</v>
      </c>
      <c r="Z118" s="20">
        <v>0</v>
      </c>
      <c r="AB118" s="19">
        <v>0</v>
      </c>
      <c r="AC118" s="19">
        <v>0</v>
      </c>
      <c r="AD118" s="20">
        <v>0</v>
      </c>
      <c r="AE118" s="20">
        <v>0</v>
      </c>
      <c r="AF118">
        <f t="shared" si="1"/>
        <v>0</v>
      </c>
    </row>
    <row r="119" spans="1:32" hidden="1" x14ac:dyDescent="0.25">
      <c r="A119" s="18" t="s">
        <v>46</v>
      </c>
      <c r="B119" s="19">
        <v>0</v>
      </c>
      <c r="C119" s="19">
        <v>0</v>
      </c>
      <c r="D119" s="20">
        <v>0</v>
      </c>
      <c r="E119" s="20">
        <v>0</v>
      </c>
      <c r="G119" s="19">
        <v>0</v>
      </c>
      <c r="H119" s="19">
        <v>0</v>
      </c>
      <c r="I119" s="20">
        <v>0</v>
      </c>
      <c r="J119" s="20">
        <v>0</v>
      </c>
      <c r="L119" s="19">
        <v>0</v>
      </c>
      <c r="M119" s="19">
        <v>0</v>
      </c>
      <c r="N119" s="20">
        <v>0</v>
      </c>
      <c r="O119" s="20">
        <v>0</v>
      </c>
      <c r="R119" s="19">
        <v>0</v>
      </c>
      <c r="S119" s="19">
        <v>0</v>
      </c>
      <c r="T119" s="20">
        <v>0</v>
      </c>
      <c r="U119" s="20">
        <v>0</v>
      </c>
      <c r="W119" s="19">
        <v>0</v>
      </c>
      <c r="X119" s="19">
        <v>0</v>
      </c>
      <c r="Y119" s="20">
        <v>0</v>
      </c>
      <c r="Z119" s="20">
        <v>0</v>
      </c>
      <c r="AB119" s="19">
        <v>0</v>
      </c>
      <c r="AC119" s="19">
        <v>0</v>
      </c>
      <c r="AD119" s="20">
        <v>0</v>
      </c>
      <c r="AE119" s="20">
        <v>0</v>
      </c>
      <c r="AF119">
        <f t="shared" si="1"/>
        <v>0</v>
      </c>
    </row>
    <row r="120" spans="1:32" hidden="1" x14ac:dyDescent="0.25">
      <c r="A120" s="18" t="s">
        <v>126</v>
      </c>
      <c r="B120" s="19">
        <v>0</v>
      </c>
      <c r="C120" s="19">
        <v>0</v>
      </c>
      <c r="D120" s="20">
        <v>0</v>
      </c>
      <c r="E120" s="20">
        <v>0</v>
      </c>
      <c r="G120" s="19">
        <v>0</v>
      </c>
      <c r="H120" s="19">
        <v>0</v>
      </c>
      <c r="I120" s="20">
        <v>0</v>
      </c>
      <c r="J120" s="20">
        <v>0</v>
      </c>
      <c r="L120" s="19">
        <v>0</v>
      </c>
      <c r="M120" s="19">
        <v>0</v>
      </c>
      <c r="N120" s="20">
        <v>0</v>
      </c>
      <c r="O120" s="20">
        <v>0</v>
      </c>
      <c r="R120" s="19">
        <v>0</v>
      </c>
      <c r="S120" s="19">
        <v>0</v>
      </c>
      <c r="T120" s="20">
        <v>0</v>
      </c>
      <c r="U120" s="20">
        <v>0</v>
      </c>
      <c r="W120" s="19">
        <v>0</v>
      </c>
      <c r="X120" s="19">
        <v>0</v>
      </c>
      <c r="Y120" s="20">
        <v>0</v>
      </c>
      <c r="Z120" s="20">
        <v>0</v>
      </c>
      <c r="AB120" s="19">
        <v>0</v>
      </c>
      <c r="AC120" s="19">
        <v>0</v>
      </c>
      <c r="AD120" s="20">
        <v>0</v>
      </c>
      <c r="AE120" s="20">
        <v>0</v>
      </c>
      <c r="AF120">
        <f t="shared" si="1"/>
        <v>0</v>
      </c>
    </row>
    <row r="121" spans="1:32" hidden="1" x14ac:dyDescent="0.25">
      <c r="A121" s="18" t="s">
        <v>47</v>
      </c>
      <c r="B121" s="19">
        <v>0</v>
      </c>
      <c r="C121" s="19">
        <v>0</v>
      </c>
      <c r="D121" s="20">
        <v>0</v>
      </c>
      <c r="E121" s="20">
        <v>0</v>
      </c>
      <c r="G121" s="19">
        <v>0</v>
      </c>
      <c r="H121" s="19">
        <v>0</v>
      </c>
      <c r="I121" s="20">
        <v>0</v>
      </c>
      <c r="J121" s="20">
        <v>0</v>
      </c>
      <c r="L121" s="19">
        <v>0</v>
      </c>
      <c r="M121" s="19">
        <v>0</v>
      </c>
      <c r="N121" s="20">
        <v>0</v>
      </c>
      <c r="O121" s="20">
        <v>0</v>
      </c>
      <c r="R121" s="19">
        <v>0</v>
      </c>
      <c r="S121" s="19">
        <v>0</v>
      </c>
      <c r="T121" s="20">
        <v>0</v>
      </c>
      <c r="U121" s="20">
        <v>0</v>
      </c>
      <c r="W121" s="19">
        <v>0</v>
      </c>
      <c r="X121" s="19">
        <v>0</v>
      </c>
      <c r="Y121" s="20">
        <v>0</v>
      </c>
      <c r="Z121" s="20">
        <v>0</v>
      </c>
      <c r="AB121" s="19">
        <v>0</v>
      </c>
      <c r="AC121" s="19">
        <v>0</v>
      </c>
      <c r="AD121" s="20">
        <v>0</v>
      </c>
      <c r="AE121" s="20">
        <v>0</v>
      </c>
      <c r="AF121">
        <f t="shared" si="1"/>
        <v>0</v>
      </c>
    </row>
    <row r="122" spans="1:32" hidden="1" x14ac:dyDescent="0.25">
      <c r="A122" s="18" t="s">
        <v>48</v>
      </c>
      <c r="B122" s="19">
        <v>0</v>
      </c>
      <c r="C122" s="19">
        <v>0</v>
      </c>
      <c r="D122" s="20">
        <v>0</v>
      </c>
      <c r="E122" s="20">
        <v>0</v>
      </c>
      <c r="G122" s="19">
        <v>0</v>
      </c>
      <c r="H122" s="19">
        <v>0</v>
      </c>
      <c r="I122" s="20">
        <v>0</v>
      </c>
      <c r="J122" s="20">
        <v>0</v>
      </c>
      <c r="L122" s="19">
        <v>0</v>
      </c>
      <c r="M122" s="19">
        <v>0</v>
      </c>
      <c r="N122" s="20">
        <v>0</v>
      </c>
      <c r="O122" s="20">
        <v>0</v>
      </c>
      <c r="R122" s="19">
        <v>0</v>
      </c>
      <c r="S122" s="19">
        <v>0</v>
      </c>
      <c r="T122" s="20">
        <v>0</v>
      </c>
      <c r="U122" s="20">
        <v>0</v>
      </c>
      <c r="W122" s="19">
        <v>0</v>
      </c>
      <c r="X122" s="19">
        <v>0</v>
      </c>
      <c r="Y122" s="20">
        <v>0</v>
      </c>
      <c r="Z122" s="20">
        <v>0</v>
      </c>
      <c r="AB122" s="19">
        <v>0</v>
      </c>
      <c r="AC122" s="19">
        <v>0</v>
      </c>
      <c r="AD122" s="20">
        <v>0</v>
      </c>
      <c r="AE122" s="20">
        <v>0</v>
      </c>
      <c r="AF122">
        <f t="shared" si="1"/>
        <v>0</v>
      </c>
    </row>
    <row r="123" spans="1:32" hidden="1" x14ac:dyDescent="0.25">
      <c r="A123" s="18" t="s">
        <v>88</v>
      </c>
      <c r="B123" s="19">
        <v>0</v>
      </c>
      <c r="C123" s="19">
        <v>0</v>
      </c>
      <c r="D123" s="20">
        <v>0</v>
      </c>
      <c r="E123" s="20">
        <v>0</v>
      </c>
      <c r="G123" s="19">
        <v>0</v>
      </c>
      <c r="H123" s="19">
        <v>0</v>
      </c>
      <c r="I123" s="20">
        <v>0</v>
      </c>
      <c r="J123" s="20">
        <v>0</v>
      </c>
      <c r="L123" s="19">
        <v>0</v>
      </c>
      <c r="M123" s="19">
        <v>0</v>
      </c>
      <c r="N123" s="20">
        <v>0</v>
      </c>
      <c r="O123" s="20">
        <v>0</v>
      </c>
      <c r="R123" s="19">
        <v>0</v>
      </c>
      <c r="S123" s="19">
        <v>0</v>
      </c>
      <c r="T123" s="20">
        <v>0</v>
      </c>
      <c r="U123" s="20">
        <v>0</v>
      </c>
      <c r="W123" s="19">
        <v>0</v>
      </c>
      <c r="X123" s="19">
        <v>0</v>
      </c>
      <c r="Y123" s="20">
        <v>0</v>
      </c>
      <c r="Z123" s="20">
        <v>0</v>
      </c>
      <c r="AB123" s="19">
        <v>0</v>
      </c>
      <c r="AC123" s="19">
        <v>0</v>
      </c>
      <c r="AD123" s="20">
        <v>0</v>
      </c>
      <c r="AE123" s="20">
        <v>0</v>
      </c>
      <c r="AF123">
        <f t="shared" si="1"/>
        <v>0</v>
      </c>
    </row>
    <row r="124" spans="1:32" hidden="1" x14ac:dyDescent="0.25">
      <c r="A124" s="18" t="s">
        <v>49</v>
      </c>
      <c r="B124" s="19">
        <v>0</v>
      </c>
      <c r="C124" s="19">
        <v>0</v>
      </c>
      <c r="D124" s="20">
        <v>0</v>
      </c>
      <c r="E124" s="20">
        <v>0</v>
      </c>
      <c r="G124" s="19">
        <v>0</v>
      </c>
      <c r="H124" s="19">
        <v>0</v>
      </c>
      <c r="I124" s="20">
        <v>0</v>
      </c>
      <c r="J124" s="20">
        <v>0</v>
      </c>
      <c r="L124" s="19">
        <v>0</v>
      </c>
      <c r="M124" s="19">
        <v>0</v>
      </c>
      <c r="N124" s="20">
        <v>0</v>
      </c>
      <c r="O124" s="20">
        <v>0</v>
      </c>
      <c r="R124" s="19">
        <v>0</v>
      </c>
      <c r="S124" s="19">
        <v>0</v>
      </c>
      <c r="T124" s="20">
        <v>0</v>
      </c>
      <c r="U124" s="20">
        <v>0</v>
      </c>
      <c r="W124" s="19">
        <v>0</v>
      </c>
      <c r="X124" s="19">
        <v>0</v>
      </c>
      <c r="Y124" s="20">
        <v>0</v>
      </c>
      <c r="Z124" s="20">
        <v>0</v>
      </c>
      <c r="AB124" s="19">
        <v>0</v>
      </c>
      <c r="AC124" s="19">
        <v>0</v>
      </c>
      <c r="AD124" s="20">
        <v>0</v>
      </c>
      <c r="AE124" s="20">
        <v>0</v>
      </c>
      <c r="AF124">
        <f t="shared" si="1"/>
        <v>0</v>
      </c>
    </row>
    <row r="125" spans="1:32" hidden="1" x14ac:dyDescent="0.25">
      <c r="A125" s="18" t="s">
        <v>50</v>
      </c>
      <c r="B125" s="19">
        <v>0</v>
      </c>
      <c r="C125" s="19">
        <v>0</v>
      </c>
      <c r="D125" s="20">
        <v>0</v>
      </c>
      <c r="E125" s="20">
        <v>0</v>
      </c>
      <c r="G125" s="19">
        <v>0</v>
      </c>
      <c r="H125" s="19">
        <v>0</v>
      </c>
      <c r="I125" s="20">
        <v>0</v>
      </c>
      <c r="J125" s="20">
        <v>0</v>
      </c>
      <c r="L125" s="19">
        <v>0</v>
      </c>
      <c r="M125" s="19">
        <v>0</v>
      </c>
      <c r="N125" s="20">
        <v>0</v>
      </c>
      <c r="O125" s="20">
        <v>0</v>
      </c>
      <c r="R125" s="19">
        <v>0</v>
      </c>
      <c r="S125" s="19">
        <v>0</v>
      </c>
      <c r="T125" s="20">
        <v>0</v>
      </c>
      <c r="U125" s="20">
        <v>0</v>
      </c>
      <c r="W125" s="19">
        <v>0</v>
      </c>
      <c r="X125" s="19">
        <v>0</v>
      </c>
      <c r="Y125" s="20">
        <v>0</v>
      </c>
      <c r="Z125" s="20">
        <v>0</v>
      </c>
      <c r="AB125" s="19">
        <v>0</v>
      </c>
      <c r="AC125" s="19">
        <v>0</v>
      </c>
      <c r="AD125" s="20">
        <v>0</v>
      </c>
      <c r="AE125" s="20">
        <v>0</v>
      </c>
      <c r="AF125">
        <f t="shared" si="1"/>
        <v>0</v>
      </c>
    </row>
    <row r="126" spans="1:32" hidden="1" x14ac:dyDescent="0.25">
      <c r="A126" s="18" t="s">
        <v>51</v>
      </c>
      <c r="B126" s="19">
        <v>0</v>
      </c>
      <c r="C126" s="19">
        <v>0</v>
      </c>
      <c r="D126" s="20">
        <v>0</v>
      </c>
      <c r="E126" s="20">
        <v>0</v>
      </c>
      <c r="G126" s="19">
        <v>0</v>
      </c>
      <c r="H126" s="19">
        <v>0</v>
      </c>
      <c r="I126" s="20">
        <v>0</v>
      </c>
      <c r="J126" s="20">
        <v>0</v>
      </c>
      <c r="L126" s="19">
        <v>0</v>
      </c>
      <c r="M126" s="19">
        <v>0</v>
      </c>
      <c r="N126" s="20">
        <v>0</v>
      </c>
      <c r="O126" s="20">
        <v>0</v>
      </c>
      <c r="R126" s="19">
        <v>0</v>
      </c>
      <c r="S126" s="19">
        <v>0</v>
      </c>
      <c r="T126" s="20">
        <v>0</v>
      </c>
      <c r="U126" s="20">
        <v>0</v>
      </c>
      <c r="W126" s="19">
        <v>0</v>
      </c>
      <c r="X126" s="19">
        <v>0</v>
      </c>
      <c r="Y126" s="20">
        <v>0</v>
      </c>
      <c r="Z126" s="20">
        <v>0</v>
      </c>
      <c r="AB126" s="19">
        <v>0</v>
      </c>
      <c r="AC126" s="19">
        <v>0</v>
      </c>
      <c r="AD126" s="20">
        <v>0</v>
      </c>
      <c r="AE126" s="20">
        <v>0</v>
      </c>
      <c r="AF126">
        <f t="shared" si="1"/>
        <v>0</v>
      </c>
    </row>
    <row r="127" spans="1:32" hidden="1" x14ac:dyDescent="0.25">
      <c r="A127" s="18" t="s">
        <v>52</v>
      </c>
      <c r="B127" s="19">
        <v>0</v>
      </c>
      <c r="C127" s="19">
        <v>0</v>
      </c>
      <c r="D127" s="20">
        <v>0</v>
      </c>
      <c r="E127" s="20">
        <v>0</v>
      </c>
      <c r="G127" s="19">
        <v>0</v>
      </c>
      <c r="H127" s="19">
        <v>0</v>
      </c>
      <c r="I127" s="20">
        <v>0</v>
      </c>
      <c r="J127" s="20">
        <v>0</v>
      </c>
      <c r="L127" s="19">
        <v>0</v>
      </c>
      <c r="M127" s="19">
        <v>0</v>
      </c>
      <c r="N127" s="20">
        <v>0</v>
      </c>
      <c r="O127" s="20">
        <v>0</v>
      </c>
      <c r="R127" s="19">
        <v>0</v>
      </c>
      <c r="S127" s="19">
        <v>0</v>
      </c>
      <c r="T127" s="20">
        <v>0</v>
      </c>
      <c r="U127" s="20">
        <v>0</v>
      </c>
      <c r="W127" s="19">
        <v>0</v>
      </c>
      <c r="X127" s="19">
        <v>0</v>
      </c>
      <c r="Y127" s="20">
        <v>0</v>
      </c>
      <c r="Z127" s="20">
        <v>0</v>
      </c>
      <c r="AB127" s="19">
        <v>0</v>
      </c>
      <c r="AC127" s="19">
        <v>0</v>
      </c>
      <c r="AD127" s="20">
        <v>0</v>
      </c>
      <c r="AE127" s="20">
        <v>0</v>
      </c>
      <c r="AF127">
        <f t="shared" si="1"/>
        <v>0</v>
      </c>
    </row>
    <row r="128" spans="1:32" hidden="1" x14ac:dyDescent="0.25">
      <c r="A128" s="18" t="s">
        <v>89</v>
      </c>
      <c r="B128" s="19">
        <v>0</v>
      </c>
      <c r="C128" s="19">
        <v>0</v>
      </c>
      <c r="D128" s="20">
        <v>0</v>
      </c>
      <c r="E128" s="20">
        <v>0</v>
      </c>
      <c r="G128" s="19">
        <v>0</v>
      </c>
      <c r="H128" s="19">
        <v>0</v>
      </c>
      <c r="I128" s="20">
        <v>0</v>
      </c>
      <c r="J128" s="20">
        <v>0</v>
      </c>
      <c r="L128" s="19">
        <v>0</v>
      </c>
      <c r="M128" s="19">
        <v>0</v>
      </c>
      <c r="N128" s="20">
        <v>0</v>
      </c>
      <c r="O128" s="20">
        <v>0</v>
      </c>
      <c r="R128" s="19">
        <v>0</v>
      </c>
      <c r="S128" s="19">
        <v>0</v>
      </c>
      <c r="T128" s="20">
        <v>0</v>
      </c>
      <c r="U128" s="20">
        <v>0</v>
      </c>
      <c r="W128" s="19">
        <v>0</v>
      </c>
      <c r="X128" s="19">
        <v>0</v>
      </c>
      <c r="Y128" s="20">
        <v>0</v>
      </c>
      <c r="Z128" s="20">
        <v>0</v>
      </c>
      <c r="AB128" s="19">
        <v>0</v>
      </c>
      <c r="AC128" s="19">
        <v>0</v>
      </c>
      <c r="AD128" s="20">
        <v>0</v>
      </c>
      <c r="AE128" s="20">
        <v>0</v>
      </c>
      <c r="AF128">
        <f t="shared" si="1"/>
        <v>0</v>
      </c>
    </row>
    <row r="129" spans="1:32" hidden="1" x14ac:dyDescent="0.25">
      <c r="A129" s="18" t="s">
        <v>53</v>
      </c>
      <c r="B129" s="19">
        <v>0</v>
      </c>
      <c r="C129" s="19">
        <v>0</v>
      </c>
      <c r="D129" s="20">
        <v>0</v>
      </c>
      <c r="E129" s="20">
        <v>0</v>
      </c>
      <c r="G129" s="19">
        <v>0</v>
      </c>
      <c r="H129" s="19">
        <v>0</v>
      </c>
      <c r="I129" s="20">
        <v>0</v>
      </c>
      <c r="J129" s="20">
        <v>0</v>
      </c>
      <c r="L129" s="19">
        <v>0</v>
      </c>
      <c r="M129" s="19">
        <v>0</v>
      </c>
      <c r="N129" s="20">
        <v>0</v>
      </c>
      <c r="O129" s="20">
        <v>0</v>
      </c>
      <c r="R129" s="19">
        <v>0</v>
      </c>
      <c r="S129" s="19">
        <v>0</v>
      </c>
      <c r="T129" s="20">
        <v>0</v>
      </c>
      <c r="U129" s="20">
        <v>0</v>
      </c>
      <c r="W129" s="19">
        <v>0</v>
      </c>
      <c r="X129" s="19">
        <v>0</v>
      </c>
      <c r="Y129" s="20">
        <v>0</v>
      </c>
      <c r="Z129" s="20">
        <v>0</v>
      </c>
      <c r="AB129" s="19">
        <v>0</v>
      </c>
      <c r="AC129" s="19">
        <v>0</v>
      </c>
      <c r="AD129" s="20">
        <v>0</v>
      </c>
      <c r="AE129" s="20">
        <v>0</v>
      </c>
      <c r="AF129">
        <f t="shared" si="1"/>
        <v>0</v>
      </c>
    </row>
    <row r="130" spans="1:32" hidden="1" x14ac:dyDescent="0.25">
      <c r="A130" s="18" t="s">
        <v>54</v>
      </c>
      <c r="B130" s="19">
        <v>0</v>
      </c>
      <c r="C130" s="19">
        <v>0</v>
      </c>
      <c r="D130" s="20">
        <v>0</v>
      </c>
      <c r="E130" s="20">
        <v>0</v>
      </c>
      <c r="G130" s="19">
        <v>0</v>
      </c>
      <c r="H130" s="19">
        <v>0</v>
      </c>
      <c r="I130" s="20">
        <v>0</v>
      </c>
      <c r="J130" s="20">
        <v>0</v>
      </c>
      <c r="L130" s="19">
        <v>0</v>
      </c>
      <c r="M130" s="19">
        <v>0</v>
      </c>
      <c r="N130" s="20">
        <v>0</v>
      </c>
      <c r="O130" s="20">
        <v>0</v>
      </c>
      <c r="R130" s="19">
        <v>0</v>
      </c>
      <c r="S130" s="19">
        <v>0</v>
      </c>
      <c r="T130" s="20">
        <v>0</v>
      </c>
      <c r="U130" s="20">
        <v>0</v>
      </c>
      <c r="W130" s="19">
        <v>0</v>
      </c>
      <c r="X130" s="19">
        <v>0</v>
      </c>
      <c r="Y130" s="20">
        <v>0</v>
      </c>
      <c r="Z130" s="20">
        <v>0</v>
      </c>
      <c r="AB130" s="19">
        <v>0</v>
      </c>
      <c r="AC130" s="19">
        <v>0</v>
      </c>
      <c r="AD130" s="20">
        <v>0</v>
      </c>
      <c r="AE130" s="20">
        <v>0</v>
      </c>
      <c r="AF130">
        <f t="shared" si="1"/>
        <v>0</v>
      </c>
    </row>
    <row r="131" spans="1:32" hidden="1" x14ac:dyDescent="0.25">
      <c r="A131" s="18" t="s">
        <v>90</v>
      </c>
      <c r="B131" s="19">
        <v>0</v>
      </c>
      <c r="C131" s="19">
        <v>0</v>
      </c>
      <c r="D131" s="20">
        <v>0</v>
      </c>
      <c r="E131" s="20">
        <v>0</v>
      </c>
      <c r="G131" s="19">
        <v>0</v>
      </c>
      <c r="H131" s="19">
        <v>0</v>
      </c>
      <c r="I131" s="20">
        <v>0</v>
      </c>
      <c r="J131" s="20">
        <v>0</v>
      </c>
      <c r="L131" s="19">
        <v>0</v>
      </c>
      <c r="M131" s="19">
        <v>0</v>
      </c>
      <c r="N131" s="20">
        <v>0</v>
      </c>
      <c r="O131" s="20">
        <v>0</v>
      </c>
      <c r="R131" s="19">
        <v>0</v>
      </c>
      <c r="S131" s="19">
        <v>0</v>
      </c>
      <c r="T131" s="20">
        <v>0</v>
      </c>
      <c r="U131" s="20">
        <v>0</v>
      </c>
      <c r="W131" s="19">
        <v>0</v>
      </c>
      <c r="X131" s="19">
        <v>0</v>
      </c>
      <c r="Y131" s="20">
        <v>0</v>
      </c>
      <c r="Z131" s="20">
        <v>0</v>
      </c>
      <c r="AB131" s="19">
        <v>0</v>
      </c>
      <c r="AC131" s="19">
        <v>0</v>
      </c>
      <c r="AD131" s="20">
        <v>0</v>
      </c>
      <c r="AE131" s="20">
        <v>0</v>
      </c>
      <c r="AF131">
        <f t="shared" si="1"/>
        <v>0</v>
      </c>
    </row>
    <row r="132" spans="1:32" hidden="1" x14ac:dyDescent="0.25">
      <c r="A132" s="18" t="s">
        <v>55</v>
      </c>
      <c r="B132" s="19">
        <v>0</v>
      </c>
      <c r="C132" s="19">
        <v>0</v>
      </c>
      <c r="D132" s="20">
        <v>0</v>
      </c>
      <c r="E132" s="20">
        <v>0</v>
      </c>
      <c r="G132" s="19">
        <v>0</v>
      </c>
      <c r="H132" s="19">
        <v>0</v>
      </c>
      <c r="I132" s="20">
        <v>0</v>
      </c>
      <c r="J132" s="20">
        <v>0</v>
      </c>
      <c r="L132" s="19">
        <v>0</v>
      </c>
      <c r="M132" s="19">
        <v>0</v>
      </c>
      <c r="N132" s="20">
        <v>0</v>
      </c>
      <c r="O132" s="20">
        <v>0</v>
      </c>
      <c r="R132" s="19">
        <v>0</v>
      </c>
      <c r="S132" s="19">
        <v>0</v>
      </c>
      <c r="T132" s="20">
        <v>0</v>
      </c>
      <c r="U132" s="20">
        <v>0</v>
      </c>
      <c r="W132" s="19">
        <v>0</v>
      </c>
      <c r="X132" s="19">
        <v>0</v>
      </c>
      <c r="Y132" s="20">
        <v>0</v>
      </c>
      <c r="Z132" s="20">
        <v>0</v>
      </c>
      <c r="AB132" s="19">
        <v>0</v>
      </c>
      <c r="AC132" s="19">
        <v>0</v>
      </c>
      <c r="AD132" s="20">
        <v>0</v>
      </c>
      <c r="AE132" s="20">
        <v>0</v>
      </c>
      <c r="AF132">
        <f t="shared" ref="AF132:AF195" si="2">SUM(A132:AE132)</f>
        <v>0</v>
      </c>
    </row>
    <row r="133" spans="1:32" hidden="1" x14ac:dyDescent="0.25">
      <c r="A133" s="18" t="s">
        <v>91</v>
      </c>
      <c r="B133" s="19">
        <v>0</v>
      </c>
      <c r="C133" s="19">
        <v>0</v>
      </c>
      <c r="D133" s="20">
        <v>0</v>
      </c>
      <c r="E133" s="20">
        <v>0</v>
      </c>
      <c r="G133" s="19">
        <v>0</v>
      </c>
      <c r="H133" s="19">
        <v>0</v>
      </c>
      <c r="I133" s="20">
        <v>0</v>
      </c>
      <c r="J133" s="20">
        <v>0</v>
      </c>
      <c r="L133" s="19">
        <v>0</v>
      </c>
      <c r="M133" s="19">
        <v>0</v>
      </c>
      <c r="N133" s="20">
        <v>0</v>
      </c>
      <c r="O133" s="20">
        <v>0</v>
      </c>
      <c r="R133" s="19">
        <v>0</v>
      </c>
      <c r="S133" s="19">
        <v>0</v>
      </c>
      <c r="T133" s="20">
        <v>0</v>
      </c>
      <c r="U133" s="20">
        <v>0</v>
      </c>
      <c r="W133" s="19">
        <v>0</v>
      </c>
      <c r="X133" s="19">
        <v>0</v>
      </c>
      <c r="Y133" s="20">
        <v>0</v>
      </c>
      <c r="Z133" s="20">
        <v>0</v>
      </c>
      <c r="AB133" s="19">
        <v>0</v>
      </c>
      <c r="AC133" s="19">
        <v>0</v>
      </c>
      <c r="AD133" s="20">
        <v>0</v>
      </c>
      <c r="AE133" s="20">
        <v>0</v>
      </c>
      <c r="AF133">
        <f t="shared" si="2"/>
        <v>0</v>
      </c>
    </row>
    <row r="134" spans="1:32" hidden="1" x14ac:dyDescent="0.25">
      <c r="A134" s="18" t="s">
        <v>175</v>
      </c>
      <c r="B134" s="19">
        <v>0</v>
      </c>
      <c r="C134" s="19">
        <v>0</v>
      </c>
      <c r="D134" s="20">
        <v>0</v>
      </c>
      <c r="E134" s="20">
        <v>0</v>
      </c>
      <c r="G134" s="19">
        <v>0</v>
      </c>
      <c r="H134" s="19">
        <v>0</v>
      </c>
      <c r="I134" s="20">
        <v>0</v>
      </c>
      <c r="J134" s="20">
        <v>0</v>
      </c>
      <c r="L134" s="19">
        <v>0</v>
      </c>
      <c r="M134" s="19">
        <v>0</v>
      </c>
      <c r="N134" s="20">
        <v>0</v>
      </c>
      <c r="O134" s="20">
        <v>0</v>
      </c>
      <c r="R134" s="19">
        <v>0</v>
      </c>
      <c r="S134" s="19">
        <v>0</v>
      </c>
      <c r="T134" s="20">
        <v>0</v>
      </c>
      <c r="U134" s="20">
        <v>0</v>
      </c>
      <c r="W134" s="19">
        <v>0</v>
      </c>
      <c r="X134" s="19">
        <v>0</v>
      </c>
      <c r="Y134" s="20">
        <v>0</v>
      </c>
      <c r="Z134" s="20">
        <v>0</v>
      </c>
      <c r="AB134" s="19">
        <v>0</v>
      </c>
      <c r="AC134" s="19">
        <v>0</v>
      </c>
      <c r="AD134" s="20">
        <v>0</v>
      </c>
      <c r="AE134" s="20">
        <v>0</v>
      </c>
      <c r="AF134">
        <f t="shared" si="2"/>
        <v>0</v>
      </c>
    </row>
    <row r="135" spans="1:32" hidden="1" x14ac:dyDescent="0.25">
      <c r="A135" s="18" t="s">
        <v>56</v>
      </c>
      <c r="B135" s="19">
        <v>0</v>
      </c>
      <c r="C135" s="19">
        <v>0</v>
      </c>
      <c r="D135" s="20">
        <v>0</v>
      </c>
      <c r="E135" s="20">
        <v>0</v>
      </c>
      <c r="G135" s="19">
        <v>0</v>
      </c>
      <c r="H135" s="19">
        <v>0</v>
      </c>
      <c r="I135" s="20">
        <v>0</v>
      </c>
      <c r="J135" s="20">
        <v>0</v>
      </c>
      <c r="L135" s="19">
        <v>0</v>
      </c>
      <c r="M135" s="19">
        <v>0</v>
      </c>
      <c r="N135" s="20">
        <v>0</v>
      </c>
      <c r="O135" s="20">
        <v>0</v>
      </c>
      <c r="R135" s="19">
        <v>0</v>
      </c>
      <c r="S135" s="19">
        <v>0</v>
      </c>
      <c r="T135" s="20">
        <v>0</v>
      </c>
      <c r="U135" s="20">
        <v>0</v>
      </c>
      <c r="W135" s="19">
        <v>0</v>
      </c>
      <c r="X135" s="19">
        <v>0</v>
      </c>
      <c r="Y135" s="20">
        <v>0</v>
      </c>
      <c r="Z135" s="20">
        <v>0</v>
      </c>
      <c r="AB135" s="19">
        <v>0</v>
      </c>
      <c r="AC135" s="19">
        <v>0</v>
      </c>
      <c r="AD135" s="20">
        <v>0</v>
      </c>
      <c r="AE135" s="20">
        <v>0</v>
      </c>
      <c r="AF135">
        <f t="shared" si="2"/>
        <v>0</v>
      </c>
    </row>
    <row r="136" spans="1:32" hidden="1" x14ac:dyDescent="0.25">
      <c r="A136" s="18" t="s">
        <v>57</v>
      </c>
      <c r="B136" s="19">
        <v>0</v>
      </c>
      <c r="C136" s="19">
        <v>0</v>
      </c>
      <c r="D136" s="20">
        <v>0</v>
      </c>
      <c r="E136" s="20">
        <v>0</v>
      </c>
      <c r="G136" s="19">
        <v>0</v>
      </c>
      <c r="H136" s="19">
        <v>0</v>
      </c>
      <c r="I136" s="20">
        <v>0</v>
      </c>
      <c r="J136" s="20">
        <v>0</v>
      </c>
      <c r="L136" s="19">
        <v>0</v>
      </c>
      <c r="M136" s="19">
        <v>0</v>
      </c>
      <c r="N136" s="20">
        <v>0</v>
      </c>
      <c r="O136" s="20">
        <v>0</v>
      </c>
      <c r="R136" s="19">
        <v>0</v>
      </c>
      <c r="S136" s="19">
        <v>0</v>
      </c>
      <c r="T136" s="20">
        <v>0</v>
      </c>
      <c r="U136" s="20">
        <v>0</v>
      </c>
      <c r="W136" s="19">
        <v>0</v>
      </c>
      <c r="X136" s="19">
        <v>0</v>
      </c>
      <c r="Y136" s="20">
        <v>0</v>
      </c>
      <c r="Z136" s="20">
        <v>0</v>
      </c>
      <c r="AB136" s="19">
        <v>0</v>
      </c>
      <c r="AC136" s="19">
        <v>0</v>
      </c>
      <c r="AD136" s="20">
        <v>0</v>
      </c>
      <c r="AE136" s="20">
        <v>0</v>
      </c>
      <c r="AF136">
        <f t="shared" si="2"/>
        <v>0</v>
      </c>
    </row>
    <row r="137" spans="1:32" hidden="1" x14ac:dyDescent="0.25">
      <c r="A137" s="18" t="s">
        <v>176</v>
      </c>
      <c r="B137" s="19">
        <v>0</v>
      </c>
      <c r="C137" s="19">
        <v>0</v>
      </c>
      <c r="D137" s="20">
        <v>0</v>
      </c>
      <c r="E137" s="20">
        <v>0</v>
      </c>
      <c r="G137" s="19">
        <v>0</v>
      </c>
      <c r="H137" s="19">
        <v>0</v>
      </c>
      <c r="I137" s="20">
        <v>0</v>
      </c>
      <c r="J137" s="20">
        <v>0</v>
      </c>
      <c r="L137" s="19">
        <v>0</v>
      </c>
      <c r="M137" s="19">
        <v>0</v>
      </c>
      <c r="N137" s="20">
        <v>0</v>
      </c>
      <c r="O137" s="20">
        <v>0</v>
      </c>
      <c r="R137" s="19">
        <v>0</v>
      </c>
      <c r="S137" s="19">
        <v>0</v>
      </c>
      <c r="T137" s="20">
        <v>0</v>
      </c>
      <c r="U137" s="20">
        <v>0</v>
      </c>
      <c r="W137" s="19">
        <v>0</v>
      </c>
      <c r="X137" s="19">
        <v>0</v>
      </c>
      <c r="Y137" s="20">
        <v>0</v>
      </c>
      <c r="Z137" s="20">
        <v>0</v>
      </c>
      <c r="AB137" s="19">
        <v>0</v>
      </c>
      <c r="AC137" s="19">
        <v>0</v>
      </c>
      <c r="AD137" s="20">
        <v>0</v>
      </c>
      <c r="AE137" s="20">
        <v>0</v>
      </c>
      <c r="AF137">
        <f t="shared" si="2"/>
        <v>0</v>
      </c>
    </row>
    <row r="138" spans="1:32" hidden="1" x14ac:dyDescent="0.25">
      <c r="A138" s="18" t="s">
        <v>58</v>
      </c>
      <c r="B138" s="19">
        <v>0</v>
      </c>
      <c r="C138" s="19">
        <v>0</v>
      </c>
      <c r="D138" s="20">
        <v>0</v>
      </c>
      <c r="E138" s="20">
        <v>0</v>
      </c>
      <c r="G138" s="19">
        <v>0</v>
      </c>
      <c r="H138" s="19">
        <v>0</v>
      </c>
      <c r="I138" s="20">
        <v>0</v>
      </c>
      <c r="J138" s="20">
        <v>0</v>
      </c>
      <c r="L138" s="19">
        <v>0</v>
      </c>
      <c r="M138" s="19">
        <v>0</v>
      </c>
      <c r="N138" s="20">
        <v>0</v>
      </c>
      <c r="O138" s="20">
        <v>0</v>
      </c>
      <c r="R138" s="19">
        <v>0</v>
      </c>
      <c r="S138" s="19">
        <v>0</v>
      </c>
      <c r="T138" s="20">
        <v>0</v>
      </c>
      <c r="U138" s="20">
        <v>0</v>
      </c>
      <c r="W138" s="19">
        <v>0</v>
      </c>
      <c r="X138" s="19">
        <v>0</v>
      </c>
      <c r="Y138" s="20">
        <v>0</v>
      </c>
      <c r="Z138" s="20">
        <v>0</v>
      </c>
      <c r="AB138" s="19">
        <v>0</v>
      </c>
      <c r="AC138" s="19">
        <v>0</v>
      </c>
      <c r="AD138" s="20">
        <v>0</v>
      </c>
      <c r="AE138" s="20">
        <v>0</v>
      </c>
      <c r="AF138">
        <f t="shared" si="2"/>
        <v>0</v>
      </c>
    </row>
    <row r="139" spans="1:32" hidden="1" x14ac:dyDescent="0.25">
      <c r="A139" s="18" t="s">
        <v>59</v>
      </c>
      <c r="B139" s="19">
        <v>0</v>
      </c>
      <c r="C139" s="19">
        <v>0</v>
      </c>
      <c r="D139" s="20">
        <v>0</v>
      </c>
      <c r="E139" s="20">
        <v>0</v>
      </c>
      <c r="G139" s="19">
        <v>0</v>
      </c>
      <c r="H139" s="19">
        <v>0</v>
      </c>
      <c r="I139" s="20">
        <v>0</v>
      </c>
      <c r="J139" s="20">
        <v>0</v>
      </c>
      <c r="L139" s="19">
        <v>0</v>
      </c>
      <c r="M139" s="19">
        <v>0</v>
      </c>
      <c r="N139" s="20">
        <v>0</v>
      </c>
      <c r="O139" s="20">
        <v>0</v>
      </c>
      <c r="R139" s="19">
        <v>0</v>
      </c>
      <c r="S139" s="19">
        <v>0</v>
      </c>
      <c r="T139" s="20">
        <v>0</v>
      </c>
      <c r="U139" s="20">
        <v>0</v>
      </c>
      <c r="W139" s="19">
        <v>0</v>
      </c>
      <c r="X139" s="19">
        <v>0</v>
      </c>
      <c r="Y139" s="20">
        <v>0</v>
      </c>
      <c r="Z139" s="20">
        <v>0</v>
      </c>
      <c r="AB139" s="19">
        <v>0</v>
      </c>
      <c r="AC139" s="19">
        <v>0</v>
      </c>
      <c r="AD139" s="20">
        <v>0</v>
      </c>
      <c r="AE139" s="20">
        <v>0</v>
      </c>
      <c r="AF139">
        <f t="shared" si="2"/>
        <v>0</v>
      </c>
    </row>
    <row r="140" spans="1:32" hidden="1" x14ac:dyDescent="0.25">
      <c r="A140" s="18" t="s">
        <v>60</v>
      </c>
      <c r="B140" s="19">
        <v>0</v>
      </c>
      <c r="C140" s="19">
        <v>0</v>
      </c>
      <c r="D140" s="20">
        <v>0</v>
      </c>
      <c r="E140" s="20">
        <v>0</v>
      </c>
      <c r="G140" s="19">
        <v>0</v>
      </c>
      <c r="H140" s="19">
        <v>0</v>
      </c>
      <c r="I140" s="20">
        <v>0</v>
      </c>
      <c r="J140" s="20">
        <v>0</v>
      </c>
      <c r="L140" s="19">
        <v>0</v>
      </c>
      <c r="M140" s="19">
        <v>0</v>
      </c>
      <c r="N140" s="20">
        <v>0</v>
      </c>
      <c r="O140" s="20">
        <v>0</v>
      </c>
      <c r="R140" s="19">
        <v>0</v>
      </c>
      <c r="S140" s="19">
        <v>0</v>
      </c>
      <c r="T140" s="20">
        <v>0</v>
      </c>
      <c r="U140" s="20">
        <v>0</v>
      </c>
      <c r="W140" s="19">
        <v>0</v>
      </c>
      <c r="X140" s="19">
        <v>0</v>
      </c>
      <c r="Y140" s="20">
        <v>0</v>
      </c>
      <c r="Z140" s="20">
        <v>0</v>
      </c>
      <c r="AB140" s="19">
        <v>0</v>
      </c>
      <c r="AC140" s="19">
        <v>0</v>
      </c>
      <c r="AD140" s="20">
        <v>0</v>
      </c>
      <c r="AE140" s="20">
        <v>0</v>
      </c>
      <c r="AF140">
        <f t="shared" si="2"/>
        <v>0</v>
      </c>
    </row>
    <row r="141" spans="1:32" hidden="1" x14ac:dyDescent="0.25">
      <c r="A141" s="18" t="s">
        <v>93</v>
      </c>
      <c r="B141" s="19">
        <v>0</v>
      </c>
      <c r="C141" s="19">
        <v>0</v>
      </c>
      <c r="D141" s="20">
        <v>0</v>
      </c>
      <c r="E141" s="20">
        <v>0</v>
      </c>
      <c r="G141" s="19">
        <v>0</v>
      </c>
      <c r="H141" s="19">
        <v>0</v>
      </c>
      <c r="I141" s="20">
        <v>0</v>
      </c>
      <c r="J141" s="20">
        <v>0</v>
      </c>
      <c r="L141" s="19">
        <v>0</v>
      </c>
      <c r="M141" s="19">
        <v>0</v>
      </c>
      <c r="N141" s="20">
        <v>0</v>
      </c>
      <c r="O141" s="20">
        <v>0</v>
      </c>
      <c r="R141" s="19">
        <v>0</v>
      </c>
      <c r="S141" s="19">
        <v>0</v>
      </c>
      <c r="T141" s="20">
        <v>0</v>
      </c>
      <c r="U141" s="20">
        <v>0</v>
      </c>
      <c r="W141" s="19">
        <v>0</v>
      </c>
      <c r="X141" s="19">
        <v>0</v>
      </c>
      <c r="Y141" s="20">
        <v>0</v>
      </c>
      <c r="Z141" s="20">
        <v>0</v>
      </c>
      <c r="AB141" s="19">
        <v>0</v>
      </c>
      <c r="AC141" s="19">
        <v>0</v>
      </c>
      <c r="AD141" s="20">
        <v>0</v>
      </c>
      <c r="AE141" s="20">
        <v>0</v>
      </c>
      <c r="AF141">
        <f t="shared" si="2"/>
        <v>0</v>
      </c>
    </row>
    <row r="142" spans="1:32" hidden="1" x14ac:dyDescent="0.25">
      <c r="A142" s="18" t="s">
        <v>61</v>
      </c>
      <c r="B142" s="19">
        <v>0</v>
      </c>
      <c r="C142" s="19">
        <v>0</v>
      </c>
      <c r="D142" s="20">
        <v>0</v>
      </c>
      <c r="E142" s="20">
        <v>0</v>
      </c>
      <c r="G142" s="19">
        <v>0</v>
      </c>
      <c r="H142" s="19">
        <v>0</v>
      </c>
      <c r="I142" s="20">
        <v>0</v>
      </c>
      <c r="J142" s="20">
        <v>0</v>
      </c>
      <c r="L142" s="19">
        <v>0</v>
      </c>
      <c r="M142" s="19">
        <v>0</v>
      </c>
      <c r="N142" s="20">
        <v>0</v>
      </c>
      <c r="O142" s="20">
        <v>0</v>
      </c>
      <c r="R142" s="19">
        <v>0</v>
      </c>
      <c r="S142" s="19">
        <v>0</v>
      </c>
      <c r="T142" s="20">
        <v>0</v>
      </c>
      <c r="U142" s="20">
        <v>0</v>
      </c>
      <c r="W142" s="19">
        <v>0</v>
      </c>
      <c r="X142" s="19">
        <v>0</v>
      </c>
      <c r="Y142" s="20">
        <v>0</v>
      </c>
      <c r="Z142" s="20">
        <v>0</v>
      </c>
      <c r="AB142" s="19">
        <v>0</v>
      </c>
      <c r="AC142" s="19">
        <v>0</v>
      </c>
      <c r="AD142" s="20">
        <v>0</v>
      </c>
      <c r="AE142" s="20">
        <v>0</v>
      </c>
      <c r="AF142">
        <f t="shared" si="2"/>
        <v>0</v>
      </c>
    </row>
    <row r="143" spans="1:32" x14ac:dyDescent="0.25">
      <c r="A143" s="26" t="s">
        <v>65</v>
      </c>
      <c r="B143" s="27">
        <v>217</v>
      </c>
      <c r="C143" s="27">
        <v>213</v>
      </c>
      <c r="D143" s="22">
        <v>2.4913892078071184E-3</v>
      </c>
      <c r="E143" s="22">
        <v>2.7040064997714925E-3</v>
      </c>
      <c r="G143" s="27">
        <v>12</v>
      </c>
      <c r="H143" s="27">
        <v>5</v>
      </c>
      <c r="I143" s="22">
        <v>2.9542097488921715E-3</v>
      </c>
      <c r="J143" s="22">
        <v>1.2600806451612903E-3</v>
      </c>
      <c r="L143" s="27">
        <v>0</v>
      </c>
      <c r="M143" s="27">
        <v>4</v>
      </c>
      <c r="N143" s="22">
        <v>0</v>
      </c>
      <c r="O143" s="22">
        <v>2.0887728459530026E-3</v>
      </c>
      <c r="R143" s="27">
        <v>203</v>
      </c>
      <c r="S143" s="27">
        <v>229</v>
      </c>
      <c r="T143" s="22">
        <v>3.249195704019079E-3</v>
      </c>
      <c r="U143" s="22">
        <v>4.0735733598975385E-3</v>
      </c>
      <c r="W143" s="27">
        <v>9</v>
      </c>
      <c r="X143" s="27">
        <v>19</v>
      </c>
      <c r="Y143" s="22">
        <v>8.2872928176795577E-3</v>
      </c>
      <c r="Z143" s="22">
        <v>1.7608897126969416E-2</v>
      </c>
      <c r="AB143" s="27">
        <v>0</v>
      </c>
      <c r="AC143" s="27">
        <v>0</v>
      </c>
      <c r="AD143" s="22">
        <v>0</v>
      </c>
      <c r="AE143" s="22">
        <v>0</v>
      </c>
      <c r="AF143">
        <f t="shared" si="2"/>
        <v>911.04471741795624</v>
      </c>
    </row>
    <row r="144" spans="1:32" x14ac:dyDescent="0.25">
      <c r="A144" s="18"/>
      <c r="B144" s="19"/>
      <c r="C144" s="19"/>
      <c r="D144" s="19"/>
      <c r="E144" s="19"/>
      <c r="G144" s="19"/>
      <c r="H144" s="19"/>
      <c r="I144" s="19"/>
      <c r="J144" s="19"/>
      <c r="L144" s="19"/>
      <c r="M144" s="19"/>
      <c r="N144" s="19"/>
      <c r="O144" s="19"/>
      <c r="R144" s="19"/>
      <c r="S144" s="19"/>
      <c r="T144" s="19"/>
      <c r="U144" s="19"/>
      <c r="W144" s="19"/>
      <c r="X144" s="19"/>
      <c r="Y144" s="19"/>
      <c r="Z144" s="19"/>
      <c r="AB144" s="19"/>
      <c r="AC144" s="19"/>
      <c r="AD144" s="19"/>
      <c r="AE144" s="19"/>
      <c r="AF144">
        <v>1</v>
      </c>
    </row>
    <row r="145" spans="1:32" x14ac:dyDescent="0.25">
      <c r="A145" s="28" t="s">
        <v>66</v>
      </c>
      <c r="B145" s="25" t="s">
        <v>12</v>
      </c>
      <c r="C145" s="25" t="s">
        <v>164</v>
      </c>
      <c r="D145" s="25" t="s">
        <v>12</v>
      </c>
      <c r="E145" s="25" t="s">
        <v>164</v>
      </c>
      <c r="G145" s="25" t="s">
        <v>12</v>
      </c>
      <c r="H145" s="25" t="s">
        <v>164</v>
      </c>
      <c r="I145" s="25" t="s">
        <v>12</v>
      </c>
      <c r="J145" s="25" t="s">
        <v>164</v>
      </c>
      <c r="L145" s="25" t="s">
        <v>12</v>
      </c>
      <c r="M145" s="25" t="s">
        <v>164</v>
      </c>
      <c r="N145" s="25" t="s">
        <v>12</v>
      </c>
      <c r="O145" s="25" t="s">
        <v>164</v>
      </c>
      <c r="R145" s="25" t="s">
        <v>12</v>
      </c>
      <c r="S145" s="25" t="s">
        <v>164</v>
      </c>
      <c r="T145" s="25" t="s">
        <v>12</v>
      </c>
      <c r="U145" s="25" t="s">
        <v>164</v>
      </c>
      <c r="W145" s="25" t="s">
        <v>12</v>
      </c>
      <c r="X145" s="25" t="s">
        <v>164</v>
      </c>
      <c r="Y145" s="25" t="s">
        <v>12</v>
      </c>
      <c r="Z145" s="25" t="s">
        <v>164</v>
      </c>
      <c r="AB145" s="25" t="s">
        <v>12</v>
      </c>
      <c r="AC145" s="25" t="s">
        <v>164</v>
      </c>
      <c r="AD145" s="25" t="s">
        <v>12</v>
      </c>
      <c r="AE145" s="25" t="s">
        <v>164</v>
      </c>
      <c r="AF145">
        <v>1</v>
      </c>
    </row>
    <row r="146" spans="1:32" hidden="1" x14ac:dyDescent="0.25">
      <c r="A146" s="18" t="s">
        <v>17</v>
      </c>
      <c r="B146" s="19">
        <v>0</v>
      </c>
      <c r="C146" s="19">
        <v>0</v>
      </c>
      <c r="D146" s="20">
        <v>0</v>
      </c>
      <c r="E146" s="20">
        <v>0</v>
      </c>
      <c r="G146" s="19">
        <v>0</v>
      </c>
      <c r="H146" s="19">
        <v>0</v>
      </c>
      <c r="I146" s="20">
        <v>0</v>
      </c>
      <c r="J146" s="20">
        <v>0</v>
      </c>
      <c r="L146" s="19">
        <v>0</v>
      </c>
      <c r="M146" s="19">
        <v>0</v>
      </c>
      <c r="N146" s="20">
        <v>0</v>
      </c>
      <c r="O146" s="20">
        <v>0</v>
      </c>
      <c r="R146" s="19">
        <v>0</v>
      </c>
      <c r="S146" s="19">
        <v>0</v>
      </c>
      <c r="T146" s="20">
        <v>0</v>
      </c>
      <c r="U146" s="20">
        <v>0</v>
      </c>
      <c r="W146" s="19">
        <v>0</v>
      </c>
      <c r="X146" s="19">
        <v>0</v>
      </c>
      <c r="Y146" s="20">
        <v>0</v>
      </c>
      <c r="Z146" s="20">
        <v>0</v>
      </c>
      <c r="AB146" s="19">
        <v>0</v>
      </c>
      <c r="AC146" s="19">
        <v>0</v>
      </c>
      <c r="AD146" s="20">
        <v>0</v>
      </c>
      <c r="AE146" s="20">
        <v>0</v>
      </c>
      <c r="AF146">
        <f t="shared" si="2"/>
        <v>0</v>
      </c>
    </row>
    <row r="147" spans="1:32" x14ac:dyDescent="0.25">
      <c r="A147" s="18" t="s">
        <v>18</v>
      </c>
      <c r="B147" s="19">
        <v>137</v>
      </c>
      <c r="C147" s="19">
        <v>137</v>
      </c>
      <c r="D147" s="20">
        <v>5.5299911197222891E-3</v>
      </c>
      <c r="E147" s="20">
        <v>7.776579440313334E-3</v>
      </c>
      <c r="G147" s="19">
        <v>11</v>
      </c>
      <c r="H147" s="19">
        <v>5</v>
      </c>
      <c r="I147" s="20">
        <v>1.2387387387387387E-2</v>
      </c>
      <c r="J147" s="20">
        <v>8.1037277147487843E-3</v>
      </c>
      <c r="L147" s="19">
        <v>0</v>
      </c>
      <c r="M147" s="19">
        <v>0</v>
      </c>
      <c r="N147" s="20">
        <v>0</v>
      </c>
      <c r="O147" s="20">
        <v>0</v>
      </c>
      <c r="R147" s="19">
        <v>88</v>
      </c>
      <c r="S147" s="19">
        <v>83</v>
      </c>
      <c r="T147" s="20">
        <v>7.9072692964327427E-3</v>
      </c>
      <c r="U147" s="20">
        <v>1.0010855144132191E-2</v>
      </c>
      <c r="W147" s="19">
        <v>0</v>
      </c>
      <c r="X147" s="19">
        <v>0</v>
      </c>
      <c r="Y147" s="20">
        <v>0</v>
      </c>
      <c r="Z147" s="20">
        <v>0</v>
      </c>
      <c r="AB147" s="19">
        <v>0</v>
      </c>
      <c r="AC147" s="19">
        <v>0</v>
      </c>
      <c r="AD147" s="20">
        <v>0</v>
      </c>
      <c r="AE147" s="20">
        <v>0</v>
      </c>
      <c r="AF147">
        <f t="shared" si="2"/>
        <v>461.05171581010268</v>
      </c>
    </row>
    <row r="148" spans="1:32" x14ac:dyDescent="0.25">
      <c r="A148" s="18" t="s">
        <v>19</v>
      </c>
      <c r="B148" s="19">
        <v>1</v>
      </c>
      <c r="C148" s="19">
        <v>4</v>
      </c>
      <c r="D148" s="20">
        <v>1.4171371562025258E-6</v>
      </c>
      <c r="E148" s="20">
        <v>5.6497095343085677E-6</v>
      </c>
      <c r="G148" s="19">
        <v>0</v>
      </c>
      <c r="H148" s="19">
        <v>323</v>
      </c>
      <c r="I148" s="20">
        <v>0</v>
      </c>
      <c r="J148" s="20">
        <v>6.1159184291746348E-3</v>
      </c>
      <c r="L148" s="19">
        <v>0</v>
      </c>
      <c r="M148" s="19">
        <v>1</v>
      </c>
      <c r="N148" s="20">
        <v>0</v>
      </c>
      <c r="O148" s="20">
        <v>1.5989766549408379E-4</v>
      </c>
      <c r="R148" s="19">
        <v>1</v>
      </c>
      <c r="S148" s="19">
        <v>0</v>
      </c>
      <c r="T148" s="20">
        <v>2.0148372615943809E-6</v>
      </c>
      <c r="U148" s="20">
        <v>0</v>
      </c>
      <c r="W148" s="19">
        <v>0</v>
      </c>
      <c r="X148" s="19">
        <v>1</v>
      </c>
      <c r="Y148" s="20">
        <v>0</v>
      </c>
      <c r="Z148" s="20">
        <v>7.425558773297691E-5</v>
      </c>
      <c r="AB148" s="19">
        <v>0</v>
      </c>
      <c r="AC148" s="19">
        <v>3</v>
      </c>
      <c r="AD148" s="20">
        <v>0</v>
      </c>
      <c r="AE148" s="20">
        <v>2.5295109612141651E-3</v>
      </c>
      <c r="AF148">
        <f t="shared" si="2"/>
        <v>334.00888866432757</v>
      </c>
    </row>
    <row r="149" spans="1:32" x14ac:dyDescent="0.25">
      <c r="A149" s="18" t="s">
        <v>20</v>
      </c>
      <c r="B149" s="19">
        <v>1</v>
      </c>
      <c r="C149" s="19">
        <v>0</v>
      </c>
      <c r="D149" s="20">
        <v>1.2526148334648579E-5</v>
      </c>
      <c r="E149" s="20">
        <v>0</v>
      </c>
      <c r="G149" s="19">
        <v>0</v>
      </c>
      <c r="H149" s="19">
        <v>0</v>
      </c>
      <c r="I149" s="20">
        <v>0</v>
      </c>
      <c r="J149" s="20">
        <v>0</v>
      </c>
      <c r="L149" s="19">
        <v>0</v>
      </c>
      <c r="M149" s="19">
        <v>0</v>
      </c>
      <c r="N149" s="20">
        <v>0</v>
      </c>
      <c r="O149" s="20">
        <v>0</v>
      </c>
      <c r="R149" s="19">
        <v>0</v>
      </c>
      <c r="S149" s="19">
        <v>0</v>
      </c>
      <c r="T149" s="20">
        <v>0</v>
      </c>
      <c r="U149" s="20">
        <v>0</v>
      </c>
      <c r="W149" s="19">
        <v>0</v>
      </c>
      <c r="X149" s="19">
        <v>0</v>
      </c>
      <c r="Y149" s="20">
        <v>0</v>
      </c>
      <c r="Z149" s="20">
        <v>0</v>
      </c>
      <c r="AB149" s="19">
        <v>0</v>
      </c>
      <c r="AC149" s="19">
        <v>0</v>
      </c>
      <c r="AD149" s="20">
        <v>0</v>
      </c>
      <c r="AE149" s="20">
        <v>0</v>
      </c>
      <c r="AF149">
        <f t="shared" si="2"/>
        <v>1.0000125261483346</v>
      </c>
    </row>
    <row r="150" spans="1:32" hidden="1" x14ac:dyDescent="0.25">
      <c r="A150" s="18" t="s">
        <v>21</v>
      </c>
      <c r="B150" s="19">
        <v>0</v>
      </c>
      <c r="C150" s="19">
        <v>0</v>
      </c>
      <c r="D150" s="20">
        <v>0</v>
      </c>
      <c r="E150" s="20">
        <v>0</v>
      </c>
      <c r="G150" s="19">
        <v>0</v>
      </c>
      <c r="H150" s="19">
        <v>0</v>
      </c>
      <c r="I150" s="20">
        <v>0</v>
      </c>
      <c r="J150" s="20">
        <v>0</v>
      </c>
      <c r="L150" s="19">
        <v>0</v>
      </c>
      <c r="M150" s="19">
        <v>0</v>
      </c>
      <c r="N150" s="20">
        <v>0</v>
      </c>
      <c r="O150" s="20">
        <v>0</v>
      </c>
      <c r="R150" s="19">
        <v>0</v>
      </c>
      <c r="S150" s="19">
        <v>0</v>
      </c>
      <c r="T150" s="20">
        <v>0</v>
      </c>
      <c r="U150" s="20">
        <v>0</v>
      </c>
      <c r="W150" s="19">
        <v>0</v>
      </c>
      <c r="X150" s="19">
        <v>0</v>
      </c>
      <c r="Y150" s="20">
        <v>0</v>
      </c>
      <c r="Z150" s="20">
        <v>0</v>
      </c>
      <c r="AB150" s="19">
        <v>0</v>
      </c>
      <c r="AC150" s="19">
        <v>0</v>
      </c>
      <c r="AD150" s="20">
        <v>0</v>
      </c>
      <c r="AE150" s="20">
        <v>0</v>
      </c>
      <c r="AF150">
        <f t="shared" si="2"/>
        <v>0</v>
      </c>
    </row>
    <row r="151" spans="1:32" hidden="1" x14ac:dyDescent="0.25">
      <c r="A151" s="18" t="s">
        <v>169</v>
      </c>
      <c r="B151" s="19">
        <v>0</v>
      </c>
      <c r="C151" s="19">
        <v>0</v>
      </c>
      <c r="D151" s="20">
        <v>0</v>
      </c>
      <c r="E151" s="20">
        <v>0</v>
      </c>
      <c r="G151" s="19">
        <v>0</v>
      </c>
      <c r="H151" s="19">
        <v>0</v>
      </c>
      <c r="I151" s="20">
        <v>0</v>
      </c>
      <c r="J151" s="20">
        <v>0</v>
      </c>
      <c r="L151" s="19">
        <v>0</v>
      </c>
      <c r="M151" s="19">
        <v>0</v>
      </c>
      <c r="N151" s="20">
        <v>0</v>
      </c>
      <c r="O151" s="20">
        <v>0</v>
      </c>
      <c r="R151" s="19">
        <v>0</v>
      </c>
      <c r="S151" s="19">
        <v>0</v>
      </c>
      <c r="T151" s="20">
        <v>0</v>
      </c>
      <c r="U151" s="20">
        <v>0</v>
      </c>
      <c r="W151" s="19">
        <v>0</v>
      </c>
      <c r="X151" s="19">
        <v>0</v>
      </c>
      <c r="Y151" s="20">
        <v>0</v>
      </c>
      <c r="Z151" s="20">
        <v>0</v>
      </c>
      <c r="AB151" s="19">
        <v>0</v>
      </c>
      <c r="AC151" s="19">
        <v>0</v>
      </c>
      <c r="AD151" s="20">
        <v>0</v>
      </c>
      <c r="AE151" s="20">
        <v>0</v>
      </c>
      <c r="AF151">
        <f t="shared" si="2"/>
        <v>0</v>
      </c>
    </row>
    <row r="152" spans="1:32" hidden="1" x14ac:dyDescent="0.25">
      <c r="A152" s="18" t="s">
        <v>22</v>
      </c>
      <c r="B152" s="19">
        <v>0</v>
      </c>
      <c r="C152" s="19">
        <v>0</v>
      </c>
      <c r="D152" s="20">
        <v>0</v>
      </c>
      <c r="E152" s="20">
        <v>0</v>
      </c>
      <c r="G152" s="19">
        <v>0</v>
      </c>
      <c r="H152" s="19">
        <v>0</v>
      </c>
      <c r="I152" s="20">
        <v>0</v>
      </c>
      <c r="J152" s="20">
        <v>0</v>
      </c>
      <c r="L152" s="19">
        <v>0</v>
      </c>
      <c r="M152" s="19">
        <v>0</v>
      </c>
      <c r="N152" s="20">
        <v>0</v>
      </c>
      <c r="O152" s="20">
        <v>0</v>
      </c>
      <c r="R152" s="19">
        <v>0</v>
      </c>
      <c r="S152" s="19">
        <v>0</v>
      </c>
      <c r="T152" s="20">
        <v>0</v>
      </c>
      <c r="U152" s="20">
        <v>0</v>
      </c>
      <c r="W152" s="19">
        <v>0</v>
      </c>
      <c r="X152" s="19">
        <v>0</v>
      </c>
      <c r="Y152" s="20">
        <v>0</v>
      </c>
      <c r="Z152" s="20">
        <v>0</v>
      </c>
      <c r="AB152" s="19">
        <v>0</v>
      </c>
      <c r="AC152" s="19">
        <v>0</v>
      </c>
      <c r="AD152" s="20">
        <v>0</v>
      </c>
      <c r="AE152" s="20">
        <v>0</v>
      </c>
      <c r="AF152">
        <f t="shared" si="2"/>
        <v>0</v>
      </c>
    </row>
    <row r="153" spans="1:32" hidden="1" x14ac:dyDescent="0.25">
      <c r="A153" s="18" t="s">
        <v>23</v>
      </c>
      <c r="B153" s="19">
        <v>0</v>
      </c>
      <c r="C153" s="19">
        <v>0</v>
      </c>
      <c r="D153" s="20">
        <v>0</v>
      </c>
      <c r="E153" s="20">
        <v>0</v>
      </c>
      <c r="G153" s="19">
        <v>0</v>
      </c>
      <c r="H153" s="19">
        <v>0</v>
      </c>
      <c r="I153" s="20">
        <v>0</v>
      </c>
      <c r="J153" s="20">
        <v>0</v>
      </c>
      <c r="L153" s="19">
        <v>0</v>
      </c>
      <c r="M153" s="19">
        <v>0</v>
      </c>
      <c r="N153" s="20">
        <v>0</v>
      </c>
      <c r="O153" s="20">
        <v>0</v>
      </c>
      <c r="R153" s="19">
        <v>0</v>
      </c>
      <c r="S153" s="19">
        <v>0</v>
      </c>
      <c r="T153" s="20">
        <v>0</v>
      </c>
      <c r="U153" s="20">
        <v>0</v>
      </c>
      <c r="W153" s="19">
        <v>0</v>
      </c>
      <c r="X153" s="19">
        <v>0</v>
      </c>
      <c r="Y153" s="20">
        <v>0</v>
      </c>
      <c r="Z153" s="20">
        <v>0</v>
      </c>
      <c r="AB153" s="19">
        <v>0</v>
      </c>
      <c r="AC153" s="19">
        <v>0</v>
      </c>
      <c r="AD153" s="20">
        <v>0</v>
      </c>
      <c r="AE153" s="20">
        <v>0</v>
      </c>
      <c r="AF153">
        <f t="shared" si="2"/>
        <v>0</v>
      </c>
    </row>
    <row r="154" spans="1:32" x14ac:dyDescent="0.25">
      <c r="A154" s="18" t="s">
        <v>24</v>
      </c>
      <c r="B154" s="19">
        <v>0</v>
      </c>
      <c r="C154" s="19">
        <v>0</v>
      </c>
      <c r="D154" s="20">
        <v>0</v>
      </c>
      <c r="E154" s="20">
        <v>0</v>
      </c>
      <c r="G154" s="19">
        <v>1</v>
      </c>
      <c r="H154" s="19">
        <v>0</v>
      </c>
      <c r="I154" s="20">
        <v>1.9916351324437363E-4</v>
      </c>
      <c r="J154" s="20">
        <v>0</v>
      </c>
      <c r="L154" s="19">
        <v>0</v>
      </c>
      <c r="M154" s="19">
        <v>0</v>
      </c>
      <c r="N154" s="20">
        <v>0</v>
      </c>
      <c r="O154" s="20">
        <v>0</v>
      </c>
      <c r="R154" s="19">
        <v>0</v>
      </c>
      <c r="S154" s="19">
        <v>0</v>
      </c>
      <c r="T154" s="20">
        <v>0</v>
      </c>
      <c r="U154" s="20">
        <v>0</v>
      </c>
      <c r="W154" s="19">
        <v>0</v>
      </c>
      <c r="X154" s="19">
        <v>0</v>
      </c>
      <c r="Y154" s="20">
        <v>0</v>
      </c>
      <c r="Z154" s="20">
        <v>0</v>
      </c>
      <c r="AB154" s="19">
        <v>0</v>
      </c>
      <c r="AC154" s="19">
        <v>0</v>
      </c>
      <c r="AD154" s="20">
        <v>0</v>
      </c>
      <c r="AE154" s="20">
        <v>0</v>
      </c>
      <c r="AF154">
        <f t="shared" si="2"/>
        <v>1.0001991635132443</v>
      </c>
    </row>
    <row r="155" spans="1:32" x14ac:dyDescent="0.25">
      <c r="A155" s="18" t="s">
        <v>25</v>
      </c>
      <c r="B155" s="19">
        <v>114</v>
      </c>
      <c r="C155" s="19">
        <v>117</v>
      </c>
      <c r="D155" s="20">
        <v>3.2824647279009501E-2</v>
      </c>
      <c r="E155" s="20">
        <v>3.3163265306122451E-2</v>
      </c>
      <c r="G155" s="19">
        <v>102</v>
      </c>
      <c r="H155" s="19">
        <v>78</v>
      </c>
      <c r="I155" s="20">
        <v>2.3261117445838083E-2</v>
      </c>
      <c r="J155" s="20">
        <v>1.6813968527699934E-2</v>
      </c>
      <c r="L155" s="19">
        <v>0</v>
      </c>
      <c r="M155" s="19">
        <v>2</v>
      </c>
      <c r="N155" s="20">
        <v>0</v>
      </c>
      <c r="O155" s="20">
        <v>1.3793103448275862E-2</v>
      </c>
      <c r="R155" s="19">
        <v>52</v>
      </c>
      <c r="S155" s="19">
        <v>70</v>
      </c>
      <c r="T155" s="20">
        <v>2.5540275049115914E-2</v>
      </c>
      <c r="U155" s="20">
        <v>3.3573141486810551E-2</v>
      </c>
      <c r="W155" s="19">
        <v>26</v>
      </c>
      <c r="X155" s="19">
        <v>37</v>
      </c>
      <c r="Y155" s="20">
        <v>1.1850501367365542E-2</v>
      </c>
      <c r="Z155" s="20">
        <v>1.6270888302550572E-2</v>
      </c>
      <c r="AB155" s="19">
        <v>0</v>
      </c>
      <c r="AC155" s="19">
        <v>0</v>
      </c>
      <c r="AD155" s="20">
        <v>0</v>
      </c>
      <c r="AE155" s="20">
        <v>0</v>
      </c>
      <c r="AF155">
        <f t="shared" si="2"/>
        <v>598.20709090821276</v>
      </c>
    </row>
    <row r="156" spans="1:32" hidden="1" x14ac:dyDescent="0.25">
      <c r="A156" s="18" t="s">
        <v>82</v>
      </c>
      <c r="B156" s="19">
        <v>0</v>
      </c>
      <c r="C156" s="19">
        <v>0</v>
      </c>
      <c r="D156" s="20">
        <v>0</v>
      </c>
      <c r="E156" s="20">
        <v>0</v>
      </c>
      <c r="G156" s="19">
        <v>0</v>
      </c>
      <c r="H156" s="19">
        <v>0</v>
      </c>
      <c r="I156" s="20">
        <v>0</v>
      </c>
      <c r="J156" s="20">
        <v>0</v>
      </c>
      <c r="L156" s="19">
        <v>0</v>
      </c>
      <c r="M156" s="19">
        <v>0</v>
      </c>
      <c r="N156" s="20">
        <v>0</v>
      </c>
      <c r="O156" s="20">
        <v>0</v>
      </c>
      <c r="R156" s="19">
        <v>0</v>
      </c>
      <c r="S156" s="19">
        <v>0</v>
      </c>
      <c r="T156" s="20">
        <v>0</v>
      </c>
      <c r="U156" s="20">
        <v>0</v>
      </c>
      <c r="W156" s="19">
        <v>0</v>
      </c>
      <c r="X156" s="19">
        <v>0</v>
      </c>
      <c r="Y156" s="20">
        <v>0</v>
      </c>
      <c r="Z156" s="20">
        <v>0</v>
      </c>
      <c r="AB156" s="19">
        <v>0</v>
      </c>
      <c r="AC156" s="19">
        <v>0</v>
      </c>
      <c r="AD156" s="20">
        <v>0</v>
      </c>
      <c r="AE156" s="20">
        <v>0</v>
      </c>
      <c r="AF156">
        <f t="shared" si="2"/>
        <v>0</v>
      </c>
    </row>
    <row r="157" spans="1:32" hidden="1" x14ac:dyDescent="0.25">
      <c r="A157" s="18" t="s">
        <v>83</v>
      </c>
      <c r="B157" s="19">
        <v>0</v>
      </c>
      <c r="C157" s="19">
        <v>0</v>
      </c>
      <c r="D157" s="20">
        <v>0</v>
      </c>
      <c r="E157" s="20">
        <v>0</v>
      </c>
      <c r="G157" s="19">
        <v>0</v>
      </c>
      <c r="H157" s="19">
        <v>0</v>
      </c>
      <c r="I157" s="20">
        <v>0</v>
      </c>
      <c r="J157" s="20">
        <v>0</v>
      </c>
      <c r="L157" s="19">
        <v>0</v>
      </c>
      <c r="M157" s="19">
        <v>0</v>
      </c>
      <c r="N157" s="20">
        <v>0</v>
      </c>
      <c r="O157" s="20">
        <v>0</v>
      </c>
      <c r="R157" s="19">
        <v>0</v>
      </c>
      <c r="S157" s="19">
        <v>0</v>
      </c>
      <c r="T157" s="20">
        <v>0</v>
      </c>
      <c r="U157" s="20">
        <v>0</v>
      </c>
      <c r="W157" s="19">
        <v>0</v>
      </c>
      <c r="X157" s="19">
        <v>0</v>
      </c>
      <c r="Y157" s="20">
        <v>0</v>
      </c>
      <c r="Z157" s="20">
        <v>0</v>
      </c>
      <c r="AB157" s="19">
        <v>0</v>
      </c>
      <c r="AC157" s="19">
        <v>0</v>
      </c>
      <c r="AD157" s="20">
        <v>0</v>
      </c>
      <c r="AE157" s="20">
        <v>0</v>
      </c>
      <c r="AF157">
        <f t="shared" si="2"/>
        <v>0</v>
      </c>
    </row>
    <row r="158" spans="1:32" hidden="1" x14ac:dyDescent="0.25">
      <c r="A158" s="18" t="s">
        <v>84</v>
      </c>
      <c r="B158" s="19">
        <v>0</v>
      </c>
      <c r="C158" s="19">
        <v>0</v>
      </c>
      <c r="D158" s="20">
        <v>0</v>
      </c>
      <c r="E158" s="20">
        <v>0</v>
      </c>
      <c r="G158" s="19">
        <v>0</v>
      </c>
      <c r="H158" s="19">
        <v>0</v>
      </c>
      <c r="I158" s="20">
        <v>0</v>
      </c>
      <c r="J158" s="20">
        <v>0</v>
      </c>
      <c r="L158" s="19">
        <v>0</v>
      </c>
      <c r="M158" s="19">
        <v>0</v>
      </c>
      <c r="N158" s="20">
        <v>0</v>
      </c>
      <c r="O158" s="20">
        <v>0</v>
      </c>
      <c r="R158" s="19">
        <v>0</v>
      </c>
      <c r="S158" s="19">
        <v>0</v>
      </c>
      <c r="T158" s="20">
        <v>0</v>
      </c>
      <c r="U158" s="20">
        <v>0</v>
      </c>
      <c r="W158" s="19">
        <v>0</v>
      </c>
      <c r="X158" s="19">
        <v>0</v>
      </c>
      <c r="Y158" s="20">
        <v>0</v>
      </c>
      <c r="Z158" s="20">
        <v>0</v>
      </c>
      <c r="AB158" s="19">
        <v>0</v>
      </c>
      <c r="AC158" s="19">
        <v>0</v>
      </c>
      <c r="AD158" s="20">
        <v>0</v>
      </c>
      <c r="AE158" s="20">
        <v>0</v>
      </c>
      <c r="AF158">
        <f t="shared" si="2"/>
        <v>0</v>
      </c>
    </row>
    <row r="159" spans="1:32" hidden="1" x14ac:dyDescent="0.25">
      <c r="A159" s="18" t="s">
        <v>26</v>
      </c>
      <c r="B159" s="19">
        <v>0</v>
      </c>
      <c r="C159" s="19">
        <v>0</v>
      </c>
      <c r="D159" s="20">
        <v>0</v>
      </c>
      <c r="E159" s="20">
        <v>0</v>
      </c>
      <c r="G159" s="19">
        <v>0</v>
      </c>
      <c r="H159" s="19">
        <v>0</v>
      </c>
      <c r="I159" s="20">
        <v>0</v>
      </c>
      <c r="J159" s="20">
        <v>0</v>
      </c>
      <c r="L159" s="19">
        <v>0</v>
      </c>
      <c r="M159" s="19">
        <v>0</v>
      </c>
      <c r="N159" s="20">
        <v>0</v>
      </c>
      <c r="O159" s="20">
        <v>0</v>
      </c>
      <c r="R159" s="19">
        <v>0</v>
      </c>
      <c r="S159" s="19">
        <v>0</v>
      </c>
      <c r="T159" s="20">
        <v>0</v>
      </c>
      <c r="U159" s="20">
        <v>0</v>
      </c>
      <c r="W159" s="19">
        <v>0</v>
      </c>
      <c r="X159" s="19">
        <v>0</v>
      </c>
      <c r="Y159" s="20">
        <v>0</v>
      </c>
      <c r="Z159" s="20">
        <v>0</v>
      </c>
      <c r="AB159" s="19">
        <v>0</v>
      </c>
      <c r="AC159" s="19">
        <v>0</v>
      </c>
      <c r="AD159" s="20">
        <v>0</v>
      </c>
      <c r="AE159" s="20">
        <v>0</v>
      </c>
      <c r="AF159">
        <f t="shared" si="2"/>
        <v>0</v>
      </c>
    </row>
    <row r="160" spans="1:32" hidden="1" x14ac:dyDescent="0.25">
      <c r="A160" s="18" t="s">
        <v>27</v>
      </c>
      <c r="B160" s="19">
        <v>0</v>
      </c>
      <c r="C160" s="19">
        <v>0</v>
      </c>
      <c r="D160" s="20">
        <v>0</v>
      </c>
      <c r="E160" s="20">
        <v>0</v>
      </c>
      <c r="G160" s="19">
        <v>0</v>
      </c>
      <c r="H160" s="19">
        <v>0</v>
      </c>
      <c r="I160" s="20">
        <v>0</v>
      </c>
      <c r="J160" s="20">
        <v>0</v>
      </c>
      <c r="L160" s="19">
        <v>0</v>
      </c>
      <c r="M160" s="19">
        <v>0</v>
      </c>
      <c r="N160" s="20">
        <v>0</v>
      </c>
      <c r="O160" s="20">
        <v>0</v>
      </c>
      <c r="R160" s="19">
        <v>0</v>
      </c>
      <c r="S160" s="19">
        <v>0</v>
      </c>
      <c r="T160" s="20">
        <v>0</v>
      </c>
      <c r="U160" s="20">
        <v>0</v>
      </c>
      <c r="W160" s="19">
        <v>0</v>
      </c>
      <c r="X160" s="19">
        <v>0</v>
      </c>
      <c r="Y160" s="20">
        <v>0</v>
      </c>
      <c r="Z160" s="20">
        <v>0</v>
      </c>
      <c r="AB160" s="19">
        <v>0</v>
      </c>
      <c r="AC160" s="19">
        <v>0</v>
      </c>
      <c r="AD160" s="20">
        <v>0</v>
      </c>
      <c r="AE160" s="20">
        <v>0</v>
      </c>
      <c r="AF160">
        <f t="shared" si="2"/>
        <v>0</v>
      </c>
    </row>
    <row r="161" spans="1:32" x14ac:dyDescent="0.25">
      <c r="A161" s="18" t="s">
        <v>28</v>
      </c>
      <c r="B161" s="19">
        <v>1</v>
      </c>
      <c r="C161" s="19">
        <v>0</v>
      </c>
      <c r="D161" s="20">
        <v>3.3036009250082593E-5</v>
      </c>
      <c r="E161" s="20">
        <v>0</v>
      </c>
      <c r="G161" s="19">
        <v>0</v>
      </c>
      <c r="H161" s="19">
        <v>0</v>
      </c>
      <c r="I161" s="20">
        <v>0</v>
      </c>
      <c r="J161" s="20">
        <v>0</v>
      </c>
      <c r="L161" s="19">
        <v>0</v>
      </c>
      <c r="M161" s="19">
        <v>0</v>
      </c>
      <c r="N161" s="20">
        <v>0</v>
      </c>
      <c r="O161" s="20">
        <v>0</v>
      </c>
      <c r="R161" s="19">
        <v>8</v>
      </c>
      <c r="S161" s="19">
        <v>0</v>
      </c>
      <c r="T161" s="20">
        <v>7.7257363592467406E-4</v>
      </c>
      <c r="U161" s="20">
        <v>0</v>
      </c>
      <c r="W161" s="19">
        <v>0</v>
      </c>
      <c r="X161" s="19">
        <v>0</v>
      </c>
      <c r="Y161" s="20">
        <v>0</v>
      </c>
      <c r="Z161" s="20">
        <v>0</v>
      </c>
      <c r="AB161" s="19">
        <v>0</v>
      </c>
      <c r="AC161" s="19">
        <v>0</v>
      </c>
      <c r="AD161" s="20">
        <v>0</v>
      </c>
      <c r="AE161" s="20">
        <v>0</v>
      </c>
      <c r="AF161">
        <f t="shared" si="2"/>
        <v>9.0008056096451732</v>
      </c>
    </row>
    <row r="162" spans="1:32" hidden="1" x14ac:dyDescent="0.25">
      <c r="A162" s="18" t="s">
        <v>170</v>
      </c>
      <c r="B162" s="19">
        <v>0</v>
      </c>
      <c r="C162" s="19">
        <v>0</v>
      </c>
      <c r="D162" s="20">
        <v>0</v>
      </c>
      <c r="E162" s="20">
        <v>0</v>
      </c>
      <c r="G162" s="19">
        <v>0</v>
      </c>
      <c r="H162" s="19">
        <v>0</v>
      </c>
      <c r="I162" s="20">
        <v>0</v>
      </c>
      <c r="J162" s="20">
        <v>0</v>
      </c>
      <c r="L162" s="19">
        <v>0</v>
      </c>
      <c r="M162" s="19">
        <v>0</v>
      </c>
      <c r="N162" s="20">
        <v>0</v>
      </c>
      <c r="O162" s="20">
        <v>0</v>
      </c>
      <c r="R162" s="19">
        <v>0</v>
      </c>
      <c r="S162" s="19">
        <v>0</v>
      </c>
      <c r="T162" s="20">
        <v>0</v>
      </c>
      <c r="U162" s="20">
        <v>0</v>
      </c>
      <c r="W162" s="19">
        <v>0</v>
      </c>
      <c r="X162" s="19">
        <v>0</v>
      </c>
      <c r="Y162" s="20">
        <v>0</v>
      </c>
      <c r="Z162" s="20">
        <v>0</v>
      </c>
      <c r="AB162" s="19">
        <v>0</v>
      </c>
      <c r="AC162" s="19">
        <v>0</v>
      </c>
      <c r="AD162" s="20">
        <v>0</v>
      </c>
      <c r="AE162" s="20">
        <v>0</v>
      </c>
      <c r="AF162">
        <f t="shared" si="2"/>
        <v>0</v>
      </c>
    </row>
    <row r="163" spans="1:32" hidden="1" x14ac:dyDescent="0.25">
      <c r="A163" s="18" t="s">
        <v>171</v>
      </c>
      <c r="B163" s="19">
        <v>0</v>
      </c>
      <c r="C163" s="19">
        <v>0</v>
      </c>
      <c r="D163" s="20">
        <v>0</v>
      </c>
      <c r="E163" s="20">
        <v>0</v>
      </c>
      <c r="G163" s="19">
        <v>0</v>
      </c>
      <c r="H163" s="19">
        <v>0</v>
      </c>
      <c r="I163" s="20">
        <v>0</v>
      </c>
      <c r="J163" s="20">
        <v>0</v>
      </c>
      <c r="L163" s="19">
        <v>0</v>
      </c>
      <c r="M163" s="19">
        <v>0</v>
      </c>
      <c r="N163" s="20">
        <v>0</v>
      </c>
      <c r="O163" s="20">
        <v>0</v>
      </c>
      <c r="R163" s="19">
        <v>0</v>
      </c>
      <c r="S163" s="19">
        <v>0</v>
      </c>
      <c r="T163" s="20">
        <v>0</v>
      </c>
      <c r="U163" s="20">
        <v>0</v>
      </c>
      <c r="W163" s="19">
        <v>0</v>
      </c>
      <c r="X163" s="19">
        <v>0</v>
      </c>
      <c r="Y163" s="20">
        <v>0</v>
      </c>
      <c r="Z163" s="20">
        <v>0</v>
      </c>
      <c r="AB163" s="19">
        <v>0</v>
      </c>
      <c r="AC163" s="19">
        <v>0</v>
      </c>
      <c r="AD163" s="20">
        <v>0</v>
      </c>
      <c r="AE163" s="20">
        <v>0</v>
      </c>
      <c r="AF163">
        <f t="shared" si="2"/>
        <v>0</v>
      </c>
    </row>
    <row r="164" spans="1:32" hidden="1" x14ac:dyDescent="0.25">
      <c r="A164" s="18" t="s">
        <v>29</v>
      </c>
      <c r="B164" s="19">
        <v>0</v>
      </c>
      <c r="C164" s="19">
        <v>0</v>
      </c>
      <c r="D164" s="20">
        <v>0</v>
      </c>
      <c r="E164" s="20">
        <v>0</v>
      </c>
      <c r="G164" s="19">
        <v>0</v>
      </c>
      <c r="H164" s="19">
        <v>0</v>
      </c>
      <c r="I164" s="20">
        <v>0</v>
      </c>
      <c r="J164" s="20">
        <v>0</v>
      </c>
      <c r="L164" s="19">
        <v>0</v>
      </c>
      <c r="M164" s="19">
        <v>0</v>
      </c>
      <c r="N164" s="20">
        <v>0</v>
      </c>
      <c r="O164" s="20">
        <v>0</v>
      </c>
      <c r="R164" s="19">
        <v>0</v>
      </c>
      <c r="S164" s="19">
        <v>0</v>
      </c>
      <c r="T164" s="20">
        <v>0</v>
      </c>
      <c r="U164" s="20">
        <v>0</v>
      </c>
      <c r="W164" s="19">
        <v>0</v>
      </c>
      <c r="X164" s="19">
        <v>0</v>
      </c>
      <c r="Y164" s="20">
        <v>0</v>
      </c>
      <c r="Z164" s="20">
        <v>0</v>
      </c>
      <c r="AB164" s="19">
        <v>0</v>
      </c>
      <c r="AC164" s="19">
        <v>0</v>
      </c>
      <c r="AD164" s="20">
        <v>0</v>
      </c>
      <c r="AE164" s="20">
        <v>0</v>
      </c>
      <c r="AF164">
        <f t="shared" si="2"/>
        <v>0</v>
      </c>
    </row>
    <row r="165" spans="1:32" x14ac:dyDescent="0.25">
      <c r="A165" s="18" t="s">
        <v>30</v>
      </c>
      <c r="B165" s="19">
        <v>2</v>
      </c>
      <c r="C165" s="19">
        <v>1</v>
      </c>
      <c r="D165" s="20">
        <v>2.6696281741878992E-6</v>
      </c>
      <c r="E165" s="20">
        <v>1.3550723066582834E-6</v>
      </c>
      <c r="G165" s="19">
        <v>3</v>
      </c>
      <c r="H165" s="19">
        <v>0</v>
      </c>
      <c r="I165" s="20">
        <v>5.0015838348810458E-5</v>
      </c>
      <c r="J165" s="20">
        <v>0</v>
      </c>
      <c r="L165" s="19">
        <v>12</v>
      </c>
      <c r="M165" s="19">
        <v>8</v>
      </c>
      <c r="N165" s="20">
        <v>2.0366598778004071E-3</v>
      </c>
      <c r="O165" s="20">
        <v>1.0193679918450561E-3</v>
      </c>
      <c r="R165" s="19">
        <v>1</v>
      </c>
      <c r="S165" s="19">
        <v>0</v>
      </c>
      <c r="T165" s="20">
        <v>2.9103270043422077E-6</v>
      </c>
      <c r="U165" s="20">
        <v>0</v>
      </c>
      <c r="W165" s="19">
        <v>0</v>
      </c>
      <c r="X165" s="19">
        <v>0</v>
      </c>
      <c r="Y165" s="20">
        <v>0</v>
      </c>
      <c r="Z165" s="20">
        <v>0</v>
      </c>
      <c r="AB165" s="19">
        <v>0</v>
      </c>
      <c r="AC165" s="19">
        <v>0</v>
      </c>
      <c r="AD165" s="20">
        <v>0</v>
      </c>
      <c r="AE165" s="20">
        <v>0</v>
      </c>
      <c r="AF165">
        <f t="shared" si="2"/>
        <v>27.003112978735476</v>
      </c>
    </row>
    <row r="166" spans="1:32" hidden="1" x14ac:dyDescent="0.25">
      <c r="A166" s="18" t="s">
        <v>31</v>
      </c>
      <c r="B166" s="19">
        <v>0</v>
      </c>
      <c r="C166" s="19">
        <v>0</v>
      </c>
      <c r="D166" s="20">
        <v>0</v>
      </c>
      <c r="E166" s="20">
        <v>0</v>
      </c>
      <c r="G166" s="19">
        <v>0</v>
      </c>
      <c r="H166" s="19">
        <v>0</v>
      </c>
      <c r="I166" s="20">
        <v>0</v>
      </c>
      <c r="J166" s="20">
        <v>0</v>
      </c>
      <c r="L166" s="19">
        <v>0</v>
      </c>
      <c r="M166" s="19">
        <v>0</v>
      </c>
      <c r="N166" s="20">
        <v>0</v>
      </c>
      <c r="O166" s="20">
        <v>0</v>
      </c>
      <c r="R166" s="19">
        <v>0</v>
      </c>
      <c r="S166" s="19">
        <v>0</v>
      </c>
      <c r="T166" s="20">
        <v>0</v>
      </c>
      <c r="U166" s="20">
        <v>0</v>
      </c>
      <c r="W166" s="19">
        <v>0</v>
      </c>
      <c r="X166" s="19">
        <v>0</v>
      </c>
      <c r="Y166" s="20">
        <v>0</v>
      </c>
      <c r="Z166" s="20">
        <v>0</v>
      </c>
      <c r="AB166" s="19">
        <v>0</v>
      </c>
      <c r="AC166" s="19">
        <v>0</v>
      </c>
      <c r="AD166" s="20">
        <v>0</v>
      </c>
      <c r="AE166" s="20">
        <v>0</v>
      </c>
      <c r="AF166">
        <f t="shared" si="2"/>
        <v>0</v>
      </c>
    </row>
    <row r="167" spans="1:32" hidden="1" x14ac:dyDescent="0.25">
      <c r="A167" s="18" t="s">
        <v>79</v>
      </c>
      <c r="B167" s="19">
        <v>0</v>
      </c>
      <c r="C167" s="19">
        <v>0</v>
      </c>
      <c r="D167" s="20">
        <v>0</v>
      </c>
      <c r="E167" s="20">
        <v>0</v>
      </c>
      <c r="G167" s="19">
        <v>0</v>
      </c>
      <c r="H167" s="19">
        <v>0</v>
      </c>
      <c r="I167" s="20">
        <v>0</v>
      </c>
      <c r="J167" s="20">
        <v>0</v>
      </c>
      <c r="L167" s="19">
        <v>0</v>
      </c>
      <c r="M167" s="19">
        <v>0</v>
      </c>
      <c r="N167" s="20">
        <v>0</v>
      </c>
      <c r="O167" s="20">
        <v>0</v>
      </c>
      <c r="R167" s="19">
        <v>0</v>
      </c>
      <c r="S167" s="19">
        <v>0</v>
      </c>
      <c r="T167" s="20">
        <v>0</v>
      </c>
      <c r="U167" s="20">
        <v>0</v>
      </c>
      <c r="W167" s="19">
        <v>0</v>
      </c>
      <c r="X167" s="19">
        <v>0</v>
      </c>
      <c r="Y167" s="20">
        <v>0</v>
      </c>
      <c r="Z167" s="20">
        <v>0</v>
      </c>
      <c r="AB167" s="19">
        <v>0</v>
      </c>
      <c r="AC167" s="19">
        <v>0</v>
      </c>
      <c r="AD167" s="20">
        <v>0</v>
      </c>
      <c r="AE167" s="20">
        <v>0</v>
      </c>
      <c r="AF167">
        <f t="shared" si="2"/>
        <v>0</v>
      </c>
    </row>
    <row r="168" spans="1:32" hidden="1" x14ac:dyDescent="0.25">
      <c r="A168" s="18" t="s">
        <v>32</v>
      </c>
      <c r="B168" s="19">
        <v>0</v>
      </c>
      <c r="C168" s="19">
        <v>0</v>
      </c>
      <c r="D168" s="20">
        <v>0</v>
      </c>
      <c r="E168" s="20">
        <v>0</v>
      </c>
      <c r="G168" s="19">
        <v>0</v>
      </c>
      <c r="H168" s="19">
        <v>0</v>
      </c>
      <c r="I168" s="20">
        <v>0</v>
      </c>
      <c r="J168" s="20">
        <v>0</v>
      </c>
      <c r="L168" s="19">
        <v>0</v>
      </c>
      <c r="M168" s="19">
        <v>0</v>
      </c>
      <c r="N168" s="20">
        <v>0</v>
      </c>
      <c r="O168" s="20">
        <v>0</v>
      </c>
      <c r="R168" s="19">
        <v>0</v>
      </c>
      <c r="S168" s="19">
        <v>0</v>
      </c>
      <c r="T168" s="20">
        <v>0</v>
      </c>
      <c r="U168" s="20">
        <v>0</v>
      </c>
      <c r="W168" s="19">
        <v>0</v>
      </c>
      <c r="X168" s="19">
        <v>0</v>
      </c>
      <c r="Y168" s="20">
        <v>0</v>
      </c>
      <c r="Z168" s="20">
        <v>0</v>
      </c>
      <c r="AB168" s="19">
        <v>0</v>
      </c>
      <c r="AC168" s="19">
        <v>0</v>
      </c>
      <c r="AD168" s="20">
        <v>0</v>
      </c>
      <c r="AE168" s="20">
        <v>0</v>
      </c>
      <c r="AF168">
        <f t="shared" si="2"/>
        <v>0</v>
      </c>
    </row>
    <row r="169" spans="1:32" x14ac:dyDescent="0.25">
      <c r="A169" s="18" t="s">
        <v>80</v>
      </c>
      <c r="B169" s="19">
        <v>0</v>
      </c>
      <c r="C169" s="19">
        <v>0</v>
      </c>
      <c r="D169" s="20">
        <v>0</v>
      </c>
      <c r="E169" s="20">
        <v>0</v>
      </c>
      <c r="G169" s="19">
        <v>7</v>
      </c>
      <c r="H169" s="19">
        <v>6</v>
      </c>
      <c r="I169" s="20">
        <v>3.8674033149171269E-2</v>
      </c>
      <c r="J169" s="20">
        <v>3.5714285714285712E-2</v>
      </c>
      <c r="L169" s="19">
        <v>9</v>
      </c>
      <c r="M169" s="19">
        <v>5</v>
      </c>
      <c r="N169" s="20">
        <v>6.1266167460857727E-3</v>
      </c>
      <c r="O169" s="20">
        <v>3.3921302578018998E-3</v>
      </c>
      <c r="R169" s="19">
        <v>0</v>
      </c>
      <c r="S169" s="19">
        <v>0</v>
      </c>
      <c r="T169" s="20">
        <v>0</v>
      </c>
      <c r="U169" s="20">
        <v>0</v>
      </c>
      <c r="W169" s="19">
        <v>0</v>
      </c>
      <c r="X169" s="19">
        <v>0</v>
      </c>
      <c r="Y169" s="20">
        <v>0</v>
      </c>
      <c r="Z169" s="20">
        <v>0</v>
      </c>
      <c r="AB169" s="19">
        <v>0</v>
      </c>
      <c r="AC169" s="19">
        <v>0</v>
      </c>
      <c r="AD169" s="20">
        <v>0</v>
      </c>
      <c r="AE169" s="20">
        <v>0</v>
      </c>
      <c r="AF169">
        <f t="shared" si="2"/>
        <v>27.083907065867344</v>
      </c>
    </row>
    <row r="170" spans="1:32" hidden="1" x14ac:dyDescent="0.25">
      <c r="A170" s="18" t="s">
        <v>33</v>
      </c>
      <c r="B170" s="19">
        <v>0</v>
      </c>
      <c r="C170" s="19">
        <v>0</v>
      </c>
      <c r="D170" s="20">
        <v>0</v>
      </c>
      <c r="E170" s="20">
        <v>0</v>
      </c>
      <c r="G170" s="19">
        <v>0</v>
      </c>
      <c r="H170" s="19">
        <v>0</v>
      </c>
      <c r="I170" s="20">
        <v>0</v>
      </c>
      <c r="J170" s="20">
        <v>0</v>
      </c>
      <c r="L170" s="19">
        <v>0</v>
      </c>
      <c r="M170" s="19">
        <v>0</v>
      </c>
      <c r="N170" s="20">
        <v>0</v>
      </c>
      <c r="O170" s="20">
        <v>0</v>
      </c>
      <c r="R170" s="19">
        <v>0</v>
      </c>
      <c r="S170" s="19">
        <v>0</v>
      </c>
      <c r="T170" s="20">
        <v>0</v>
      </c>
      <c r="U170" s="20">
        <v>0</v>
      </c>
      <c r="W170" s="19">
        <v>0</v>
      </c>
      <c r="X170" s="19">
        <v>0</v>
      </c>
      <c r="Y170" s="20">
        <v>0</v>
      </c>
      <c r="Z170" s="20">
        <v>0</v>
      </c>
      <c r="AB170" s="19">
        <v>0</v>
      </c>
      <c r="AC170" s="19">
        <v>0</v>
      </c>
      <c r="AD170" s="20">
        <v>0</v>
      </c>
      <c r="AE170" s="20">
        <v>0</v>
      </c>
      <c r="AF170">
        <f t="shared" si="2"/>
        <v>0</v>
      </c>
    </row>
    <row r="171" spans="1:32" hidden="1" x14ac:dyDescent="0.25">
      <c r="A171" s="18" t="s">
        <v>34</v>
      </c>
      <c r="B171" s="19">
        <v>0</v>
      </c>
      <c r="C171" s="19">
        <v>0</v>
      </c>
      <c r="D171" s="20">
        <v>0</v>
      </c>
      <c r="E171" s="20">
        <v>0</v>
      </c>
      <c r="G171" s="19">
        <v>0</v>
      </c>
      <c r="H171" s="19">
        <v>0</v>
      </c>
      <c r="I171" s="20">
        <v>0</v>
      </c>
      <c r="J171" s="20">
        <v>0</v>
      </c>
      <c r="L171" s="19">
        <v>0</v>
      </c>
      <c r="M171" s="19">
        <v>0</v>
      </c>
      <c r="N171" s="20">
        <v>0</v>
      </c>
      <c r="O171" s="20">
        <v>0</v>
      </c>
      <c r="R171" s="19">
        <v>0</v>
      </c>
      <c r="S171" s="19">
        <v>0</v>
      </c>
      <c r="T171" s="20">
        <v>0</v>
      </c>
      <c r="U171" s="20">
        <v>0</v>
      </c>
      <c r="W171" s="19">
        <v>0</v>
      </c>
      <c r="X171" s="19">
        <v>0</v>
      </c>
      <c r="Y171" s="20">
        <v>0</v>
      </c>
      <c r="Z171" s="20">
        <v>0</v>
      </c>
      <c r="AB171" s="19">
        <v>0</v>
      </c>
      <c r="AC171" s="19">
        <v>0</v>
      </c>
      <c r="AD171" s="20">
        <v>0</v>
      </c>
      <c r="AE171" s="20">
        <v>0</v>
      </c>
      <c r="AF171">
        <f t="shared" si="2"/>
        <v>0</v>
      </c>
    </row>
    <row r="172" spans="1:32" hidden="1" x14ac:dyDescent="0.25">
      <c r="A172" s="18" t="s">
        <v>166</v>
      </c>
      <c r="B172" s="19">
        <v>0</v>
      </c>
      <c r="C172" s="19">
        <v>0</v>
      </c>
      <c r="D172" s="20">
        <v>0</v>
      </c>
      <c r="E172" s="20">
        <v>0</v>
      </c>
      <c r="G172" s="19">
        <v>0</v>
      </c>
      <c r="H172" s="19">
        <v>0</v>
      </c>
      <c r="I172" s="20">
        <v>0</v>
      </c>
      <c r="J172" s="20">
        <v>0</v>
      </c>
      <c r="L172" s="19">
        <v>0</v>
      </c>
      <c r="M172" s="19">
        <v>0</v>
      </c>
      <c r="N172" s="20">
        <v>0</v>
      </c>
      <c r="O172" s="20">
        <v>0</v>
      </c>
      <c r="R172" s="19">
        <v>0</v>
      </c>
      <c r="S172" s="19">
        <v>0</v>
      </c>
      <c r="T172" s="20">
        <v>0</v>
      </c>
      <c r="U172" s="20">
        <v>0</v>
      </c>
      <c r="W172" s="19">
        <v>0</v>
      </c>
      <c r="X172" s="19">
        <v>0</v>
      </c>
      <c r="Y172" s="20">
        <v>0</v>
      </c>
      <c r="Z172" s="20">
        <v>0</v>
      </c>
      <c r="AB172" s="19">
        <v>0</v>
      </c>
      <c r="AC172" s="19">
        <v>0</v>
      </c>
      <c r="AD172" s="20">
        <v>0</v>
      </c>
      <c r="AE172" s="20">
        <v>0</v>
      </c>
      <c r="AF172">
        <f t="shared" si="2"/>
        <v>0</v>
      </c>
    </row>
    <row r="173" spans="1:32" hidden="1" x14ac:dyDescent="0.25">
      <c r="A173" s="18" t="s">
        <v>172</v>
      </c>
      <c r="B173" s="19">
        <v>0</v>
      </c>
      <c r="C173" s="19">
        <v>0</v>
      </c>
      <c r="D173" s="20">
        <v>0</v>
      </c>
      <c r="E173" s="20">
        <v>0</v>
      </c>
      <c r="G173" s="19">
        <v>0</v>
      </c>
      <c r="H173" s="19">
        <v>0</v>
      </c>
      <c r="I173" s="20">
        <v>0</v>
      </c>
      <c r="J173" s="20">
        <v>0</v>
      </c>
      <c r="L173" s="19">
        <v>0</v>
      </c>
      <c r="M173" s="19">
        <v>0</v>
      </c>
      <c r="N173" s="20">
        <v>0</v>
      </c>
      <c r="O173" s="20">
        <v>0</v>
      </c>
      <c r="R173" s="19">
        <v>0</v>
      </c>
      <c r="S173" s="19">
        <v>0</v>
      </c>
      <c r="T173" s="20">
        <v>0</v>
      </c>
      <c r="U173" s="20">
        <v>0</v>
      </c>
      <c r="W173" s="19">
        <v>0</v>
      </c>
      <c r="X173" s="19">
        <v>0</v>
      </c>
      <c r="Y173" s="20">
        <v>0</v>
      </c>
      <c r="Z173" s="20">
        <v>0</v>
      </c>
      <c r="AB173" s="19">
        <v>0</v>
      </c>
      <c r="AC173" s="19">
        <v>0</v>
      </c>
      <c r="AD173" s="20">
        <v>0</v>
      </c>
      <c r="AE173" s="20">
        <v>0</v>
      </c>
      <c r="AF173">
        <f t="shared" si="2"/>
        <v>0</v>
      </c>
    </row>
    <row r="174" spans="1:32" hidden="1" x14ac:dyDescent="0.25">
      <c r="A174" s="18" t="s">
        <v>35</v>
      </c>
      <c r="B174" s="19">
        <v>0</v>
      </c>
      <c r="C174" s="19">
        <v>0</v>
      </c>
      <c r="D174" s="20">
        <v>0</v>
      </c>
      <c r="E174" s="20">
        <v>0</v>
      </c>
      <c r="G174" s="19">
        <v>0</v>
      </c>
      <c r="H174" s="19">
        <v>0</v>
      </c>
      <c r="I174" s="20">
        <v>0</v>
      </c>
      <c r="J174" s="20">
        <v>0</v>
      </c>
      <c r="L174" s="19">
        <v>0</v>
      </c>
      <c r="M174" s="19">
        <v>0</v>
      </c>
      <c r="N174" s="20">
        <v>0</v>
      </c>
      <c r="O174" s="20">
        <v>0</v>
      </c>
      <c r="R174" s="19">
        <v>0</v>
      </c>
      <c r="S174" s="19">
        <v>0</v>
      </c>
      <c r="T174" s="20">
        <v>0</v>
      </c>
      <c r="U174" s="20">
        <v>0</v>
      </c>
      <c r="W174" s="19">
        <v>0</v>
      </c>
      <c r="X174" s="19">
        <v>0</v>
      </c>
      <c r="Y174" s="20">
        <v>0</v>
      </c>
      <c r="Z174" s="20">
        <v>0</v>
      </c>
      <c r="AB174" s="19">
        <v>0</v>
      </c>
      <c r="AC174" s="19">
        <v>0</v>
      </c>
      <c r="AD174" s="20">
        <v>0</v>
      </c>
      <c r="AE174" s="20">
        <v>0</v>
      </c>
      <c r="AF174">
        <f t="shared" si="2"/>
        <v>0</v>
      </c>
    </row>
    <row r="175" spans="1:32" hidden="1" x14ac:dyDescent="0.25">
      <c r="A175" s="18" t="s">
        <v>85</v>
      </c>
      <c r="B175" s="19">
        <v>0</v>
      </c>
      <c r="C175" s="19">
        <v>0</v>
      </c>
      <c r="D175" s="20">
        <v>0</v>
      </c>
      <c r="E175" s="20">
        <v>0</v>
      </c>
      <c r="G175" s="19">
        <v>0</v>
      </c>
      <c r="H175" s="19">
        <v>0</v>
      </c>
      <c r="I175" s="20">
        <v>0</v>
      </c>
      <c r="J175" s="20">
        <v>0</v>
      </c>
      <c r="L175" s="19">
        <v>0</v>
      </c>
      <c r="M175" s="19">
        <v>0</v>
      </c>
      <c r="N175" s="20">
        <v>0</v>
      </c>
      <c r="O175" s="20">
        <v>0</v>
      </c>
      <c r="R175" s="19">
        <v>0</v>
      </c>
      <c r="S175" s="19">
        <v>0</v>
      </c>
      <c r="T175" s="20">
        <v>0</v>
      </c>
      <c r="U175" s="20">
        <v>0</v>
      </c>
      <c r="W175" s="19">
        <v>0</v>
      </c>
      <c r="X175" s="19">
        <v>0</v>
      </c>
      <c r="Y175" s="20">
        <v>0</v>
      </c>
      <c r="Z175" s="20">
        <v>0</v>
      </c>
      <c r="AB175" s="19">
        <v>0</v>
      </c>
      <c r="AC175" s="19">
        <v>0</v>
      </c>
      <c r="AD175" s="20">
        <v>0</v>
      </c>
      <c r="AE175" s="20">
        <v>0</v>
      </c>
      <c r="AF175">
        <f t="shared" si="2"/>
        <v>0</v>
      </c>
    </row>
    <row r="176" spans="1:32" hidden="1" x14ac:dyDescent="0.25">
      <c r="A176" s="18" t="s">
        <v>36</v>
      </c>
      <c r="B176" s="19">
        <v>0</v>
      </c>
      <c r="C176" s="19">
        <v>0</v>
      </c>
      <c r="D176" s="20">
        <v>0</v>
      </c>
      <c r="E176" s="20">
        <v>0</v>
      </c>
      <c r="G176" s="19">
        <v>0</v>
      </c>
      <c r="H176" s="19">
        <v>0</v>
      </c>
      <c r="I176" s="20">
        <v>0</v>
      </c>
      <c r="J176" s="20">
        <v>0</v>
      </c>
      <c r="L176" s="19">
        <v>0</v>
      </c>
      <c r="M176" s="19">
        <v>0</v>
      </c>
      <c r="N176" s="20">
        <v>0</v>
      </c>
      <c r="O176" s="20">
        <v>0</v>
      </c>
      <c r="R176" s="19">
        <v>0</v>
      </c>
      <c r="S176" s="19">
        <v>0</v>
      </c>
      <c r="T176" s="20">
        <v>0</v>
      </c>
      <c r="U176" s="20">
        <v>0</v>
      </c>
      <c r="W176" s="19">
        <v>0</v>
      </c>
      <c r="X176" s="19">
        <v>0</v>
      </c>
      <c r="Y176" s="20">
        <v>0</v>
      </c>
      <c r="Z176" s="20">
        <v>0</v>
      </c>
      <c r="AB176" s="19">
        <v>0</v>
      </c>
      <c r="AC176" s="19">
        <v>0</v>
      </c>
      <c r="AD176" s="20">
        <v>0</v>
      </c>
      <c r="AE176" s="20">
        <v>0</v>
      </c>
      <c r="AF176">
        <f t="shared" si="2"/>
        <v>0</v>
      </c>
    </row>
    <row r="177" spans="1:32" hidden="1" x14ac:dyDescent="0.25">
      <c r="A177" s="18" t="s">
        <v>37</v>
      </c>
      <c r="B177" s="19">
        <v>0</v>
      </c>
      <c r="C177" s="19">
        <v>0</v>
      </c>
      <c r="D177" s="20">
        <v>0</v>
      </c>
      <c r="E177" s="20">
        <v>0</v>
      </c>
      <c r="G177" s="19">
        <v>0</v>
      </c>
      <c r="H177" s="19">
        <v>0</v>
      </c>
      <c r="I177" s="20">
        <v>0</v>
      </c>
      <c r="J177" s="20">
        <v>0</v>
      </c>
      <c r="L177" s="19">
        <v>0</v>
      </c>
      <c r="M177" s="19">
        <v>0</v>
      </c>
      <c r="N177" s="20">
        <v>0</v>
      </c>
      <c r="O177" s="20">
        <v>0</v>
      </c>
      <c r="R177" s="19">
        <v>0</v>
      </c>
      <c r="S177" s="19">
        <v>0</v>
      </c>
      <c r="T177" s="20">
        <v>0</v>
      </c>
      <c r="U177" s="20">
        <v>0</v>
      </c>
      <c r="W177" s="19">
        <v>0</v>
      </c>
      <c r="X177" s="19">
        <v>0</v>
      </c>
      <c r="Y177" s="20">
        <v>0</v>
      </c>
      <c r="Z177" s="20">
        <v>0</v>
      </c>
      <c r="AB177" s="19">
        <v>0</v>
      </c>
      <c r="AC177" s="19">
        <v>0</v>
      </c>
      <c r="AD177" s="20">
        <v>0</v>
      </c>
      <c r="AE177" s="20">
        <v>0</v>
      </c>
      <c r="AF177">
        <f t="shared" si="2"/>
        <v>0</v>
      </c>
    </row>
    <row r="178" spans="1:32" hidden="1" x14ac:dyDescent="0.25">
      <c r="A178" s="18" t="s">
        <v>86</v>
      </c>
      <c r="B178" s="19">
        <v>0</v>
      </c>
      <c r="C178" s="19">
        <v>0</v>
      </c>
      <c r="D178" s="20">
        <v>0</v>
      </c>
      <c r="E178" s="20">
        <v>0</v>
      </c>
      <c r="G178" s="19">
        <v>0</v>
      </c>
      <c r="H178" s="19">
        <v>0</v>
      </c>
      <c r="I178" s="20">
        <v>0</v>
      </c>
      <c r="J178" s="20">
        <v>0</v>
      </c>
      <c r="L178" s="19">
        <v>0</v>
      </c>
      <c r="M178" s="19">
        <v>0</v>
      </c>
      <c r="N178" s="20">
        <v>0</v>
      </c>
      <c r="O178" s="20">
        <v>0</v>
      </c>
      <c r="R178" s="19">
        <v>0</v>
      </c>
      <c r="S178" s="19">
        <v>0</v>
      </c>
      <c r="T178" s="20">
        <v>0</v>
      </c>
      <c r="U178" s="20">
        <v>0</v>
      </c>
      <c r="W178" s="19">
        <v>0</v>
      </c>
      <c r="X178" s="19">
        <v>0</v>
      </c>
      <c r="Y178" s="20">
        <v>0</v>
      </c>
      <c r="Z178" s="20">
        <v>0</v>
      </c>
      <c r="AB178" s="19">
        <v>0</v>
      </c>
      <c r="AC178" s="19">
        <v>0</v>
      </c>
      <c r="AD178" s="20">
        <v>0</v>
      </c>
      <c r="AE178" s="20">
        <v>0</v>
      </c>
      <c r="AF178">
        <f t="shared" si="2"/>
        <v>0</v>
      </c>
    </row>
    <row r="179" spans="1:32" hidden="1" x14ac:dyDescent="0.25">
      <c r="A179" s="18" t="s">
        <v>38</v>
      </c>
      <c r="B179" s="19">
        <v>0</v>
      </c>
      <c r="C179" s="19">
        <v>0</v>
      </c>
      <c r="D179" s="20">
        <v>0</v>
      </c>
      <c r="E179" s="20">
        <v>0</v>
      </c>
      <c r="G179" s="19">
        <v>0</v>
      </c>
      <c r="H179" s="19">
        <v>0</v>
      </c>
      <c r="I179" s="20">
        <v>0</v>
      </c>
      <c r="J179" s="20">
        <v>0</v>
      </c>
      <c r="L179" s="19">
        <v>0</v>
      </c>
      <c r="M179" s="19">
        <v>0</v>
      </c>
      <c r="N179" s="20">
        <v>0</v>
      </c>
      <c r="O179" s="20">
        <v>0</v>
      </c>
      <c r="R179" s="19">
        <v>0</v>
      </c>
      <c r="S179" s="19">
        <v>0</v>
      </c>
      <c r="T179" s="20">
        <v>0</v>
      </c>
      <c r="U179" s="20">
        <v>0</v>
      </c>
      <c r="W179" s="19">
        <v>0</v>
      </c>
      <c r="X179" s="19">
        <v>0</v>
      </c>
      <c r="Y179" s="20">
        <v>0</v>
      </c>
      <c r="Z179" s="20">
        <v>0</v>
      </c>
      <c r="AB179" s="19">
        <v>0</v>
      </c>
      <c r="AC179" s="19">
        <v>0</v>
      </c>
      <c r="AD179" s="20">
        <v>0</v>
      </c>
      <c r="AE179" s="20">
        <v>0</v>
      </c>
      <c r="AF179">
        <f t="shared" si="2"/>
        <v>0</v>
      </c>
    </row>
    <row r="180" spans="1:32" hidden="1" x14ac:dyDescent="0.25">
      <c r="A180" s="18" t="s">
        <v>39</v>
      </c>
      <c r="B180" s="19">
        <v>0</v>
      </c>
      <c r="C180" s="19">
        <v>0</v>
      </c>
      <c r="D180" s="20">
        <v>0</v>
      </c>
      <c r="E180" s="20">
        <v>0</v>
      </c>
      <c r="G180" s="19">
        <v>0</v>
      </c>
      <c r="H180" s="19">
        <v>0</v>
      </c>
      <c r="I180" s="20">
        <v>0</v>
      </c>
      <c r="J180" s="20">
        <v>0</v>
      </c>
      <c r="L180" s="19">
        <v>0</v>
      </c>
      <c r="M180" s="19">
        <v>0</v>
      </c>
      <c r="N180" s="20">
        <v>0</v>
      </c>
      <c r="O180" s="20">
        <v>0</v>
      </c>
      <c r="R180" s="19">
        <v>0</v>
      </c>
      <c r="S180" s="19">
        <v>0</v>
      </c>
      <c r="T180" s="20">
        <v>0</v>
      </c>
      <c r="U180" s="20">
        <v>0</v>
      </c>
      <c r="W180" s="19">
        <v>0</v>
      </c>
      <c r="X180" s="19">
        <v>0</v>
      </c>
      <c r="Y180" s="20">
        <v>0</v>
      </c>
      <c r="Z180" s="20">
        <v>0</v>
      </c>
      <c r="AB180" s="19">
        <v>0</v>
      </c>
      <c r="AC180" s="19">
        <v>0</v>
      </c>
      <c r="AD180" s="20">
        <v>0</v>
      </c>
      <c r="AE180" s="20">
        <v>0</v>
      </c>
      <c r="AF180">
        <f t="shared" si="2"/>
        <v>0</v>
      </c>
    </row>
    <row r="181" spans="1:32" hidden="1" x14ac:dyDescent="0.25">
      <c r="A181" s="18" t="s">
        <v>40</v>
      </c>
      <c r="B181" s="19">
        <v>0</v>
      </c>
      <c r="C181" s="19">
        <v>0</v>
      </c>
      <c r="D181" s="20">
        <v>0</v>
      </c>
      <c r="E181" s="20">
        <v>0</v>
      </c>
      <c r="G181" s="19">
        <v>0</v>
      </c>
      <c r="H181" s="19">
        <v>0</v>
      </c>
      <c r="I181" s="20">
        <v>0</v>
      </c>
      <c r="J181" s="20">
        <v>0</v>
      </c>
      <c r="L181" s="19">
        <v>0</v>
      </c>
      <c r="M181" s="19">
        <v>0</v>
      </c>
      <c r="N181" s="20">
        <v>0</v>
      </c>
      <c r="O181" s="20">
        <v>0</v>
      </c>
      <c r="R181" s="19">
        <v>0</v>
      </c>
      <c r="S181" s="19">
        <v>0</v>
      </c>
      <c r="T181" s="20">
        <v>0</v>
      </c>
      <c r="U181" s="20">
        <v>0</v>
      </c>
      <c r="W181" s="19">
        <v>0</v>
      </c>
      <c r="X181" s="19">
        <v>0</v>
      </c>
      <c r="Y181" s="20">
        <v>0</v>
      </c>
      <c r="Z181" s="20">
        <v>0</v>
      </c>
      <c r="AB181" s="19">
        <v>0</v>
      </c>
      <c r="AC181" s="19">
        <v>0</v>
      </c>
      <c r="AD181" s="20">
        <v>0</v>
      </c>
      <c r="AE181" s="20">
        <v>0</v>
      </c>
      <c r="AF181">
        <f t="shared" si="2"/>
        <v>0</v>
      </c>
    </row>
    <row r="182" spans="1:32" hidden="1" x14ac:dyDescent="0.25">
      <c r="A182" s="18" t="s">
        <v>173</v>
      </c>
      <c r="B182" s="19">
        <v>0</v>
      </c>
      <c r="C182" s="19">
        <v>0</v>
      </c>
      <c r="D182" s="20">
        <v>0</v>
      </c>
      <c r="E182" s="20">
        <v>0</v>
      </c>
      <c r="G182" s="19">
        <v>0</v>
      </c>
      <c r="H182" s="19">
        <v>0</v>
      </c>
      <c r="I182" s="20">
        <v>0</v>
      </c>
      <c r="J182" s="20">
        <v>0</v>
      </c>
      <c r="L182" s="19">
        <v>0</v>
      </c>
      <c r="M182" s="19">
        <v>0</v>
      </c>
      <c r="N182" s="20">
        <v>0</v>
      </c>
      <c r="O182" s="20">
        <v>0</v>
      </c>
      <c r="R182" s="19">
        <v>0</v>
      </c>
      <c r="S182" s="19">
        <v>0</v>
      </c>
      <c r="T182" s="20">
        <v>0</v>
      </c>
      <c r="U182" s="20">
        <v>0</v>
      </c>
      <c r="W182" s="19">
        <v>0</v>
      </c>
      <c r="X182" s="19">
        <v>0</v>
      </c>
      <c r="Y182" s="20">
        <v>0</v>
      </c>
      <c r="Z182" s="20">
        <v>0</v>
      </c>
      <c r="AB182" s="19">
        <v>0</v>
      </c>
      <c r="AC182" s="19">
        <v>0</v>
      </c>
      <c r="AD182" s="20">
        <v>0</v>
      </c>
      <c r="AE182" s="20">
        <v>0</v>
      </c>
      <c r="AF182">
        <f t="shared" si="2"/>
        <v>0</v>
      </c>
    </row>
    <row r="183" spans="1:32" hidden="1" x14ac:dyDescent="0.25">
      <c r="A183" s="18" t="s">
        <v>41</v>
      </c>
      <c r="B183" s="19">
        <v>0</v>
      </c>
      <c r="C183" s="19">
        <v>0</v>
      </c>
      <c r="D183" s="20">
        <v>0</v>
      </c>
      <c r="E183" s="20">
        <v>0</v>
      </c>
      <c r="G183" s="19">
        <v>0</v>
      </c>
      <c r="H183" s="19">
        <v>0</v>
      </c>
      <c r="I183" s="20">
        <v>0</v>
      </c>
      <c r="J183" s="20">
        <v>0</v>
      </c>
      <c r="L183" s="19">
        <v>0</v>
      </c>
      <c r="M183" s="19">
        <v>0</v>
      </c>
      <c r="N183" s="20">
        <v>0</v>
      </c>
      <c r="O183" s="20">
        <v>0</v>
      </c>
      <c r="R183" s="19">
        <v>0</v>
      </c>
      <c r="S183" s="19">
        <v>0</v>
      </c>
      <c r="T183" s="20">
        <v>0</v>
      </c>
      <c r="U183" s="20">
        <v>0</v>
      </c>
      <c r="W183" s="19">
        <v>0</v>
      </c>
      <c r="X183" s="19">
        <v>0</v>
      </c>
      <c r="Y183" s="20">
        <v>0</v>
      </c>
      <c r="Z183" s="20">
        <v>0</v>
      </c>
      <c r="AB183" s="19">
        <v>0</v>
      </c>
      <c r="AC183" s="19">
        <v>0</v>
      </c>
      <c r="AD183" s="20">
        <v>0</v>
      </c>
      <c r="AE183" s="20">
        <v>0</v>
      </c>
      <c r="AF183">
        <f t="shared" si="2"/>
        <v>0</v>
      </c>
    </row>
    <row r="184" spans="1:32" hidden="1" x14ac:dyDescent="0.25">
      <c r="A184" s="18" t="s">
        <v>42</v>
      </c>
      <c r="B184" s="19">
        <v>0</v>
      </c>
      <c r="C184" s="19">
        <v>0</v>
      </c>
      <c r="D184" s="20">
        <v>0</v>
      </c>
      <c r="E184" s="20">
        <v>0</v>
      </c>
      <c r="G184" s="19">
        <v>0</v>
      </c>
      <c r="H184" s="19">
        <v>0</v>
      </c>
      <c r="I184" s="20">
        <v>0</v>
      </c>
      <c r="J184" s="20">
        <v>0</v>
      </c>
      <c r="L184" s="19">
        <v>0</v>
      </c>
      <c r="M184" s="19">
        <v>0</v>
      </c>
      <c r="N184" s="20">
        <v>0</v>
      </c>
      <c r="O184" s="20">
        <v>0</v>
      </c>
      <c r="R184" s="19">
        <v>0</v>
      </c>
      <c r="S184" s="19">
        <v>0</v>
      </c>
      <c r="T184" s="20">
        <v>0</v>
      </c>
      <c r="U184" s="20">
        <v>0</v>
      </c>
      <c r="W184" s="19">
        <v>0</v>
      </c>
      <c r="X184" s="19">
        <v>0</v>
      </c>
      <c r="Y184" s="20">
        <v>0</v>
      </c>
      <c r="Z184" s="20">
        <v>0</v>
      </c>
      <c r="AB184" s="19">
        <v>0</v>
      </c>
      <c r="AC184" s="19">
        <v>0</v>
      </c>
      <c r="AD184" s="20">
        <v>0</v>
      </c>
      <c r="AE184" s="20">
        <v>0</v>
      </c>
      <c r="AF184">
        <f t="shared" si="2"/>
        <v>0</v>
      </c>
    </row>
    <row r="185" spans="1:32" x14ac:dyDescent="0.25">
      <c r="A185" s="18" t="s">
        <v>43</v>
      </c>
      <c r="B185" s="19">
        <v>23</v>
      </c>
      <c r="C185" s="19">
        <v>24</v>
      </c>
      <c r="D185" s="20">
        <v>2.9424633279516105E-5</v>
      </c>
      <c r="E185" s="20">
        <v>3.0675238691701069E-5</v>
      </c>
      <c r="G185" s="19">
        <v>2</v>
      </c>
      <c r="H185" s="19">
        <v>1</v>
      </c>
      <c r="I185" s="20">
        <v>2.1777003484320557E-5</v>
      </c>
      <c r="J185" s="20">
        <v>1.0961907371882707E-5</v>
      </c>
      <c r="L185" s="19">
        <v>0</v>
      </c>
      <c r="M185" s="19">
        <v>0</v>
      </c>
      <c r="N185" s="20">
        <v>0</v>
      </c>
      <c r="O185" s="20">
        <v>0</v>
      </c>
      <c r="R185" s="19">
        <v>6</v>
      </c>
      <c r="S185" s="19">
        <v>5</v>
      </c>
      <c r="T185" s="20">
        <v>2.416616656127533E-5</v>
      </c>
      <c r="U185" s="20">
        <v>2.0053422317052628E-5</v>
      </c>
      <c r="W185" s="19">
        <v>10</v>
      </c>
      <c r="X185" s="19">
        <v>0</v>
      </c>
      <c r="Y185" s="20">
        <v>5.8875478363261706E-4</v>
      </c>
      <c r="Z185" s="20">
        <v>0</v>
      </c>
      <c r="AB185" s="19">
        <v>0</v>
      </c>
      <c r="AC185" s="19">
        <v>0</v>
      </c>
      <c r="AD185" s="20">
        <v>0</v>
      </c>
      <c r="AE185" s="20">
        <v>0</v>
      </c>
      <c r="AF185">
        <f t="shared" si="2"/>
        <v>71.000725813155341</v>
      </c>
    </row>
    <row r="186" spans="1:32" hidden="1" x14ac:dyDescent="0.25">
      <c r="A186" s="18" t="s">
        <v>87</v>
      </c>
      <c r="B186" s="19">
        <v>0</v>
      </c>
      <c r="C186" s="19">
        <v>0</v>
      </c>
      <c r="D186" s="20">
        <v>0</v>
      </c>
      <c r="E186" s="20">
        <v>0</v>
      </c>
      <c r="G186" s="19">
        <v>0</v>
      </c>
      <c r="H186" s="19">
        <v>0</v>
      </c>
      <c r="I186" s="20">
        <v>0</v>
      </c>
      <c r="J186" s="20">
        <v>0</v>
      </c>
      <c r="L186" s="19">
        <v>0</v>
      </c>
      <c r="M186" s="19">
        <v>0</v>
      </c>
      <c r="N186" s="20">
        <v>0</v>
      </c>
      <c r="O186" s="20">
        <v>0</v>
      </c>
      <c r="R186" s="19">
        <v>0</v>
      </c>
      <c r="S186" s="19">
        <v>0</v>
      </c>
      <c r="T186" s="20">
        <v>0</v>
      </c>
      <c r="U186" s="20">
        <v>0</v>
      </c>
      <c r="W186" s="19">
        <v>0</v>
      </c>
      <c r="X186" s="19">
        <v>0</v>
      </c>
      <c r="Y186" s="20">
        <v>0</v>
      </c>
      <c r="Z186" s="20">
        <v>0</v>
      </c>
      <c r="AB186" s="19">
        <v>0</v>
      </c>
      <c r="AC186" s="19">
        <v>0</v>
      </c>
      <c r="AD186" s="20">
        <v>0</v>
      </c>
      <c r="AE186" s="20">
        <v>0</v>
      </c>
      <c r="AF186">
        <f t="shared" si="2"/>
        <v>0</v>
      </c>
    </row>
    <row r="187" spans="1:32" hidden="1" x14ac:dyDescent="0.25">
      <c r="A187" s="18" t="s">
        <v>44</v>
      </c>
      <c r="B187" s="19">
        <v>0</v>
      </c>
      <c r="C187" s="19">
        <v>0</v>
      </c>
      <c r="D187" s="20">
        <v>0</v>
      </c>
      <c r="E187" s="20">
        <v>0</v>
      </c>
      <c r="G187" s="19">
        <v>0</v>
      </c>
      <c r="H187" s="19">
        <v>0</v>
      </c>
      <c r="I187" s="20">
        <v>0</v>
      </c>
      <c r="J187" s="20">
        <v>0</v>
      </c>
      <c r="L187" s="19">
        <v>0</v>
      </c>
      <c r="M187" s="19">
        <v>0</v>
      </c>
      <c r="N187" s="20">
        <v>0</v>
      </c>
      <c r="O187" s="20">
        <v>0</v>
      </c>
      <c r="R187" s="19">
        <v>0</v>
      </c>
      <c r="S187" s="19">
        <v>0</v>
      </c>
      <c r="T187" s="20">
        <v>0</v>
      </c>
      <c r="U187" s="20">
        <v>0</v>
      </c>
      <c r="W187" s="19">
        <v>0</v>
      </c>
      <c r="X187" s="19">
        <v>0</v>
      </c>
      <c r="Y187" s="20">
        <v>0</v>
      </c>
      <c r="Z187" s="20">
        <v>0</v>
      </c>
      <c r="AB187" s="19">
        <v>0</v>
      </c>
      <c r="AC187" s="19">
        <v>0</v>
      </c>
      <c r="AD187" s="20">
        <v>0</v>
      </c>
      <c r="AE187" s="20">
        <v>0</v>
      </c>
      <c r="AF187">
        <f t="shared" si="2"/>
        <v>0</v>
      </c>
    </row>
    <row r="188" spans="1:32" hidden="1" x14ac:dyDescent="0.25">
      <c r="A188" s="18" t="s">
        <v>45</v>
      </c>
      <c r="B188" s="19">
        <v>0</v>
      </c>
      <c r="C188" s="19">
        <v>0</v>
      </c>
      <c r="D188" s="20">
        <v>0</v>
      </c>
      <c r="E188" s="20">
        <v>0</v>
      </c>
      <c r="G188" s="19">
        <v>0</v>
      </c>
      <c r="H188" s="19">
        <v>0</v>
      </c>
      <c r="I188" s="20">
        <v>0</v>
      </c>
      <c r="J188" s="20">
        <v>0</v>
      </c>
      <c r="L188" s="19">
        <v>0</v>
      </c>
      <c r="M188" s="19">
        <v>0</v>
      </c>
      <c r="N188" s="20">
        <v>0</v>
      </c>
      <c r="O188" s="20">
        <v>0</v>
      </c>
      <c r="R188" s="19">
        <v>0</v>
      </c>
      <c r="S188" s="19">
        <v>0</v>
      </c>
      <c r="T188" s="20">
        <v>0</v>
      </c>
      <c r="U188" s="20">
        <v>0</v>
      </c>
      <c r="W188" s="19">
        <v>0</v>
      </c>
      <c r="X188" s="19">
        <v>0</v>
      </c>
      <c r="Y188" s="20">
        <v>0</v>
      </c>
      <c r="Z188" s="20">
        <v>0</v>
      </c>
      <c r="AB188" s="19">
        <v>0</v>
      </c>
      <c r="AC188" s="19">
        <v>0</v>
      </c>
      <c r="AD188" s="20">
        <v>0</v>
      </c>
      <c r="AE188" s="20">
        <v>0</v>
      </c>
      <c r="AF188">
        <f t="shared" si="2"/>
        <v>0</v>
      </c>
    </row>
    <row r="189" spans="1:32" hidden="1" x14ac:dyDescent="0.25">
      <c r="A189" s="18" t="s">
        <v>174</v>
      </c>
      <c r="B189" s="19">
        <v>0</v>
      </c>
      <c r="C189" s="19">
        <v>0</v>
      </c>
      <c r="D189" s="20">
        <v>0</v>
      </c>
      <c r="E189" s="20">
        <v>0</v>
      </c>
      <c r="G189" s="19">
        <v>0</v>
      </c>
      <c r="H189" s="19">
        <v>0</v>
      </c>
      <c r="I189" s="20">
        <v>0</v>
      </c>
      <c r="J189" s="20">
        <v>0</v>
      </c>
      <c r="L189" s="19">
        <v>0</v>
      </c>
      <c r="M189" s="19">
        <v>0</v>
      </c>
      <c r="N189" s="20">
        <v>0</v>
      </c>
      <c r="O189" s="20">
        <v>0</v>
      </c>
      <c r="R189" s="19">
        <v>0</v>
      </c>
      <c r="S189" s="19">
        <v>0</v>
      </c>
      <c r="T189" s="20">
        <v>0</v>
      </c>
      <c r="U189" s="20">
        <v>0</v>
      </c>
      <c r="W189" s="19">
        <v>0</v>
      </c>
      <c r="X189" s="19">
        <v>0</v>
      </c>
      <c r="Y189" s="20">
        <v>0</v>
      </c>
      <c r="Z189" s="20">
        <v>0</v>
      </c>
      <c r="AB189" s="19">
        <v>0</v>
      </c>
      <c r="AC189" s="19">
        <v>0</v>
      </c>
      <c r="AD189" s="20">
        <v>0</v>
      </c>
      <c r="AE189" s="20">
        <v>0</v>
      </c>
      <c r="AF189">
        <f t="shared" si="2"/>
        <v>0</v>
      </c>
    </row>
    <row r="190" spans="1:32" hidden="1" x14ac:dyDescent="0.25">
      <c r="A190" s="18" t="s">
        <v>46</v>
      </c>
      <c r="B190" s="19">
        <v>0</v>
      </c>
      <c r="C190" s="19">
        <v>0</v>
      </c>
      <c r="D190" s="20">
        <v>0</v>
      </c>
      <c r="E190" s="20">
        <v>0</v>
      </c>
      <c r="G190" s="19">
        <v>0</v>
      </c>
      <c r="H190" s="19">
        <v>0</v>
      </c>
      <c r="I190" s="20">
        <v>0</v>
      </c>
      <c r="J190" s="20">
        <v>0</v>
      </c>
      <c r="L190" s="19">
        <v>0</v>
      </c>
      <c r="M190" s="19">
        <v>0</v>
      </c>
      <c r="N190" s="20">
        <v>0</v>
      </c>
      <c r="O190" s="20">
        <v>0</v>
      </c>
      <c r="R190" s="19">
        <v>0</v>
      </c>
      <c r="S190" s="19">
        <v>0</v>
      </c>
      <c r="T190" s="20">
        <v>0</v>
      </c>
      <c r="U190" s="20">
        <v>0</v>
      </c>
      <c r="W190" s="19">
        <v>0</v>
      </c>
      <c r="X190" s="19">
        <v>0</v>
      </c>
      <c r="Y190" s="20">
        <v>0</v>
      </c>
      <c r="Z190" s="20">
        <v>0</v>
      </c>
      <c r="AB190" s="19">
        <v>0</v>
      </c>
      <c r="AC190" s="19">
        <v>0</v>
      </c>
      <c r="AD190" s="20">
        <v>0</v>
      </c>
      <c r="AE190" s="20">
        <v>0</v>
      </c>
      <c r="AF190">
        <f t="shared" si="2"/>
        <v>0</v>
      </c>
    </row>
    <row r="191" spans="1:32" hidden="1" x14ac:dyDescent="0.25">
      <c r="A191" s="18" t="s">
        <v>126</v>
      </c>
      <c r="B191" s="19">
        <v>0</v>
      </c>
      <c r="C191" s="19">
        <v>0</v>
      </c>
      <c r="D191" s="20">
        <v>0</v>
      </c>
      <c r="E191" s="20">
        <v>0</v>
      </c>
      <c r="G191" s="19">
        <v>0</v>
      </c>
      <c r="H191" s="19">
        <v>0</v>
      </c>
      <c r="I191" s="20">
        <v>0</v>
      </c>
      <c r="J191" s="20">
        <v>0</v>
      </c>
      <c r="L191" s="19">
        <v>0</v>
      </c>
      <c r="M191" s="19">
        <v>0</v>
      </c>
      <c r="N191" s="20">
        <v>0</v>
      </c>
      <c r="O191" s="20">
        <v>0</v>
      </c>
      <c r="R191" s="19">
        <v>0</v>
      </c>
      <c r="S191" s="19">
        <v>0</v>
      </c>
      <c r="T191" s="20">
        <v>0</v>
      </c>
      <c r="U191" s="20">
        <v>0</v>
      </c>
      <c r="W191" s="19">
        <v>0</v>
      </c>
      <c r="X191" s="19">
        <v>0</v>
      </c>
      <c r="Y191" s="20">
        <v>0</v>
      </c>
      <c r="Z191" s="20">
        <v>0</v>
      </c>
      <c r="AB191" s="19">
        <v>0</v>
      </c>
      <c r="AC191" s="19">
        <v>0</v>
      </c>
      <c r="AD191" s="20">
        <v>0</v>
      </c>
      <c r="AE191" s="20">
        <v>0</v>
      </c>
      <c r="AF191">
        <f t="shared" si="2"/>
        <v>0</v>
      </c>
    </row>
    <row r="192" spans="1:32" hidden="1" x14ac:dyDescent="0.25">
      <c r="A192" s="18" t="s">
        <v>47</v>
      </c>
      <c r="B192" s="19">
        <v>0</v>
      </c>
      <c r="C192" s="19">
        <v>0</v>
      </c>
      <c r="D192" s="20">
        <v>0</v>
      </c>
      <c r="E192" s="20">
        <v>0</v>
      </c>
      <c r="G192" s="19">
        <v>0</v>
      </c>
      <c r="H192" s="19">
        <v>0</v>
      </c>
      <c r="I192" s="20">
        <v>0</v>
      </c>
      <c r="J192" s="20">
        <v>0</v>
      </c>
      <c r="L192" s="19">
        <v>0</v>
      </c>
      <c r="M192" s="19">
        <v>0</v>
      </c>
      <c r="N192" s="20">
        <v>0</v>
      </c>
      <c r="O192" s="20">
        <v>0</v>
      </c>
      <c r="R192" s="19">
        <v>0</v>
      </c>
      <c r="S192" s="19">
        <v>0</v>
      </c>
      <c r="T192" s="20">
        <v>0</v>
      </c>
      <c r="U192" s="20">
        <v>0</v>
      </c>
      <c r="W192" s="19">
        <v>0</v>
      </c>
      <c r="X192" s="19">
        <v>0</v>
      </c>
      <c r="Y192" s="20">
        <v>0</v>
      </c>
      <c r="Z192" s="20">
        <v>0</v>
      </c>
      <c r="AB192" s="19">
        <v>0</v>
      </c>
      <c r="AC192" s="19">
        <v>0</v>
      </c>
      <c r="AD192" s="20">
        <v>0</v>
      </c>
      <c r="AE192" s="20">
        <v>0</v>
      </c>
      <c r="AF192">
        <f t="shared" si="2"/>
        <v>0</v>
      </c>
    </row>
    <row r="193" spans="1:32" hidden="1" x14ac:dyDescent="0.25">
      <c r="A193" s="18" t="s">
        <v>48</v>
      </c>
      <c r="B193" s="19">
        <v>0</v>
      </c>
      <c r="C193" s="19">
        <v>0</v>
      </c>
      <c r="D193" s="20">
        <v>0</v>
      </c>
      <c r="E193" s="20">
        <v>0</v>
      </c>
      <c r="G193" s="19">
        <v>0</v>
      </c>
      <c r="H193" s="19">
        <v>0</v>
      </c>
      <c r="I193" s="20">
        <v>0</v>
      </c>
      <c r="J193" s="20">
        <v>0</v>
      </c>
      <c r="L193" s="19">
        <v>0</v>
      </c>
      <c r="M193" s="19">
        <v>0</v>
      </c>
      <c r="N193" s="20">
        <v>0</v>
      </c>
      <c r="O193" s="20">
        <v>0</v>
      </c>
      <c r="R193" s="19">
        <v>0</v>
      </c>
      <c r="S193" s="19">
        <v>0</v>
      </c>
      <c r="T193" s="20">
        <v>0</v>
      </c>
      <c r="U193" s="20">
        <v>0</v>
      </c>
      <c r="W193" s="19">
        <v>0</v>
      </c>
      <c r="X193" s="19">
        <v>0</v>
      </c>
      <c r="Y193" s="20">
        <v>0</v>
      </c>
      <c r="Z193" s="20">
        <v>0</v>
      </c>
      <c r="AB193" s="19">
        <v>0</v>
      </c>
      <c r="AC193" s="19">
        <v>0</v>
      </c>
      <c r="AD193" s="20">
        <v>0</v>
      </c>
      <c r="AE193" s="20">
        <v>0</v>
      </c>
      <c r="AF193">
        <f t="shared" si="2"/>
        <v>0</v>
      </c>
    </row>
    <row r="194" spans="1:32" hidden="1" x14ac:dyDescent="0.25">
      <c r="A194" s="18" t="s">
        <v>88</v>
      </c>
      <c r="B194" s="19">
        <v>0</v>
      </c>
      <c r="C194" s="19">
        <v>0</v>
      </c>
      <c r="D194" s="20">
        <v>0</v>
      </c>
      <c r="E194" s="20">
        <v>0</v>
      </c>
      <c r="G194" s="19">
        <v>0</v>
      </c>
      <c r="H194" s="19">
        <v>0</v>
      </c>
      <c r="I194" s="20">
        <v>0</v>
      </c>
      <c r="J194" s="20">
        <v>0</v>
      </c>
      <c r="L194" s="19">
        <v>0</v>
      </c>
      <c r="M194" s="19">
        <v>0</v>
      </c>
      <c r="N194" s="20">
        <v>0</v>
      </c>
      <c r="O194" s="20">
        <v>0</v>
      </c>
      <c r="R194" s="19">
        <v>0</v>
      </c>
      <c r="S194" s="19">
        <v>0</v>
      </c>
      <c r="T194" s="20">
        <v>0</v>
      </c>
      <c r="U194" s="20">
        <v>0</v>
      </c>
      <c r="W194" s="19">
        <v>0</v>
      </c>
      <c r="X194" s="19">
        <v>0</v>
      </c>
      <c r="Y194" s="20">
        <v>0</v>
      </c>
      <c r="Z194" s="20">
        <v>0</v>
      </c>
      <c r="AB194" s="19">
        <v>0</v>
      </c>
      <c r="AC194" s="19">
        <v>0</v>
      </c>
      <c r="AD194" s="20">
        <v>0</v>
      </c>
      <c r="AE194" s="20">
        <v>0</v>
      </c>
      <c r="AF194">
        <f t="shared" si="2"/>
        <v>0</v>
      </c>
    </row>
    <row r="195" spans="1:32" x14ac:dyDescent="0.25">
      <c r="A195" s="18" t="s">
        <v>49</v>
      </c>
      <c r="B195" s="19">
        <v>0</v>
      </c>
      <c r="C195" s="19">
        <v>0</v>
      </c>
      <c r="D195" s="20">
        <v>0</v>
      </c>
      <c r="E195" s="20">
        <v>0</v>
      </c>
      <c r="G195" s="19">
        <v>1</v>
      </c>
      <c r="H195" s="19">
        <v>0</v>
      </c>
      <c r="I195" s="20">
        <v>3.5676061362825543E-4</v>
      </c>
      <c r="J195" s="20">
        <v>0</v>
      </c>
      <c r="L195" s="19">
        <v>0</v>
      </c>
      <c r="M195" s="19">
        <v>0</v>
      </c>
      <c r="N195" s="20">
        <v>0</v>
      </c>
      <c r="O195" s="20">
        <v>0</v>
      </c>
      <c r="R195" s="19">
        <v>0</v>
      </c>
      <c r="S195" s="19">
        <v>0</v>
      </c>
      <c r="T195" s="20">
        <v>0</v>
      </c>
      <c r="U195" s="20">
        <v>0</v>
      </c>
      <c r="W195" s="19">
        <v>0</v>
      </c>
      <c r="X195" s="19">
        <v>0</v>
      </c>
      <c r="Y195" s="20">
        <v>0</v>
      </c>
      <c r="Z195" s="20">
        <v>0</v>
      </c>
      <c r="AB195" s="19">
        <v>0</v>
      </c>
      <c r="AC195" s="19">
        <v>0</v>
      </c>
      <c r="AD195" s="20">
        <v>0</v>
      </c>
      <c r="AE195" s="20">
        <v>0</v>
      </c>
      <c r="AF195">
        <f t="shared" si="2"/>
        <v>1.0003567606136283</v>
      </c>
    </row>
    <row r="196" spans="1:32" hidden="1" x14ac:dyDescent="0.25">
      <c r="A196" s="18" t="s">
        <v>50</v>
      </c>
      <c r="B196" s="19">
        <v>0</v>
      </c>
      <c r="C196" s="19">
        <v>0</v>
      </c>
      <c r="D196" s="20">
        <v>0</v>
      </c>
      <c r="E196" s="20">
        <v>0</v>
      </c>
      <c r="G196" s="19">
        <v>0</v>
      </c>
      <c r="H196" s="19">
        <v>0</v>
      </c>
      <c r="I196" s="20">
        <v>0</v>
      </c>
      <c r="J196" s="20">
        <v>0</v>
      </c>
      <c r="L196" s="19">
        <v>0</v>
      </c>
      <c r="M196" s="19">
        <v>0</v>
      </c>
      <c r="N196" s="20">
        <v>0</v>
      </c>
      <c r="O196" s="20">
        <v>0</v>
      </c>
      <c r="R196" s="19">
        <v>0</v>
      </c>
      <c r="S196" s="19">
        <v>0</v>
      </c>
      <c r="T196" s="20">
        <v>0</v>
      </c>
      <c r="U196" s="20">
        <v>0</v>
      </c>
      <c r="W196" s="19">
        <v>0</v>
      </c>
      <c r="X196" s="19">
        <v>0</v>
      </c>
      <c r="Y196" s="20">
        <v>0</v>
      </c>
      <c r="Z196" s="20">
        <v>0</v>
      </c>
      <c r="AB196" s="19">
        <v>0</v>
      </c>
      <c r="AC196" s="19">
        <v>0</v>
      </c>
      <c r="AD196" s="20">
        <v>0</v>
      </c>
      <c r="AE196" s="20">
        <v>0</v>
      </c>
      <c r="AF196">
        <f t="shared" ref="AF196:AF259" si="3">SUM(A196:AE196)</f>
        <v>0</v>
      </c>
    </row>
    <row r="197" spans="1:32" hidden="1" x14ac:dyDescent="0.25">
      <c r="A197" s="18" t="s">
        <v>51</v>
      </c>
      <c r="B197" s="19">
        <v>0</v>
      </c>
      <c r="C197" s="19">
        <v>0</v>
      </c>
      <c r="D197" s="20">
        <v>0</v>
      </c>
      <c r="E197" s="20">
        <v>0</v>
      </c>
      <c r="G197" s="19">
        <v>0</v>
      </c>
      <c r="H197" s="19">
        <v>0</v>
      </c>
      <c r="I197" s="20">
        <v>0</v>
      </c>
      <c r="J197" s="20">
        <v>0</v>
      </c>
      <c r="L197" s="19">
        <v>0</v>
      </c>
      <c r="M197" s="19">
        <v>0</v>
      </c>
      <c r="N197" s="20">
        <v>0</v>
      </c>
      <c r="O197" s="20">
        <v>0</v>
      </c>
      <c r="R197" s="19">
        <v>0</v>
      </c>
      <c r="S197" s="19">
        <v>0</v>
      </c>
      <c r="T197" s="20">
        <v>0</v>
      </c>
      <c r="U197" s="20">
        <v>0</v>
      </c>
      <c r="W197" s="19">
        <v>0</v>
      </c>
      <c r="X197" s="19">
        <v>0</v>
      </c>
      <c r="Y197" s="20">
        <v>0</v>
      </c>
      <c r="Z197" s="20">
        <v>0</v>
      </c>
      <c r="AB197" s="19">
        <v>0</v>
      </c>
      <c r="AC197" s="19">
        <v>0</v>
      </c>
      <c r="AD197" s="20">
        <v>0</v>
      </c>
      <c r="AE197" s="20">
        <v>0</v>
      </c>
      <c r="AF197">
        <f t="shared" si="3"/>
        <v>0</v>
      </c>
    </row>
    <row r="198" spans="1:32" hidden="1" x14ac:dyDescent="0.25">
      <c r="A198" s="18" t="s">
        <v>52</v>
      </c>
      <c r="B198" s="19">
        <v>0</v>
      </c>
      <c r="C198" s="19">
        <v>0</v>
      </c>
      <c r="D198" s="20">
        <v>0</v>
      </c>
      <c r="E198" s="20">
        <v>0</v>
      </c>
      <c r="G198" s="19">
        <v>0</v>
      </c>
      <c r="H198" s="19">
        <v>0</v>
      </c>
      <c r="I198" s="20">
        <v>0</v>
      </c>
      <c r="J198" s="20">
        <v>0</v>
      </c>
      <c r="L198" s="19">
        <v>0</v>
      </c>
      <c r="M198" s="19">
        <v>0</v>
      </c>
      <c r="N198" s="20">
        <v>0</v>
      </c>
      <c r="O198" s="20">
        <v>0</v>
      </c>
      <c r="R198" s="19">
        <v>0</v>
      </c>
      <c r="S198" s="19">
        <v>0</v>
      </c>
      <c r="T198" s="20">
        <v>0</v>
      </c>
      <c r="U198" s="20">
        <v>0</v>
      </c>
      <c r="W198" s="19">
        <v>0</v>
      </c>
      <c r="X198" s="19">
        <v>0</v>
      </c>
      <c r="Y198" s="20">
        <v>0</v>
      </c>
      <c r="Z198" s="20">
        <v>0</v>
      </c>
      <c r="AB198" s="19">
        <v>0</v>
      </c>
      <c r="AC198" s="19">
        <v>0</v>
      </c>
      <c r="AD198" s="20">
        <v>0</v>
      </c>
      <c r="AE198" s="20">
        <v>0</v>
      </c>
      <c r="AF198">
        <f t="shared" si="3"/>
        <v>0</v>
      </c>
    </row>
    <row r="199" spans="1:32" hidden="1" x14ac:dyDescent="0.25">
      <c r="A199" s="18" t="s">
        <v>89</v>
      </c>
      <c r="B199" s="19">
        <v>0</v>
      </c>
      <c r="C199" s="19">
        <v>0</v>
      </c>
      <c r="D199" s="20">
        <v>0</v>
      </c>
      <c r="E199" s="20">
        <v>0</v>
      </c>
      <c r="G199" s="19">
        <v>0</v>
      </c>
      <c r="H199" s="19">
        <v>0</v>
      </c>
      <c r="I199" s="20">
        <v>0</v>
      </c>
      <c r="J199" s="20">
        <v>0</v>
      </c>
      <c r="L199" s="19">
        <v>0</v>
      </c>
      <c r="M199" s="19">
        <v>0</v>
      </c>
      <c r="N199" s="20">
        <v>0</v>
      </c>
      <c r="O199" s="20">
        <v>0</v>
      </c>
      <c r="R199" s="19">
        <v>0</v>
      </c>
      <c r="S199" s="19">
        <v>0</v>
      </c>
      <c r="T199" s="20">
        <v>0</v>
      </c>
      <c r="U199" s="20">
        <v>0</v>
      </c>
      <c r="W199" s="19">
        <v>0</v>
      </c>
      <c r="X199" s="19">
        <v>0</v>
      </c>
      <c r="Y199" s="20">
        <v>0</v>
      </c>
      <c r="Z199" s="20">
        <v>0</v>
      </c>
      <c r="AB199" s="19">
        <v>0</v>
      </c>
      <c r="AC199" s="19">
        <v>0</v>
      </c>
      <c r="AD199" s="20">
        <v>0</v>
      </c>
      <c r="AE199" s="20">
        <v>0</v>
      </c>
      <c r="AF199">
        <f t="shared" si="3"/>
        <v>0</v>
      </c>
    </row>
    <row r="200" spans="1:32" hidden="1" x14ac:dyDescent="0.25">
      <c r="A200" s="18" t="s">
        <v>53</v>
      </c>
      <c r="B200" s="19">
        <v>0</v>
      </c>
      <c r="C200" s="19">
        <v>0</v>
      </c>
      <c r="D200" s="20">
        <v>0</v>
      </c>
      <c r="E200" s="20">
        <v>0</v>
      </c>
      <c r="G200" s="19">
        <v>0</v>
      </c>
      <c r="H200" s="19">
        <v>0</v>
      </c>
      <c r="I200" s="20">
        <v>0</v>
      </c>
      <c r="J200" s="20">
        <v>0</v>
      </c>
      <c r="L200" s="19">
        <v>0</v>
      </c>
      <c r="M200" s="19">
        <v>0</v>
      </c>
      <c r="N200" s="20">
        <v>0</v>
      </c>
      <c r="O200" s="20">
        <v>0</v>
      </c>
      <c r="R200" s="19">
        <v>0</v>
      </c>
      <c r="S200" s="19">
        <v>0</v>
      </c>
      <c r="T200" s="20">
        <v>0</v>
      </c>
      <c r="U200" s="20">
        <v>0</v>
      </c>
      <c r="W200" s="19">
        <v>0</v>
      </c>
      <c r="X200" s="19">
        <v>0</v>
      </c>
      <c r="Y200" s="20">
        <v>0</v>
      </c>
      <c r="Z200" s="20">
        <v>0</v>
      </c>
      <c r="AB200" s="19">
        <v>0</v>
      </c>
      <c r="AC200" s="19">
        <v>0</v>
      </c>
      <c r="AD200" s="20">
        <v>0</v>
      </c>
      <c r="AE200" s="20">
        <v>0</v>
      </c>
      <c r="AF200">
        <f t="shared" si="3"/>
        <v>0</v>
      </c>
    </row>
    <row r="201" spans="1:32" hidden="1" x14ac:dyDescent="0.25">
      <c r="A201" s="18" t="s">
        <v>54</v>
      </c>
      <c r="B201" s="19">
        <v>0</v>
      </c>
      <c r="C201" s="19">
        <v>0</v>
      </c>
      <c r="D201" s="20">
        <v>0</v>
      </c>
      <c r="E201" s="20">
        <v>0</v>
      </c>
      <c r="G201" s="19">
        <v>0</v>
      </c>
      <c r="H201" s="19">
        <v>0</v>
      </c>
      <c r="I201" s="20">
        <v>0</v>
      </c>
      <c r="J201" s="20">
        <v>0</v>
      </c>
      <c r="L201" s="19">
        <v>0</v>
      </c>
      <c r="M201" s="19">
        <v>0</v>
      </c>
      <c r="N201" s="20">
        <v>0</v>
      </c>
      <c r="O201" s="20">
        <v>0</v>
      </c>
      <c r="R201" s="19">
        <v>0</v>
      </c>
      <c r="S201" s="19">
        <v>0</v>
      </c>
      <c r="T201" s="20">
        <v>0</v>
      </c>
      <c r="U201" s="20">
        <v>0</v>
      </c>
      <c r="W201" s="19">
        <v>0</v>
      </c>
      <c r="X201" s="19">
        <v>0</v>
      </c>
      <c r="Y201" s="20">
        <v>0</v>
      </c>
      <c r="Z201" s="20">
        <v>0</v>
      </c>
      <c r="AB201" s="19">
        <v>0</v>
      </c>
      <c r="AC201" s="19">
        <v>0</v>
      </c>
      <c r="AD201" s="20">
        <v>0</v>
      </c>
      <c r="AE201" s="20">
        <v>0</v>
      </c>
      <c r="AF201">
        <f t="shared" si="3"/>
        <v>0</v>
      </c>
    </row>
    <row r="202" spans="1:32" hidden="1" x14ac:dyDescent="0.25">
      <c r="A202" s="18" t="s">
        <v>90</v>
      </c>
      <c r="B202" s="19">
        <v>0</v>
      </c>
      <c r="C202" s="19">
        <v>0</v>
      </c>
      <c r="D202" s="20">
        <v>0</v>
      </c>
      <c r="E202" s="20">
        <v>0</v>
      </c>
      <c r="G202" s="19">
        <v>0</v>
      </c>
      <c r="H202" s="19">
        <v>0</v>
      </c>
      <c r="I202" s="20">
        <v>0</v>
      </c>
      <c r="J202" s="20">
        <v>0</v>
      </c>
      <c r="L202" s="19">
        <v>0</v>
      </c>
      <c r="M202" s="19">
        <v>0</v>
      </c>
      <c r="N202" s="20">
        <v>0</v>
      </c>
      <c r="O202" s="20">
        <v>0</v>
      </c>
      <c r="R202" s="19">
        <v>0</v>
      </c>
      <c r="S202" s="19">
        <v>0</v>
      </c>
      <c r="T202" s="20">
        <v>0</v>
      </c>
      <c r="U202" s="20">
        <v>0</v>
      </c>
      <c r="W202" s="19">
        <v>0</v>
      </c>
      <c r="X202" s="19">
        <v>0</v>
      </c>
      <c r="Y202" s="20">
        <v>0</v>
      </c>
      <c r="Z202" s="20">
        <v>0</v>
      </c>
      <c r="AB202" s="19">
        <v>0</v>
      </c>
      <c r="AC202" s="19">
        <v>0</v>
      </c>
      <c r="AD202" s="20">
        <v>0</v>
      </c>
      <c r="AE202" s="20">
        <v>0</v>
      </c>
      <c r="AF202">
        <f t="shared" si="3"/>
        <v>0</v>
      </c>
    </row>
    <row r="203" spans="1:32" x14ac:dyDescent="0.25">
      <c r="A203" s="18" t="s">
        <v>55</v>
      </c>
      <c r="B203" s="19">
        <v>2</v>
      </c>
      <c r="C203" s="19">
        <v>1</v>
      </c>
      <c r="D203" s="20">
        <v>6.5112644875634849E-5</v>
      </c>
      <c r="E203" s="20">
        <v>3.261046796021523E-5</v>
      </c>
      <c r="G203" s="19">
        <v>0</v>
      </c>
      <c r="H203" s="19">
        <v>0</v>
      </c>
      <c r="I203" s="20">
        <v>0</v>
      </c>
      <c r="J203" s="20">
        <v>0</v>
      </c>
      <c r="L203" s="19">
        <v>0</v>
      </c>
      <c r="M203" s="19">
        <v>0</v>
      </c>
      <c r="N203" s="20">
        <v>0</v>
      </c>
      <c r="O203" s="20">
        <v>0</v>
      </c>
      <c r="R203" s="19">
        <v>0</v>
      </c>
      <c r="S203" s="19">
        <v>0</v>
      </c>
      <c r="T203" s="20">
        <v>0</v>
      </c>
      <c r="U203" s="20">
        <v>0</v>
      </c>
      <c r="W203" s="19">
        <v>0</v>
      </c>
      <c r="X203" s="19">
        <v>0</v>
      </c>
      <c r="Y203" s="20">
        <v>0</v>
      </c>
      <c r="Z203" s="20">
        <v>0</v>
      </c>
      <c r="AB203" s="19">
        <v>0</v>
      </c>
      <c r="AC203" s="19">
        <v>0</v>
      </c>
      <c r="AD203" s="20">
        <v>0</v>
      </c>
      <c r="AE203" s="20">
        <v>0</v>
      </c>
      <c r="AF203">
        <f t="shared" si="3"/>
        <v>3.0000977231128361</v>
      </c>
    </row>
    <row r="204" spans="1:32" hidden="1" x14ac:dyDescent="0.25">
      <c r="A204" s="18" t="s">
        <v>91</v>
      </c>
      <c r="B204" s="19">
        <v>0</v>
      </c>
      <c r="C204" s="19">
        <v>0</v>
      </c>
      <c r="D204" s="20">
        <v>0</v>
      </c>
      <c r="E204" s="20">
        <v>0</v>
      </c>
      <c r="G204" s="19">
        <v>0</v>
      </c>
      <c r="H204" s="19">
        <v>0</v>
      </c>
      <c r="I204" s="20">
        <v>0</v>
      </c>
      <c r="J204" s="20">
        <v>0</v>
      </c>
      <c r="L204" s="19">
        <v>0</v>
      </c>
      <c r="M204" s="19">
        <v>0</v>
      </c>
      <c r="N204" s="20">
        <v>0</v>
      </c>
      <c r="O204" s="20">
        <v>0</v>
      </c>
      <c r="R204" s="19">
        <v>0</v>
      </c>
      <c r="S204" s="19">
        <v>0</v>
      </c>
      <c r="T204" s="20">
        <v>0</v>
      </c>
      <c r="U204" s="20">
        <v>0</v>
      </c>
      <c r="W204" s="19">
        <v>0</v>
      </c>
      <c r="X204" s="19">
        <v>0</v>
      </c>
      <c r="Y204" s="20">
        <v>0</v>
      </c>
      <c r="Z204" s="20">
        <v>0</v>
      </c>
      <c r="AB204" s="19">
        <v>0</v>
      </c>
      <c r="AC204" s="19">
        <v>0</v>
      </c>
      <c r="AD204" s="20">
        <v>0</v>
      </c>
      <c r="AE204" s="20">
        <v>0</v>
      </c>
      <c r="AF204">
        <f t="shared" si="3"/>
        <v>0</v>
      </c>
    </row>
    <row r="205" spans="1:32" hidden="1" x14ac:dyDescent="0.25">
      <c r="A205" s="18" t="s">
        <v>175</v>
      </c>
      <c r="B205" s="19">
        <v>0</v>
      </c>
      <c r="C205" s="19">
        <v>0</v>
      </c>
      <c r="D205" s="20">
        <v>0</v>
      </c>
      <c r="E205" s="20">
        <v>0</v>
      </c>
      <c r="G205" s="19">
        <v>0</v>
      </c>
      <c r="H205" s="19">
        <v>0</v>
      </c>
      <c r="I205" s="20">
        <v>0</v>
      </c>
      <c r="J205" s="20">
        <v>0</v>
      </c>
      <c r="L205" s="19">
        <v>0</v>
      </c>
      <c r="M205" s="19">
        <v>0</v>
      </c>
      <c r="N205" s="20">
        <v>0</v>
      </c>
      <c r="O205" s="20">
        <v>0</v>
      </c>
      <c r="R205" s="19">
        <v>0</v>
      </c>
      <c r="S205" s="19">
        <v>0</v>
      </c>
      <c r="T205" s="20">
        <v>0</v>
      </c>
      <c r="U205" s="20">
        <v>0</v>
      </c>
      <c r="W205" s="19">
        <v>0</v>
      </c>
      <c r="X205" s="19">
        <v>0</v>
      </c>
      <c r="Y205" s="20">
        <v>0</v>
      </c>
      <c r="Z205" s="20">
        <v>0</v>
      </c>
      <c r="AB205" s="19">
        <v>0</v>
      </c>
      <c r="AC205" s="19">
        <v>0</v>
      </c>
      <c r="AD205" s="20">
        <v>0</v>
      </c>
      <c r="AE205" s="20">
        <v>0</v>
      </c>
      <c r="AF205">
        <f t="shared" si="3"/>
        <v>0</v>
      </c>
    </row>
    <row r="206" spans="1:32" hidden="1" x14ac:dyDescent="0.25">
      <c r="A206" s="18" t="s">
        <v>56</v>
      </c>
      <c r="B206" s="19">
        <v>0</v>
      </c>
      <c r="C206" s="19">
        <v>0</v>
      </c>
      <c r="D206" s="20">
        <v>0</v>
      </c>
      <c r="E206" s="20">
        <v>0</v>
      </c>
      <c r="G206" s="19">
        <v>0</v>
      </c>
      <c r="H206" s="19">
        <v>0</v>
      </c>
      <c r="I206" s="20">
        <v>0</v>
      </c>
      <c r="J206" s="20">
        <v>0</v>
      </c>
      <c r="L206" s="19">
        <v>0</v>
      </c>
      <c r="M206" s="19">
        <v>0</v>
      </c>
      <c r="N206" s="20">
        <v>0</v>
      </c>
      <c r="O206" s="20">
        <v>0</v>
      </c>
      <c r="R206" s="19">
        <v>0</v>
      </c>
      <c r="S206" s="19">
        <v>0</v>
      </c>
      <c r="T206" s="20">
        <v>0</v>
      </c>
      <c r="U206" s="20">
        <v>0</v>
      </c>
      <c r="W206" s="19">
        <v>0</v>
      </c>
      <c r="X206" s="19">
        <v>0</v>
      </c>
      <c r="Y206" s="20">
        <v>0</v>
      </c>
      <c r="Z206" s="20">
        <v>0</v>
      </c>
      <c r="AB206" s="19">
        <v>0</v>
      </c>
      <c r="AC206" s="19">
        <v>0</v>
      </c>
      <c r="AD206" s="20">
        <v>0</v>
      </c>
      <c r="AE206" s="20">
        <v>0</v>
      </c>
      <c r="AF206">
        <f t="shared" si="3"/>
        <v>0</v>
      </c>
    </row>
    <row r="207" spans="1:32" hidden="1" x14ac:dyDescent="0.25">
      <c r="A207" s="18" t="s">
        <v>57</v>
      </c>
      <c r="B207" s="19">
        <v>0</v>
      </c>
      <c r="C207" s="19">
        <v>0</v>
      </c>
      <c r="D207" s="20">
        <v>0</v>
      </c>
      <c r="E207" s="20">
        <v>0</v>
      </c>
      <c r="G207" s="19">
        <v>0</v>
      </c>
      <c r="H207" s="19">
        <v>0</v>
      </c>
      <c r="I207" s="20">
        <v>0</v>
      </c>
      <c r="J207" s="20">
        <v>0</v>
      </c>
      <c r="L207" s="19">
        <v>0</v>
      </c>
      <c r="M207" s="19">
        <v>0</v>
      </c>
      <c r="N207" s="20">
        <v>0</v>
      </c>
      <c r="O207" s="20">
        <v>0</v>
      </c>
      <c r="R207" s="19">
        <v>0</v>
      </c>
      <c r="S207" s="19">
        <v>0</v>
      </c>
      <c r="T207" s="20">
        <v>0</v>
      </c>
      <c r="U207" s="20">
        <v>0</v>
      </c>
      <c r="W207" s="19">
        <v>0</v>
      </c>
      <c r="X207" s="19">
        <v>0</v>
      </c>
      <c r="Y207" s="20">
        <v>0</v>
      </c>
      <c r="Z207" s="20">
        <v>0</v>
      </c>
      <c r="AB207" s="19">
        <v>0</v>
      </c>
      <c r="AC207" s="19">
        <v>0</v>
      </c>
      <c r="AD207" s="20">
        <v>0</v>
      </c>
      <c r="AE207" s="20">
        <v>0</v>
      </c>
      <c r="AF207">
        <f t="shared" si="3"/>
        <v>0</v>
      </c>
    </row>
    <row r="208" spans="1:32" hidden="1" x14ac:dyDescent="0.25">
      <c r="A208" s="18" t="s">
        <v>176</v>
      </c>
      <c r="B208" s="19">
        <v>0</v>
      </c>
      <c r="C208" s="19">
        <v>0</v>
      </c>
      <c r="D208" s="20">
        <v>0</v>
      </c>
      <c r="E208" s="20">
        <v>0</v>
      </c>
      <c r="G208" s="19">
        <v>0</v>
      </c>
      <c r="H208" s="19">
        <v>0</v>
      </c>
      <c r="I208" s="20">
        <v>0</v>
      </c>
      <c r="J208" s="20">
        <v>0</v>
      </c>
      <c r="L208" s="19">
        <v>0</v>
      </c>
      <c r="M208" s="19">
        <v>0</v>
      </c>
      <c r="N208" s="20">
        <v>0</v>
      </c>
      <c r="O208" s="20">
        <v>0</v>
      </c>
      <c r="R208" s="19">
        <v>0</v>
      </c>
      <c r="S208" s="19">
        <v>0</v>
      </c>
      <c r="T208" s="20">
        <v>0</v>
      </c>
      <c r="U208" s="20">
        <v>0</v>
      </c>
      <c r="W208" s="19">
        <v>0</v>
      </c>
      <c r="X208" s="19">
        <v>0</v>
      </c>
      <c r="Y208" s="20">
        <v>0</v>
      </c>
      <c r="Z208" s="20">
        <v>0</v>
      </c>
      <c r="AB208" s="19">
        <v>0</v>
      </c>
      <c r="AC208" s="19">
        <v>0</v>
      </c>
      <c r="AD208" s="20">
        <v>0</v>
      </c>
      <c r="AE208" s="20">
        <v>0</v>
      </c>
      <c r="AF208">
        <f t="shared" si="3"/>
        <v>0</v>
      </c>
    </row>
    <row r="209" spans="1:32" x14ac:dyDescent="0.25">
      <c r="A209" s="18" t="s">
        <v>58</v>
      </c>
      <c r="B209" s="19">
        <v>0</v>
      </c>
      <c r="C209" s="19">
        <v>0</v>
      </c>
      <c r="D209" s="20">
        <v>0</v>
      </c>
      <c r="E209" s="20">
        <v>0</v>
      </c>
      <c r="G209" s="19">
        <v>0</v>
      </c>
      <c r="H209" s="19">
        <v>0</v>
      </c>
      <c r="I209" s="20">
        <v>0</v>
      </c>
      <c r="J209" s="20">
        <v>0</v>
      </c>
      <c r="L209" s="19">
        <v>1</v>
      </c>
      <c r="M209" s="19">
        <v>0</v>
      </c>
      <c r="N209" s="20">
        <v>6.2893081761006293E-3</v>
      </c>
      <c r="O209" s="20">
        <v>0</v>
      </c>
      <c r="R209" s="19">
        <v>0</v>
      </c>
      <c r="S209" s="19">
        <v>0</v>
      </c>
      <c r="T209" s="20">
        <v>0</v>
      </c>
      <c r="U209" s="20">
        <v>0</v>
      </c>
      <c r="W209" s="19">
        <v>0</v>
      </c>
      <c r="X209" s="19">
        <v>0</v>
      </c>
      <c r="Y209" s="20">
        <v>0</v>
      </c>
      <c r="Z209" s="20">
        <v>0</v>
      </c>
      <c r="AB209" s="19">
        <v>0</v>
      </c>
      <c r="AC209" s="19">
        <v>0</v>
      </c>
      <c r="AD209" s="20">
        <v>0</v>
      </c>
      <c r="AE209" s="20">
        <v>0</v>
      </c>
      <c r="AF209">
        <f t="shared" si="3"/>
        <v>1.0062893081761006</v>
      </c>
    </row>
    <row r="210" spans="1:32" hidden="1" x14ac:dyDescent="0.25">
      <c r="A210" s="18" t="s">
        <v>59</v>
      </c>
      <c r="B210" s="19">
        <v>0</v>
      </c>
      <c r="C210" s="19">
        <v>0</v>
      </c>
      <c r="D210" s="20">
        <v>0</v>
      </c>
      <c r="E210" s="20">
        <v>0</v>
      </c>
      <c r="G210" s="19">
        <v>0</v>
      </c>
      <c r="H210" s="19">
        <v>0</v>
      </c>
      <c r="I210" s="20">
        <v>0</v>
      </c>
      <c r="J210" s="20">
        <v>0</v>
      </c>
      <c r="L210" s="19">
        <v>0</v>
      </c>
      <c r="M210" s="19">
        <v>0</v>
      </c>
      <c r="N210" s="20">
        <v>0</v>
      </c>
      <c r="O210" s="20">
        <v>0</v>
      </c>
      <c r="R210" s="19">
        <v>0</v>
      </c>
      <c r="S210" s="19">
        <v>0</v>
      </c>
      <c r="T210" s="20">
        <v>0</v>
      </c>
      <c r="U210" s="20">
        <v>0</v>
      </c>
      <c r="W210" s="19">
        <v>0</v>
      </c>
      <c r="X210" s="19">
        <v>0</v>
      </c>
      <c r="Y210" s="20">
        <v>0</v>
      </c>
      <c r="Z210" s="20">
        <v>0</v>
      </c>
      <c r="AB210" s="19">
        <v>0</v>
      </c>
      <c r="AC210" s="19">
        <v>0</v>
      </c>
      <c r="AD210" s="20">
        <v>0</v>
      </c>
      <c r="AE210" s="20">
        <v>0</v>
      </c>
      <c r="AF210">
        <f t="shared" si="3"/>
        <v>0</v>
      </c>
    </row>
    <row r="211" spans="1:32" hidden="1" x14ac:dyDescent="0.25">
      <c r="A211" s="18" t="s">
        <v>60</v>
      </c>
      <c r="B211" s="19">
        <v>0</v>
      </c>
      <c r="C211" s="19">
        <v>0</v>
      </c>
      <c r="D211" s="20">
        <v>0</v>
      </c>
      <c r="E211" s="20">
        <v>0</v>
      </c>
      <c r="G211" s="19">
        <v>0</v>
      </c>
      <c r="H211" s="19">
        <v>0</v>
      </c>
      <c r="I211" s="20">
        <v>0</v>
      </c>
      <c r="J211" s="20">
        <v>0</v>
      </c>
      <c r="L211" s="19">
        <v>0</v>
      </c>
      <c r="M211" s="19">
        <v>0</v>
      </c>
      <c r="N211" s="20">
        <v>0</v>
      </c>
      <c r="O211" s="20">
        <v>0</v>
      </c>
      <c r="R211" s="19">
        <v>0</v>
      </c>
      <c r="S211" s="19">
        <v>0</v>
      </c>
      <c r="T211" s="20">
        <v>0</v>
      </c>
      <c r="U211" s="20">
        <v>0</v>
      </c>
      <c r="W211" s="19">
        <v>0</v>
      </c>
      <c r="X211" s="19">
        <v>0</v>
      </c>
      <c r="Y211" s="20">
        <v>0</v>
      </c>
      <c r="Z211" s="20">
        <v>0</v>
      </c>
      <c r="AB211" s="19">
        <v>0</v>
      </c>
      <c r="AC211" s="19">
        <v>0</v>
      </c>
      <c r="AD211" s="20">
        <v>0</v>
      </c>
      <c r="AE211" s="20">
        <v>0</v>
      </c>
      <c r="AF211">
        <f t="shared" si="3"/>
        <v>0</v>
      </c>
    </row>
    <row r="212" spans="1:32" hidden="1" x14ac:dyDescent="0.25">
      <c r="A212" s="18" t="s">
        <v>93</v>
      </c>
      <c r="B212" s="19">
        <v>0</v>
      </c>
      <c r="C212" s="19">
        <v>0</v>
      </c>
      <c r="D212" s="20">
        <v>0</v>
      </c>
      <c r="E212" s="20">
        <v>0</v>
      </c>
      <c r="G212" s="19">
        <v>0</v>
      </c>
      <c r="H212" s="19">
        <v>0</v>
      </c>
      <c r="I212" s="20">
        <v>0</v>
      </c>
      <c r="J212" s="20">
        <v>0</v>
      </c>
      <c r="L212" s="19">
        <v>0</v>
      </c>
      <c r="M212" s="19">
        <v>0</v>
      </c>
      <c r="N212" s="20">
        <v>0</v>
      </c>
      <c r="O212" s="20">
        <v>0</v>
      </c>
      <c r="R212" s="19">
        <v>0</v>
      </c>
      <c r="S212" s="19">
        <v>0</v>
      </c>
      <c r="T212" s="20">
        <v>0</v>
      </c>
      <c r="U212" s="20">
        <v>0</v>
      </c>
      <c r="W212" s="19">
        <v>0</v>
      </c>
      <c r="X212" s="19">
        <v>0</v>
      </c>
      <c r="Y212" s="20">
        <v>0</v>
      </c>
      <c r="Z212" s="20">
        <v>0</v>
      </c>
      <c r="AB212" s="19">
        <v>0</v>
      </c>
      <c r="AC212" s="19">
        <v>0</v>
      </c>
      <c r="AD212" s="20">
        <v>0</v>
      </c>
      <c r="AE212" s="20">
        <v>0</v>
      </c>
      <c r="AF212">
        <f t="shared" si="3"/>
        <v>0</v>
      </c>
    </row>
    <row r="213" spans="1:32" hidden="1" x14ac:dyDescent="0.25">
      <c r="A213" s="18" t="s">
        <v>61</v>
      </c>
      <c r="B213" s="19">
        <v>0</v>
      </c>
      <c r="C213" s="19">
        <v>0</v>
      </c>
      <c r="D213" s="20">
        <v>0</v>
      </c>
      <c r="E213" s="20">
        <v>0</v>
      </c>
      <c r="G213" s="19">
        <v>0</v>
      </c>
      <c r="H213" s="19">
        <v>0</v>
      </c>
      <c r="I213" s="20">
        <v>0</v>
      </c>
      <c r="J213" s="20">
        <v>0</v>
      </c>
      <c r="L213" s="19">
        <v>0</v>
      </c>
      <c r="M213" s="19">
        <v>0</v>
      </c>
      <c r="N213" s="20">
        <v>0</v>
      </c>
      <c r="O213" s="20">
        <v>0</v>
      </c>
      <c r="R213" s="19">
        <v>0</v>
      </c>
      <c r="S213" s="19">
        <v>0</v>
      </c>
      <c r="T213" s="20">
        <v>0</v>
      </c>
      <c r="U213" s="20">
        <v>0</v>
      </c>
      <c r="W213" s="19">
        <v>0</v>
      </c>
      <c r="X213" s="19">
        <v>0</v>
      </c>
      <c r="Y213" s="20">
        <v>0</v>
      </c>
      <c r="Z213" s="20">
        <v>0</v>
      </c>
      <c r="AB213" s="19">
        <v>0</v>
      </c>
      <c r="AC213" s="19">
        <v>0</v>
      </c>
      <c r="AD213" s="20">
        <v>0</v>
      </c>
      <c r="AE213" s="20">
        <v>0</v>
      </c>
      <c r="AF213">
        <f t="shared" si="3"/>
        <v>0</v>
      </c>
    </row>
    <row r="214" spans="1:32" x14ac:dyDescent="0.25">
      <c r="A214" s="29" t="s">
        <v>67</v>
      </c>
      <c r="B214" s="27">
        <v>281</v>
      </c>
      <c r="C214" s="27">
        <v>284</v>
      </c>
      <c r="D214" s="45">
        <v>1.0204848719473067E-4</v>
      </c>
      <c r="E214" s="45">
        <v>1.0286795123624457E-4</v>
      </c>
      <c r="G214" s="27">
        <v>127</v>
      </c>
      <c r="H214" s="27">
        <v>413</v>
      </c>
      <c r="I214" s="45">
        <v>4.9526572761164926E-4</v>
      </c>
      <c r="J214" s="45">
        <v>1.6456412422399848E-3</v>
      </c>
      <c r="L214" s="27">
        <v>22</v>
      </c>
      <c r="M214" s="27">
        <v>16</v>
      </c>
      <c r="N214" s="45">
        <v>7.4616741283407948E-4</v>
      </c>
      <c r="O214" s="45">
        <v>5.2079942712063016E-4</v>
      </c>
      <c r="R214" s="27">
        <v>156</v>
      </c>
      <c r="S214" s="27">
        <v>158</v>
      </c>
      <c r="T214" s="45">
        <v>1.298708866934789E-4</v>
      </c>
      <c r="U214" s="45">
        <v>1.3078972158344965E-4</v>
      </c>
      <c r="W214" s="27">
        <v>36</v>
      </c>
      <c r="X214" s="27">
        <v>38</v>
      </c>
      <c r="Y214" s="45">
        <v>9.4714409745060382E-4</v>
      </c>
      <c r="Z214" s="45">
        <v>9.871668311944718E-4</v>
      </c>
      <c r="AB214" s="27">
        <v>0</v>
      </c>
      <c r="AC214" s="27">
        <v>3</v>
      </c>
      <c r="AD214" s="45">
        <v>0</v>
      </c>
      <c r="AE214" s="45">
        <v>1.0533707865168539E-3</v>
      </c>
      <c r="AF214">
        <f t="shared" si="3"/>
        <v>1534.0068611325717</v>
      </c>
    </row>
    <row r="215" spans="1:32" x14ac:dyDescent="0.25">
      <c r="A215" s="18"/>
      <c r="B215" s="19"/>
      <c r="C215" s="19"/>
      <c r="D215" s="19"/>
      <c r="E215" s="19"/>
      <c r="G215" s="19"/>
      <c r="H215" s="19"/>
      <c r="I215" s="19"/>
      <c r="J215" s="19"/>
      <c r="L215" s="19"/>
      <c r="M215" s="19"/>
      <c r="N215" s="19"/>
      <c r="O215" s="19"/>
      <c r="R215" s="19"/>
      <c r="S215" s="19"/>
      <c r="T215" s="19"/>
      <c r="U215" s="19"/>
      <c r="W215" s="19"/>
      <c r="X215" s="19"/>
      <c r="Y215" s="19"/>
      <c r="Z215" s="19"/>
      <c r="AB215" s="19"/>
      <c r="AC215" s="19"/>
      <c r="AD215" s="19"/>
      <c r="AE215" s="19"/>
      <c r="AF215">
        <v>1</v>
      </c>
    </row>
    <row r="216" spans="1:32" x14ac:dyDescent="0.25">
      <c r="A216" s="28" t="s">
        <v>68</v>
      </c>
      <c r="B216" s="25" t="s">
        <v>12</v>
      </c>
      <c r="C216" s="25" t="s">
        <v>164</v>
      </c>
      <c r="D216" s="25" t="s">
        <v>12</v>
      </c>
      <c r="E216" s="25" t="s">
        <v>164</v>
      </c>
      <c r="G216" s="25" t="s">
        <v>12</v>
      </c>
      <c r="H216" s="25" t="s">
        <v>164</v>
      </c>
      <c r="I216" s="25" t="s">
        <v>12</v>
      </c>
      <c r="J216" s="25" t="s">
        <v>164</v>
      </c>
      <c r="L216" s="25" t="s">
        <v>12</v>
      </c>
      <c r="M216" s="25" t="s">
        <v>164</v>
      </c>
      <c r="N216" s="25" t="s">
        <v>12</v>
      </c>
      <c r="O216" s="25" t="s">
        <v>164</v>
      </c>
      <c r="R216" s="25" t="s">
        <v>12</v>
      </c>
      <c r="S216" s="25" t="s">
        <v>164</v>
      </c>
      <c r="T216" s="25" t="s">
        <v>12</v>
      </c>
      <c r="U216" s="25" t="s">
        <v>164</v>
      </c>
      <c r="W216" s="25" t="s">
        <v>12</v>
      </c>
      <c r="X216" s="25" t="s">
        <v>164</v>
      </c>
      <c r="Y216" s="25" t="s">
        <v>12</v>
      </c>
      <c r="Z216" s="25" t="s">
        <v>164</v>
      </c>
      <c r="AB216" s="25" t="s">
        <v>12</v>
      </c>
      <c r="AC216" s="25" t="s">
        <v>164</v>
      </c>
      <c r="AD216" s="25" t="s">
        <v>12</v>
      </c>
      <c r="AE216" s="25" t="s">
        <v>164</v>
      </c>
      <c r="AF216">
        <v>1</v>
      </c>
    </row>
    <row r="217" spans="1:32" hidden="1" x14ac:dyDescent="0.25">
      <c r="A217" s="18" t="s">
        <v>17</v>
      </c>
      <c r="B217" s="19">
        <v>0</v>
      </c>
      <c r="C217" s="19">
        <v>0</v>
      </c>
      <c r="D217" s="20">
        <v>0</v>
      </c>
      <c r="E217" s="20">
        <v>0</v>
      </c>
      <c r="G217" s="19">
        <v>0</v>
      </c>
      <c r="H217" s="19">
        <v>0</v>
      </c>
      <c r="I217" s="20">
        <v>0</v>
      </c>
      <c r="J217" s="20">
        <v>0</v>
      </c>
      <c r="L217" s="19">
        <v>0</v>
      </c>
      <c r="M217" s="19">
        <v>0</v>
      </c>
      <c r="N217" s="20">
        <v>0</v>
      </c>
      <c r="O217" s="20">
        <v>0</v>
      </c>
      <c r="R217" s="19">
        <v>0</v>
      </c>
      <c r="S217" s="19">
        <v>0</v>
      </c>
      <c r="T217" s="20">
        <v>0</v>
      </c>
      <c r="U217" s="20">
        <v>0</v>
      </c>
      <c r="W217" s="19">
        <v>0</v>
      </c>
      <c r="X217" s="19">
        <v>0</v>
      </c>
      <c r="Y217" s="20">
        <v>0</v>
      </c>
      <c r="Z217" s="20">
        <v>0</v>
      </c>
      <c r="AB217" s="19">
        <v>0</v>
      </c>
      <c r="AC217" s="19">
        <v>0</v>
      </c>
      <c r="AD217" s="20">
        <v>0</v>
      </c>
      <c r="AE217" s="20">
        <v>0</v>
      </c>
      <c r="AF217">
        <f t="shared" si="3"/>
        <v>0</v>
      </c>
    </row>
    <row r="218" spans="1:32" hidden="1" x14ac:dyDescent="0.25">
      <c r="A218" s="18" t="s">
        <v>18</v>
      </c>
      <c r="B218" s="19">
        <v>0</v>
      </c>
      <c r="C218" s="19">
        <v>0</v>
      </c>
      <c r="D218" s="20">
        <v>0</v>
      </c>
      <c r="E218" s="20">
        <v>0</v>
      </c>
      <c r="G218" s="19">
        <v>0</v>
      </c>
      <c r="H218" s="19">
        <v>0</v>
      </c>
      <c r="I218" s="20">
        <v>0</v>
      </c>
      <c r="J218" s="20">
        <v>0</v>
      </c>
      <c r="L218" s="19">
        <v>0</v>
      </c>
      <c r="M218" s="19">
        <v>0</v>
      </c>
      <c r="N218" s="20">
        <v>0</v>
      </c>
      <c r="O218" s="20">
        <v>0</v>
      </c>
      <c r="R218" s="19">
        <v>0</v>
      </c>
      <c r="S218" s="19">
        <v>0</v>
      </c>
      <c r="T218" s="20">
        <v>0</v>
      </c>
      <c r="U218" s="20">
        <v>0</v>
      </c>
      <c r="W218" s="19">
        <v>0</v>
      </c>
      <c r="X218" s="19">
        <v>0</v>
      </c>
      <c r="Y218" s="20">
        <v>0</v>
      </c>
      <c r="Z218" s="20">
        <v>0</v>
      </c>
      <c r="AB218" s="19">
        <v>0</v>
      </c>
      <c r="AC218" s="19">
        <v>0</v>
      </c>
      <c r="AD218" s="20">
        <v>0</v>
      </c>
      <c r="AE218" s="20">
        <v>0</v>
      </c>
      <c r="AF218">
        <f t="shared" si="3"/>
        <v>0</v>
      </c>
    </row>
    <row r="219" spans="1:32" x14ac:dyDescent="0.25">
      <c r="A219" s="18" t="s">
        <v>19</v>
      </c>
      <c r="B219" s="19">
        <v>26</v>
      </c>
      <c r="C219" s="19">
        <v>17</v>
      </c>
      <c r="D219" s="20">
        <v>9.1620592080456976E-5</v>
      </c>
      <c r="E219" s="20">
        <v>5.8898120110589881E-5</v>
      </c>
      <c r="G219" s="19">
        <v>2</v>
      </c>
      <c r="H219" s="19">
        <v>1</v>
      </c>
      <c r="I219" s="20">
        <v>1.373532037634778E-4</v>
      </c>
      <c r="J219" s="20">
        <v>6.6952329941081948E-5</v>
      </c>
      <c r="L219" s="19">
        <v>0</v>
      </c>
      <c r="M219" s="19">
        <v>0</v>
      </c>
      <c r="N219" s="20">
        <v>0</v>
      </c>
      <c r="O219" s="20">
        <v>0</v>
      </c>
      <c r="R219" s="19">
        <v>2</v>
      </c>
      <c r="S219" s="19">
        <v>1</v>
      </c>
      <c r="T219" s="20">
        <v>3.0263137984777641E-5</v>
      </c>
      <c r="U219" s="20">
        <v>1.4936966003465376E-5</v>
      </c>
      <c r="W219" s="19">
        <v>0</v>
      </c>
      <c r="X219" s="19">
        <v>0</v>
      </c>
      <c r="Y219" s="20">
        <v>0</v>
      </c>
      <c r="Z219" s="20">
        <v>0</v>
      </c>
      <c r="AB219" s="19">
        <v>0</v>
      </c>
      <c r="AC219" s="19">
        <v>0</v>
      </c>
      <c r="AD219" s="20">
        <v>0</v>
      </c>
      <c r="AE219" s="20">
        <v>0</v>
      </c>
      <c r="AF219">
        <f t="shared" si="3"/>
        <v>49.000400024349879</v>
      </c>
    </row>
    <row r="220" spans="1:32" x14ac:dyDescent="0.25">
      <c r="A220" s="18" t="s">
        <v>20</v>
      </c>
      <c r="B220" s="19">
        <v>2</v>
      </c>
      <c r="C220" s="19">
        <v>0</v>
      </c>
      <c r="D220" s="20">
        <v>1.2618933447744996E-5</v>
      </c>
      <c r="E220" s="20">
        <v>0</v>
      </c>
      <c r="G220" s="19">
        <v>0</v>
      </c>
      <c r="H220" s="19">
        <v>0</v>
      </c>
      <c r="I220" s="20">
        <v>0</v>
      </c>
      <c r="J220" s="20">
        <v>0</v>
      </c>
      <c r="L220" s="19">
        <v>0</v>
      </c>
      <c r="M220" s="19">
        <v>0</v>
      </c>
      <c r="N220" s="20">
        <v>0</v>
      </c>
      <c r="O220" s="20">
        <v>0</v>
      </c>
      <c r="R220" s="19">
        <v>0</v>
      </c>
      <c r="S220" s="19">
        <v>0</v>
      </c>
      <c r="T220" s="20">
        <v>0</v>
      </c>
      <c r="U220" s="20">
        <v>0</v>
      </c>
      <c r="W220" s="19">
        <v>0</v>
      </c>
      <c r="X220" s="19">
        <v>0</v>
      </c>
      <c r="Y220" s="20">
        <v>0</v>
      </c>
      <c r="Z220" s="20">
        <v>0</v>
      </c>
      <c r="AB220" s="19">
        <v>0</v>
      </c>
      <c r="AC220" s="19">
        <v>0</v>
      </c>
      <c r="AD220" s="20">
        <v>0</v>
      </c>
      <c r="AE220" s="20">
        <v>0</v>
      </c>
      <c r="AF220">
        <f t="shared" si="3"/>
        <v>2.0000126189334479</v>
      </c>
    </row>
    <row r="221" spans="1:32" x14ac:dyDescent="0.25">
      <c r="A221" s="18" t="s">
        <v>21</v>
      </c>
      <c r="B221" s="19">
        <v>2</v>
      </c>
      <c r="C221" s="19">
        <v>0</v>
      </c>
      <c r="D221" s="20">
        <v>5.0170579971904475E-5</v>
      </c>
      <c r="E221" s="20">
        <v>0</v>
      </c>
      <c r="G221" s="19">
        <v>0</v>
      </c>
      <c r="H221" s="19">
        <v>0</v>
      </c>
      <c r="I221" s="20">
        <v>0</v>
      </c>
      <c r="J221" s="20">
        <v>0</v>
      </c>
      <c r="L221" s="19">
        <v>0</v>
      </c>
      <c r="M221" s="19">
        <v>0</v>
      </c>
      <c r="N221" s="20">
        <v>0</v>
      </c>
      <c r="O221" s="20">
        <v>0</v>
      </c>
      <c r="R221" s="19">
        <v>0</v>
      </c>
      <c r="S221" s="19">
        <v>0</v>
      </c>
      <c r="T221" s="20">
        <v>0</v>
      </c>
      <c r="U221" s="20">
        <v>0</v>
      </c>
      <c r="W221" s="19">
        <v>0</v>
      </c>
      <c r="X221" s="19">
        <v>0</v>
      </c>
      <c r="Y221" s="20">
        <v>0</v>
      </c>
      <c r="Z221" s="20">
        <v>0</v>
      </c>
      <c r="AB221" s="19">
        <v>0</v>
      </c>
      <c r="AC221" s="19">
        <v>0</v>
      </c>
      <c r="AD221" s="20">
        <v>0</v>
      </c>
      <c r="AE221" s="20">
        <v>0</v>
      </c>
      <c r="AF221">
        <f t="shared" si="3"/>
        <v>2.0000501705799718</v>
      </c>
    </row>
    <row r="222" spans="1:32" hidden="1" x14ac:dyDescent="0.25">
      <c r="A222" s="18" t="s">
        <v>169</v>
      </c>
      <c r="B222" s="19">
        <v>0</v>
      </c>
      <c r="C222" s="19">
        <v>0</v>
      </c>
      <c r="D222" s="20">
        <v>0</v>
      </c>
      <c r="E222" s="20">
        <v>0</v>
      </c>
      <c r="G222" s="19">
        <v>0</v>
      </c>
      <c r="H222" s="19">
        <v>0</v>
      </c>
      <c r="I222" s="20">
        <v>0</v>
      </c>
      <c r="J222" s="20">
        <v>0</v>
      </c>
      <c r="L222" s="19">
        <v>0</v>
      </c>
      <c r="M222" s="19">
        <v>0</v>
      </c>
      <c r="N222" s="20">
        <v>0</v>
      </c>
      <c r="O222" s="20">
        <v>0</v>
      </c>
      <c r="R222" s="19">
        <v>0</v>
      </c>
      <c r="S222" s="19">
        <v>0</v>
      </c>
      <c r="T222" s="20">
        <v>0</v>
      </c>
      <c r="U222" s="20">
        <v>0</v>
      </c>
      <c r="W222" s="19">
        <v>0</v>
      </c>
      <c r="X222" s="19">
        <v>0</v>
      </c>
      <c r="Y222" s="20">
        <v>0</v>
      </c>
      <c r="Z222" s="20">
        <v>0</v>
      </c>
      <c r="AB222" s="19">
        <v>0</v>
      </c>
      <c r="AC222" s="19">
        <v>0</v>
      </c>
      <c r="AD222" s="20">
        <v>0</v>
      </c>
      <c r="AE222" s="20">
        <v>0</v>
      </c>
      <c r="AF222">
        <f t="shared" si="3"/>
        <v>0</v>
      </c>
    </row>
    <row r="223" spans="1:32" hidden="1" x14ac:dyDescent="0.25">
      <c r="A223" s="18" t="s">
        <v>22</v>
      </c>
      <c r="B223" s="19">
        <v>0</v>
      </c>
      <c r="C223" s="19">
        <v>0</v>
      </c>
      <c r="D223" s="20">
        <v>0</v>
      </c>
      <c r="E223" s="20">
        <v>0</v>
      </c>
      <c r="G223" s="19">
        <v>0</v>
      </c>
      <c r="H223" s="19">
        <v>0</v>
      </c>
      <c r="I223" s="20">
        <v>0</v>
      </c>
      <c r="J223" s="20">
        <v>0</v>
      </c>
      <c r="L223" s="19">
        <v>0</v>
      </c>
      <c r="M223" s="19">
        <v>0</v>
      </c>
      <c r="N223" s="20">
        <v>0</v>
      </c>
      <c r="O223" s="20">
        <v>0</v>
      </c>
      <c r="R223" s="19">
        <v>0</v>
      </c>
      <c r="S223" s="19">
        <v>0</v>
      </c>
      <c r="T223" s="20">
        <v>0</v>
      </c>
      <c r="U223" s="20">
        <v>0</v>
      </c>
      <c r="W223" s="19">
        <v>0</v>
      </c>
      <c r="X223" s="19">
        <v>0</v>
      </c>
      <c r="Y223" s="20">
        <v>0</v>
      </c>
      <c r="Z223" s="20">
        <v>0</v>
      </c>
      <c r="AB223" s="19">
        <v>0</v>
      </c>
      <c r="AC223" s="19">
        <v>0</v>
      </c>
      <c r="AD223" s="20">
        <v>0</v>
      </c>
      <c r="AE223" s="20">
        <v>0</v>
      </c>
      <c r="AF223">
        <f t="shared" si="3"/>
        <v>0</v>
      </c>
    </row>
    <row r="224" spans="1:32" hidden="1" x14ac:dyDescent="0.25">
      <c r="A224" s="18" t="s">
        <v>23</v>
      </c>
      <c r="B224" s="19">
        <v>0</v>
      </c>
      <c r="C224" s="19">
        <v>0</v>
      </c>
      <c r="D224" s="20">
        <v>0</v>
      </c>
      <c r="E224" s="20">
        <v>0</v>
      </c>
      <c r="G224" s="19">
        <v>0</v>
      </c>
      <c r="H224" s="19">
        <v>0</v>
      </c>
      <c r="I224" s="20">
        <v>0</v>
      </c>
      <c r="J224" s="20">
        <v>0</v>
      </c>
      <c r="L224" s="19">
        <v>0</v>
      </c>
      <c r="M224" s="19">
        <v>0</v>
      </c>
      <c r="N224" s="20">
        <v>0</v>
      </c>
      <c r="O224" s="20">
        <v>0</v>
      </c>
      <c r="R224" s="19">
        <v>0</v>
      </c>
      <c r="S224" s="19">
        <v>0</v>
      </c>
      <c r="T224" s="20">
        <v>0</v>
      </c>
      <c r="U224" s="20">
        <v>0</v>
      </c>
      <c r="W224" s="19">
        <v>0</v>
      </c>
      <c r="X224" s="19">
        <v>0</v>
      </c>
      <c r="Y224" s="20">
        <v>0</v>
      </c>
      <c r="Z224" s="20">
        <v>0</v>
      </c>
      <c r="AB224" s="19">
        <v>0</v>
      </c>
      <c r="AC224" s="19">
        <v>0</v>
      </c>
      <c r="AD224" s="20">
        <v>0</v>
      </c>
      <c r="AE224" s="20">
        <v>0</v>
      </c>
      <c r="AF224">
        <f t="shared" si="3"/>
        <v>0</v>
      </c>
    </row>
    <row r="225" spans="1:32" hidden="1" x14ac:dyDescent="0.25">
      <c r="A225" s="18" t="s">
        <v>24</v>
      </c>
      <c r="B225" s="19">
        <v>0</v>
      </c>
      <c r="C225" s="19">
        <v>0</v>
      </c>
      <c r="D225" s="20">
        <v>0</v>
      </c>
      <c r="E225" s="20">
        <v>0</v>
      </c>
      <c r="G225" s="19">
        <v>0</v>
      </c>
      <c r="H225" s="19">
        <v>0</v>
      </c>
      <c r="I225" s="20">
        <v>0</v>
      </c>
      <c r="J225" s="20">
        <v>0</v>
      </c>
      <c r="L225" s="19">
        <v>0</v>
      </c>
      <c r="M225" s="19">
        <v>0</v>
      </c>
      <c r="N225" s="20">
        <v>0</v>
      </c>
      <c r="O225" s="20">
        <v>0</v>
      </c>
      <c r="R225" s="19">
        <v>0</v>
      </c>
      <c r="S225" s="19">
        <v>0</v>
      </c>
      <c r="T225" s="20">
        <v>0</v>
      </c>
      <c r="U225" s="20">
        <v>0</v>
      </c>
      <c r="W225" s="19">
        <v>0</v>
      </c>
      <c r="X225" s="19">
        <v>0</v>
      </c>
      <c r="Y225" s="20">
        <v>0</v>
      </c>
      <c r="Z225" s="20">
        <v>0</v>
      </c>
      <c r="AB225" s="19">
        <v>0</v>
      </c>
      <c r="AC225" s="19">
        <v>0</v>
      </c>
      <c r="AD225" s="20">
        <v>0</v>
      </c>
      <c r="AE225" s="20">
        <v>0</v>
      </c>
      <c r="AF225">
        <f t="shared" si="3"/>
        <v>0</v>
      </c>
    </row>
    <row r="226" spans="1:32" hidden="1" x14ac:dyDescent="0.25">
      <c r="A226" s="18" t="s">
        <v>25</v>
      </c>
      <c r="B226" s="19">
        <v>0</v>
      </c>
      <c r="C226" s="19">
        <v>0</v>
      </c>
      <c r="D226" s="20">
        <v>0</v>
      </c>
      <c r="E226" s="20">
        <v>0</v>
      </c>
      <c r="G226" s="19">
        <v>0</v>
      </c>
      <c r="H226" s="19">
        <v>0</v>
      </c>
      <c r="I226" s="20">
        <v>0</v>
      </c>
      <c r="J226" s="20">
        <v>0</v>
      </c>
      <c r="L226" s="19">
        <v>0</v>
      </c>
      <c r="M226" s="19">
        <v>0</v>
      </c>
      <c r="N226" s="20">
        <v>0</v>
      </c>
      <c r="O226" s="20">
        <v>0</v>
      </c>
      <c r="R226" s="19">
        <v>0</v>
      </c>
      <c r="S226" s="19">
        <v>0</v>
      </c>
      <c r="T226" s="20">
        <v>0</v>
      </c>
      <c r="U226" s="20">
        <v>0</v>
      </c>
      <c r="W226" s="19">
        <v>0</v>
      </c>
      <c r="X226" s="19">
        <v>0</v>
      </c>
      <c r="Y226" s="20">
        <v>0</v>
      </c>
      <c r="Z226" s="20">
        <v>0</v>
      </c>
      <c r="AB226" s="19">
        <v>0</v>
      </c>
      <c r="AC226" s="19">
        <v>0</v>
      </c>
      <c r="AD226" s="20">
        <v>0</v>
      </c>
      <c r="AE226" s="20">
        <v>0</v>
      </c>
      <c r="AF226">
        <f t="shared" si="3"/>
        <v>0</v>
      </c>
    </row>
    <row r="227" spans="1:32" hidden="1" x14ac:dyDescent="0.25">
      <c r="A227" s="18" t="s">
        <v>82</v>
      </c>
      <c r="B227" s="19">
        <v>0</v>
      </c>
      <c r="C227" s="19">
        <v>0</v>
      </c>
      <c r="D227" s="20">
        <v>0</v>
      </c>
      <c r="E227" s="20">
        <v>0</v>
      </c>
      <c r="G227" s="19">
        <v>0</v>
      </c>
      <c r="H227" s="19">
        <v>0</v>
      </c>
      <c r="I227" s="20">
        <v>0</v>
      </c>
      <c r="J227" s="20">
        <v>0</v>
      </c>
      <c r="L227" s="19">
        <v>0</v>
      </c>
      <c r="M227" s="19">
        <v>0</v>
      </c>
      <c r="N227" s="20">
        <v>0</v>
      </c>
      <c r="O227" s="20">
        <v>0</v>
      </c>
      <c r="R227" s="19">
        <v>0</v>
      </c>
      <c r="S227" s="19">
        <v>0</v>
      </c>
      <c r="T227" s="20">
        <v>0</v>
      </c>
      <c r="U227" s="20">
        <v>0</v>
      </c>
      <c r="W227" s="19">
        <v>0</v>
      </c>
      <c r="X227" s="19">
        <v>0</v>
      </c>
      <c r="Y227" s="20">
        <v>0</v>
      </c>
      <c r="Z227" s="20">
        <v>0</v>
      </c>
      <c r="AB227" s="19">
        <v>0</v>
      </c>
      <c r="AC227" s="19">
        <v>0</v>
      </c>
      <c r="AD227" s="20">
        <v>0</v>
      </c>
      <c r="AE227" s="20">
        <v>0</v>
      </c>
      <c r="AF227">
        <f t="shared" si="3"/>
        <v>0</v>
      </c>
    </row>
    <row r="228" spans="1:32" hidden="1" x14ac:dyDescent="0.25">
      <c r="A228" s="18" t="s">
        <v>83</v>
      </c>
      <c r="B228" s="19">
        <v>0</v>
      </c>
      <c r="C228" s="19">
        <v>0</v>
      </c>
      <c r="D228" s="20">
        <v>0</v>
      </c>
      <c r="E228" s="20">
        <v>0</v>
      </c>
      <c r="G228" s="19">
        <v>0</v>
      </c>
      <c r="H228" s="19">
        <v>0</v>
      </c>
      <c r="I228" s="20">
        <v>0</v>
      </c>
      <c r="J228" s="20">
        <v>0</v>
      </c>
      <c r="L228" s="19">
        <v>0</v>
      </c>
      <c r="M228" s="19">
        <v>0</v>
      </c>
      <c r="N228" s="20">
        <v>0</v>
      </c>
      <c r="O228" s="20">
        <v>0</v>
      </c>
      <c r="R228" s="19">
        <v>0</v>
      </c>
      <c r="S228" s="19">
        <v>0</v>
      </c>
      <c r="T228" s="20">
        <v>0</v>
      </c>
      <c r="U228" s="20">
        <v>0</v>
      </c>
      <c r="W228" s="19">
        <v>0</v>
      </c>
      <c r="X228" s="19">
        <v>0</v>
      </c>
      <c r="Y228" s="20">
        <v>0</v>
      </c>
      <c r="Z228" s="20">
        <v>0</v>
      </c>
      <c r="AB228" s="19">
        <v>0</v>
      </c>
      <c r="AC228" s="19">
        <v>0</v>
      </c>
      <c r="AD228" s="20">
        <v>0</v>
      </c>
      <c r="AE228" s="20">
        <v>0</v>
      </c>
      <c r="AF228">
        <f t="shared" si="3"/>
        <v>0</v>
      </c>
    </row>
    <row r="229" spans="1:32" hidden="1" x14ac:dyDescent="0.25">
      <c r="A229" s="18" t="s">
        <v>84</v>
      </c>
      <c r="B229" s="19">
        <v>0</v>
      </c>
      <c r="C229" s="19">
        <v>0</v>
      </c>
      <c r="D229" s="20">
        <v>0</v>
      </c>
      <c r="E229" s="20">
        <v>0</v>
      </c>
      <c r="G229" s="19">
        <v>0</v>
      </c>
      <c r="H229" s="19">
        <v>0</v>
      </c>
      <c r="I229" s="20">
        <v>0</v>
      </c>
      <c r="J229" s="20">
        <v>0</v>
      </c>
      <c r="L229" s="19">
        <v>0</v>
      </c>
      <c r="M229" s="19">
        <v>0</v>
      </c>
      <c r="N229" s="20">
        <v>0</v>
      </c>
      <c r="O229" s="20">
        <v>0</v>
      </c>
      <c r="R229" s="19">
        <v>0</v>
      </c>
      <c r="S229" s="19">
        <v>0</v>
      </c>
      <c r="T229" s="20">
        <v>0</v>
      </c>
      <c r="U229" s="20">
        <v>0</v>
      </c>
      <c r="W229" s="19">
        <v>0</v>
      </c>
      <c r="X229" s="19">
        <v>0</v>
      </c>
      <c r="Y229" s="20">
        <v>0</v>
      </c>
      <c r="Z229" s="20">
        <v>0</v>
      </c>
      <c r="AB229" s="19">
        <v>0</v>
      </c>
      <c r="AC229" s="19">
        <v>0</v>
      </c>
      <c r="AD229" s="20">
        <v>0</v>
      </c>
      <c r="AE229" s="20">
        <v>0</v>
      </c>
      <c r="AF229">
        <f t="shared" si="3"/>
        <v>0</v>
      </c>
    </row>
    <row r="230" spans="1:32" hidden="1" x14ac:dyDescent="0.25">
      <c r="A230" s="18" t="s">
        <v>26</v>
      </c>
      <c r="B230" s="19">
        <v>0</v>
      </c>
      <c r="C230" s="19">
        <v>0</v>
      </c>
      <c r="D230" s="20">
        <v>0</v>
      </c>
      <c r="E230" s="20">
        <v>0</v>
      </c>
      <c r="G230" s="19">
        <v>0</v>
      </c>
      <c r="H230" s="19">
        <v>0</v>
      </c>
      <c r="I230" s="20">
        <v>0</v>
      </c>
      <c r="J230" s="20">
        <v>0</v>
      </c>
      <c r="L230" s="19">
        <v>0</v>
      </c>
      <c r="M230" s="19">
        <v>0</v>
      </c>
      <c r="N230" s="20">
        <v>0</v>
      </c>
      <c r="O230" s="20">
        <v>0</v>
      </c>
      <c r="R230" s="19">
        <v>0</v>
      </c>
      <c r="S230" s="19">
        <v>0</v>
      </c>
      <c r="T230" s="20">
        <v>0</v>
      </c>
      <c r="U230" s="20">
        <v>0</v>
      </c>
      <c r="W230" s="19">
        <v>0</v>
      </c>
      <c r="X230" s="19">
        <v>0</v>
      </c>
      <c r="Y230" s="20">
        <v>0</v>
      </c>
      <c r="Z230" s="20">
        <v>0</v>
      </c>
      <c r="AB230" s="19">
        <v>0</v>
      </c>
      <c r="AC230" s="19">
        <v>0</v>
      </c>
      <c r="AD230" s="20">
        <v>0</v>
      </c>
      <c r="AE230" s="20">
        <v>0</v>
      </c>
      <c r="AF230">
        <f t="shared" si="3"/>
        <v>0</v>
      </c>
    </row>
    <row r="231" spans="1:32" hidden="1" x14ac:dyDescent="0.25">
      <c r="A231" s="18" t="s">
        <v>27</v>
      </c>
      <c r="B231" s="19">
        <v>0</v>
      </c>
      <c r="C231" s="19">
        <v>0</v>
      </c>
      <c r="D231" s="20">
        <v>0</v>
      </c>
      <c r="E231" s="20">
        <v>0</v>
      </c>
      <c r="G231" s="19">
        <v>0</v>
      </c>
      <c r="H231" s="19">
        <v>0</v>
      </c>
      <c r="I231" s="20">
        <v>0</v>
      </c>
      <c r="J231" s="20">
        <v>0</v>
      </c>
      <c r="L231" s="19">
        <v>0</v>
      </c>
      <c r="M231" s="19">
        <v>0</v>
      </c>
      <c r="N231" s="20">
        <v>0</v>
      </c>
      <c r="O231" s="20">
        <v>0</v>
      </c>
      <c r="R231" s="19">
        <v>0</v>
      </c>
      <c r="S231" s="19">
        <v>0</v>
      </c>
      <c r="T231" s="20">
        <v>0</v>
      </c>
      <c r="U231" s="20">
        <v>0</v>
      </c>
      <c r="W231" s="19">
        <v>0</v>
      </c>
      <c r="X231" s="19">
        <v>0</v>
      </c>
      <c r="Y231" s="20">
        <v>0</v>
      </c>
      <c r="Z231" s="20">
        <v>0</v>
      </c>
      <c r="AB231" s="19">
        <v>0</v>
      </c>
      <c r="AC231" s="19">
        <v>0</v>
      </c>
      <c r="AD231" s="20">
        <v>0</v>
      </c>
      <c r="AE231" s="20">
        <v>0</v>
      </c>
      <c r="AF231">
        <f t="shared" si="3"/>
        <v>0</v>
      </c>
    </row>
    <row r="232" spans="1:32" hidden="1" x14ac:dyDescent="0.25">
      <c r="A232" s="18" t="s">
        <v>28</v>
      </c>
      <c r="B232" s="19">
        <v>0</v>
      </c>
      <c r="C232" s="19">
        <v>0</v>
      </c>
      <c r="D232" s="20">
        <v>0</v>
      </c>
      <c r="E232" s="20">
        <v>0</v>
      </c>
      <c r="G232" s="19">
        <v>0</v>
      </c>
      <c r="H232" s="19">
        <v>0</v>
      </c>
      <c r="I232" s="20">
        <v>0</v>
      </c>
      <c r="J232" s="20">
        <v>0</v>
      </c>
      <c r="L232" s="19">
        <v>0</v>
      </c>
      <c r="M232" s="19">
        <v>0</v>
      </c>
      <c r="N232" s="20">
        <v>0</v>
      </c>
      <c r="O232" s="20">
        <v>0</v>
      </c>
      <c r="R232" s="19">
        <v>0</v>
      </c>
      <c r="S232" s="19">
        <v>0</v>
      </c>
      <c r="T232" s="20">
        <v>0</v>
      </c>
      <c r="U232" s="20">
        <v>0</v>
      </c>
      <c r="W232" s="19">
        <v>0</v>
      </c>
      <c r="X232" s="19">
        <v>0</v>
      </c>
      <c r="Y232" s="20">
        <v>0</v>
      </c>
      <c r="Z232" s="20">
        <v>0</v>
      </c>
      <c r="AB232" s="19">
        <v>0</v>
      </c>
      <c r="AC232" s="19">
        <v>0</v>
      </c>
      <c r="AD232" s="20">
        <v>0</v>
      </c>
      <c r="AE232" s="20">
        <v>0</v>
      </c>
      <c r="AF232">
        <f t="shared" si="3"/>
        <v>0</v>
      </c>
    </row>
    <row r="233" spans="1:32" hidden="1" x14ac:dyDescent="0.25">
      <c r="A233" s="18" t="s">
        <v>170</v>
      </c>
      <c r="B233" s="19">
        <v>0</v>
      </c>
      <c r="C233" s="19">
        <v>0</v>
      </c>
      <c r="D233" s="20">
        <v>0</v>
      </c>
      <c r="E233" s="20">
        <v>0</v>
      </c>
      <c r="G233" s="19">
        <v>0</v>
      </c>
      <c r="H233" s="19">
        <v>0</v>
      </c>
      <c r="I233" s="20">
        <v>0</v>
      </c>
      <c r="J233" s="20">
        <v>0</v>
      </c>
      <c r="L233" s="19">
        <v>0</v>
      </c>
      <c r="M233" s="19">
        <v>0</v>
      </c>
      <c r="N233" s="20">
        <v>0</v>
      </c>
      <c r="O233" s="20">
        <v>0</v>
      </c>
      <c r="R233" s="19">
        <v>0</v>
      </c>
      <c r="S233" s="19">
        <v>0</v>
      </c>
      <c r="T233" s="20">
        <v>0</v>
      </c>
      <c r="U233" s="20">
        <v>0</v>
      </c>
      <c r="W233" s="19">
        <v>0</v>
      </c>
      <c r="X233" s="19">
        <v>0</v>
      </c>
      <c r="Y233" s="20">
        <v>0</v>
      </c>
      <c r="Z233" s="20">
        <v>0</v>
      </c>
      <c r="AB233" s="19">
        <v>0</v>
      </c>
      <c r="AC233" s="19">
        <v>0</v>
      </c>
      <c r="AD233" s="20">
        <v>0</v>
      </c>
      <c r="AE233" s="20">
        <v>0</v>
      </c>
      <c r="AF233">
        <f t="shared" si="3"/>
        <v>0</v>
      </c>
    </row>
    <row r="234" spans="1:32" hidden="1" x14ac:dyDescent="0.25">
      <c r="A234" s="18" t="s">
        <v>171</v>
      </c>
      <c r="B234" s="19">
        <v>0</v>
      </c>
      <c r="C234" s="19">
        <v>0</v>
      </c>
      <c r="D234" s="20">
        <v>0</v>
      </c>
      <c r="E234" s="20">
        <v>0</v>
      </c>
      <c r="G234" s="19">
        <v>0</v>
      </c>
      <c r="H234" s="19">
        <v>0</v>
      </c>
      <c r="I234" s="20">
        <v>0</v>
      </c>
      <c r="J234" s="20">
        <v>0</v>
      </c>
      <c r="L234" s="19">
        <v>0</v>
      </c>
      <c r="M234" s="19">
        <v>0</v>
      </c>
      <c r="N234" s="20">
        <v>0</v>
      </c>
      <c r="O234" s="20">
        <v>0</v>
      </c>
      <c r="R234" s="19">
        <v>0</v>
      </c>
      <c r="S234" s="19">
        <v>0</v>
      </c>
      <c r="T234" s="20">
        <v>0</v>
      </c>
      <c r="U234" s="20">
        <v>0</v>
      </c>
      <c r="W234" s="19">
        <v>0</v>
      </c>
      <c r="X234" s="19">
        <v>0</v>
      </c>
      <c r="Y234" s="20">
        <v>0</v>
      </c>
      <c r="Z234" s="20">
        <v>0</v>
      </c>
      <c r="AB234" s="19">
        <v>0</v>
      </c>
      <c r="AC234" s="19">
        <v>0</v>
      </c>
      <c r="AD234" s="20">
        <v>0</v>
      </c>
      <c r="AE234" s="20">
        <v>0</v>
      </c>
      <c r="AF234">
        <f t="shared" si="3"/>
        <v>0</v>
      </c>
    </row>
    <row r="235" spans="1:32" hidden="1" x14ac:dyDescent="0.25">
      <c r="A235" s="18" t="s">
        <v>29</v>
      </c>
      <c r="B235" s="19">
        <v>0</v>
      </c>
      <c r="C235" s="19">
        <v>0</v>
      </c>
      <c r="D235" s="20">
        <v>0</v>
      </c>
      <c r="E235" s="20">
        <v>0</v>
      </c>
      <c r="G235" s="19">
        <v>0</v>
      </c>
      <c r="H235" s="19">
        <v>0</v>
      </c>
      <c r="I235" s="20">
        <v>0</v>
      </c>
      <c r="J235" s="20">
        <v>0</v>
      </c>
      <c r="L235" s="19">
        <v>0</v>
      </c>
      <c r="M235" s="19">
        <v>0</v>
      </c>
      <c r="N235" s="20">
        <v>0</v>
      </c>
      <c r="O235" s="20">
        <v>0</v>
      </c>
      <c r="R235" s="19">
        <v>0</v>
      </c>
      <c r="S235" s="19">
        <v>0</v>
      </c>
      <c r="T235" s="20">
        <v>0</v>
      </c>
      <c r="U235" s="20">
        <v>0</v>
      </c>
      <c r="W235" s="19">
        <v>0</v>
      </c>
      <c r="X235" s="19">
        <v>0</v>
      </c>
      <c r="Y235" s="20">
        <v>0</v>
      </c>
      <c r="Z235" s="20">
        <v>0</v>
      </c>
      <c r="AB235" s="19">
        <v>0</v>
      </c>
      <c r="AC235" s="19">
        <v>0</v>
      </c>
      <c r="AD235" s="20">
        <v>0</v>
      </c>
      <c r="AE235" s="20">
        <v>0</v>
      </c>
      <c r="AF235">
        <f t="shared" si="3"/>
        <v>0</v>
      </c>
    </row>
    <row r="236" spans="1:32" x14ac:dyDescent="0.25">
      <c r="A236" s="18" t="s">
        <v>30</v>
      </c>
      <c r="B236" s="19">
        <v>0</v>
      </c>
      <c r="C236" s="19">
        <v>0</v>
      </c>
      <c r="D236" s="20">
        <v>0</v>
      </c>
      <c r="E236" s="20">
        <v>0</v>
      </c>
      <c r="G236" s="19">
        <v>4</v>
      </c>
      <c r="H236" s="19">
        <v>0</v>
      </c>
      <c r="I236" s="20">
        <v>4.8514251061249243E-4</v>
      </c>
      <c r="J236" s="20">
        <v>0</v>
      </c>
      <c r="L236" s="19">
        <v>4</v>
      </c>
      <c r="M236" s="19">
        <v>3</v>
      </c>
      <c r="N236" s="20">
        <v>6.5146579804560263E-3</v>
      </c>
      <c r="O236" s="20">
        <v>2.6269702276707531E-3</v>
      </c>
      <c r="R236" s="19">
        <v>0</v>
      </c>
      <c r="S236" s="19">
        <v>0</v>
      </c>
      <c r="T236" s="20">
        <v>0</v>
      </c>
      <c r="U236" s="20">
        <v>0</v>
      </c>
      <c r="W236" s="19">
        <v>0</v>
      </c>
      <c r="X236" s="19">
        <v>0</v>
      </c>
      <c r="Y236" s="20">
        <v>0</v>
      </c>
      <c r="Z236" s="20">
        <v>0</v>
      </c>
      <c r="AB236" s="19">
        <v>0</v>
      </c>
      <c r="AC236" s="19">
        <v>0</v>
      </c>
      <c r="AD236" s="20">
        <v>0</v>
      </c>
      <c r="AE236" s="20">
        <v>0</v>
      </c>
      <c r="AF236">
        <f t="shared" si="3"/>
        <v>11.009626770718738</v>
      </c>
    </row>
    <row r="237" spans="1:32" hidden="1" x14ac:dyDescent="0.25">
      <c r="A237" s="18" t="s">
        <v>31</v>
      </c>
      <c r="B237" s="19">
        <v>0</v>
      </c>
      <c r="C237" s="19">
        <v>0</v>
      </c>
      <c r="D237" s="20">
        <v>0</v>
      </c>
      <c r="E237" s="20">
        <v>0</v>
      </c>
      <c r="G237" s="19">
        <v>0</v>
      </c>
      <c r="H237" s="19">
        <v>0</v>
      </c>
      <c r="I237" s="20">
        <v>0</v>
      </c>
      <c r="J237" s="20">
        <v>0</v>
      </c>
      <c r="L237" s="19">
        <v>0</v>
      </c>
      <c r="M237" s="19">
        <v>0</v>
      </c>
      <c r="N237" s="20">
        <v>0</v>
      </c>
      <c r="O237" s="20">
        <v>0</v>
      </c>
      <c r="R237" s="19">
        <v>0</v>
      </c>
      <c r="S237" s="19">
        <v>0</v>
      </c>
      <c r="T237" s="20">
        <v>0</v>
      </c>
      <c r="U237" s="20">
        <v>0</v>
      </c>
      <c r="W237" s="19">
        <v>0</v>
      </c>
      <c r="X237" s="19">
        <v>0</v>
      </c>
      <c r="Y237" s="20">
        <v>0</v>
      </c>
      <c r="Z237" s="20">
        <v>0</v>
      </c>
      <c r="AB237" s="19">
        <v>0</v>
      </c>
      <c r="AC237" s="19">
        <v>0</v>
      </c>
      <c r="AD237" s="20">
        <v>0</v>
      </c>
      <c r="AE237" s="20">
        <v>0</v>
      </c>
      <c r="AF237">
        <f t="shared" si="3"/>
        <v>0</v>
      </c>
    </row>
    <row r="238" spans="1:32" hidden="1" x14ac:dyDescent="0.25">
      <c r="A238" s="18" t="s">
        <v>79</v>
      </c>
      <c r="B238" s="19">
        <v>0</v>
      </c>
      <c r="C238" s="19">
        <v>0</v>
      </c>
      <c r="D238" s="20">
        <v>0</v>
      </c>
      <c r="E238" s="20">
        <v>0</v>
      </c>
      <c r="G238" s="19">
        <v>0</v>
      </c>
      <c r="H238" s="19">
        <v>0</v>
      </c>
      <c r="I238" s="20">
        <v>0</v>
      </c>
      <c r="J238" s="20">
        <v>0</v>
      </c>
      <c r="L238" s="19">
        <v>0</v>
      </c>
      <c r="M238" s="19">
        <v>0</v>
      </c>
      <c r="N238" s="20">
        <v>0</v>
      </c>
      <c r="O238" s="20">
        <v>0</v>
      </c>
      <c r="R238" s="19">
        <v>0</v>
      </c>
      <c r="S238" s="19">
        <v>0</v>
      </c>
      <c r="T238" s="20">
        <v>0</v>
      </c>
      <c r="U238" s="20">
        <v>0</v>
      </c>
      <c r="W238" s="19">
        <v>0</v>
      </c>
      <c r="X238" s="19">
        <v>0</v>
      </c>
      <c r="Y238" s="20">
        <v>0</v>
      </c>
      <c r="Z238" s="20">
        <v>0</v>
      </c>
      <c r="AB238" s="19">
        <v>0</v>
      </c>
      <c r="AC238" s="19">
        <v>0</v>
      </c>
      <c r="AD238" s="20">
        <v>0</v>
      </c>
      <c r="AE238" s="20">
        <v>0</v>
      </c>
      <c r="AF238">
        <f t="shared" si="3"/>
        <v>0</v>
      </c>
    </row>
    <row r="239" spans="1:32" hidden="1" x14ac:dyDescent="0.25">
      <c r="A239" s="18" t="s">
        <v>32</v>
      </c>
      <c r="B239" s="19">
        <v>0</v>
      </c>
      <c r="C239" s="19">
        <v>0</v>
      </c>
      <c r="D239" s="20">
        <v>0</v>
      </c>
      <c r="E239" s="20">
        <v>0</v>
      </c>
      <c r="G239" s="19">
        <v>0</v>
      </c>
      <c r="H239" s="19">
        <v>0</v>
      </c>
      <c r="I239" s="20">
        <v>0</v>
      </c>
      <c r="J239" s="20">
        <v>0</v>
      </c>
      <c r="L239" s="19">
        <v>0</v>
      </c>
      <c r="M239" s="19">
        <v>0</v>
      </c>
      <c r="N239" s="20">
        <v>0</v>
      </c>
      <c r="O239" s="20">
        <v>0</v>
      </c>
      <c r="R239" s="19">
        <v>0</v>
      </c>
      <c r="S239" s="19">
        <v>0</v>
      </c>
      <c r="T239" s="20">
        <v>0</v>
      </c>
      <c r="U239" s="20">
        <v>0</v>
      </c>
      <c r="W239" s="19">
        <v>0</v>
      </c>
      <c r="X239" s="19">
        <v>0</v>
      </c>
      <c r="Y239" s="20">
        <v>0</v>
      </c>
      <c r="Z239" s="20">
        <v>0</v>
      </c>
      <c r="AB239" s="19">
        <v>0</v>
      </c>
      <c r="AC239" s="19">
        <v>0</v>
      </c>
      <c r="AD239" s="20">
        <v>0</v>
      </c>
      <c r="AE239" s="20">
        <v>0</v>
      </c>
      <c r="AF239">
        <f t="shared" si="3"/>
        <v>0</v>
      </c>
    </row>
    <row r="240" spans="1:32" x14ac:dyDescent="0.25">
      <c r="A240" s="18" t="s">
        <v>80</v>
      </c>
      <c r="B240" s="19">
        <v>0</v>
      </c>
      <c r="C240" s="19">
        <v>0</v>
      </c>
      <c r="D240" s="20">
        <v>0</v>
      </c>
      <c r="E240" s="20">
        <v>0</v>
      </c>
      <c r="G240" s="19">
        <v>0</v>
      </c>
      <c r="H240" s="19">
        <v>0</v>
      </c>
      <c r="I240" s="20">
        <v>0</v>
      </c>
      <c r="J240" s="20">
        <v>0</v>
      </c>
      <c r="L240" s="19">
        <v>2</v>
      </c>
      <c r="M240" s="19">
        <v>2</v>
      </c>
      <c r="N240" s="20">
        <v>2.0811654526534861E-3</v>
      </c>
      <c r="O240" s="20">
        <v>2.1482277121374865E-3</v>
      </c>
      <c r="R240" s="19">
        <v>0</v>
      </c>
      <c r="S240" s="19">
        <v>0</v>
      </c>
      <c r="T240" s="20">
        <v>0</v>
      </c>
      <c r="U240" s="20">
        <v>0</v>
      </c>
      <c r="W240" s="19">
        <v>0</v>
      </c>
      <c r="X240" s="19">
        <v>0</v>
      </c>
      <c r="Y240" s="20">
        <v>0</v>
      </c>
      <c r="Z240" s="20">
        <v>0</v>
      </c>
      <c r="AB240" s="19">
        <v>0</v>
      </c>
      <c r="AC240" s="19">
        <v>0</v>
      </c>
      <c r="AD240" s="20">
        <v>0</v>
      </c>
      <c r="AE240" s="20">
        <v>0</v>
      </c>
      <c r="AF240">
        <f t="shared" si="3"/>
        <v>4.004229393164791</v>
      </c>
    </row>
    <row r="241" spans="1:32" hidden="1" x14ac:dyDescent="0.25">
      <c r="A241" s="18" t="s">
        <v>33</v>
      </c>
      <c r="B241" s="19">
        <v>0</v>
      </c>
      <c r="C241" s="19">
        <v>0</v>
      </c>
      <c r="D241" s="20">
        <v>0</v>
      </c>
      <c r="E241" s="20">
        <v>0</v>
      </c>
      <c r="G241" s="19">
        <v>0</v>
      </c>
      <c r="H241" s="19">
        <v>0</v>
      </c>
      <c r="I241" s="20">
        <v>0</v>
      </c>
      <c r="J241" s="20">
        <v>0</v>
      </c>
      <c r="L241" s="19">
        <v>0</v>
      </c>
      <c r="M241" s="19">
        <v>0</v>
      </c>
      <c r="N241" s="20">
        <v>0</v>
      </c>
      <c r="O241" s="20">
        <v>0</v>
      </c>
      <c r="R241" s="19">
        <v>0</v>
      </c>
      <c r="S241" s="19">
        <v>0</v>
      </c>
      <c r="T241" s="20">
        <v>0</v>
      </c>
      <c r="U241" s="20">
        <v>0</v>
      </c>
      <c r="W241" s="19">
        <v>0</v>
      </c>
      <c r="X241" s="19">
        <v>0</v>
      </c>
      <c r="Y241" s="20">
        <v>0</v>
      </c>
      <c r="Z241" s="20">
        <v>0</v>
      </c>
      <c r="AB241" s="19">
        <v>0</v>
      </c>
      <c r="AC241" s="19">
        <v>0</v>
      </c>
      <c r="AD241" s="20">
        <v>0</v>
      </c>
      <c r="AE241" s="20">
        <v>0</v>
      </c>
      <c r="AF241">
        <f t="shared" si="3"/>
        <v>0</v>
      </c>
    </row>
    <row r="242" spans="1:32" hidden="1" x14ac:dyDescent="0.25">
      <c r="A242" s="18" t="s">
        <v>34</v>
      </c>
      <c r="B242" s="19">
        <v>0</v>
      </c>
      <c r="C242" s="19">
        <v>0</v>
      </c>
      <c r="D242" s="20">
        <v>0</v>
      </c>
      <c r="E242" s="20">
        <v>0</v>
      </c>
      <c r="G242" s="19">
        <v>0</v>
      </c>
      <c r="H242" s="19">
        <v>0</v>
      </c>
      <c r="I242" s="20">
        <v>0</v>
      </c>
      <c r="J242" s="20">
        <v>0</v>
      </c>
      <c r="L242" s="19">
        <v>0</v>
      </c>
      <c r="M242" s="19">
        <v>0</v>
      </c>
      <c r="N242" s="20">
        <v>0</v>
      </c>
      <c r="O242" s="20">
        <v>0</v>
      </c>
      <c r="R242" s="19">
        <v>0</v>
      </c>
      <c r="S242" s="19">
        <v>0</v>
      </c>
      <c r="T242" s="20">
        <v>0</v>
      </c>
      <c r="U242" s="20">
        <v>0</v>
      </c>
      <c r="W242" s="19">
        <v>0</v>
      </c>
      <c r="X242" s="19">
        <v>0</v>
      </c>
      <c r="Y242" s="20">
        <v>0</v>
      </c>
      <c r="Z242" s="20">
        <v>0</v>
      </c>
      <c r="AB242" s="19">
        <v>0</v>
      </c>
      <c r="AC242" s="19">
        <v>0</v>
      </c>
      <c r="AD242" s="20">
        <v>0</v>
      </c>
      <c r="AE242" s="20">
        <v>0</v>
      </c>
      <c r="AF242">
        <f t="shared" si="3"/>
        <v>0</v>
      </c>
    </row>
    <row r="243" spans="1:32" hidden="1" x14ac:dyDescent="0.25">
      <c r="A243" s="18" t="s">
        <v>166</v>
      </c>
      <c r="B243" s="19">
        <v>0</v>
      </c>
      <c r="C243" s="19">
        <v>0</v>
      </c>
      <c r="D243" s="20">
        <v>0</v>
      </c>
      <c r="E243" s="20">
        <v>0</v>
      </c>
      <c r="G243" s="19">
        <v>0</v>
      </c>
      <c r="H243" s="19">
        <v>0</v>
      </c>
      <c r="I243" s="20">
        <v>0</v>
      </c>
      <c r="J243" s="20">
        <v>0</v>
      </c>
      <c r="L243" s="19">
        <v>0</v>
      </c>
      <c r="M243" s="19">
        <v>0</v>
      </c>
      <c r="N243" s="20">
        <v>0</v>
      </c>
      <c r="O243" s="20">
        <v>0</v>
      </c>
      <c r="R243" s="19">
        <v>0</v>
      </c>
      <c r="S243" s="19">
        <v>0</v>
      </c>
      <c r="T243" s="20">
        <v>0</v>
      </c>
      <c r="U243" s="20">
        <v>0</v>
      </c>
      <c r="W243" s="19">
        <v>0</v>
      </c>
      <c r="X243" s="19">
        <v>0</v>
      </c>
      <c r="Y243" s="20">
        <v>0</v>
      </c>
      <c r="Z243" s="20">
        <v>0</v>
      </c>
      <c r="AB243" s="19">
        <v>0</v>
      </c>
      <c r="AC243" s="19">
        <v>0</v>
      </c>
      <c r="AD243" s="20">
        <v>0</v>
      </c>
      <c r="AE243" s="20">
        <v>0</v>
      </c>
      <c r="AF243">
        <f t="shared" si="3"/>
        <v>0</v>
      </c>
    </row>
    <row r="244" spans="1:32" hidden="1" x14ac:dyDescent="0.25">
      <c r="A244" s="18" t="s">
        <v>172</v>
      </c>
      <c r="B244" s="19">
        <v>0</v>
      </c>
      <c r="C244" s="19">
        <v>0</v>
      </c>
      <c r="D244" s="20">
        <v>0</v>
      </c>
      <c r="E244" s="20">
        <v>0</v>
      </c>
      <c r="G244" s="19">
        <v>0</v>
      </c>
      <c r="H244" s="19">
        <v>0</v>
      </c>
      <c r="I244" s="20">
        <v>0</v>
      </c>
      <c r="J244" s="20">
        <v>0</v>
      </c>
      <c r="L244" s="19">
        <v>0</v>
      </c>
      <c r="M244" s="19">
        <v>0</v>
      </c>
      <c r="N244" s="20">
        <v>0</v>
      </c>
      <c r="O244" s="20">
        <v>0</v>
      </c>
      <c r="R244" s="19">
        <v>0</v>
      </c>
      <c r="S244" s="19">
        <v>0</v>
      </c>
      <c r="T244" s="20">
        <v>0</v>
      </c>
      <c r="U244" s="20">
        <v>0</v>
      </c>
      <c r="W244" s="19">
        <v>0</v>
      </c>
      <c r="X244" s="19">
        <v>0</v>
      </c>
      <c r="Y244" s="20">
        <v>0</v>
      </c>
      <c r="Z244" s="20">
        <v>0</v>
      </c>
      <c r="AB244" s="19">
        <v>0</v>
      </c>
      <c r="AC244" s="19">
        <v>0</v>
      </c>
      <c r="AD244" s="20">
        <v>0</v>
      </c>
      <c r="AE244" s="20">
        <v>0</v>
      </c>
      <c r="AF244">
        <f t="shared" si="3"/>
        <v>0</v>
      </c>
    </row>
    <row r="245" spans="1:32" hidden="1" x14ac:dyDescent="0.25">
      <c r="A245" s="18" t="s">
        <v>35</v>
      </c>
      <c r="B245" s="19">
        <v>0</v>
      </c>
      <c r="C245" s="19">
        <v>0</v>
      </c>
      <c r="D245" s="20">
        <v>0</v>
      </c>
      <c r="E245" s="20">
        <v>0</v>
      </c>
      <c r="G245" s="19">
        <v>0</v>
      </c>
      <c r="H245" s="19">
        <v>0</v>
      </c>
      <c r="I245" s="20">
        <v>0</v>
      </c>
      <c r="J245" s="20">
        <v>0</v>
      </c>
      <c r="L245" s="19">
        <v>0</v>
      </c>
      <c r="M245" s="19">
        <v>0</v>
      </c>
      <c r="N245" s="20">
        <v>0</v>
      </c>
      <c r="O245" s="20">
        <v>0</v>
      </c>
      <c r="R245" s="19">
        <v>0</v>
      </c>
      <c r="S245" s="19">
        <v>0</v>
      </c>
      <c r="T245" s="20">
        <v>0</v>
      </c>
      <c r="U245" s="20">
        <v>0</v>
      </c>
      <c r="W245" s="19">
        <v>0</v>
      </c>
      <c r="X245" s="19">
        <v>0</v>
      </c>
      <c r="Y245" s="20">
        <v>0</v>
      </c>
      <c r="Z245" s="20">
        <v>0</v>
      </c>
      <c r="AB245" s="19">
        <v>0</v>
      </c>
      <c r="AC245" s="19">
        <v>0</v>
      </c>
      <c r="AD245" s="20">
        <v>0</v>
      </c>
      <c r="AE245" s="20">
        <v>0</v>
      </c>
      <c r="AF245">
        <f t="shared" si="3"/>
        <v>0</v>
      </c>
    </row>
    <row r="246" spans="1:32" hidden="1" x14ac:dyDescent="0.25">
      <c r="A246" s="18" t="s">
        <v>85</v>
      </c>
      <c r="B246" s="19">
        <v>0</v>
      </c>
      <c r="C246" s="19">
        <v>0</v>
      </c>
      <c r="D246" s="20">
        <v>0</v>
      </c>
      <c r="E246" s="20">
        <v>0</v>
      </c>
      <c r="G246" s="19">
        <v>0</v>
      </c>
      <c r="H246" s="19">
        <v>0</v>
      </c>
      <c r="I246" s="20">
        <v>0</v>
      </c>
      <c r="J246" s="20">
        <v>0</v>
      </c>
      <c r="L246" s="19">
        <v>0</v>
      </c>
      <c r="M246" s="19">
        <v>0</v>
      </c>
      <c r="N246" s="20">
        <v>0</v>
      </c>
      <c r="O246" s="20">
        <v>0</v>
      </c>
      <c r="R246" s="19">
        <v>0</v>
      </c>
      <c r="S246" s="19">
        <v>0</v>
      </c>
      <c r="T246" s="20">
        <v>0</v>
      </c>
      <c r="U246" s="20">
        <v>0</v>
      </c>
      <c r="W246" s="19">
        <v>0</v>
      </c>
      <c r="X246" s="19">
        <v>0</v>
      </c>
      <c r="Y246" s="20">
        <v>0</v>
      </c>
      <c r="Z246" s="20">
        <v>0</v>
      </c>
      <c r="AB246" s="19">
        <v>0</v>
      </c>
      <c r="AC246" s="19">
        <v>0</v>
      </c>
      <c r="AD246" s="20">
        <v>0</v>
      </c>
      <c r="AE246" s="20">
        <v>0</v>
      </c>
      <c r="AF246">
        <f t="shared" si="3"/>
        <v>0</v>
      </c>
    </row>
    <row r="247" spans="1:32" hidden="1" x14ac:dyDescent="0.25">
      <c r="A247" s="18" t="s">
        <v>36</v>
      </c>
      <c r="B247" s="19">
        <v>0</v>
      </c>
      <c r="C247" s="19">
        <v>0</v>
      </c>
      <c r="D247" s="20">
        <v>0</v>
      </c>
      <c r="E247" s="20">
        <v>0</v>
      </c>
      <c r="G247" s="19">
        <v>0</v>
      </c>
      <c r="H247" s="19">
        <v>0</v>
      </c>
      <c r="I247" s="20">
        <v>0</v>
      </c>
      <c r="J247" s="20">
        <v>0</v>
      </c>
      <c r="L247" s="19">
        <v>0</v>
      </c>
      <c r="M247" s="19">
        <v>0</v>
      </c>
      <c r="N247" s="20">
        <v>0</v>
      </c>
      <c r="O247" s="20">
        <v>0</v>
      </c>
      <c r="R247" s="19">
        <v>0</v>
      </c>
      <c r="S247" s="19">
        <v>0</v>
      </c>
      <c r="T247" s="20">
        <v>0</v>
      </c>
      <c r="U247" s="20">
        <v>0</v>
      </c>
      <c r="W247" s="19">
        <v>0</v>
      </c>
      <c r="X247" s="19">
        <v>0</v>
      </c>
      <c r="Y247" s="20">
        <v>0</v>
      </c>
      <c r="Z247" s="20">
        <v>0</v>
      </c>
      <c r="AB247" s="19">
        <v>0</v>
      </c>
      <c r="AC247" s="19">
        <v>0</v>
      </c>
      <c r="AD247" s="20">
        <v>0</v>
      </c>
      <c r="AE247" s="20">
        <v>0</v>
      </c>
      <c r="AF247">
        <f t="shared" si="3"/>
        <v>0</v>
      </c>
    </row>
    <row r="248" spans="1:32" hidden="1" x14ac:dyDescent="0.25">
      <c r="A248" s="18" t="s">
        <v>37</v>
      </c>
      <c r="B248" s="19">
        <v>0</v>
      </c>
      <c r="C248" s="19">
        <v>0</v>
      </c>
      <c r="D248" s="20">
        <v>0</v>
      </c>
      <c r="E248" s="20">
        <v>0</v>
      </c>
      <c r="G248" s="19">
        <v>0</v>
      </c>
      <c r="H248" s="19">
        <v>0</v>
      </c>
      <c r="I248" s="20">
        <v>0</v>
      </c>
      <c r="J248" s="20">
        <v>0</v>
      </c>
      <c r="L248" s="19">
        <v>0</v>
      </c>
      <c r="M248" s="19">
        <v>0</v>
      </c>
      <c r="N248" s="20">
        <v>0</v>
      </c>
      <c r="O248" s="20">
        <v>0</v>
      </c>
      <c r="R248" s="19">
        <v>0</v>
      </c>
      <c r="S248" s="19">
        <v>0</v>
      </c>
      <c r="T248" s="20">
        <v>0</v>
      </c>
      <c r="U248" s="20">
        <v>0</v>
      </c>
      <c r="W248" s="19">
        <v>0</v>
      </c>
      <c r="X248" s="19">
        <v>0</v>
      </c>
      <c r="Y248" s="20">
        <v>0</v>
      </c>
      <c r="Z248" s="20">
        <v>0</v>
      </c>
      <c r="AB248" s="19">
        <v>0</v>
      </c>
      <c r="AC248" s="19">
        <v>0</v>
      </c>
      <c r="AD248" s="20">
        <v>0</v>
      </c>
      <c r="AE248" s="20">
        <v>0</v>
      </c>
      <c r="AF248">
        <f t="shared" si="3"/>
        <v>0</v>
      </c>
    </row>
    <row r="249" spans="1:32" hidden="1" x14ac:dyDescent="0.25">
      <c r="A249" s="18" t="s">
        <v>86</v>
      </c>
      <c r="B249" s="19">
        <v>0</v>
      </c>
      <c r="C249" s="19">
        <v>0</v>
      </c>
      <c r="D249" s="20">
        <v>0</v>
      </c>
      <c r="E249" s="20">
        <v>0</v>
      </c>
      <c r="G249" s="19">
        <v>0</v>
      </c>
      <c r="H249" s="19">
        <v>0</v>
      </c>
      <c r="I249" s="20">
        <v>0</v>
      </c>
      <c r="J249" s="20">
        <v>0</v>
      </c>
      <c r="L249" s="19">
        <v>0</v>
      </c>
      <c r="M249" s="19">
        <v>0</v>
      </c>
      <c r="N249" s="20">
        <v>0</v>
      </c>
      <c r="O249" s="20">
        <v>0</v>
      </c>
      <c r="R249" s="19">
        <v>0</v>
      </c>
      <c r="S249" s="19">
        <v>0</v>
      </c>
      <c r="T249" s="20">
        <v>0</v>
      </c>
      <c r="U249" s="20">
        <v>0</v>
      </c>
      <c r="W249" s="19">
        <v>0</v>
      </c>
      <c r="X249" s="19">
        <v>0</v>
      </c>
      <c r="Y249" s="20">
        <v>0</v>
      </c>
      <c r="Z249" s="20">
        <v>0</v>
      </c>
      <c r="AB249" s="19">
        <v>0</v>
      </c>
      <c r="AC249" s="19">
        <v>0</v>
      </c>
      <c r="AD249" s="20">
        <v>0</v>
      </c>
      <c r="AE249" s="20">
        <v>0</v>
      </c>
      <c r="AF249">
        <f t="shared" si="3"/>
        <v>0</v>
      </c>
    </row>
    <row r="250" spans="1:32" hidden="1" x14ac:dyDescent="0.25">
      <c r="A250" s="18" t="s">
        <v>38</v>
      </c>
      <c r="B250" s="19">
        <v>0</v>
      </c>
      <c r="C250" s="19">
        <v>0</v>
      </c>
      <c r="D250" s="20">
        <v>0</v>
      </c>
      <c r="E250" s="20">
        <v>0</v>
      </c>
      <c r="G250" s="19">
        <v>0</v>
      </c>
      <c r="H250" s="19">
        <v>0</v>
      </c>
      <c r="I250" s="20">
        <v>0</v>
      </c>
      <c r="J250" s="20">
        <v>0</v>
      </c>
      <c r="L250" s="19">
        <v>0</v>
      </c>
      <c r="M250" s="19">
        <v>0</v>
      </c>
      <c r="N250" s="20">
        <v>0</v>
      </c>
      <c r="O250" s="20">
        <v>0</v>
      </c>
      <c r="R250" s="19">
        <v>0</v>
      </c>
      <c r="S250" s="19">
        <v>0</v>
      </c>
      <c r="T250" s="20">
        <v>0</v>
      </c>
      <c r="U250" s="20">
        <v>0</v>
      </c>
      <c r="W250" s="19">
        <v>0</v>
      </c>
      <c r="X250" s="19">
        <v>0</v>
      </c>
      <c r="Y250" s="20">
        <v>0</v>
      </c>
      <c r="Z250" s="20">
        <v>0</v>
      </c>
      <c r="AB250" s="19">
        <v>0</v>
      </c>
      <c r="AC250" s="19">
        <v>0</v>
      </c>
      <c r="AD250" s="20">
        <v>0</v>
      </c>
      <c r="AE250" s="20">
        <v>0</v>
      </c>
      <c r="AF250">
        <f t="shared" si="3"/>
        <v>0</v>
      </c>
    </row>
    <row r="251" spans="1:32" hidden="1" x14ac:dyDescent="0.25">
      <c r="A251" s="18" t="s">
        <v>39</v>
      </c>
      <c r="B251" s="19">
        <v>0</v>
      </c>
      <c r="C251" s="19">
        <v>0</v>
      </c>
      <c r="D251" s="20">
        <v>0</v>
      </c>
      <c r="E251" s="20">
        <v>0</v>
      </c>
      <c r="G251" s="19">
        <v>0</v>
      </c>
      <c r="H251" s="19">
        <v>0</v>
      </c>
      <c r="I251" s="20">
        <v>0</v>
      </c>
      <c r="J251" s="20">
        <v>0</v>
      </c>
      <c r="L251" s="19">
        <v>0</v>
      </c>
      <c r="M251" s="19">
        <v>0</v>
      </c>
      <c r="N251" s="20">
        <v>0</v>
      </c>
      <c r="O251" s="20">
        <v>0</v>
      </c>
      <c r="R251" s="19">
        <v>0</v>
      </c>
      <c r="S251" s="19">
        <v>0</v>
      </c>
      <c r="T251" s="20">
        <v>0</v>
      </c>
      <c r="U251" s="20">
        <v>0</v>
      </c>
      <c r="W251" s="19">
        <v>0</v>
      </c>
      <c r="X251" s="19">
        <v>0</v>
      </c>
      <c r="Y251" s="20">
        <v>0</v>
      </c>
      <c r="Z251" s="20">
        <v>0</v>
      </c>
      <c r="AB251" s="19">
        <v>0</v>
      </c>
      <c r="AC251" s="19">
        <v>0</v>
      </c>
      <c r="AD251" s="20">
        <v>0</v>
      </c>
      <c r="AE251" s="20">
        <v>0</v>
      </c>
      <c r="AF251">
        <f t="shared" si="3"/>
        <v>0</v>
      </c>
    </row>
    <row r="252" spans="1:32" hidden="1" x14ac:dyDescent="0.25">
      <c r="A252" s="18" t="s">
        <v>40</v>
      </c>
      <c r="B252" s="19">
        <v>0</v>
      </c>
      <c r="C252" s="19">
        <v>0</v>
      </c>
      <c r="D252" s="20">
        <v>0</v>
      </c>
      <c r="E252" s="20">
        <v>0</v>
      </c>
      <c r="G252" s="19">
        <v>0</v>
      </c>
      <c r="H252" s="19">
        <v>0</v>
      </c>
      <c r="I252" s="20">
        <v>0</v>
      </c>
      <c r="J252" s="20">
        <v>0</v>
      </c>
      <c r="L252" s="19">
        <v>0</v>
      </c>
      <c r="M252" s="19">
        <v>0</v>
      </c>
      <c r="N252" s="20">
        <v>0</v>
      </c>
      <c r="O252" s="20">
        <v>0</v>
      </c>
      <c r="R252" s="19">
        <v>0</v>
      </c>
      <c r="S252" s="19">
        <v>0</v>
      </c>
      <c r="T252" s="20">
        <v>0</v>
      </c>
      <c r="U252" s="20">
        <v>0</v>
      </c>
      <c r="W252" s="19">
        <v>0</v>
      </c>
      <c r="X252" s="19">
        <v>0</v>
      </c>
      <c r="Y252" s="20">
        <v>0</v>
      </c>
      <c r="Z252" s="20">
        <v>0</v>
      </c>
      <c r="AB252" s="19">
        <v>0</v>
      </c>
      <c r="AC252" s="19">
        <v>0</v>
      </c>
      <c r="AD252" s="20">
        <v>0</v>
      </c>
      <c r="AE252" s="20">
        <v>0</v>
      </c>
      <c r="AF252">
        <f t="shared" si="3"/>
        <v>0</v>
      </c>
    </row>
    <row r="253" spans="1:32" hidden="1" x14ac:dyDescent="0.25">
      <c r="A253" s="18" t="s">
        <v>173</v>
      </c>
      <c r="B253" s="19">
        <v>0</v>
      </c>
      <c r="C253" s="19">
        <v>0</v>
      </c>
      <c r="D253" s="20">
        <v>0</v>
      </c>
      <c r="E253" s="20">
        <v>0</v>
      </c>
      <c r="G253" s="19">
        <v>0</v>
      </c>
      <c r="H253" s="19">
        <v>0</v>
      </c>
      <c r="I253" s="20">
        <v>0</v>
      </c>
      <c r="J253" s="20">
        <v>0</v>
      </c>
      <c r="L253" s="19">
        <v>0</v>
      </c>
      <c r="M253" s="19">
        <v>0</v>
      </c>
      <c r="N253" s="20">
        <v>0</v>
      </c>
      <c r="O253" s="20">
        <v>0</v>
      </c>
      <c r="R253" s="19">
        <v>0</v>
      </c>
      <c r="S253" s="19">
        <v>0</v>
      </c>
      <c r="T253" s="20">
        <v>0</v>
      </c>
      <c r="U253" s="20">
        <v>0</v>
      </c>
      <c r="W253" s="19">
        <v>0</v>
      </c>
      <c r="X253" s="19">
        <v>0</v>
      </c>
      <c r="Y253" s="20">
        <v>0</v>
      </c>
      <c r="Z253" s="20">
        <v>0</v>
      </c>
      <c r="AB253" s="19">
        <v>0</v>
      </c>
      <c r="AC253" s="19">
        <v>0</v>
      </c>
      <c r="AD253" s="20">
        <v>0</v>
      </c>
      <c r="AE253" s="20">
        <v>0</v>
      </c>
      <c r="AF253">
        <f t="shared" si="3"/>
        <v>0</v>
      </c>
    </row>
    <row r="254" spans="1:32" hidden="1" x14ac:dyDescent="0.25">
      <c r="A254" s="18" t="s">
        <v>41</v>
      </c>
      <c r="B254" s="19">
        <v>0</v>
      </c>
      <c r="C254" s="19">
        <v>0</v>
      </c>
      <c r="D254" s="20">
        <v>0</v>
      </c>
      <c r="E254" s="20">
        <v>0</v>
      </c>
      <c r="G254" s="19">
        <v>0</v>
      </c>
      <c r="H254" s="19">
        <v>0</v>
      </c>
      <c r="I254" s="20">
        <v>0</v>
      </c>
      <c r="J254" s="20">
        <v>0</v>
      </c>
      <c r="L254" s="19">
        <v>0</v>
      </c>
      <c r="M254" s="19">
        <v>0</v>
      </c>
      <c r="N254" s="20">
        <v>0</v>
      </c>
      <c r="O254" s="20">
        <v>0</v>
      </c>
      <c r="R254" s="19">
        <v>0</v>
      </c>
      <c r="S254" s="19">
        <v>0</v>
      </c>
      <c r="T254" s="20">
        <v>0</v>
      </c>
      <c r="U254" s="20">
        <v>0</v>
      </c>
      <c r="W254" s="19">
        <v>0</v>
      </c>
      <c r="X254" s="19">
        <v>0</v>
      </c>
      <c r="Y254" s="20">
        <v>0</v>
      </c>
      <c r="Z254" s="20">
        <v>0</v>
      </c>
      <c r="AB254" s="19">
        <v>0</v>
      </c>
      <c r="AC254" s="19">
        <v>0</v>
      </c>
      <c r="AD254" s="20">
        <v>0</v>
      </c>
      <c r="AE254" s="20">
        <v>0</v>
      </c>
      <c r="AF254">
        <f t="shared" si="3"/>
        <v>0</v>
      </c>
    </row>
    <row r="255" spans="1:32" hidden="1" x14ac:dyDescent="0.25">
      <c r="A255" s="18" t="s">
        <v>42</v>
      </c>
      <c r="B255" s="19">
        <v>0</v>
      </c>
      <c r="C255" s="19">
        <v>0</v>
      </c>
      <c r="D255" s="20">
        <v>0</v>
      </c>
      <c r="E255" s="20">
        <v>0</v>
      </c>
      <c r="G255" s="19">
        <v>0</v>
      </c>
      <c r="H255" s="19">
        <v>0</v>
      </c>
      <c r="I255" s="20">
        <v>0</v>
      </c>
      <c r="J255" s="20">
        <v>0</v>
      </c>
      <c r="L255" s="19">
        <v>0</v>
      </c>
      <c r="M255" s="19">
        <v>0</v>
      </c>
      <c r="N255" s="20">
        <v>0</v>
      </c>
      <c r="O255" s="20">
        <v>0</v>
      </c>
      <c r="R255" s="19">
        <v>0</v>
      </c>
      <c r="S255" s="19">
        <v>0</v>
      </c>
      <c r="T255" s="20">
        <v>0</v>
      </c>
      <c r="U255" s="20">
        <v>0</v>
      </c>
      <c r="W255" s="19">
        <v>0</v>
      </c>
      <c r="X255" s="19">
        <v>0</v>
      </c>
      <c r="Y255" s="20">
        <v>0</v>
      </c>
      <c r="Z255" s="20">
        <v>0</v>
      </c>
      <c r="AB255" s="19">
        <v>0</v>
      </c>
      <c r="AC255" s="19">
        <v>0</v>
      </c>
      <c r="AD255" s="20">
        <v>0</v>
      </c>
      <c r="AE255" s="20">
        <v>0</v>
      </c>
      <c r="AF255">
        <f t="shared" si="3"/>
        <v>0</v>
      </c>
    </row>
    <row r="256" spans="1:32" x14ac:dyDescent="0.25">
      <c r="A256" s="18" t="s">
        <v>43</v>
      </c>
      <c r="B256" s="19">
        <v>15</v>
      </c>
      <c r="C256" s="19">
        <v>25</v>
      </c>
      <c r="D256" s="20">
        <v>3.0666066974690273E-5</v>
      </c>
      <c r="E256" s="20">
        <v>5.5935168901836018E-5</v>
      </c>
      <c r="G256" s="19">
        <v>2</v>
      </c>
      <c r="H256" s="19">
        <v>9</v>
      </c>
      <c r="I256" s="20">
        <v>5.8702670971529207E-5</v>
      </c>
      <c r="J256" s="20">
        <v>2.8506271379703536E-4</v>
      </c>
      <c r="L256" s="19">
        <v>0</v>
      </c>
      <c r="M256" s="19">
        <v>0</v>
      </c>
      <c r="N256" s="20">
        <v>0</v>
      </c>
      <c r="O256" s="20">
        <v>0</v>
      </c>
      <c r="R256" s="19">
        <v>3</v>
      </c>
      <c r="S256" s="19">
        <v>2</v>
      </c>
      <c r="T256" s="20">
        <v>3.7860144625752468E-5</v>
      </c>
      <c r="U256" s="20">
        <v>2.5206059536712625E-5</v>
      </c>
      <c r="W256" s="19">
        <v>0</v>
      </c>
      <c r="X256" s="19">
        <v>2</v>
      </c>
      <c r="Y256" s="20">
        <v>0</v>
      </c>
      <c r="Z256" s="20">
        <v>1.9884668920262477E-4</v>
      </c>
      <c r="AB256" s="19">
        <v>0</v>
      </c>
      <c r="AC256" s="19">
        <v>0</v>
      </c>
      <c r="AD256" s="20">
        <v>0</v>
      </c>
      <c r="AE256" s="20">
        <v>0</v>
      </c>
      <c r="AF256">
        <f t="shared" si="3"/>
        <v>58.000692279514013</v>
      </c>
    </row>
    <row r="257" spans="1:32" hidden="1" x14ac:dyDescent="0.25">
      <c r="A257" s="18" t="s">
        <v>87</v>
      </c>
      <c r="B257" s="19">
        <v>0</v>
      </c>
      <c r="C257" s="19">
        <v>0</v>
      </c>
      <c r="D257" s="20">
        <v>0</v>
      </c>
      <c r="E257" s="20">
        <v>0</v>
      </c>
      <c r="G257" s="19">
        <v>0</v>
      </c>
      <c r="H257" s="19">
        <v>0</v>
      </c>
      <c r="I257" s="20">
        <v>0</v>
      </c>
      <c r="J257" s="20">
        <v>0</v>
      </c>
      <c r="L257" s="19">
        <v>0</v>
      </c>
      <c r="M257" s="19">
        <v>0</v>
      </c>
      <c r="N257" s="20">
        <v>0</v>
      </c>
      <c r="O257" s="20">
        <v>0</v>
      </c>
      <c r="R257" s="19">
        <v>0</v>
      </c>
      <c r="S257" s="19">
        <v>0</v>
      </c>
      <c r="T257" s="20">
        <v>0</v>
      </c>
      <c r="U257" s="20">
        <v>0</v>
      </c>
      <c r="W257" s="19">
        <v>0</v>
      </c>
      <c r="X257" s="19">
        <v>0</v>
      </c>
      <c r="Y257" s="20">
        <v>0</v>
      </c>
      <c r="Z257" s="20">
        <v>0</v>
      </c>
      <c r="AB257" s="19">
        <v>0</v>
      </c>
      <c r="AC257" s="19">
        <v>0</v>
      </c>
      <c r="AD257" s="20">
        <v>0</v>
      </c>
      <c r="AE257" s="20">
        <v>0</v>
      </c>
      <c r="AF257">
        <f t="shared" si="3"/>
        <v>0</v>
      </c>
    </row>
    <row r="258" spans="1:32" hidden="1" x14ac:dyDescent="0.25">
      <c r="A258" s="18" t="s">
        <v>44</v>
      </c>
      <c r="B258" s="19">
        <v>0</v>
      </c>
      <c r="C258" s="19">
        <v>0</v>
      </c>
      <c r="D258" s="20">
        <v>0</v>
      </c>
      <c r="E258" s="20">
        <v>0</v>
      </c>
      <c r="G258" s="19">
        <v>0</v>
      </c>
      <c r="H258" s="19">
        <v>0</v>
      </c>
      <c r="I258" s="20">
        <v>0</v>
      </c>
      <c r="J258" s="20">
        <v>0</v>
      </c>
      <c r="L258" s="19">
        <v>0</v>
      </c>
      <c r="M258" s="19">
        <v>0</v>
      </c>
      <c r="N258" s="20">
        <v>0</v>
      </c>
      <c r="O258" s="20">
        <v>0</v>
      </c>
      <c r="R258" s="19">
        <v>0</v>
      </c>
      <c r="S258" s="19">
        <v>0</v>
      </c>
      <c r="T258" s="20">
        <v>0</v>
      </c>
      <c r="U258" s="20">
        <v>0</v>
      </c>
      <c r="W258" s="19">
        <v>0</v>
      </c>
      <c r="X258" s="19">
        <v>0</v>
      </c>
      <c r="Y258" s="20">
        <v>0</v>
      </c>
      <c r="Z258" s="20">
        <v>0</v>
      </c>
      <c r="AB258" s="19">
        <v>0</v>
      </c>
      <c r="AC258" s="19">
        <v>0</v>
      </c>
      <c r="AD258" s="20">
        <v>0</v>
      </c>
      <c r="AE258" s="20">
        <v>0</v>
      </c>
      <c r="AF258">
        <f t="shared" si="3"/>
        <v>0</v>
      </c>
    </row>
    <row r="259" spans="1:32" hidden="1" x14ac:dyDescent="0.25">
      <c r="A259" s="18" t="s">
        <v>45</v>
      </c>
      <c r="B259" s="19">
        <v>0</v>
      </c>
      <c r="C259" s="19">
        <v>0</v>
      </c>
      <c r="D259" s="20">
        <v>0</v>
      </c>
      <c r="E259" s="20">
        <v>0</v>
      </c>
      <c r="G259" s="19">
        <v>0</v>
      </c>
      <c r="H259" s="19">
        <v>0</v>
      </c>
      <c r="I259" s="20">
        <v>0</v>
      </c>
      <c r="J259" s="20">
        <v>0</v>
      </c>
      <c r="L259" s="19">
        <v>0</v>
      </c>
      <c r="M259" s="19">
        <v>0</v>
      </c>
      <c r="N259" s="20">
        <v>0</v>
      </c>
      <c r="O259" s="20">
        <v>0</v>
      </c>
      <c r="R259" s="19">
        <v>0</v>
      </c>
      <c r="S259" s="19">
        <v>0</v>
      </c>
      <c r="T259" s="20">
        <v>0</v>
      </c>
      <c r="U259" s="20">
        <v>0</v>
      </c>
      <c r="W259" s="19">
        <v>0</v>
      </c>
      <c r="X259" s="19">
        <v>0</v>
      </c>
      <c r="Y259" s="20">
        <v>0</v>
      </c>
      <c r="Z259" s="20">
        <v>0</v>
      </c>
      <c r="AB259" s="19">
        <v>0</v>
      </c>
      <c r="AC259" s="19">
        <v>0</v>
      </c>
      <c r="AD259" s="20">
        <v>0</v>
      </c>
      <c r="AE259" s="20">
        <v>0</v>
      </c>
      <c r="AF259">
        <f t="shared" si="3"/>
        <v>0</v>
      </c>
    </row>
    <row r="260" spans="1:32" hidden="1" x14ac:dyDescent="0.25">
      <c r="A260" s="18" t="s">
        <v>174</v>
      </c>
      <c r="B260" s="19">
        <v>0</v>
      </c>
      <c r="C260" s="19">
        <v>0</v>
      </c>
      <c r="D260" s="20">
        <v>0</v>
      </c>
      <c r="E260" s="20">
        <v>0</v>
      </c>
      <c r="G260" s="19">
        <v>0</v>
      </c>
      <c r="H260" s="19">
        <v>0</v>
      </c>
      <c r="I260" s="20">
        <v>0</v>
      </c>
      <c r="J260" s="20">
        <v>0</v>
      </c>
      <c r="L260" s="19">
        <v>0</v>
      </c>
      <c r="M260" s="19">
        <v>0</v>
      </c>
      <c r="N260" s="20">
        <v>0</v>
      </c>
      <c r="O260" s="20">
        <v>0</v>
      </c>
      <c r="R260" s="19">
        <v>0</v>
      </c>
      <c r="S260" s="19">
        <v>0</v>
      </c>
      <c r="T260" s="20">
        <v>0</v>
      </c>
      <c r="U260" s="20">
        <v>0</v>
      </c>
      <c r="W260" s="19">
        <v>0</v>
      </c>
      <c r="X260" s="19">
        <v>0</v>
      </c>
      <c r="Y260" s="20">
        <v>0</v>
      </c>
      <c r="Z260" s="20">
        <v>0</v>
      </c>
      <c r="AB260" s="19">
        <v>0</v>
      </c>
      <c r="AC260" s="19">
        <v>0</v>
      </c>
      <c r="AD260" s="20">
        <v>0</v>
      </c>
      <c r="AE260" s="20">
        <v>0</v>
      </c>
      <c r="AF260">
        <f t="shared" ref="AF260:AF323" si="4">SUM(A260:AE260)</f>
        <v>0</v>
      </c>
    </row>
    <row r="261" spans="1:32" hidden="1" x14ac:dyDescent="0.25">
      <c r="A261" s="18" t="s">
        <v>46</v>
      </c>
      <c r="B261" s="19">
        <v>0</v>
      </c>
      <c r="C261" s="19">
        <v>0</v>
      </c>
      <c r="D261" s="20">
        <v>0</v>
      </c>
      <c r="E261" s="20">
        <v>0</v>
      </c>
      <c r="G261" s="19">
        <v>0</v>
      </c>
      <c r="H261" s="19">
        <v>0</v>
      </c>
      <c r="I261" s="20">
        <v>0</v>
      </c>
      <c r="J261" s="20">
        <v>0</v>
      </c>
      <c r="L261" s="19">
        <v>0</v>
      </c>
      <c r="M261" s="19">
        <v>0</v>
      </c>
      <c r="N261" s="20">
        <v>0</v>
      </c>
      <c r="O261" s="20">
        <v>0</v>
      </c>
      <c r="R261" s="19">
        <v>0</v>
      </c>
      <c r="S261" s="19">
        <v>0</v>
      </c>
      <c r="T261" s="20">
        <v>0</v>
      </c>
      <c r="U261" s="20">
        <v>0</v>
      </c>
      <c r="W261" s="19">
        <v>0</v>
      </c>
      <c r="X261" s="19">
        <v>0</v>
      </c>
      <c r="Y261" s="20">
        <v>0</v>
      </c>
      <c r="Z261" s="20">
        <v>0</v>
      </c>
      <c r="AB261" s="19">
        <v>0</v>
      </c>
      <c r="AC261" s="19">
        <v>0</v>
      </c>
      <c r="AD261" s="20">
        <v>0</v>
      </c>
      <c r="AE261" s="20">
        <v>0</v>
      </c>
      <c r="AF261">
        <f t="shared" si="4"/>
        <v>0</v>
      </c>
    </row>
    <row r="262" spans="1:32" hidden="1" x14ac:dyDescent="0.25">
      <c r="A262" s="18" t="s">
        <v>126</v>
      </c>
      <c r="B262" s="19">
        <v>0</v>
      </c>
      <c r="C262" s="19">
        <v>0</v>
      </c>
      <c r="D262" s="20">
        <v>0</v>
      </c>
      <c r="E262" s="20">
        <v>0</v>
      </c>
      <c r="G262" s="19">
        <v>0</v>
      </c>
      <c r="H262" s="19">
        <v>0</v>
      </c>
      <c r="I262" s="20">
        <v>0</v>
      </c>
      <c r="J262" s="20">
        <v>0</v>
      </c>
      <c r="L262" s="19">
        <v>0</v>
      </c>
      <c r="M262" s="19">
        <v>0</v>
      </c>
      <c r="N262" s="20">
        <v>0</v>
      </c>
      <c r="O262" s="20">
        <v>0</v>
      </c>
      <c r="R262" s="19">
        <v>0</v>
      </c>
      <c r="S262" s="19">
        <v>0</v>
      </c>
      <c r="T262" s="20">
        <v>0</v>
      </c>
      <c r="U262" s="20">
        <v>0</v>
      </c>
      <c r="W262" s="19">
        <v>0</v>
      </c>
      <c r="X262" s="19">
        <v>0</v>
      </c>
      <c r="Y262" s="20">
        <v>0</v>
      </c>
      <c r="Z262" s="20">
        <v>0</v>
      </c>
      <c r="AB262" s="19">
        <v>0</v>
      </c>
      <c r="AC262" s="19">
        <v>0</v>
      </c>
      <c r="AD262" s="20">
        <v>0</v>
      </c>
      <c r="AE262" s="20">
        <v>0</v>
      </c>
      <c r="AF262">
        <f t="shared" si="4"/>
        <v>0</v>
      </c>
    </row>
    <row r="263" spans="1:32" hidden="1" x14ac:dyDescent="0.25">
      <c r="A263" s="18" t="s">
        <v>47</v>
      </c>
      <c r="B263" s="19">
        <v>0</v>
      </c>
      <c r="C263" s="19">
        <v>0</v>
      </c>
      <c r="D263" s="20">
        <v>0</v>
      </c>
      <c r="E263" s="20">
        <v>0</v>
      </c>
      <c r="G263" s="19">
        <v>0</v>
      </c>
      <c r="H263" s="19">
        <v>0</v>
      </c>
      <c r="I263" s="20">
        <v>0</v>
      </c>
      <c r="J263" s="20">
        <v>0</v>
      </c>
      <c r="L263" s="19">
        <v>0</v>
      </c>
      <c r="M263" s="19">
        <v>0</v>
      </c>
      <c r="N263" s="20">
        <v>0</v>
      </c>
      <c r="O263" s="20">
        <v>0</v>
      </c>
      <c r="R263" s="19">
        <v>0</v>
      </c>
      <c r="S263" s="19">
        <v>0</v>
      </c>
      <c r="T263" s="20">
        <v>0</v>
      </c>
      <c r="U263" s="20">
        <v>0</v>
      </c>
      <c r="W263" s="19">
        <v>0</v>
      </c>
      <c r="X263" s="19">
        <v>0</v>
      </c>
      <c r="Y263" s="20">
        <v>0</v>
      </c>
      <c r="Z263" s="20">
        <v>0</v>
      </c>
      <c r="AB263" s="19">
        <v>0</v>
      </c>
      <c r="AC263" s="19">
        <v>0</v>
      </c>
      <c r="AD263" s="20">
        <v>0</v>
      </c>
      <c r="AE263" s="20">
        <v>0</v>
      </c>
      <c r="AF263">
        <f t="shared" si="4"/>
        <v>0</v>
      </c>
    </row>
    <row r="264" spans="1:32" hidden="1" x14ac:dyDescent="0.25">
      <c r="A264" s="18" t="s">
        <v>48</v>
      </c>
      <c r="B264" s="19">
        <v>0</v>
      </c>
      <c r="C264" s="19">
        <v>0</v>
      </c>
      <c r="D264" s="20">
        <v>0</v>
      </c>
      <c r="E264" s="20">
        <v>0</v>
      </c>
      <c r="G264" s="19">
        <v>0</v>
      </c>
      <c r="H264" s="19">
        <v>0</v>
      </c>
      <c r="I264" s="20">
        <v>0</v>
      </c>
      <c r="J264" s="20">
        <v>0</v>
      </c>
      <c r="L264" s="19">
        <v>0</v>
      </c>
      <c r="M264" s="19">
        <v>0</v>
      </c>
      <c r="N264" s="20">
        <v>0</v>
      </c>
      <c r="O264" s="20">
        <v>0</v>
      </c>
      <c r="R264" s="19">
        <v>0</v>
      </c>
      <c r="S264" s="19">
        <v>0</v>
      </c>
      <c r="T264" s="20">
        <v>0</v>
      </c>
      <c r="U264" s="20">
        <v>0</v>
      </c>
      <c r="W264" s="19">
        <v>0</v>
      </c>
      <c r="X264" s="19">
        <v>0</v>
      </c>
      <c r="Y264" s="20">
        <v>0</v>
      </c>
      <c r="Z264" s="20">
        <v>0</v>
      </c>
      <c r="AB264" s="19">
        <v>0</v>
      </c>
      <c r="AC264" s="19">
        <v>0</v>
      </c>
      <c r="AD264" s="20">
        <v>0</v>
      </c>
      <c r="AE264" s="20">
        <v>0</v>
      </c>
      <c r="AF264">
        <f t="shared" si="4"/>
        <v>0</v>
      </c>
    </row>
    <row r="265" spans="1:32" hidden="1" x14ac:dyDescent="0.25">
      <c r="A265" s="18" t="s">
        <v>88</v>
      </c>
      <c r="B265" s="19">
        <v>0</v>
      </c>
      <c r="C265" s="19">
        <v>0</v>
      </c>
      <c r="D265" s="20">
        <v>0</v>
      </c>
      <c r="E265" s="20">
        <v>0</v>
      </c>
      <c r="G265" s="19">
        <v>0</v>
      </c>
      <c r="H265" s="19">
        <v>0</v>
      </c>
      <c r="I265" s="20">
        <v>0</v>
      </c>
      <c r="J265" s="20">
        <v>0</v>
      </c>
      <c r="L265" s="19">
        <v>0</v>
      </c>
      <c r="M265" s="19">
        <v>0</v>
      </c>
      <c r="N265" s="20">
        <v>0</v>
      </c>
      <c r="O265" s="20">
        <v>0</v>
      </c>
      <c r="R265" s="19">
        <v>0</v>
      </c>
      <c r="S265" s="19">
        <v>0</v>
      </c>
      <c r="T265" s="20">
        <v>0</v>
      </c>
      <c r="U265" s="20">
        <v>0</v>
      </c>
      <c r="W265" s="19">
        <v>0</v>
      </c>
      <c r="X265" s="19">
        <v>0</v>
      </c>
      <c r="Y265" s="20">
        <v>0</v>
      </c>
      <c r="Z265" s="20">
        <v>0</v>
      </c>
      <c r="AB265" s="19">
        <v>0</v>
      </c>
      <c r="AC265" s="19">
        <v>0</v>
      </c>
      <c r="AD265" s="20">
        <v>0</v>
      </c>
      <c r="AE265" s="20">
        <v>0</v>
      </c>
      <c r="AF265">
        <f t="shared" si="4"/>
        <v>0</v>
      </c>
    </row>
    <row r="266" spans="1:32" hidden="1" x14ac:dyDescent="0.25">
      <c r="A266" s="18" t="s">
        <v>49</v>
      </c>
      <c r="B266" s="19">
        <v>0</v>
      </c>
      <c r="C266" s="19">
        <v>0</v>
      </c>
      <c r="D266" s="20">
        <v>0</v>
      </c>
      <c r="E266" s="20">
        <v>0</v>
      </c>
      <c r="G266" s="19">
        <v>0</v>
      </c>
      <c r="H266" s="19">
        <v>0</v>
      </c>
      <c r="I266" s="20">
        <v>0</v>
      </c>
      <c r="J266" s="20">
        <v>0</v>
      </c>
      <c r="L266" s="19">
        <v>0</v>
      </c>
      <c r="M266" s="19">
        <v>0</v>
      </c>
      <c r="N266" s="20">
        <v>0</v>
      </c>
      <c r="O266" s="20">
        <v>0</v>
      </c>
      <c r="R266" s="19">
        <v>0</v>
      </c>
      <c r="S266" s="19">
        <v>0</v>
      </c>
      <c r="T266" s="20">
        <v>0</v>
      </c>
      <c r="U266" s="20">
        <v>0</v>
      </c>
      <c r="W266" s="19">
        <v>0</v>
      </c>
      <c r="X266" s="19">
        <v>0</v>
      </c>
      <c r="Y266" s="20">
        <v>0</v>
      </c>
      <c r="Z266" s="20">
        <v>0</v>
      </c>
      <c r="AB266" s="19">
        <v>0</v>
      </c>
      <c r="AC266" s="19">
        <v>0</v>
      </c>
      <c r="AD266" s="20">
        <v>0</v>
      </c>
      <c r="AE266" s="20">
        <v>0</v>
      </c>
      <c r="AF266">
        <f t="shared" si="4"/>
        <v>0</v>
      </c>
    </row>
    <row r="267" spans="1:32" hidden="1" x14ac:dyDescent="0.25">
      <c r="A267" s="18" t="s">
        <v>50</v>
      </c>
      <c r="B267" s="19">
        <v>0</v>
      </c>
      <c r="C267" s="19">
        <v>0</v>
      </c>
      <c r="D267" s="20">
        <v>0</v>
      </c>
      <c r="E267" s="20">
        <v>0</v>
      </c>
      <c r="G267" s="19">
        <v>0</v>
      </c>
      <c r="H267" s="19">
        <v>0</v>
      </c>
      <c r="I267" s="20">
        <v>0</v>
      </c>
      <c r="J267" s="20">
        <v>0</v>
      </c>
      <c r="L267" s="19">
        <v>0</v>
      </c>
      <c r="M267" s="19">
        <v>0</v>
      </c>
      <c r="N267" s="20">
        <v>0</v>
      </c>
      <c r="O267" s="20">
        <v>0</v>
      </c>
      <c r="R267" s="19">
        <v>0</v>
      </c>
      <c r="S267" s="19">
        <v>0</v>
      </c>
      <c r="T267" s="20">
        <v>0</v>
      </c>
      <c r="U267" s="20">
        <v>0</v>
      </c>
      <c r="W267" s="19">
        <v>0</v>
      </c>
      <c r="X267" s="19">
        <v>0</v>
      </c>
      <c r="Y267" s="20">
        <v>0</v>
      </c>
      <c r="Z267" s="20">
        <v>0</v>
      </c>
      <c r="AB267" s="19">
        <v>0</v>
      </c>
      <c r="AC267" s="19">
        <v>0</v>
      </c>
      <c r="AD267" s="20">
        <v>0</v>
      </c>
      <c r="AE267" s="20">
        <v>0</v>
      </c>
      <c r="AF267">
        <f t="shared" si="4"/>
        <v>0</v>
      </c>
    </row>
    <row r="268" spans="1:32" hidden="1" x14ac:dyDescent="0.25">
      <c r="A268" s="18" t="s">
        <v>51</v>
      </c>
      <c r="B268" s="19">
        <v>0</v>
      </c>
      <c r="C268" s="19">
        <v>0</v>
      </c>
      <c r="D268" s="20">
        <v>0</v>
      </c>
      <c r="E268" s="20">
        <v>0</v>
      </c>
      <c r="G268" s="19">
        <v>0</v>
      </c>
      <c r="H268" s="19">
        <v>0</v>
      </c>
      <c r="I268" s="20">
        <v>0</v>
      </c>
      <c r="J268" s="20">
        <v>0</v>
      </c>
      <c r="L268" s="19">
        <v>0</v>
      </c>
      <c r="M268" s="19">
        <v>0</v>
      </c>
      <c r="N268" s="20">
        <v>0</v>
      </c>
      <c r="O268" s="20">
        <v>0</v>
      </c>
      <c r="R268" s="19">
        <v>0</v>
      </c>
      <c r="S268" s="19">
        <v>0</v>
      </c>
      <c r="T268" s="20">
        <v>0</v>
      </c>
      <c r="U268" s="20">
        <v>0</v>
      </c>
      <c r="W268" s="19">
        <v>0</v>
      </c>
      <c r="X268" s="19">
        <v>0</v>
      </c>
      <c r="Y268" s="20">
        <v>0</v>
      </c>
      <c r="Z268" s="20">
        <v>0</v>
      </c>
      <c r="AB268" s="19">
        <v>0</v>
      </c>
      <c r="AC268" s="19">
        <v>0</v>
      </c>
      <c r="AD268" s="20">
        <v>0</v>
      </c>
      <c r="AE268" s="20">
        <v>0</v>
      </c>
      <c r="AF268">
        <f t="shared" si="4"/>
        <v>0</v>
      </c>
    </row>
    <row r="269" spans="1:32" hidden="1" x14ac:dyDescent="0.25">
      <c r="A269" s="18" t="s">
        <v>52</v>
      </c>
      <c r="B269" s="19">
        <v>0</v>
      </c>
      <c r="C269" s="19">
        <v>0</v>
      </c>
      <c r="D269" s="20">
        <v>0</v>
      </c>
      <c r="E269" s="20">
        <v>0</v>
      </c>
      <c r="G269" s="19">
        <v>0</v>
      </c>
      <c r="H269" s="19">
        <v>0</v>
      </c>
      <c r="I269" s="20">
        <v>0</v>
      </c>
      <c r="J269" s="20">
        <v>0</v>
      </c>
      <c r="L269" s="19">
        <v>0</v>
      </c>
      <c r="M269" s="19">
        <v>0</v>
      </c>
      <c r="N269" s="20">
        <v>0</v>
      </c>
      <c r="O269" s="20">
        <v>0</v>
      </c>
      <c r="R269" s="19">
        <v>0</v>
      </c>
      <c r="S269" s="19">
        <v>0</v>
      </c>
      <c r="T269" s="20">
        <v>0</v>
      </c>
      <c r="U269" s="20">
        <v>0</v>
      </c>
      <c r="W269" s="19">
        <v>0</v>
      </c>
      <c r="X269" s="19">
        <v>0</v>
      </c>
      <c r="Y269" s="20">
        <v>0</v>
      </c>
      <c r="Z269" s="20">
        <v>0</v>
      </c>
      <c r="AB269" s="19">
        <v>0</v>
      </c>
      <c r="AC269" s="19">
        <v>0</v>
      </c>
      <c r="AD269" s="20">
        <v>0</v>
      </c>
      <c r="AE269" s="20">
        <v>0</v>
      </c>
      <c r="AF269">
        <f t="shared" si="4"/>
        <v>0</v>
      </c>
    </row>
    <row r="270" spans="1:32" hidden="1" x14ac:dyDescent="0.25">
      <c r="A270" s="18" t="s">
        <v>89</v>
      </c>
      <c r="B270" s="19">
        <v>0</v>
      </c>
      <c r="C270" s="19">
        <v>0</v>
      </c>
      <c r="D270" s="20">
        <v>0</v>
      </c>
      <c r="E270" s="20">
        <v>0</v>
      </c>
      <c r="G270" s="19">
        <v>0</v>
      </c>
      <c r="H270" s="19">
        <v>0</v>
      </c>
      <c r="I270" s="20">
        <v>0</v>
      </c>
      <c r="J270" s="20">
        <v>0</v>
      </c>
      <c r="L270" s="19">
        <v>0</v>
      </c>
      <c r="M270" s="19">
        <v>0</v>
      </c>
      <c r="N270" s="20">
        <v>0</v>
      </c>
      <c r="O270" s="20">
        <v>0</v>
      </c>
      <c r="R270" s="19">
        <v>0</v>
      </c>
      <c r="S270" s="19">
        <v>0</v>
      </c>
      <c r="T270" s="20">
        <v>0</v>
      </c>
      <c r="U270" s="20">
        <v>0</v>
      </c>
      <c r="W270" s="19">
        <v>0</v>
      </c>
      <c r="X270" s="19">
        <v>0</v>
      </c>
      <c r="Y270" s="20">
        <v>0</v>
      </c>
      <c r="Z270" s="20">
        <v>0</v>
      </c>
      <c r="AB270" s="19">
        <v>0</v>
      </c>
      <c r="AC270" s="19">
        <v>0</v>
      </c>
      <c r="AD270" s="20">
        <v>0</v>
      </c>
      <c r="AE270" s="20">
        <v>0</v>
      </c>
      <c r="AF270">
        <f t="shared" si="4"/>
        <v>0</v>
      </c>
    </row>
    <row r="271" spans="1:32" hidden="1" x14ac:dyDescent="0.25">
      <c r="A271" s="18" t="s">
        <v>53</v>
      </c>
      <c r="B271" s="19">
        <v>0</v>
      </c>
      <c r="C271" s="19">
        <v>0</v>
      </c>
      <c r="D271" s="20">
        <v>0</v>
      </c>
      <c r="E271" s="20">
        <v>0</v>
      </c>
      <c r="G271" s="19">
        <v>0</v>
      </c>
      <c r="H271" s="19">
        <v>0</v>
      </c>
      <c r="I271" s="20">
        <v>0</v>
      </c>
      <c r="J271" s="20">
        <v>0</v>
      </c>
      <c r="L271" s="19">
        <v>0</v>
      </c>
      <c r="M271" s="19">
        <v>0</v>
      </c>
      <c r="N271" s="20">
        <v>0</v>
      </c>
      <c r="O271" s="20">
        <v>0</v>
      </c>
      <c r="R271" s="19">
        <v>0</v>
      </c>
      <c r="S271" s="19">
        <v>0</v>
      </c>
      <c r="T271" s="20">
        <v>0</v>
      </c>
      <c r="U271" s="20">
        <v>0</v>
      </c>
      <c r="W271" s="19">
        <v>0</v>
      </c>
      <c r="X271" s="19">
        <v>0</v>
      </c>
      <c r="Y271" s="20">
        <v>0</v>
      </c>
      <c r="Z271" s="20">
        <v>0</v>
      </c>
      <c r="AB271" s="19">
        <v>0</v>
      </c>
      <c r="AC271" s="19">
        <v>0</v>
      </c>
      <c r="AD271" s="20">
        <v>0</v>
      </c>
      <c r="AE271" s="20">
        <v>0</v>
      </c>
      <c r="AF271">
        <f t="shared" si="4"/>
        <v>0</v>
      </c>
    </row>
    <row r="272" spans="1:32" hidden="1" x14ac:dyDescent="0.25">
      <c r="A272" s="18" t="s">
        <v>54</v>
      </c>
      <c r="B272" s="19">
        <v>0</v>
      </c>
      <c r="C272" s="19">
        <v>0</v>
      </c>
      <c r="D272" s="20">
        <v>0</v>
      </c>
      <c r="E272" s="20">
        <v>0</v>
      </c>
      <c r="G272" s="19">
        <v>0</v>
      </c>
      <c r="H272" s="19">
        <v>0</v>
      </c>
      <c r="I272" s="20">
        <v>0</v>
      </c>
      <c r="J272" s="20">
        <v>0</v>
      </c>
      <c r="L272" s="19">
        <v>0</v>
      </c>
      <c r="M272" s="19">
        <v>0</v>
      </c>
      <c r="N272" s="20">
        <v>0</v>
      </c>
      <c r="O272" s="20">
        <v>0</v>
      </c>
      <c r="R272" s="19">
        <v>0</v>
      </c>
      <c r="S272" s="19">
        <v>0</v>
      </c>
      <c r="T272" s="20">
        <v>0</v>
      </c>
      <c r="U272" s="20">
        <v>0</v>
      </c>
      <c r="W272" s="19">
        <v>0</v>
      </c>
      <c r="X272" s="19">
        <v>0</v>
      </c>
      <c r="Y272" s="20">
        <v>0</v>
      </c>
      <c r="Z272" s="20">
        <v>0</v>
      </c>
      <c r="AB272" s="19">
        <v>0</v>
      </c>
      <c r="AC272" s="19">
        <v>0</v>
      </c>
      <c r="AD272" s="20">
        <v>0</v>
      </c>
      <c r="AE272" s="20">
        <v>0</v>
      </c>
      <c r="AF272">
        <f t="shared" si="4"/>
        <v>0</v>
      </c>
    </row>
    <row r="273" spans="1:32" hidden="1" x14ac:dyDescent="0.25">
      <c r="A273" s="18" t="s">
        <v>90</v>
      </c>
      <c r="B273" s="19">
        <v>0</v>
      </c>
      <c r="C273" s="19">
        <v>0</v>
      </c>
      <c r="D273" s="20">
        <v>0</v>
      </c>
      <c r="E273" s="20">
        <v>0</v>
      </c>
      <c r="G273" s="19">
        <v>0</v>
      </c>
      <c r="H273" s="19">
        <v>0</v>
      </c>
      <c r="I273" s="20">
        <v>0</v>
      </c>
      <c r="J273" s="20">
        <v>0</v>
      </c>
      <c r="L273" s="19">
        <v>0</v>
      </c>
      <c r="M273" s="19">
        <v>0</v>
      </c>
      <c r="N273" s="20">
        <v>0</v>
      </c>
      <c r="O273" s="20">
        <v>0</v>
      </c>
      <c r="R273" s="19">
        <v>0</v>
      </c>
      <c r="S273" s="19">
        <v>0</v>
      </c>
      <c r="T273" s="20">
        <v>0</v>
      </c>
      <c r="U273" s="20">
        <v>0</v>
      </c>
      <c r="W273" s="19">
        <v>0</v>
      </c>
      <c r="X273" s="19">
        <v>0</v>
      </c>
      <c r="Y273" s="20">
        <v>0</v>
      </c>
      <c r="Z273" s="20">
        <v>0</v>
      </c>
      <c r="AB273" s="19">
        <v>0</v>
      </c>
      <c r="AC273" s="19">
        <v>0</v>
      </c>
      <c r="AD273" s="20">
        <v>0</v>
      </c>
      <c r="AE273" s="20">
        <v>0</v>
      </c>
      <c r="AF273">
        <f t="shared" si="4"/>
        <v>0</v>
      </c>
    </row>
    <row r="274" spans="1:32" hidden="1" x14ac:dyDescent="0.25">
      <c r="A274" s="18" t="s">
        <v>55</v>
      </c>
      <c r="B274" s="19">
        <v>0</v>
      </c>
      <c r="C274" s="19">
        <v>0</v>
      </c>
      <c r="D274" s="20">
        <v>0</v>
      </c>
      <c r="E274" s="20">
        <v>0</v>
      </c>
      <c r="G274" s="19">
        <v>0</v>
      </c>
      <c r="H274" s="19">
        <v>0</v>
      </c>
      <c r="I274" s="20">
        <v>0</v>
      </c>
      <c r="J274" s="20">
        <v>0</v>
      </c>
      <c r="L274" s="19">
        <v>0</v>
      </c>
      <c r="M274" s="19">
        <v>0</v>
      </c>
      <c r="N274" s="20">
        <v>0</v>
      </c>
      <c r="O274" s="20">
        <v>0</v>
      </c>
      <c r="R274" s="19">
        <v>0</v>
      </c>
      <c r="S274" s="19">
        <v>0</v>
      </c>
      <c r="T274" s="20">
        <v>0</v>
      </c>
      <c r="U274" s="20">
        <v>0</v>
      </c>
      <c r="W274" s="19">
        <v>0</v>
      </c>
      <c r="X274" s="19">
        <v>0</v>
      </c>
      <c r="Y274" s="20">
        <v>0</v>
      </c>
      <c r="Z274" s="20">
        <v>0</v>
      </c>
      <c r="AB274" s="19">
        <v>0</v>
      </c>
      <c r="AC274" s="19">
        <v>0</v>
      </c>
      <c r="AD274" s="20">
        <v>0</v>
      </c>
      <c r="AE274" s="20">
        <v>0</v>
      </c>
      <c r="AF274">
        <f t="shared" si="4"/>
        <v>0</v>
      </c>
    </row>
    <row r="275" spans="1:32" hidden="1" x14ac:dyDescent="0.25">
      <c r="A275" s="18" t="s">
        <v>91</v>
      </c>
      <c r="B275" s="19">
        <v>0</v>
      </c>
      <c r="C275" s="19">
        <v>0</v>
      </c>
      <c r="D275" s="20">
        <v>0</v>
      </c>
      <c r="E275" s="20">
        <v>0</v>
      </c>
      <c r="G275" s="19">
        <v>0</v>
      </c>
      <c r="H275" s="19">
        <v>0</v>
      </c>
      <c r="I275" s="20">
        <v>0</v>
      </c>
      <c r="J275" s="20">
        <v>0</v>
      </c>
      <c r="L275" s="19">
        <v>0</v>
      </c>
      <c r="M275" s="19">
        <v>0</v>
      </c>
      <c r="N275" s="20">
        <v>0</v>
      </c>
      <c r="O275" s="20">
        <v>0</v>
      </c>
      <c r="R275" s="19">
        <v>0</v>
      </c>
      <c r="S275" s="19">
        <v>0</v>
      </c>
      <c r="T275" s="20">
        <v>0</v>
      </c>
      <c r="U275" s="20">
        <v>0</v>
      </c>
      <c r="W275" s="19">
        <v>0</v>
      </c>
      <c r="X275" s="19">
        <v>0</v>
      </c>
      <c r="Y275" s="20">
        <v>0</v>
      </c>
      <c r="Z275" s="20">
        <v>0</v>
      </c>
      <c r="AB275" s="19">
        <v>0</v>
      </c>
      <c r="AC275" s="19">
        <v>0</v>
      </c>
      <c r="AD275" s="20">
        <v>0</v>
      </c>
      <c r="AE275" s="20">
        <v>0</v>
      </c>
      <c r="AF275">
        <f t="shared" si="4"/>
        <v>0</v>
      </c>
    </row>
    <row r="276" spans="1:32" hidden="1" x14ac:dyDescent="0.25">
      <c r="A276" s="18" t="s">
        <v>175</v>
      </c>
      <c r="B276" s="19">
        <v>0</v>
      </c>
      <c r="C276" s="19">
        <v>0</v>
      </c>
      <c r="D276" s="20">
        <v>0</v>
      </c>
      <c r="E276" s="20">
        <v>0</v>
      </c>
      <c r="G276" s="19">
        <v>0</v>
      </c>
      <c r="H276" s="19">
        <v>0</v>
      </c>
      <c r="I276" s="20">
        <v>0</v>
      </c>
      <c r="J276" s="20">
        <v>0</v>
      </c>
      <c r="L276" s="19">
        <v>0</v>
      </c>
      <c r="M276" s="19">
        <v>0</v>
      </c>
      <c r="N276" s="20">
        <v>0</v>
      </c>
      <c r="O276" s="20">
        <v>0</v>
      </c>
      <c r="R276" s="19">
        <v>0</v>
      </c>
      <c r="S276" s="19">
        <v>0</v>
      </c>
      <c r="T276" s="20">
        <v>0</v>
      </c>
      <c r="U276" s="20">
        <v>0</v>
      </c>
      <c r="W276" s="19">
        <v>0</v>
      </c>
      <c r="X276" s="19">
        <v>0</v>
      </c>
      <c r="Y276" s="20">
        <v>0</v>
      </c>
      <c r="Z276" s="20">
        <v>0</v>
      </c>
      <c r="AB276" s="19">
        <v>0</v>
      </c>
      <c r="AC276" s="19">
        <v>0</v>
      </c>
      <c r="AD276" s="20">
        <v>0</v>
      </c>
      <c r="AE276" s="20">
        <v>0</v>
      </c>
      <c r="AF276">
        <f t="shared" si="4"/>
        <v>0</v>
      </c>
    </row>
    <row r="277" spans="1:32" hidden="1" x14ac:dyDescent="0.25">
      <c r="A277" s="18" t="s">
        <v>56</v>
      </c>
      <c r="B277" s="19">
        <v>0</v>
      </c>
      <c r="C277" s="19">
        <v>0</v>
      </c>
      <c r="D277" s="20">
        <v>0</v>
      </c>
      <c r="E277" s="20">
        <v>0</v>
      </c>
      <c r="G277" s="19">
        <v>0</v>
      </c>
      <c r="H277" s="19">
        <v>0</v>
      </c>
      <c r="I277" s="20">
        <v>0</v>
      </c>
      <c r="J277" s="20">
        <v>0</v>
      </c>
      <c r="L277" s="19">
        <v>0</v>
      </c>
      <c r="M277" s="19">
        <v>0</v>
      </c>
      <c r="N277" s="20">
        <v>0</v>
      </c>
      <c r="O277" s="20">
        <v>0</v>
      </c>
      <c r="R277" s="19">
        <v>0</v>
      </c>
      <c r="S277" s="19">
        <v>0</v>
      </c>
      <c r="T277" s="20">
        <v>0</v>
      </c>
      <c r="U277" s="20">
        <v>0</v>
      </c>
      <c r="W277" s="19">
        <v>0</v>
      </c>
      <c r="X277" s="19">
        <v>0</v>
      </c>
      <c r="Y277" s="20">
        <v>0</v>
      </c>
      <c r="Z277" s="20">
        <v>0</v>
      </c>
      <c r="AB277" s="19">
        <v>0</v>
      </c>
      <c r="AC277" s="19">
        <v>0</v>
      </c>
      <c r="AD277" s="20">
        <v>0</v>
      </c>
      <c r="AE277" s="20">
        <v>0</v>
      </c>
      <c r="AF277">
        <f t="shared" si="4"/>
        <v>0</v>
      </c>
    </row>
    <row r="278" spans="1:32" x14ac:dyDescent="0.25">
      <c r="A278" s="18" t="s">
        <v>57</v>
      </c>
      <c r="B278" s="19">
        <v>0</v>
      </c>
      <c r="C278" s="19">
        <v>1</v>
      </c>
      <c r="D278" s="20">
        <v>0</v>
      </c>
      <c r="E278" s="20">
        <v>2.7296301351166918E-5</v>
      </c>
      <c r="G278" s="19">
        <v>0</v>
      </c>
      <c r="H278" s="19">
        <v>0</v>
      </c>
      <c r="I278" s="20">
        <v>0</v>
      </c>
      <c r="J278" s="20">
        <v>0</v>
      </c>
      <c r="L278" s="19">
        <v>0</v>
      </c>
      <c r="M278" s="19">
        <v>0</v>
      </c>
      <c r="N278" s="20">
        <v>0</v>
      </c>
      <c r="O278" s="20">
        <v>0</v>
      </c>
      <c r="R278" s="19">
        <v>0</v>
      </c>
      <c r="S278" s="19">
        <v>0</v>
      </c>
      <c r="T278" s="20">
        <v>0</v>
      </c>
      <c r="U278" s="20">
        <v>0</v>
      </c>
      <c r="W278" s="19">
        <v>0</v>
      </c>
      <c r="X278" s="19">
        <v>0</v>
      </c>
      <c r="Y278" s="20">
        <v>0</v>
      </c>
      <c r="Z278" s="20">
        <v>0</v>
      </c>
      <c r="AB278" s="19">
        <v>0</v>
      </c>
      <c r="AC278" s="19">
        <v>0</v>
      </c>
      <c r="AD278" s="20">
        <v>0</v>
      </c>
      <c r="AE278" s="20">
        <v>0</v>
      </c>
      <c r="AF278">
        <f t="shared" si="4"/>
        <v>1.0000272963013512</v>
      </c>
    </row>
    <row r="279" spans="1:32" hidden="1" x14ac:dyDescent="0.25">
      <c r="A279" s="18" t="s">
        <v>176</v>
      </c>
      <c r="B279" s="19">
        <v>0</v>
      </c>
      <c r="C279" s="19">
        <v>0</v>
      </c>
      <c r="D279" s="20">
        <v>0</v>
      </c>
      <c r="E279" s="20">
        <v>0</v>
      </c>
      <c r="G279" s="19">
        <v>0</v>
      </c>
      <c r="H279" s="19">
        <v>0</v>
      </c>
      <c r="I279" s="20">
        <v>0</v>
      </c>
      <c r="J279" s="20">
        <v>0</v>
      </c>
      <c r="L279" s="19">
        <v>0</v>
      </c>
      <c r="M279" s="19">
        <v>0</v>
      </c>
      <c r="N279" s="20">
        <v>0</v>
      </c>
      <c r="O279" s="20">
        <v>0</v>
      </c>
      <c r="R279" s="19">
        <v>0</v>
      </c>
      <c r="S279" s="19">
        <v>0</v>
      </c>
      <c r="T279" s="20">
        <v>0</v>
      </c>
      <c r="U279" s="20">
        <v>0</v>
      </c>
      <c r="W279" s="19">
        <v>0</v>
      </c>
      <c r="X279" s="19">
        <v>0</v>
      </c>
      <c r="Y279" s="20">
        <v>0</v>
      </c>
      <c r="Z279" s="20">
        <v>0</v>
      </c>
      <c r="AB279" s="19">
        <v>0</v>
      </c>
      <c r="AC279" s="19">
        <v>0</v>
      </c>
      <c r="AD279" s="20">
        <v>0</v>
      </c>
      <c r="AE279" s="20">
        <v>0</v>
      </c>
      <c r="AF279">
        <f t="shared" si="4"/>
        <v>0</v>
      </c>
    </row>
    <row r="280" spans="1:32" hidden="1" x14ac:dyDescent="0.25">
      <c r="A280" s="18" t="s">
        <v>58</v>
      </c>
      <c r="B280" s="19">
        <v>0</v>
      </c>
      <c r="C280" s="19">
        <v>0</v>
      </c>
      <c r="D280" s="20">
        <v>0</v>
      </c>
      <c r="E280" s="20">
        <v>0</v>
      </c>
      <c r="G280" s="19">
        <v>0</v>
      </c>
      <c r="H280" s="19">
        <v>0</v>
      </c>
      <c r="I280" s="20">
        <v>0</v>
      </c>
      <c r="J280" s="20">
        <v>0</v>
      </c>
      <c r="L280" s="19">
        <v>0</v>
      </c>
      <c r="M280" s="19">
        <v>0</v>
      </c>
      <c r="N280" s="20">
        <v>0</v>
      </c>
      <c r="O280" s="20">
        <v>0</v>
      </c>
      <c r="R280" s="19">
        <v>0</v>
      </c>
      <c r="S280" s="19">
        <v>0</v>
      </c>
      <c r="T280" s="20">
        <v>0</v>
      </c>
      <c r="U280" s="20">
        <v>0</v>
      </c>
      <c r="W280" s="19">
        <v>0</v>
      </c>
      <c r="X280" s="19">
        <v>0</v>
      </c>
      <c r="Y280" s="20">
        <v>0</v>
      </c>
      <c r="Z280" s="20">
        <v>0</v>
      </c>
      <c r="AB280" s="19">
        <v>0</v>
      </c>
      <c r="AC280" s="19">
        <v>0</v>
      </c>
      <c r="AD280" s="20">
        <v>0</v>
      </c>
      <c r="AE280" s="20">
        <v>0</v>
      </c>
      <c r="AF280">
        <f t="shared" si="4"/>
        <v>0</v>
      </c>
    </row>
    <row r="281" spans="1:32" hidden="1" x14ac:dyDescent="0.25">
      <c r="A281" s="18" t="s">
        <v>59</v>
      </c>
      <c r="B281" s="19">
        <v>0</v>
      </c>
      <c r="C281" s="19">
        <v>0</v>
      </c>
      <c r="D281" s="20">
        <v>0</v>
      </c>
      <c r="E281" s="20">
        <v>0</v>
      </c>
      <c r="G281" s="19">
        <v>0</v>
      </c>
      <c r="H281" s="19">
        <v>0</v>
      </c>
      <c r="I281" s="20">
        <v>0</v>
      </c>
      <c r="J281" s="20">
        <v>0</v>
      </c>
      <c r="L281" s="19">
        <v>0</v>
      </c>
      <c r="M281" s="19">
        <v>0</v>
      </c>
      <c r="N281" s="20">
        <v>0</v>
      </c>
      <c r="O281" s="20">
        <v>0</v>
      </c>
      <c r="R281" s="19">
        <v>0</v>
      </c>
      <c r="S281" s="19">
        <v>0</v>
      </c>
      <c r="T281" s="20">
        <v>0</v>
      </c>
      <c r="U281" s="20">
        <v>0</v>
      </c>
      <c r="W281" s="19">
        <v>0</v>
      </c>
      <c r="X281" s="19">
        <v>0</v>
      </c>
      <c r="Y281" s="20">
        <v>0</v>
      </c>
      <c r="Z281" s="20">
        <v>0</v>
      </c>
      <c r="AB281" s="19">
        <v>0</v>
      </c>
      <c r="AC281" s="19">
        <v>0</v>
      </c>
      <c r="AD281" s="20">
        <v>0</v>
      </c>
      <c r="AE281" s="20">
        <v>0</v>
      </c>
      <c r="AF281">
        <f t="shared" si="4"/>
        <v>0</v>
      </c>
    </row>
    <row r="282" spans="1:32" hidden="1" x14ac:dyDescent="0.25">
      <c r="A282" s="18" t="s">
        <v>60</v>
      </c>
      <c r="B282" s="19">
        <v>0</v>
      </c>
      <c r="C282" s="19">
        <v>0</v>
      </c>
      <c r="D282" s="20">
        <v>0</v>
      </c>
      <c r="E282" s="20">
        <v>0</v>
      </c>
      <c r="G282" s="19">
        <v>0</v>
      </c>
      <c r="H282" s="19">
        <v>0</v>
      </c>
      <c r="I282" s="20">
        <v>0</v>
      </c>
      <c r="J282" s="20">
        <v>0</v>
      </c>
      <c r="L282" s="19">
        <v>0</v>
      </c>
      <c r="M282" s="19">
        <v>0</v>
      </c>
      <c r="N282" s="20">
        <v>0</v>
      </c>
      <c r="O282" s="20">
        <v>0</v>
      </c>
      <c r="R282" s="19">
        <v>0</v>
      </c>
      <c r="S282" s="19">
        <v>0</v>
      </c>
      <c r="T282" s="20">
        <v>0</v>
      </c>
      <c r="U282" s="20">
        <v>0</v>
      </c>
      <c r="W282" s="19">
        <v>0</v>
      </c>
      <c r="X282" s="19">
        <v>0</v>
      </c>
      <c r="Y282" s="20">
        <v>0</v>
      </c>
      <c r="Z282" s="20">
        <v>0</v>
      </c>
      <c r="AB282" s="19">
        <v>0</v>
      </c>
      <c r="AC282" s="19">
        <v>0</v>
      </c>
      <c r="AD282" s="20">
        <v>0</v>
      </c>
      <c r="AE282" s="20">
        <v>0</v>
      </c>
      <c r="AF282">
        <f t="shared" si="4"/>
        <v>0</v>
      </c>
    </row>
    <row r="283" spans="1:32" hidden="1" x14ac:dyDescent="0.25">
      <c r="A283" s="18" t="s">
        <v>93</v>
      </c>
      <c r="B283" s="19">
        <v>0</v>
      </c>
      <c r="C283" s="19">
        <v>0</v>
      </c>
      <c r="D283" s="20">
        <v>0</v>
      </c>
      <c r="E283" s="20">
        <v>0</v>
      </c>
      <c r="G283" s="19">
        <v>0</v>
      </c>
      <c r="H283" s="19">
        <v>0</v>
      </c>
      <c r="I283" s="20">
        <v>0</v>
      </c>
      <c r="J283" s="20">
        <v>0</v>
      </c>
      <c r="L283" s="19">
        <v>0</v>
      </c>
      <c r="M283" s="19">
        <v>0</v>
      </c>
      <c r="N283" s="20">
        <v>0</v>
      </c>
      <c r="O283" s="20">
        <v>0</v>
      </c>
      <c r="R283" s="19">
        <v>0</v>
      </c>
      <c r="S283" s="19">
        <v>0</v>
      </c>
      <c r="T283" s="20">
        <v>0</v>
      </c>
      <c r="U283" s="20">
        <v>0</v>
      </c>
      <c r="W283" s="19">
        <v>0</v>
      </c>
      <c r="X283" s="19">
        <v>0</v>
      </c>
      <c r="Y283" s="20">
        <v>0</v>
      </c>
      <c r="Z283" s="20">
        <v>0</v>
      </c>
      <c r="AB283" s="19">
        <v>0</v>
      </c>
      <c r="AC283" s="19">
        <v>0</v>
      </c>
      <c r="AD283" s="20">
        <v>0</v>
      </c>
      <c r="AE283" s="20">
        <v>0</v>
      </c>
      <c r="AF283">
        <f t="shared" si="4"/>
        <v>0</v>
      </c>
    </row>
    <row r="284" spans="1:32" hidden="1" x14ac:dyDescent="0.25">
      <c r="A284" s="18" t="s">
        <v>61</v>
      </c>
      <c r="B284" s="19">
        <v>0</v>
      </c>
      <c r="C284" s="19">
        <v>0</v>
      </c>
      <c r="D284" s="20">
        <v>0</v>
      </c>
      <c r="E284" s="20">
        <v>0</v>
      </c>
      <c r="G284" s="19">
        <v>0</v>
      </c>
      <c r="H284" s="19">
        <v>0</v>
      </c>
      <c r="I284" s="20">
        <v>0</v>
      </c>
      <c r="J284" s="20">
        <v>0</v>
      </c>
      <c r="L284" s="19">
        <v>0</v>
      </c>
      <c r="M284" s="19">
        <v>0</v>
      </c>
      <c r="N284" s="20">
        <v>0</v>
      </c>
      <c r="O284" s="20">
        <v>0</v>
      </c>
      <c r="R284" s="19">
        <v>0</v>
      </c>
      <c r="S284" s="19">
        <v>0</v>
      </c>
      <c r="T284" s="20">
        <v>0</v>
      </c>
      <c r="U284" s="20">
        <v>0</v>
      </c>
      <c r="W284" s="19">
        <v>0</v>
      </c>
      <c r="X284" s="19">
        <v>0</v>
      </c>
      <c r="Y284" s="20">
        <v>0</v>
      </c>
      <c r="Z284" s="20">
        <v>0</v>
      </c>
      <c r="AB284" s="19">
        <v>0</v>
      </c>
      <c r="AC284" s="19">
        <v>0</v>
      </c>
      <c r="AD284" s="20">
        <v>0</v>
      </c>
      <c r="AE284" s="20">
        <v>0</v>
      </c>
      <c r="AF284">
        <f t="shared" si="4"/>
        <v>0</v>
      </c>
    </row>
    <row r="285" spans="1:32" x14ac:dyDescent="0.25">
      <c r="A285" s="29" t="s">
        <v>69</v>
      </c>
      <c r="B285" s="27">
        <v>45</v>
      </c>
      <c r="C285" s="27">
        <v>43</v>
      </c>
      <c r="D285" s="20">
        <v>3.7782487061597209E-5</v>
      </c>
      <c r="E285" s="20">
        <v>3.5908561770241988E-5</v>
      </c>
      <c r="G285" s="27">
        <v>8</v>
      </c>
      <c r="H285" s="27">
        <v>10</v>
      </c>
      <c r="I285" s="20">
        <v>1.0132225543340594E-4</v>
      </c>
      <c r="J285" s="20">
        <v>1.2575769008274856E-4</v>
      </c>
      <c r="L285" s="27">
        <v>6</v>
      </c>
      <c r="M285" s="27">
        <v>5</v>
      </c>
      <c r="N285" s="20">
        <v>4.5533884799271458E-4</v>
      </c>
      <c r="O285" s="20">
        <v>3.731064845907022E-4</v>
      </c>
      <c r="R285" s="27">
        <v>5</v>
      </c>
      <c r="S285" s="27">
        <v>3</v>
      </c>
      <c r="T285" s="20">
        <v>3.4146241523195542E-5</v>
      </c>
      <c r="U285" s="20">
        <v>2.0260824345406534E-5</v>
      </c>
      <c r="W285" s="27">
        <v>0</v>
      </c>
      <c r="X285" s="27">
        <v>2</v>
      </c>
      <c r="Y285" s="20">
        <v>0</v>
      </c>
      <c r="Z285" s="20">
        <v>1.6998130205677376E-4</v>
      </c>
      <c r="AB285" s="27">
        <v>0</v>
      </c>
      <c r="AC285" s="27">
        <v>0</v>
      </c>
      <c r="AD285" s="20">
        <v>0</v>
      </c>
      <c r="AE285" s="20">
        <v>0</v>
      </c>
      <c r="AF285">
        <f t="shared" si="4"/>
        <v>127.00135360469484</v>
      </c>
    </row>
    <row r="286" spans="1:32" x14ac:dyDescent="0.25">
      <c r="A286" s="18"/>
      <c r="B286" s="19"/>
      <c r="C286" s="19"/>
      <c r="D286" s="19"/>
      <c r="E286" s="19"/>
      <c r="G286" s="19"/>
      <c r="H286" s="19"/>
      <c r="I286" s="19"/>
      <c r="J286" s="19"/>
      <c r="L286" s="19"/>
      <c r="M286" s="19"/>
      <c r="N286" s="19"/>
      <c r="O286" s="19"/>
      <c r="R286" s="19"/>
      <c r="S286" s="19"/>
      <c r="T286" s="19"/>
      <c r="U286" s="19"/>
      <c r="W286" s="19"/>
      <c r="X286" s="19"/>
      <c r="Y286" s="19"/>
      <c r="Z286" s="19"/>
      <c r="AB286" s="19"/>
      <c r="AC286" s="19"/>
      <c r="AD286" s="19"/>
      <c r="AE286" s="19"/>
      <c r="AF286">
        <v>1</v>
      </c>
    </row>
    <row r="287" spans="1:32" x14ac:dyDescent="0.25">
      <c r="A287" s="28" t="s">
        <v>70</v>
      </c>
      <c r="B287" s="25" t="s">
        <v>12</v>
      </c>
      <c r="C287" s="25" t="s">
        <v>164</v>
      </c>
      <c r="D287" s="25" t="s">
        <v>12</v>
      </c>
      <c r="E287" s="25" t="s">
        <v>164</v>
      </c>
      <c r="G287" s="25" t="s">
        <v>12</v>
      </c>
      <c r="H287" s="25" t="s">
        <v>164</v>
      </c>
      <c r="I287" s="25" t="s">
        <v>12</v>
      </c>
      <c r="J287" s="25" t="s">
        <v>164</v>
      </c>
      <c r="L287" s="25" t="s">
        <v>12</v>
      </c>
      <c r="M287" s="25" t="s">
        <v>164</v>
      </c>
      <c r="N287" s="25" t="s">
        <v>12</v>
      </c>
      <c r="O287" s="25" t="s">
        <v>164</v>
      </c>
      <c r="R287" s="25" t="s">
        <v>12</v>
      </c>
      <c r="S287" s="25" t="s">
        <v>164</v>
      </c>
      <c r="T287" s="25" t="s">
        <v>12</v>
      </c>
      <c r="U287" s="25" t="s">
        <v>164</v>
      </c>
      <c r="W287" s="25" t="s">
        <v>12</v>
      </c>
      <c r="X287" s="25" t="s">
        <v>164</v>
      </c>
      <c r="Y287" s="25" t="s">
        <v>12</v>
      </c>
      <c r="Z287" s="25" t="s">
        <v>164</v>
      </c>
      <c r="AB287" s="25" t="s">
        <v>12</v>
      </c>
      <c r="AC287" s="25" t="s">
        <v>164</v>
      </c>
      <c r="AD287" s="25" t="s">
        <v>12</v>
      </c>
      <c r="AE287" s="25" t="s">
        <v>164</v>
      </c>
      <c r="AF287">
        <v>1</v>
      </c>
    </row>
    <row r="288" spans="1:32" hidden="1" x14ac:dyDescent="0.25">
      <c r="A288" s="18" t="s">
        <v>17</v>
      </c>
      <c r="B288" s="19">
        <v>0</v>
      </c>
      <c r="C288" s="19">
        <v>0</v>
      </c>
      <c r="D288" s="20">
        <v>0</v>
      </c>
      <c r="E288" s="20">
        <v>0</v>
      </c>
      <c r="G288" s="19">
        <v>0</v>
      </c>
      <c r="H288" s="19">
        <v>0</v>
      </c>
      <c r="I288" s="20">
        <v>0</v>
      </c>
      <c r="J288" s="20">
        <v>0</v>
      </c>
      <c r="L288" s="19">
        <v>0</v>
      </c>
      <c r="M288" s="19">
        <v>0</v>
      </c>
      <c r="N288" s="20">
        <v>0</v>
      </c>
      <c r="O288" s="20">
        <v>0</v>
      </c>
      <c r="R288" s="19">
        <v>0</v>
      </c>
      <c r="S288" s="19">
        <v>0</v>
      </c>
      <c r="T288" s="20">
        <v>0</v>
      </c>
      <c r="U288" s="20">
        <v>0</v>
      </c>
      <c r="W288" s="19">
        <v>0</v>
      </c>
      <c r="X288" s="19">
        <v>0</v>
      </c>
      <c r="Y288" s="20">
        <v>0</v>
      </c>
      <c r="Z288" s="20">
        <v>0</v>
      </c>
      <c r="AB288" s="19">
        <v>0</v>
      </c>
      <c r="AC288" s="19">
        <v>0</v>
      </c>
      <c r="AD288" s="20">
        <v>0</v>
      </c>
      <c r="AE288" s="20">
        <v>0</v>
      </c>
      <c r="AF288">
        <f t="shared" si="4"/>
        <v>0</v>
      </c>
    </row>
    <row r="289" spans="1:32" hidden="1" x14ac:dyDescent="0.25">
      <c r="A289" s="18" t="s">
        <v>18</v>
      </c>
      <c r="B289" s="19">
        <v>0</v>
      </c>
      <c r="C289" s="19">
        <v>0</v>
      </c>
      <c r="D289" s="20">
        <v>0</v>
      </c>
      <c r="E289" s="20">
        <v>0</v>
      </c>
      <c r="G289" s="19">
        <v>0</v>
      </c>
      <c r="H289" s="19">
        <v>0</v>
      </c>
      <c r="I289" s="20">
        <v>0</v>
      </c>
      <c r="J289" s="20">
        <v>0</v>
      </c>
      <c r="L289" s="19">
        <v>0</v>
      </c>
      <c r="M289" s="19">
        <v>0</v>
      </c>
      <c r="N289" s="20">
        <v>0</v>
      </c>
      <c r="O289" s="20">
        <v>0</v>
      </c>
      <c r="R289" s="19">
        <v>0</v>
      </c>
      <c r="S289" s="19">
        <v>0</v>
      </c>
      <c r="T289" s="20">
        <v>0</v>
      </c>
      <c r="U289" s="20">
        <v>0</v>
      </c>
      <c r="W289" s="19">
        <v>0</v>
      </c>
      <c r="X289" s="19">
        <v>0</v>
      </c>
      <c r="Y289" s="20">
        <v>0</v>
      </c>
      <c r="Z289" s="20">
        <v>0</v>
      </c>
      <c r="AB289" s="19">
        <v>0</v>
      </c>
      <c r="AC289" s="19">
        <v>0</v>
      </c>
      <c r="AD289" s="20">
        <v>0</v>
      </c>
      <c r="AE289" s="20">
        <v>0</v>
      </c>
      <c r="AF289">
        <f t="shared" si="4"/>
        <v>0</v>
      </c>
    </row>
    <row r="290" spans="1:32" x14ac:dyDescent="0.25">
      <c r="A290" s="18" t="s">
        <v>19</v>
      </c>
      <c r="B290" s="19">
        <v>1</v>
      </c>
      <c r="C290" s="19">
        <v>5</v>
      </c>
      <c r="D290" s="20">
        <v>4.1373432464077521E-6</v>
      </c>
      <c r="E290" s="20">
        <v>2.0654755757513167E-5</v>
      </c>
      <c r="G290" s="19">
        <v>0</v>
      </c>
      <c r="H290" s="19">
        <v>9</v>
      </c>
      <c r="I290" s="20">
        <v>0</v>
      </c>
      <c r="J290" s="20">
        <v>3.3330864380416264E-4</v>
      </c>
      <c r="L290" s="19">
        <v>0</v>
      </c>
      <c r="M290" s="19">
        <v>0</v>
      </c>
      <c r="N290" s="20">
        <v>0</v>
      </c>
      <c r="O290" s="20">
        <v>0</v>
      </c>
      <c r="R290" s="19">
        <v>0</v>
      </c>
      <c r="S290" s="19">
        <v>1</v>
      </c>
      <c r="T290" s="20">
        <v>0</v>
      </c>
      <c r="U290" s="20">
        <v>8.5418250463394007E-6</v>
      </c>
      <c r="W290" s="19">
        <v>0</v>
      </c>
      <c r="X290" s="19">
        <v>1</v>
      </c>
      <c r="Y290" s="20">
        <v>0</v>
      </c>
      <c r="Z290" s="20">
        <v>4.7505938242280285E-4</v>
      </c>
      <c r="AB290" s="19">
        <v>0</v>
      </c>
      <c r="AC290" s="19">
        <v>0</v>
      </c>
      <c r="AD290" s="20">
        <v>0</v>
      </c>
      <c r="AE290" s="20">
        <v>0</v>
      </c>
      <c r="AF290">
        <f t="shared" si="4"/>
        <v>17.000841701950279</v>
      </c>
    </row>
    <row r="291" spans="1:32" hidden="1" x14ac:dyDescent="0.25">
      <c r="A291" s="18" t="s">
        <v>20</v>
      </c>
      <c r="B291" s="19">
        <v>0</v>
      </c>
      <c r="C291" s="19">
        <v>0</v>
      </c>
      <c r="D291" s="20">
        <v>0</v>
      </c>
      <c r="E291" s="20">
        <v>0</v>
      </c>
      <c r="G291" s="19">
        <v>0</v>
      </c>
      <c r="H291" s="19">
        <v>0</v>
      </c>
      <c r="I291" s="20">
        <v>0</v>
      </c>
      <c r="J291" s="20">
        <v>0</v>
      </c>
      <c r="L291" s="19">
        <v>0</v>
      </c>
      <c r="M291" s="19">
        <v>0</v>
      </c>
      <c r="N291" s="20">
        <v>0</v>
      </c>
      <c r="O291" s="20">
        <v>0</v>
      </c>
      <c r="R291" s="19">
        <v>0</v>
      </c>
      <c r="S291" s="19">
        <v>0</v>
      </c>
      <c r="T291" s="20">
        <v>0</v>
      </c>
      <c r="U291" s="20">
        <v>0</v>
      </c>
      <c r="W291" s="19">
        <v>0</v>
      </c>
      <c r="X291" s="19">
        <v>0</v>
      </c>
      <c r="Y291" s="20">
        <v>0</v>
      </c>
      <c r="Z291" s="20">
        <v>0</v>
      </c>
      <c r="AB291" s="19">
        <v>0</v>
      </c>
      <c r="AC291" s="19">
        <v>0</v>
      </c>
      <c r="AD291" s="20">
        <v>0</v>
      </c>
      <c r="AE291" s="20">
        <v>0</v>
      </c>
      <c r="AF291">
        <f t="shared" si="4"/>
        <v>0</v>
      </c>
    </row>
    <row r="292" spans="1:32" hidden="1" x14ac:dyDescent="0.25">
      <c r="A292" s="18" t="s">
        <v>21</v>
      </c>
      <c r="B292" s="19">
        <v>0</v>
      </c>
      <c r="C292" s="19">
        <v>0</v>
      </c>
      <c r="D292" s="20">
        <v>0</v>
      </c>
      <c r="E292" s="20">
        <v>0</v>
      </c>
      <c r="G292" s="19">
        <v>0</v>
      </c>
      <c r="H292" s="19">
        <v>0</v>
      </c>
      <c r="I292" s="20">
        <v>0</v>
      </c>
      <c r="J292" s="20">
        <v>0</v>
      </c>
      <c r="L292" s="19">
        <v>0</v>
      </c>
      <c r="M292" s="19">
        <v>0</v>
      </c>
      <c r="N292" s="20">
        <v>0</v>
      </c>
      <c r="O292" s="20">
        <v>0</v>
      </c>
      <c r="R292" s="19">
        <v>0</v>
      </c>
      <c r="S292" s="19">
        <v>0</v>
      </c>
      <c r="T292" s="20">
        <v>0</v>
      </c>
      <c r="U292" s="20">
        <v>0</v>
      </c>
      <c r="W292" s="19">
        <v>0</v>
      </c>
      <c r="X292" s="19">
        <v>0</v>
      </c>
      <c r="Y292" s="20">
        <v>0</v>
      </c>
      <c r="Z292" s="20">
        <v>0</v>
      </c>
      <c r="AB292" s="19">
        <v>0</v>
      </c>
      <c r="AC292" s="19">
        <v>0</v>
      </c>
      <c r="AD292" s="20">
        <v>0</v>
      </c>
      <c r="AE292" s="20">
        <v>0</v>
      </c>
      <c r="AF292">
        <f t="shared" si="4"/>
        <v>0</v>
      </c>
    </row>
    <row r="293" spans="1:32" hidden="1" x14ac:dyDescent="0.25">
      <c r="A293" s="18" t="s">
        <v>169</v>
      </c>
      <c r="B293" s="19">
        <v>0</v>
      </c>
      <c r="C293" s="19">
        <v>0</v>
      </c>
      <c r="D293" s="20">
        <v>0</v>
      </c>
      <c r="E293" s="20">
        <v>0</v>
      </c>
      <c r="G293" s="19">
        <v>0</v>
      </c>
      <c r="H293" s="19">
        <v>0</v>
      </c>
      <c r="I293" s="20">
        <v>0</v>
      </c>
      <c r="J293" s="20">
        <v>0</v>
      </c>
      <c r="L293" s="19">
        <v>0</v>
      </c>
      <c r="M293" s="19">
        <v>0</v>
      </c>
      <c r="N293" s="20">
        <v>0</v>
      </c>
      <c r="O293" s="20">
        <v>0</v>
      </c>
      <c r="R293" s="19">
        <v>0</v>
      </c>
      <c r="S293" s="19">
        <v>0</v>
      </c>
      <c r="T293" s="20">
        <v>0</v>
      </c>
      <c r="U293" s="20">
        <v>0</v>
      </c>
      <c r="W293" s="19">
        <v>0</v>
      </c>
      <c r="X293" s="19">
        <v>0</v>
      </c>
      <c r="Y293" s="20">
        <v>0</v>
      </c>
      <c r="Z293" s="20">
        <v>0</v>
      </c>
      <c r="AB293" s="19">
        <v>0</v>
      </c>
      <c r="AC293" s="19">
        <v>0</v>
      </c>
      <c r="AD293" s="20">
        <v>0</v>
      </c>
      <c r="AE293" s="20">
        <v>0</v>
      </c>
      <c r="AF293">
        <f t="shared" si="4"/>
        <v>0</v>
      </c>
    </row>
    <row r="294" spans="1:32" hidden="1" x14ac:dyDescent="0.25">
      <c r="A294" s="18" t="s">
        <v>22</v>
      </c>
      <c r="B294" s="19">
        <v>0</v>
      </c>
      <c r="C294" s="19">
        <v>0</v>
      </c>
      <c r="D294" s="20">
        <v>0</v>
      </c>
      <c r="E294" s="20">
        <v>0</v>
      </c>
      <c r="G294" s="19">
        <v>0</v>
      </c>
      <c r="H294" s="19">
        <v>0</v>
      </c>
      <c r="I294" s="20">
        <v>0</v>
      </c>
      <c r="J294" s="20">
        <v>0</v>
      </c>
      <c r="L294" s="19">
        <v>0</v>
      </c>
      <c r="M294" s="19">
        <v>0</v>
      </c>
      <c r="N294" s="20">
        <v>0</v>
      </c>
      <c r="O294" s="20">
        <v>0</v>
      </c>
      <c r="R294" s="19">
        <v>0</v>
      </c>
      <c r="S294" s="19">
        <v>0</v>
      </c>
      <c r="T294" s="20">
        <v>0</v>
      </c>
      <c r="U294" s="20">
        <v>0</v>
      </c>
      <c r="W294" s="19">
        <v>0</v>
      </c>
      <c r="X294" s="19">
        <v>0</v>
      </c>
      <c r="Y294" s="20">
        <v>0</v>
      </c>
      <c r="Z294" s="20">
        <v>0</v>
      </c>
      <c r="AB294" s="19">
        <v>0</v>
      </c>
      <c r="AC294" s="19">
        <v>0</v>
      </c>
      <c r="AD294" s="20">
        <v>0</v>
      </c>
      <c r="AE294" s="20">
        <v>0</v>
      </c>
      <c r="AF294">
        <f t="shared" si="4"/>
        <v>0</v>
      </c>
    </row>
    <row r="295" spans="1:32" hidden="1" x14ac:dyDescent="0.25">
      <c r="A295" s="18" t="s">
        <v>23</v>
      </c>
      <c r="B295" s="19">
        <v>0</v>
      </c>
      <c r="C295" s="19">
        <v>0</v>
      </c>
      <c r="D295" s="20">
        <v>0</v>
      </c>
      <c r="E295" s="20">
        <v>0</v>
      </c>
      <c r="G295" s="19">
        <v>0</v>
      </c>
      <c r="H295" s="19">
        <v>0</v>
      </c>
      <c r="I295" s="20">
        <v>0</v>
      </c>
      <c r="J295" s="20">
        <v>0</v>
      </c>
      <c r="L295" s="19">
        <v>0</v>
      </c>
      <c r="M295" s="19">
        <v>0</v>
      </c>
      <c r="N295" s="20">
        <v>0</v>
      </c>
      <c r="O295" s="20">
        <v>0</v>
      </c>
      <c r="R295" s="19">
        <v>0</v>
      </c>
      <c r="S295" s="19">
        <v>0</v>
      </c>
      <c r="T295" s="20">
        <v>0</v>
      </c>
      <c r="U295" s="20">
        <v>0</v>
      </c>
      <c r="W295" s="19">
        <v>0</v>
      </c>
      <c r="X295" s="19">
        <v>0</v>
      </c>
      <c r="Y295" s="20">
        <v>0</v>
      </c>
      <c r="Z295" s="20">
        <v>0</v>
      </c>
      <c r="AB295" s="19">
        <v>0</v>
      </c>
      <c r="AC295" s="19">
        <v>0</v>
      </c>
      <c r="AD295" s="20">
        <v>0</v>
      </c>
      <c r="AE295" s="20">
        <v>0</v>
      </c>
      <c r="AF295">
        <f t="shared" si="4"/>
        <v>0</v>
      </c>
    </row>
    <row r="296" spans="1:32" hidden="1" x14ac:dyDescent="0.25">
      <c r="A296" s="18" t="s">
        <v>24</v>
      </c>
      <c r="B296" s="19">
        <v>0</v>
      </c>
      <c r="C296" s="19">
        <v>0</v>
      </c>
      <c r="D296" s="20">
        <v>0</v>
      </c>
      <c r="E296" s="20">
        <v>0</v>
      </c>
      <c r="G296" s="19">
        <v>0</v>
      </c>
      <c r="H296" s="19">
        <v>0</v>
      </c>
      <c r="I296" s="20">
        <v>0</v>
      </c>
      <c r="J296" s="20">
        <v>0</v>
      </c>
      <c r="L296" s="19">
        <v>0</v>
      </c>
      <c r="M296" s="19">
        <v>0</v>
      </c>
      <c r="N296" s="20">
        <v>0</v>
      </c>
      <c r="O296" s="20">
        <v>0</v>
      </c>
      <c r="R296" s="19">
        <v>0</v>
      </c>
      <c r="S296" s="19">
        <v>0</v>
      </c>
      <c r="T296" s="20">
        <v>0</v>
      </c>
      <c r="U296" s="20">
        <v>0</v>
      </c>
      <c r="W296" s="19">
        <v>0</v>
      </c>
      <c r="X296" s="19">
        <v>0</v>
      </c>
      <c r="Y296" s="20">
        <v>0</v>
      </c>
      <c r="Z296" s="20">
        <v>0</v>
      </c>
      <c r="AB296" s="19">
        <v>0</v>
      </c>
      <c r="AC296" s="19">
        <v>0</v>
      </c>
      <c r="AD296" s="20">
        <v>0</v>
      </c>
      <c r="AE296" s="20">
        <v>0</v>
      </c>
      <c r="AF296">
        <f t="shared" si="4"/>
        <v>0</v>
      </c>
    </row>
    <row r="297" spans="1:32" hidden="1" x14ac:dyDescent="0.25">
      <c r="A297" s="18" t="s">
        <v>25</v>
      </c>
      <c r="B297" s="19">
        <v>0</v>
      </c>
      <c r="C297" s="19">
        <v>0</v>
      </c>
      <c r="D297" s="20">
        <v>0</v>
      </c>
      <c r="E297" s="20">
        <v>0</v>
      </c>
      <c r="G297" s="19">
        <v>0</v>
      </c>
      <c r="H297" s="19">
        <v>0</v>
      </c>
      <c r="I297" s="20">
        <v>0</v>
      </c>
      <c r="J297" s="20">
        <v>0</v>
      </c>
      <c r="L297" s="19">
        <v>0</v>
      </c>
      <c r="M297" s="19">
        <v>0</v>
      </c>
      <c r="N297" s="20">
        <v>0</v>
      </c>
      <c r="O297" s="20">
        <v>0</v>
      </c>
      <c r="R297" s="19">
        <v>0</v>
      </c>
      <c r="S297" s="19">
        <v>0</v>
      </c>
      <c r="T297" s="20">
        <v>0</v>
      </c>
      <c r="U297" s="20">
        <v>0</v>
      </c>
      <c r="W297" s="19">
        <v>0</v>
      </c>
      <c r="X297" s="19">
        <v>0</v>
      </c>
      <c r="Y297" s="20">
        <v>0</v>
      </c>
      <c r="Z297" s="20">
        <v>0</v>
      </c>
      <c r="AB297" s="19">
        <v>0</v>
      </c>
      <c r="AC297" s="19">
        <v>0</v>
      </c>
      <c r="AD297" s="20">
        <v>0</v>
      </c>
      <c r="AE297" s="20">
        <v>0</v>
      </c>
      <c r="AF297">
        <f t="shared" si="4"/>
        <v>0</v>
      </c>
    </row>
    <row r="298" spans="1:32" hidden="1" x14ac:dyDescent="0.25">
      <c r="A298" s="18" t="s">
        <v>82</v>
      </c>
      <c r="B298" s="19">
        <v>0</v>
      </c>
      <c r="C298" s="19">
        <v>0</v>
      </c>
      <c r="D298" s="20">
        <v>0</v>
      </c>
      <c r="E298" s="20">
        <v>0</v>
      </c>
      <c r="G298" s="19">
        <v>0</v>
      </c>
      <c r="H298" s="19">
        <v>0</v>
      </c>
      <c r="I298" s="20">
        <v>0</v>
      </c>
      <c r="J298" s="20">
        <v>0</v>
      </c>
      <c r="L298" s="19">
        <v>0</v>
      </c>
      <c r="M298" s="19">
        <v>0</v>
      </c>
      <c r="N298" s="20">
        <v>0</v>
      </c>
      <c r="O298" s="20">
        <v>0</v>
      </c>
      <c r="R298" s="19">
        <v>0</v>
      </c>
      <c r="S298" s="19">
        <v>0</v>
      </c>
      <c r="T298" s="20">
        <v>0</v>
      </c>
      <c r="U298" s="20">
        <v>0</v>
      </c>
      <c r="W298" s="19">
        <v>0</v>
      </c>
      <c r="X298" s="19">
        <v>0</v>
      </c>
      <c r="Y298" s="20">
        <v>0</v>
      </c>
      <c r="Z298" s="20">
        <v>0</v>
      </c>
      <c r="AB298" s="19">
        <v>0</v>
      </c>
      <c r="AC298" s="19">
        <v>0</v>
      </c>
      <c r="AD298" s="20">
        <v>0</v>
      </c>
      <c r="AE298" s="20">
        <v>0</v>
      </c>
      <c r="AF298">
        <f t="shared" si="4"/>
        <v>0</v>
      </c>
    </row>
    <row r="299" spans="1:32" hidden="1" x14ac:dyDescent="0.25">
      <c r="A299" s="18" t="s">
        <v>83</v>
      </c>
      <c r="B299" s="19">
        <v>0</v>
      </c>
      <c r="C299" s="19">
        <v>0</v>
      </c>
      <c r="D299" s="20">
        <v>0</v>
      </c>
      <c r="E299" s="20">
        <v>0</v>
      </c>
      <c r="G299" s="19">
        <v>0</v>
      </c>
      <c r="H299" s="19">
        <v>0</v>
      </c>
      <c r="I299" s="20">
        <v>0</v>
      </c>
      <c r="J299" s="20">
        <v>0</v>
      </c>
      <c r="L299" s="19">
        <v>0</v>
      </c>
      <c r="M299" s="19">
        <v>0</v>
      </c>
      <c r="N299" s="20">
        <v>0</v>
      </c>
      <c r="O299" s="20">
        <v>0</v>
      </c>
      <c r="R299" s="19">
        <v>0</v>
      </c>
      <c r="S299" s="19">
        <v>0</v>
      </c>
      <c r="T299" s="20">
        <v>0</v>
      </c>
      <c r="U299" s="20">
        <v>0</v>
      </c>
      <c r="W299" s="19">
        <v>0</v>
      </c>
      <c r="X299" s="19">
        <v>0</v>
      </c>
      <c r="Y299" s="20">
        <v>0</v>
      </c>
      <c r="Z299" s="20">
        <v>0</v>
      </c>
      <c r="AB299" s="19">
        <v>0</v>
      </c>
      <c r="AC299" s="19">
        <v>0</v>
      </c>
      <c r="AD299" s="20">
        <v>0</v>
      </c>
      <c r="AE299" s="20">
        <v>0</v>
      </c>
      <c r="AF299">
        <f t="shared" si="4"/>
        <v>0</v>
      </c>
    </row>
    <row r="300" spans="1:32" hidden="1" x14ac:dyDescent="0.25">
      <c r="A300" s="18" t="s">
        <v>84</v>
      </c>
      <c r="B300" s="19">
        <v>0</v>
      </c>
      <c r="C300" s="19">
        <v>0</v>
      </c>
      <c r="D300" s="20">
        <v>0</v>
      </c>
      <c r="E300" s="20">
        <v>0</v>
      </c>
      <c r="G300" s="19">
        <v>0</v>
      </c>
      <c r="H300" s="19">
        <v>0</v>
      </c>
      <c r="I300" s="20">
        <v>0</v>
      </c>
      <c r="J300" s="20">
        <v>0</v>
      </c>
      <c r="L300" s="19">
        <v>0</v>
      </c>
      <c r="M300" s="19">
        <v>0</v>
      </c>
      <c r="N300" s="20">
        <v>0</v>
      </c>
      <c r="O300" s="20">
        <v>0</v>
      </c>
      <c r="R300" s="19">
        <v>0</v>
      </c>
      <c r="S300" s="19">
        <v>0</v>
      </c>
      <c r="T300" s="20">
        <v>0</v>
      </c>
      <c r="U300" s="20">
        <v>0</v>
      </c>
      <c r="W300" s="19">
        <v>0</v>
      </c>
      <c r="X300" s="19">
        <v>0</v>
      </c>
      <c r="Y300" s="20">
        <v>0</v>
      </c>
      <c r="Z300" s="20">
        <v>0</v>
      </c>
      <c r="AB300" s="19">
        <v>0</v>
      </c>
      <c r="AC300" s="19">
        <v>0</v>
      </c>
      <c r="AD300" s="20">
        <v>0</v>
      </c>
      <c r="AE300" s="20">
        <v>0</v>
      </c>
      <c r="AF300">
        <f t="shared" si="4"/>
        <v>0</v>
      </c>
    </row>
    <row r="301" spans="1:32" hidden="1" x14ac:dyDescent="0.25">
      <c r="A301" s="18" t="s">
        <v>26</v>
      </c>
      <c r="B301" s="19">
        <v>0</v>
      </c>
      <c r="C301" s="19">
        <v>0</v>
      </c>
      <c r="D301" s="20">
        <v>0</v>
      </c>
      <c r="E301" s="20">
        <v>0</v>
      </c>
      <c r="G301" s="19">
        <v>0</v>
      </c>
      <c r="H301" s="19">
        <v>0</v>
      </c>
      <c r="I301" s="20">
        <v>0</v>
      </c>
      <c r="J301" s="20">
        <v>0</v>
      </c>
      <c r="L301" s="19">
        <v>0</v>
      </c>
      <c r="M301" s="19">
        <v>0</v>
      </c>
      <c r="N301" s="20">
        <v>0</v>
      </c>
      <c r="O301" s="20">
        <v>0</v>
      </c>
      <c r="R301" s="19">
        <v>0</v>
      </c>
      <c r="S301" s="19">
        <v>0</v>
      </c>
      <c r="T301" s="20">
        <v>0</v>
      </c>
      <c r="U301" s="20">
        <v>0</v>
      </c>
      <c r="W301" s="19">
        <v>0</v>
      </c>
      <c r="X301" s="19">
        <v>0</v>
      </c>
      <c r="Y301" s="20">
        <v>0</v>
      </c>
      <c r="Z301" s="20">
        <v>0</v>
      </c>
      <c r="AB301" s="19">
        <v>0</v>
      </c>
      <c r="AC301" s="19">
        <v>0</v>
      </c>
      <c r="AD301" s="20">
        <v>0</v>
      </c>
      <c r="AE301" s="20">
        <v>0</v>
      </c>
      <c r="AF301">
        <f t="shared" si="4"/>
        <v>0</v>
      </c>
    </row>
    <row r="302" spans="1:32" hidden="1" x14ac:dyDescent="0.25">
      <c r="A302" s="18" t="s">
        <v>27</v>
      </c>
      <c r="B302" s="19">
        <v>0</v>
      </c>
      <c r="C302" s="19">
        <v>0</v>
      </c>
      <c r="D302" s="20">
        <v>0</v>
      </c>
      <c r="E302" s="20">
        <v>0</v>
      </c>
      <c r="G302" s="19">
        <v>0</v>
      </c>
      <c r="H302" s="19">
        <v>0</v>
      </c>
      <c r="I302" s="20">
        <v>0</v>
      </c>
      <c r="J302" s="20">
        <v>0</v>
      </c>
      <c r="L302" s="19">
        <v>0</v>
      </c>
      <c r="M302" s="19">
        <v>0</v>
      </c>
      <c r="N302" s="20">
        <v>0</v>
      </c>
      <c r="O302" s="20">
        <v>0</v>
      </c>
      <c r="R302" s="19">
        <v>0</v>
      </c>
      <c r="S302" s="19">
        <v>0</v>
      </c>
      <c r="T302" s="20">
        <v>0</v>
      </c>
      <c r="U302" s="20">
        <v>0</v>
      </c>
      <c r="W302" s="19">
        <v>0</v>
      </c>
      <c r="X302" s="19">
        <v>0</v>
      </c>
      <c r="Y302" s="20">
        <v>0</v>
      </c>
      <c r="Z302" s="20">
        <v>0</v>
      </c>
      <c r="AB302" s="19">
        <v>0</v>
      </c>
      <c r="AC302" s="19">
        <v>0</v>
      </c>
      <c r="AD302" s="20">
        <v>0</v>
      </c>
      <c r="AE302" s="20">
        <v>0</v>
      </c>
      <c r="AF302">
        <f t="shared" si="4"/>
        <v>0</v>
      </c>
    </row>
    <row r="303" spans="1:32" hidden="1" x14ac:dyDescent="0.25">
      <c r="A303" s="18" t="s">
        <v>28</v>
      </c>
      <c r="B303" s="19">
        <v>0</v>
      </c>
      <c r="C303" s="19">
        <v>0</v>
      </c>
      <c r="D303" s="20">
        <v>0</v>
      </c>
      <c r="E303" s="20">
        <v>0</v>
      </c>
      <c r="G303" s="19">
        <v>0</v>
      </c>
      <c r="H303" s="19">
        <v>0</v>
      </c>
      <c r="I303" s="20">
        <v>0</v>
      </c>
      <c r="J303" s="20">
        <v>0</v>
      </c>
      <c r="L303" s="19">
        <v>0</v>
      </c>
      <c r="M303" s="19">
        <v>0</v>
      </c>
      <c r="N303" s="20">
        <v>0</v>
      </c>
      <c r="O303" s="20">
        <v>0</v>
      </c>
      <c r="R303" s="19">
        <v>0</v>
      </c>
      <c r="S303" s="19">
        <v>0</v>
      </c>
      <c r="T303" s="20">
        <v>0</v>
      </c>
      <c r="U303" s="20">
        <v>0</v>
      </c>
      <c r="W303" s="19">
        <v>0</v>
      </c>
      <c r="X303" s="19">
        <v>0</v>
      </c>
      <c r="Y303" s="20">
        <v>0</v>
      </c>
      <c r="Z303" s="20">
        <v>0</v>
      </c>
      <c r="AB303" s="19">
        <v>0</v>
      </c>
      <c r="AC303" s="19">
        <v>0</v>
      </c>
      <c r="AD303" s="20">
        <v>0</v>
      </c>
      <c r="AE303" s="20">
        <v>0</v>
      </c>
      <c r="AF303">
        <f t="shared" si="4"/>
        <v>0</v>
      </c>
    </row>
    <row r="304" spans="1:32" hidden="1" x14ac:dyDescent="0.25">
      <c r="A304" s="18" t="s">
        <v>170</v>
      </c>
      <c r="B304" s="19">
        <v>0</v>
      </c>
      <c r="C304" s="19">
        <v>0</v>
      </c>
      <c r="D304" s="20">
        <v>0</v>
      </c>
      <c r="E304" s="20">
        <v>0</v>
      </c>
      <c r="G304" s="19">
        <v>0</v>
      </c>
      <c r="H304" s="19">
        <v>0</v>
      </c>
      <c r="I304" s="20">
        <v>0</v>
      </c>
      <c r="J304" s="20">
        <v>0</v>
      </c>
      <c r="L304" s="19">
        <v>0</v>
      </c>
      <c r="M304" s="19">
        <v>0</v>
      </c>
      <c r="N304" s="20">
        <v>0</v>
      </c>
      <c r="O304" s="20">
        <v>0</v>
      </c>
      <c r="R304" s="19">
        <v>0</v>
      </c>
      <c r="S304" s="19">
        <v>0</v>
      </c>
      <c r="T304" s="20">
        <v>0</v>
      </c>
      <c r="U304" s="20">
        <v>0</v>
      </c>
      <c r="W304" s="19">
        <v>0</v>
      </c>
      <c r="X304" s="19">
        <v>0</v>
      </c>
      <c r="Y304" s="20">
        <v>0</v>
      </c>
      <c r="Z304" s="20">
        <v>0</v>
      </c>
      <c r="AB304" s="19">
        <v>0</v>
      </c>
      <c r="AC304" s="19">
        <v>0</v>
      </c>
      <c r="AD304" s="20">
        <v>0</v>
      </c>
      <c r="AE304" s="20">
        <v>0</v>
      </c>
      <c r="AF304">
        <f t="shared" si="4"/>
        <v>0</v>
      </c>
    </row>
    <row r="305" spans="1:32" hidden="1" x14ac:dyDescent="0.25">
      <c r="A305" s="18" t="s">
        <v>171</v>
      </c>
      <c r="B305" s="19">
        <v>0</v>
      </c>
      <c r="C305" s="19">
        <v>0</v>
      </c>
      <c r="D305" s="20">
        <v>0</v>
      </c>
      <c r="E305" s="20">
        <v>0</v>
      </c>
      <c r="G305" s="19">
        <v>0</v>
      </c>
      <c r="H305" s="19">
        <v>0</v>
      </c>
      <c r="I305" s="20">
        <v>0</v>
      </c>
      <c r="J305" s="20">
        <v>0</v>
      </c>
      <c r="L305" s="19">
        <v>0</v>
      </c>
      <c r="M305" s="19">
        <v>0</v>
      </c>
      <c r="N305" s="20">
        <v>0</v>
      </c>
      <c r="O305" s="20">
        <v>0</v>
      </c>
      <c r="R305" s="19">
        <v>0</v>
      </c>
      <c r="S305" s="19">
        <v>0</v>
      </c>
      <c r="T305" s="20">
        <v>0</v>
      </c>
      <c r="U305" s="20">
        <v>0</v>
      </c>
      <c r="W305" s="19">
        <v>0</v>
      </c>
      <c r="X305" s="19">
        <v>0</v>
      </c>
      <c r="Y305" s="20">
        <v>0</v>
      </c>
      <c r="Z305" s="20">
        <v>0</v>
      </c>
      <c r="AB305" s="19">
        <v>0</v>
      </c>
      <c r="AC305" s="19">
        <v>0</v>
      </c>
      <c r="AD305" s="20">
        <v>0</v>
      </c>
      <c r="AE305" s="20">
        <v>0</v>
      </c>
      <c r="AF305">
        <f t="shared" si="4"/>
        <v>0</v>
      </c>
    </row>
    <row r="306" spans="1:32" hidden="1" x14ac:dyDescent="0.25">
      <c r="A306" s="18" t="s">
        <v>29</v>
      </c>
      <c r="B306" s="19">
        <v>0</v>
      </c>
      <c r="C306" s="19">
        <v>0</v>
      </c>
      <c r="D306" s="20">
        <v>0</v>
      </c>
      <c r="E306" s="20">
        <v>0</v>
      </c>
      <c r="G306" s="19">
        <v>0</v>
      </c>
      <c r="H306" s="19">
        <v>0</v>
      </c>
      <c r="I306" s="20">
        <v>0</v>
      </c>
      <c r="J306" s="20">
        <v>0</v>
      </c>
      <c r="L306" s="19">
        <v>0</v>
      </c>
      <c r="M306" s="19">
        <v>0</v>
      </c>
      <c r="N306" s="20">
        <v>0</v>
      </c>
      <c r="O306" s="20">
        <v>0</v>
      </c>
      <c r="R306" s="19">
        <v>0</v>
      </c>
      <c r="S306" s="19">
        <v>0</v>
      </c>
      <c r="T306" s="20">
        <v>0</v>
      </c>
      <c r="U306" s="20">
        <v>0</v>
      </c>
      <c r="W306" s="19">
        <v>0</v>
      </c>
      <c r="X306" s="19">
        <v>0</v>
      </c>
      <c r="Y306" s="20">
        <v>0</v>
      </c>
      <c r="Z306" s="20">
        <v>0</v>
      </c>
      <c r="AB306" s="19">
        <v>0</v>
      </c>
      <c r="AC306" s="19">
        <v>0</v>
      </c>
      <c r="AD306" s="20">
        <v>0</v>
      </c>
      <c r="AE306" s="20">
        <v>0</v>
      </c>
      <c r="AF306">
        <f t="shared" si="4"/>
        <v>0</v>
      </c>
    </row>
    <row r="307" spans="1:32" x14ac:dyDescent="0.25">
      <c r="A307" s="18" t="s">
        <v>30</v>
      </c>
      <c r="B307" s="19">
        <v>0</v>
      </c>
      <c r="C307" s="19">
        <v>0</v>
      </c>
      <c r="D307" s="20">
        <v>0</v>
      </c>
      <c r="E307" s="20">
        <v>0</v>
      </c>
      <c r="G307" s="19">
        <v>0</v>
      </c>
      <c r="H307" s="19">
        <v>0</v>
      </c>
      <c r="I307" s="20">
        <v>0</v>
      </c>
      <c r="J307" s="20">
        <v>0</v>
      </c>
      <c r="L307" s="19">
        <v>2</v>
      </c>
      <c r="M307" s="19">
        <v>1</v>
      </c>
      <c r="N307" s="20">
        <v>3.1201248049921998E-3</v>
      </c>
      <c r="O307" s="20">
        <v>9.4073377234242712E-4</v>
      </c>
      <c r="R307" s="19">
        <v>0</v>
      </c>
      <c r="S307" s="19">
        <v>0</v>
      </c>
      <c r="T307" s="20">
        <v>0</v>
      </c>
      <c r="U307" s="20">
        <v>0</v>
      </c>
      <c r="W307" s="19">
        <v>0</v>
      </c>
      <c r="X307" s="19">
        <v>0</v>
      </c>
      <c r="Y307" s="20">
        <v>0</v>
      </c>
      <c r="Z307" s="20">
        <v>0</v>
      </c>
      <c r="AB307" s="19">
        <v>0</v>
      </c>
      <c r="AC307" s="19">
        <v>0</v>
      </c>
      <c r="AD307" s="20">
        <v>0</v>
      </c>
      <c r="AE307" s="20">
        <v>0</v>
      </c>
      <c r="AF307">
        <f t="shared" si="4"/>
        <v>3.0040608585773345</v>
      </c>
    </row>
    <row r="308" spans="1:32" hidden="1" x14ac:dyDescent="0.25">
      <c r="A308" s="18" t="s">
        <v>31</v>
      </c>
      <c r="B308" s="19">
        <v>0</v>
      </c>
      <c r="C308" s="19">
        <v>0</v>
      </c>
      <c r="D308" s="20">
        <v>0</v>
      </c>
      <c r="E308" s="20">
        <v>0</v>
      </c>
      <c r="G308" s="19">
        <v>0</v>
      </c>
      <c r="H308" s="19">
        <v>0</v>
      </c>
      <c r="I308" s="20">
        <v>0</v>
      </c>
      <c r="J308" s="20">
        <v>0</v>
      </c>
      <c r="L308" s="19">
        <v>0</v>
      </c>
      <c r="M308" s="19">
        <v>0</v>
      </c>
      <c r="N308" s="20">
        <v>0</v>
      </c>
      <c r="O308" s="20">
        <v>0</v>
      </c>
      <c r="R308" s="19">
        <v>0</v>
      </c>
      <c r="S308" s="19">
        <v>0</v>
      </c>
      <c r="T308" s="20">
        <v>0</v>
      </c>
      <c r="U308" s="20">
        <v>0</v>
      </c>
      <c r="W308" s="19">
        <v>0</v>
      </c>
      <c r="X308" s="19">
        <v>0</v>
      </c>
      <c r="Y308" s="20">
        <v>0</v>
      </c>
      <c r="Z308" s="20">
        <v>0</v>
      </c>
      <c r="AB308" s="19">
        <v>0</v>
      </c>
      <c r="AC308" s="19">
        <v>0</v>
      </c>
      <c r="AD308" s="20">
        <v>0</v>
      </c>
      <c r="AE308" s="20">
        <v>0</v>
      </c>
      <c r="AF308">
        <f t="shared" si="4"/>
        <v>0</v>
      </c>
    </row>
    <row r="309" spans="1:32" hidden="1" x14ac:dyDescent="0.25">
      <c r="A309" s="18" t="s">
        <v>79</v>
      </c>
      <c r="B309" s="19">
        <v>0</v>
      </c>
      <c r="C309" s="19">
        <v>0</v>
      </c>
      <c r="D309" s="20">
        <v>0</v>
      </c>
      <c r="E309" s="20">
        <v>0</v>
      </c>
      <c r="G309" s="19">
        <v>0</v>
      </c>
      <c r="H309" s="19">
        <v>0</v>
      </c>
      <c r="I309" s="20">
        <v>0</v>
      </c>
      <c r="J309" s="20">
        <v>0</v>
      </c>
      <c r="L309" s="19">
        <v>0</v>
      </c>
      <c r="M309" s="19">
        <v>0</v>
      </c>
      <c r="N309" s="20">
        <v>0</v>
      </c>
      <c r="O309" s="20">
        <v>0</v>
      </c>
      <c r="R309" s="19">
        <v>0</v>
      </c>
      <c r="S309" s="19">
        <v>0</v>
      </c>
      <c r="T309" s="20">
        <v>0</v>
      </c>
      <c r="U309" s="20">
        <v>0</v>
      </c>
      <c r="W309" s="19">
        <v>0</v>
      </c>
      <c r="X309" s="19">
        <v>0</v>
      </c>
      <c r="Y309" s="20">
        <v>0</v>
      </c>
      <c r="Z309" s="20">
        <v>0</v>
      </c>
      <c r="AB309" s="19">
        <v>0</v>
      </c>
      <c r="AC309" s="19">
        <v>0</v>
      </c>
      <c r="AD309" s="20">
        <v>0</v>
      </c>
      <c r="AE309" s="20">
        <v>0</v>
      </c>
      <c r="AF309">
        <f t="shared" si="4"/>
        <v>0</v>
      </c>
    </row>
    <row r="310" spans="1:32" hidden="1" x14ac:dyDescent="0.25">
      <c r="A310" s="18" t="s">
        <v>32</v>
      </c>
      <c r="B310" s="19">
        <v>0</v>
      </c>
      <c r="C310" s="19">
        <v>0</v>
      </c>
      <c r="D310" s="20">
        <v>0</v>
      </c>
      <c r="E310" s="20">
        <v>0</v>
      </c>
      <c r="G310" s="19">
        <v>0</v>
      </c>
      <c r="H310" s="19">
        <v>0</v>
      </c>
      <c r="I310" s="20">
        <v>0</v>
      </c>
      <c r="J310" s="20">
        <v>0</v>
      </c>
      <c r="L310" s="19">
        <v>0</v>
      </c>
      <c r="M310" s="19">
        <v>0</v>
      </c>
      <c r="N310" s="20">
        <v>0</v>
      </c>
      <c r="O310" s="20">
        <v>0</v>
      </c>
      <c r="R310" s="19">
        <v>0</v>
      </c>
      <c r="S310" s="19">
        <v>0</v>
      </c>
      <c r="T310" s="20">
        <v>0</v>
      </c>
      <c r="U310" s="20">
        <v>0</v>
      </c>
      <c r="W310" s="19">
        <v>0</v>
      </c>
      <c r="X310" s="19">
        <v>0</v>
      </c>
      <c r="Y310" s="20">
        <v>0</v>
      </c>
      <c r="Z310" s="20">
        <v>0</v>
      </c>
      <c r="AB310" s="19">
        <v>0</v>
      </c>
      <c r="AC310" s="19">
        <v>0</v>
      </c>
      <c r="AD310" s="20">
        <v>0</v>
      </c>
      <c r="AE310" s="20">
        <v>0</v>
      </c>
      <c r="AF310">
        <f t="shared" si="4"/>
        <v>0</v>
      </c>
    </row>
    <row r="311" spans="1:32" hidden="1" x14ac:dyDescent="0.25">
      <c r="A311" s="18" t="s">
        <v>80</v>
      </c>
      <c r="B311" s="19">
        <v>0</v>
      </c>
      <c r="C311" s="19">
        <v>0</v>
      </c>
      <c r="D311" s="20">
        <v>0</v>
      </c>
      <c r="E311" s="20">
        <v>0</v>
      </c>
      <c r="G311" s="19">
        <v>0</v>
      </c>
      <c r="H311" s="19">
        <v>0</v>
      </c>
      <c r="I311" s="20">
        <v>0</v>
      </c>
      <c r="J311" s="20">
        <v>0</v>
      </c>
      <c r="L311" s="19">
        <v>0</v>
      </c>
      <c r="M311" s="19">
        <v>0</v>
      </c>
      <c r="N311" s="20">
        <v>0</v>
      </c>
      <c r="O311" s="20">
        <v>0</v>
      </c>
      <c r="R311" s="19">
        <v>0</v>
      </c>
      <c r="S311" s="19">
        <v>0</v>
      </c>
      <c r="T311" s="20">
        <v>0</v>
      </c>
      <c r="U311" s="20">
        <v>0</v>
      </c>
      <c r="W311" s="19">
        <v>0</v>
      </c>
      <c r="X311" s="19">
        <v>0</v>
      </c>
      <c r="Y311" s="20">
        <v>0</v>
      </c>
      <c r="Z311" s="20">
        <v>0</v>
      </c>
      <c r="AB311" s="19">
        <v>0</v>
      </c>
      <c r="AC311" s="19">
        <v>0</v>
      </c>
      <c r="AD311" s="20">
        <v>0</v>
      </c>
      <c r="AE311" s="20">
        <v>0</v>
      </c>
      <c r="AF311">
        <f t="shared" si="4"/>
        <v>0</v>
      </c>
    </row>
    <row r="312" spans="1:32" hidden="1" x14ac:dyDescent="0.25">
      <c r="A312" s="18" t="s">
        <v>33</v>
      </c>
      <c r="B312" s="19">
        <v>0</v>
      </c>
      <c r="C312" s="19">
        <v>0</v>
      </c>
      <c r="D312" s="20">
        <v>0</v>
      </c>
      <c r="E312" s="20">
        <v>0</v>
      </c>
      <c r="G312" s="19">
        <v>0</v>
      </c>
      <c r="H312" s="19">
        <v>0</v>
      </c>
      <c r="I312" s="20">
        <v>0</v>
      </c>
      <c r="J312" s="20">
        <v>0</v>
      </c>
      <c r="L312" s="19">
        <v>0</v>
      </c>
      <c r="M312" s="19">
        <v>0</v>
      </c>
      <c r="N312" s="20">
        <v>0</v>
      </c>
      <c r="O312" s="20">
        <v>0</v>
      </c>
      <c r="R312" s="19">
        <v>0</v>
      </c>
      <c r="S312" s="19">
        <v>0</v>
      </c>
      <c r="T312" s="20">
        <v>0</v>
      </c>
      <c r="U312" s="20">
        <v>0</v>
      </c>
      <c r="W312" s="19">
        <v>0</v>
      </c>
      <c r="X312" s="19">
        <v>0</v>
      </c>
      <c r="Y312" s="20">
        <v>0</v>
      </c>
      <c r="Z312" s="20">
        <v>0</v>
      </c>
      <c r="AB312" s="19">
        <v>0</v>
      </c>
      <c r="AC312" s="19">
        <v>0</v>
      </c>
      <c r="AD312" s="20">
        <v>0</v>
      </c>
      <c r="AE312" s="20">
        <v>0</v>
      </c>
      <c r="AF312">
        <f t="shared" si="4"/>
        <v>0</v>
      </c>
    </row>
    <row r="313" spans="1:32" hidden="1" x14ac:dyDescent="0.25">
      <c r="A313" s="18" t="s">
        <v>34</v>
      </c>
      <c r="B313" s="19">
        <v>0</v>
      </c>
      <c r="C313" s="19">
        <v>0</v>
      </c>
      <c r="D313" s="20">
        <v>0</v>
      </c>
      <c r="E313" s="20">
        <v>0</v>
      </c>
      <c r="G313" s="19">
        <v>0</v>
      </c>
      <c r="H313" s="19">
        <v>0</v>
      </c>
      <c r="I313" s="20">
        <v>0</v>
      </c>
      <c r="J313" s="20">
        <v>0</v>
      </c>
      <c r="L313" s="19">
        <v>0</v>
      </c>
      <c r="M313" s="19">
        <v>0</v>
      </c>
      <c r="N313" s="20">
        <v>0</v>
      </c>
      <c r="O313" s="20">
        <v>0</v>
      </c>
      <c r="R313" s="19">
        <v>0</v>
      </c>
      <c r="S313" s="19">
        <v>0</v>
      </c>
      <c r="T313" s="20">
        <v>0</v>
      </c>
      <c r="U313" s="20">
        <v>0</v>
      </c>
      <c r="W313" s="19">
        <v>0</v>
      </c>
      <c r="X313" s="19">
        <v>0</v>
      </c>
      <c r="Y313" s="20">
        <v>0</v>
      </c>
      <c r="Z313" s="20">
        <v>0</v>
      </c>
      <c r="AB313" s="19">
        <v>0</v>
      </c>
      <c r="AC313" s="19">
        <v>0</v>
      </c>
      <c r="AD313" s="20">
        <v>0</v>
      </c>
      <c r="AE313" s="20">
        <v>0</v>
      </c>
      <c r="AF313">
        <f t="shared" si="4"/>
        <v>0</v>
      </c>
    </row>
    <row r="314" spans="1:32" hidden="1" x14ac:dyDescent="0.25">
      <c r="A314" s="18" t="s">
        <v>166</v>
      </c>
      <c r="B314" s="19">
        <v>0</v>
      </c>
      <c r="C314" s="19">
        <v>0</v>
      </c>
      <c r="D314" s="20">
        <v>0</v>
      </c>
      <c r="E314" s="20">
        <v>0</v>
      </c>
      <c r="G314" s="19">
        <v>0</v>
      </c>
      <c r="H314" s="19">
        <v>0</v>
      </c>
      <c r="I314" s="20">
        <v>0</v>
      </c>
      <c r="J314" s="20">
        <v>0</v>
      </c>
      <c r="L314" s="19">
        <v>0</v>
      </c>
      <c r="M314" s="19">
        <v>0</v>
      </c>
      <c r="N314" s="20">
        <v>0</v>
      </c>
      <c r="O314" s="20">
        <v>0</v>
      </c>
      <c r="R314" s="19">
        <v>0</v>
      </c>
      <c r="S314" s="19">
        <v>0</v>
      </c>
      <c r="T314" s="20">
        <v>0</v>
      </c>
      <c r="U314" s="20">
        <v>0</v>
      </c>
      <c r="W314" s="19">
        <v>0</v>
      </c>
      <c r="X314" s="19">
        <v>0</v>
      </c>
      <c r="Y314" s="20">
        <v>0</v>
      </c>
      <c r="Z314" s="20">
        <v>0</v>
      </c>
      <c r="AB314" s="19">
        <v>0</v>
      </c>
      <c r="AC314" s="19">
        <v>0</v>
      </c>
      <c r="AD314" s="20">
        <v>0</v>
      </c>
      <c r="AE314" s="20">
        <v>0</v>
      </c>
      <c r="AF314">
        <f t="shared" si="4"/>
        <v>0</v>
      </c>
    </row>
    <row r="315" spans="1:32" hidden="1" x14ac:dyDescent="0.25">
      <c r="A315" s="18" t="s">
        <v>172</v>
      </c>
      <c r="B315" s="19">
        <v>0</v>
      </c>
      <c r="C315" s="19">
        <v>0</v>
      </c>
      <c r="D315" s="20">
        <v>0</v>
      </c>
      <c r="E315" s="20">
        <v>0</v>
      </c>
      <c r="G315" s="19">
        <v>0</v>
      </c>
      <c r="H315" s="19">
        <v>0</v>
      </c>
      <c r="I315" s="20">
        <v>0</v>
      </c>
      <c r="J315" s="20">
        <v>0</v>
      </c>
      <c r="L315" s="19">
        <v>0</v>
      </c>
      <c r="M315" s="19">
        <v>0</v>
      </c>
      <c r="N315" s="20">
        <v>0</v>
      </c>
      <c r="O315" s="20">
        <v>0</v>
      </c>
      <c r="R315" s="19">
        <v>0</v>
      </c>
      <c r="S315" s="19">
        <v>0</v>
      </c>
      <c r="T315" s="20">
        <v>0</v>
      </c>
      <c r="U315" s="20">
        <v>0</v>
      </c>
      <c r="W315" s="19">
        <v>0</v>
      </c>
      <c r="X315" s="19">
        <v>0</v>
      </c>
      <c r="Y315" s="20">
        <v>0</v>
      </c>
      <c r="Z315" s="20">
        <v>0</v>
      </c>
      <c r="AB315" s="19">
        <v>0</v>
      </c>
      <c r="AC315" s="19">
        <v>0</v>
      </c>
      <c r="AD315" s="20">
        <v>0</v>
      </c>
      <c r="AE315" s="20">
        <v>0</v>
      </c>
      <c r="AF315">
        <f t="shared" si="4"/>
        <v>0</v>
      </c>
    </row>
    <row r="316" spans="1:32" hidden="1" x14ac:dyDescent="0.25">
      <c r="A316" s="18" t="s">
        <v>35</v>
      </c>
      <c r="B316" s="19">
        <v>0</v>
      </c>
      <c r="C316" s="19">
        <v>0</v>
      </c>
      <c r="D316" s="20">
        <v>0</v>
      </c>
      <c r="E316" s="20">
        <v>0</v>
      </c>
      <c r="G316" s="19">
        <v>0</v>
      </c>
      <c r="H316" s="19">
        <v>0</v>
      </c>
      <c r="I316" s="20">
        <v>0</v>
      </c>
      <c r="J316" s="20">
        <v>0</v>
      </c>
      <c r="L316" s="19">
        <v>0</v>
      </c>
      <c r="M316" s="19">
        <v>0</v>
      </c>
      <c r="N316" s="20">
        <v>0</v>
      </c>
      <c r="O316" s="20">
        <v>0</v>
      </c>
      <c r="R316" s="19">
        <v>0</v>
      </c>
      <c r="S316" s="19">
        <v>0</v>
      </c>
      <c r="T316" s="20">
        <v>0</v>
      </c>
      <c r="U316" s="20">
        <v>0</v>
      </c>
      <c r="W316" s="19">
        <v>0</v>
      </c>
      <c r="X316" s="19">
        <v>0</v>
      </c>
      <c r="Y316" s="20">
        <v>0</v>
      </c>
      <c r="Z316" s="20">
        <v>0</v>
      </c>
      <c r="AB316" s="19">
        <v>0</v>
      </c>
      <c r="AC316" s="19">
        <v>0</v>
      </c>
      <c r="AD316" s="20">
        <v>0</v>
      </c>
      <c r="AE316" s="20">
        <v>0</v>
      </c>
      <c r="AF316">
        <f t="shared" si="4"/>
        <v>0</v>
      </c>
    </row>
    <row r="317" spans="1:32" hidden="1" x14ac:dyDescent="0.25">
      <c r="A317" s="18" t="s">
        <v>85</v>
      </c>
      <c r="B317" s="19">
        <v>0</v>
      </c>
      <c r="C317" s="19">
        <v>0</v>
      </c>
      <c r="D317" s="20">
        <v>0</v>
      </c>
      <c r="E317" s="20">
        <v>0</v>
      </c>
      <c r="G317" s="19">
        <v>0</v>
      </c>
      <c r="H317" s="19">
        <v>0</v>
      </c>
      <c r="I317" s="20">
        <v>0</v>
      </c>
      <c r="J317" s="20">
        <v>0</v>
      </c>
      <c r="L317" s="19">
        <v>0</v>
      </c>
      <c r="M317" s="19">
        <v>0</v>
      </c>
      <c r="N317" s="20">
        <v>0</v>
      </c>
      <c r="O317" s="20">
        <v>0</v>
      </c>
      <c r="R317" s="19">
        <v>0</v>
      </c>
      <c r="S317" s="19">
        <v>0</v>
      </c>
      <c r="T317" s="20">
        <v>0</v>
      </c>
      <c r="U317" s="20">
        <v>0</v>
      </c>
      <c r="W317" s="19">
        <v>0</v>
      </c>
      <c r="X317" s="19">
        <v>0</v>
      </c>
      <c r="Y317" s="20">
        <v>0</v>
      </c>
      <c r="Z317" s="20">
        <v>0</v>
      </c>
      <c r="AB317" s="19">
        <v>0</v>
      </c>
      <c r="AC317" s="19">
        <v>0</v>
      </c>
      <c r="AD317" s="20">
        <v>0</v>
      </c>
      <c r="AE317" s="20">
        <v>0</v>
      </c>
      <c r="AF317">
        <f t="shared" si="4"/>
        <v>0</v>
      </c>
    </row>
    <row r="318" spans="1:32" hidden="1" x14ac:dyDescent="0.25">
      <c r="A318" s="18" t="s">
        <v>36</v>
      </c>
      <c r="B318" s="19">
        <v>0</v>
      </c>
      <c r="C318" s="19">
        <v>0</v>
      </c>
      <c r="D318" s="20">
        <v>0</v>
      </c>
      <c r="E318" s="20">
        <v>0</v>
      </c>
      <c r="G318" s="19">
        <v>0</v>
      </c>
      <c r="H318" s="19">
        <v>0</v>
      </c>
      <c r="I318" s="20">
        <v>0</v>
      </c>
      <c r="J318" s="20">
        <v>0</v>
      </c>
      <c r="L318" s="19">
        <v>0</v>
      </c>
      <c r="M318" s="19">
        <v>0</v>
      </c>
      <c r="N318" s="20">
        <v>0</v>
      </c>
      <c r="O318" s="20">
        <v>0</v>
      </c>
      <c r="R318" s="19">
        <v>0</v>
      </c>
      <c r="S318" s="19">
        <v>0</v>
      </c>
      <c r="T318" s="20">
        <v>0</v>
      </c>
      <c r="U318" s="20">
        <v>0</v>
      </c>
      <c r="W318" s="19">
        <v>0</v>
      </c>
      <c r="X318" s="19">
        <v>0</v>
      </c>
      <c r="Y318" s="20">
        <v>0</v>
      </c>
      <c r="Z318" s="20">
        <v>0</v>
      </c>
      <c r="AB318" s="19">
        <v>0</v>
      </c>
      <c r="AC318" s="19">
        <v>0</v>
      </c>
      <c r="AD318" s="20">
        <v>0</v>
      </c>
      <c r="AE318" s="20">
        <v>0</v>
      </c>
      <c r="AF318">
        <f t="shared" si="4"/>
        <v>0</v>
      </c>
    </row>
    <row r="319" spans="1:32" hidden="1" x14ac:dyDescent="0.25">
      <c r="A319" s="18" t="s">
        <v>37</v>
      </c>
      <c r="B319" s="19">
        <v>0</v>
      </c>
      <c r="C319" s="19">
        <v>0</v>
      </c>
      <c r="D319" s="20">
        <v>0</v>
      </c>
      <c r="E319" s="20">
        <v>0</v>
      </c>
      <c r="G319" s="19">
        <v>0</v>
      </c>
      <c r="H319" s="19">
        <v>0</v>
      </c>
      <c r="I319" s="20">
        <v>0</v>
      </c>
      <c r="J319" s="20">
        <v>0</v>
      </c>
      <c r="L319" s="19">
        <v>0</v>
      </c>
      <c r="M319" s="19">
        <v>0</v>
      </c>
      <c r="N319" s="20">
        <v>0</v>
      </c>
      <c r="O319" s="20">
        <v>0</v>
      </c>
      <c r="R319" s="19">
        <v>0</v>
      </c>
      <c r="S319" s="19">
        <v>0</v>
      </c>
      <c r="T319" s="20">
        <v>0</v>
      </c>
      <c r="U319" s="20">
        <v>0</v>
      </c>
      <c r="W319" s="19">
        <v>0</v>
      </c>
      <c r="X319" s="19">
        <v>0</v>
      </c>
      <c r="Y319" s="20">
        <v>0</v>
      </c>
      <c r="Z319" s="20">
        <v>0</v>
      </c>
      <c r="AB319" s="19">
        <v>0</v>
      </c>
      <c r="AC319" s="19">
        <v>0</v>
      </c>
      <c r="AD319" s="20">
        <v>0</v>
      </c>
      <c r="AE319" s="20">
        <v>0</v>
      </c>
      <c r="AF319">
        <f t="shared" si="4"/>
        <v>0</v>
      </c>
    </row>
    <row r="320" spans="1:32" hidden="1" x14ac:dyDescent="0.25">
      <c r="A320" s="18" t="s">
        <v>86</v>
      </c>
      <c r="B320" s="19">
        <v>0</v>
      </c>
      <c r="C320" s="19">
        <v>0</v>
      </c>
      <c r="D320" s="20">
        <v>0</v>
      </c>
      <c r="E320" s="20">
        <v>0</v>
      </c>
      <c r="G320" s="19">
        <v>0</v>
      </c>
      <c r="H320" s="19">
        <v>0</v>
      </c>
      <c r="I320" s="20">
        <v>0</v>
      </c>
      <c r="J320" s="20">
        <v>0</v>
      </c>
      <c r="L320" s="19">
        <v>0</v>
      </c>
      <c r="M320" s="19">
        <v>0</v>
      </c>
      <c r="N320" s="20">
        <v>0</v>
      </c>
      <c r="O320" s="20">
        <v>0</v>
      </c>
      <c r="R320" s="19">
        <v>0</v>
      </c>
      <c r="S320" s="19">
        <v>0</v>
      </c>
      <c r="T320" s="20">
        <v>0</v>
      </c>
      <c r="U320" s="20">
        <v>0</v>
      </c>
      <c r="W320" s="19">
        <v>0</v>
      </c>
      <c r="X320" s="19">
        <v>0</v>
      </c>
      <c r="Y320" s="20">
        <v>0</v>
      </c>
      <c r="Z320" s="20">
        <v>0</v>
      </c>
      <c r="AB320" s="19">
        <v>0</v>
      </c>
      <c r="AC320" s="19">
        <v>0</v>
      </c>
      <c r="AD320" s="20">
        <v>0</v>
      </c>
      <c r="AE320" s="20">
        <v>0</v>
      </c>
      <c r="AF320">
        <f t="shared" si="4"/>
        <v>0</v>
      </c>
    </row>
    <row r="321" spans="1:32" hidden="1" x14ac:dyDescent="0.25">
      <c r="A321" s="18" t="s">
        <v>38</v>
      </c>
      <c r="B321" s="19">
        <v>0</v>
      </c>
      <c r="C321" s="19">
        <v>0</v>
      </c>
      <c r="D321" s="20">
        <v>0</v>
      </c>
      <c r="E321" s="20">
        <v>0</v>
      </c>
      <c r="G321" s="19">
        <v>0</v>
      </c>
      <c r="H321" s="19">
        <v>0</v>
      </c>
      <c r="I321" s="20">
        <v>0</v>
      </c>
      <c r="J321" s="20">
        <v>0</v>
      </c>
      <c r="L321" s="19">
        <v>0</v>
      </c>
      <c r="M321" s="19">
        <v>0</v>
      </c>
      <c r="N321" s="20">
        <v>0</v>
      </c>
      <c r="O321" s="20">
        <v>0</v>
      </c>
      <c r="R321" s="19">
        <v>0</v>
      </c>
      <c r="S321" s="19">
        <v>0</v>
      </c>
      <c r="T321" s="20">
        <v>0</v>
      </c>
      <c r="U321" s="20">
        <v>0</v>
      </c>
      <c r="W321" s="19">
        <v>0</v>
      </c>
      <c r="X321" s="19">
        <v>0</v>
      </c>
      <c r="Y321" s="20">
        <v>0</v>
      </c>
      <c r="Z321" s="20">
        <v>0</v>
      </c>
      <c r="AB321" s="19">
        <v>0</v>
      </c>
      <c r="AC321" s="19">
        <v>0</v>
      </c>
      <c r="AD321" s="20">
        <v>0</v>
      </c>
      <c r="AE321" s="20">
        <v>0</v>
      </c>
      <c r="AF321">
        <f t="shared" si="4"/>
        <v>0</v>
      </c>
    </row>
    <row r="322" spans="1:32" hidden="1" x14ac:dyDescent="0.25">
      <c r="A322" s="18" t="s">
        <v>39</v>
      </c>
      <c r="B322" s="19">
        <v>0</v>
      </c>
      <c r="C322" s="19">
        <v>0</v>
      </c>
      <c r="D322" s="20">
        <v>0</v>
      </c>
      <c r="E322" s="20">
        <v>0</v>
      </c>
      <c r="G322" s="19">
        <v>0</v>
      </c>
      <c r="H322" s="19">
        <v>0</v>
      </c>
      <c r="I322" s="20">
        <v>0</v>
      </c>
      <c r="J322" s="20">
        <v>0</v>
      </c>
      <c r="L322" s="19">
        <v>0</v>
      </c>
      <c r="M322" s="19">
        <v>0</v>
      </c>
      <c r="N322" s="20">
        <v>0</v>
      </c>
      <c r="O322" s="20">
        <v>0</v>
      </c>
      <c r="R322" s="19">
        <v>0</v>
      </c>
      <c r="S322" s="19">
        <v>0</v>
      </c>
      <c r="T322" s="20">
        <v>0</v>
      </c>
      <c r="U322" s="20">
        <v>0</v>
      </c>
      <c r="W322" s="19">
        <v>0</v>
      </c>
      <c r="X322" s="19">
        <v>0</v>
      </c>
      <c r="Y322" s="20">
        <v>0</v>
      </c>
      <c r="Z322" s="20">
        <v>0</v>
      </c>
      <c r="AB322" s="19">
        <v>0</v>
      </c>
      <c r="AC322" s="19">
        <v>0</v>
      </c>
      <c r="AD322" s="20">
        <v>0</v>
      </c>
      <c r="AE322" s="20">
        <v>0</v>
      </c>
      <c r="AF322">
        <f t="shared" si="4"/>
        <v>0</v>
      </c>
    </row>
    <row r="323" spans="1:32" hidden="1" x14ac:dyDescent="0.25">
      <c r="A323" s="18" t="s">
        <v>40</v>
      </c>
      <c r="B323" s="19">
        <v>0</v>
      </c>
      <c r="C323" s="19">
        <v>0</v>
      </c>
      <c r="D323" s="20">
        <v>0</v>
      </c>
      <c r="E323" s="20">
        <v>0</v>
      </c>
      <c r="G323" s="19">
        <v>0</v>
      </c>
      <c r="H323" s="19">
        <v>0</v>
      </c>
      <c r="I323" s="20">
        <v>0</v>
      </c>
      <c r="J323" s="20">
        <v>0</v>
      </c>
      <c r="L323" s="19">
        <v>0</v>
      </c>
      <c r="M323" s="19">
        <v>0</v>
      </c>
      <c r="N323" s="20">
        <v>0</v>
      </c>
      <c r="O323" s="20">
        <v>0</v>
      </c>
      <c r="R323" s="19">
        <v>0</v>
      </c>
      <c r="S323" s="19">
        <v>0</v>
      </c>
      <c r="T323" s="20">
        <v>0</v>
      </c>
      <c r="U323" s="20">
        <v>0</v>
      </c>
      <c r="W323" s="19">
        <v>0</v>
      </c>
      <c r="X323" s="19">
        <v>0</v>
      </c>
      <c r="Y323" s="20">
        <v>0</v>
      </c>
      <c r="Z323" s="20">
        <v>0</v>
      </c>
      <c r="AB323" s="19">
        <v>0</v>
      </c>
      <c r="AC323" s="19">
        <v>0</v>
      </c>
      <c r="AD323" s="20">
        <v>0</v>
      </c>
      <c r="AE323" s="20">
        <v>0</v>
      </c>
      <c r="AF323">
        <f t="shared" si="4"/>
        <v>0</v>
      </c>
    </row>
    <row r="324" spans="1:32" hidden="1" x14ac:dyDescent="0.25">
      <c r="A324" s="18" t="s">
        <v>173</v>
      </c>
      <c r="B324" s="19">
        <v>0</v>
      </c>
      <c r="C324" s="19">
        <v>0</v>
      </c>
      <c r="D324" s="20">
        <v>0</v>
      </c>
      <c r="E324" s="20">
        <v>0</v>
      </c>
      <c r="G324" s="19">
        <v>0</v>
      </c>
      <c r="H324" s="19">
        <v>0</v>
      </c>
      <c r="I324" s="20">
        <v>0</v>
      </c>
      <c r="J324" s="20">
        <v>0</v>
      </c>
      <c r="L324" s="19">
        <v>0</v>
      </c>
      <c r="M324" s="19">
        <v>0</v>
      </c>
      <c r="N324" s="20">
        <v>0</v>
      </c>
      <c r="O324" s="20">
        <v>0</v>
      </c>
      <c r="R324" s="19">
        <v>0</v>
      </c>
      <c r="S324" s="19">
        <v>0</v>
      </c>
      <c r="T324" s="20">
        <v>0</v>
      </c>
      <c r="U324" s="20">
        <v>0</v>
      </c>
      <c r="W324" s="19">
        <v>0</v>
      </c>
      <c r="X324" s="19">
        <v>0</v>
      </c>
      <c r="Y324" s="20">
        <v>0</v>
      </c>
      <c r="Z324" s="20">
        <v>0</v>
      </c>
      <c r="AB324" s="19">
        <v>0</v>
      </c>
      <c r="AC324" s="19">
        <v>0</v>
      </c>
      <c r="AD324" s="20">
        <v>0</v>
      </c>
      <c r="AE324" s="20">
        <v>0</v>
      </c>
      <c r="AF324">
        <f t="shared" ref="AF324:AF387" si="5">SUM(A324:AE324)</f>
        <v>0</v>
      </c>
    </row>
    <row r="325" spans="1:32" hidden="1" x14ac:dyDescent="0.25">
      <c r="A325" s="18" t="s">
        <v>41</v>
      </c>
      <c r="B325" s="19">
        <v>0</v>
      </c>
      <c r="C325" s="19">
        <v>0</v>
      </c>
      <c r="D325" s="20">
        <v>0</v>
      </c>
      <c r="E325" s="20">
        <v>0</v>
      </c>
      <c r="G325" s="19">
        <v>0</v>
      </c>
      <c r="H325" s="19">
        <v>0</v>
      </c>
      <c r="I325" s="20">
        <v>0</v>
      </c>
      <c r="J325" s="20">
        <v>0</v>
      </c>
      <c r="L325" s="19">
        <v>0</v>
      </c>
      <c r="M325" s="19">
        <v>0</v>
      </c>
      <c r="N325" s="20">
        <v>0</v>
      </c>
      <c r="O325" s="20">
        <v>0</v>
      </c>
      <c r="R325" s="19">
        <v>0</v>
      </c>
      <c r="S325" s="19">
        <v>0</v>
      </c>
      <c r="T325" s="20">
        <v>0</v>
      </c>
      <c r="U325" s="20">
        <v>0</v>
      </c>
      <c r="W325" s="19">
        <v>0</v>
      </c>
      <c r="X325" s="19">
        <v>0</v>
      </c>
      <c r="Y325" s="20">
        <v>0</v>
      </c>
      <c r="Z325" s="20">
        <v>0</v>
      </c>
      <c r="AB325" s="19">
        <v>0</v>
      </c>
      <c r="AC325" s="19">
        <v>0</v>
      </c>
      <c r="AD325" s="20">
        <v>0</v>
      </c>
      <c r="AE325" s="20">
        <v>0</v>
      </c>
      <c r="AF325">
        <f t="shared" si="5"/>
        <v>0</v>
      </c>
    </row>
    <row r="326" spans="1:32" hidden="1" x14ac:dyDescent="0.25">
      <c r="A326" s="18" t="s">
        <v>42</v>
      </c>
      <c r="B326" s="19">
        <v>0</v>
      </c>
      <c r="C326" s="19">
        <v>0</v>
      </c>
      <c r="D326" s="20">
        <v>0</v>
      </c>
      <c r="E326" s="20">
        <v>0</v>
      </c>
      <c r="G326" s="19">
        <v>0</v>
      </c>
      <c r="H326" s="19">
        <v>0</v>
      </c>
      <c r="I326" s="20">
        <v>0</v>
      </c>
      <c r="J326" s="20">
        <v>0</v>
      </c>
      <c r="L326" s="19">
        <v>0</v>
      </c>
      <c r="M326" s="19">
        <v>0</v>
      </c>
      <c r="N326" s="20">
        <v>0</v>
      </c>
      <c r="O326" s="20">
        <v>0</v>
      </c>
      <c r="R326" s="19">
        <v>0</v>
      </c>
      <c r="S326" s="19">
        <v>0</v>
      </c>
      <c r="T326" s="20">
        <v>0</v>
      </c>
      <c r="U326" s="20">
        <v>0</v>
      </c>
      <c r="W326" s="19">
        <v>0</v>
      </c>
      <c r="X326" s="19">
        <v>0</v>
      </c>
      <c r="Y326" s="20">
        <v>0</v>
      </c>
      <c r="Z326" s="20">
        <v>0</v>
      </c>
      <c r="AB326" s="19">
        <v>0</v>
      </c>
      <c r="AC326" s="19">
        <v>0</v>
      </c>
      <c r="AD326" s="20">
        <v>0</v>
      </c>
      <c r="AE326" s="20">
        <v>0</v>
      </c>
      <c r="AF326">
        <f t="shared" si="5"/>
        <v>0</v>
      </c>
    </row>
    <row r="327" spans="1:32" x14ac:dyDescent="0.25">
      <c r="A327" s="18" t="s">
        <v>43</v>
      </c>
      <c r="B327" s="19">
        <v>6</v>
      </c>
      <c r="C327" s="19">
        <v>6</v>
      </c>
      <c r="D327" s="20">
        <v>3.0526894193784724E-5</v>
      </c>
      <c r="E327" s="20">
        <v>3.077570155776343E-5</v>
      </c>
      <c r="G327" s="19">
        <v>0</v>
      </c>
      <c r="H327" s="19">
        <v>2</v>
      </c>
      <c r="I327" s="20">
        <v>0</v>
      </c>
      <c r="J327" s="20">
        <v>9.2781592132120983E-5</v>
      </c>
      <c r="L327" s="19">
        <v>0</v>
      </c>
      <c r="M327" s="19">
        <v>0</v>
      </c>
      <c r="N327" s="20">
        <v>0</v>
      </c>
      <c r="O327" s="20">
        <v>0</v>
      </c>
      <c r="R327" s="19">
        <v>3</v>
      </c>
      <c r="S327" s="19">
        <v>4</v>
      </c>
      <c r="T327" s="20">
        <v>2.030017187478854E-5</v>
      </c>
      <c r="U327" s="20">
        <v>2.6948548483807292E-5</v>
      </c>
      <c r="W327" s="19">
        <v>0</v>
      </c>
      <c r="X327" s="19">
        <v>2</v>
      </c>
      <c r="Y327" s="20">
        <v>0</v>
      </c>
      <c r="Z327" s="20">
        <v>4.8227634434530988E-4</v>
      </c>
      <c r="AB327" s="19">
        <v>0</v>
      </c>
      <c r="AC327" s="19">
        <v>0</v>
      </c>
      <c r="AD327" s="20">
        <v>0</v>
      </c>
      <c r="AE327" s="20">
        <v>0</v>
      </c>
      <c r="AF327">
        <f t="shared" si="5"/>
        <v>23.00068360925259</v>
      </c>
    </row>
    <row r="328" spans="1:32" hidden="1" x14ac:dyDescent="0.25">
      <c r="A328" s="18" t="s">
        <v>87</v>
      </c>
      <c r="B328" s="19">
        <v>0</v>
      </c>
      <c r="C328" s="19">
        <v>0</v>
      </c>
      <c r="D328" s="20">
        <v>0</v>
      </c>
      <c r="E328" s="20">
        <v>0</v>
      </c>
      <c r="G328" s="19">
        <v>0</v>
      </c>
      <c r="H328" s="19">
        <v>0</v>
      </c>
      <c r="I328" s="20">
        <v>0</v>
      </c>
      <c r="J328" s="20">
        <v>0</v>
      </c>
      <c r="L328" s="19">
        <v>0</v>
      </c>
      <c r="M328" s="19">
        <v>0</v>
      </c>
      <c r="N328" s="20">
        <v>0</v>
      </c>
      <c r="O328" s="20">
        <v>0</v>
      </c>
      <c r="R328" s="19">
        <v>0</v>
      </c>
      <c r="S328" s="19">
        <v>0</v>
      </c>
      <c r="T328" s="20">
        <v>0</v>
      </c>
      <c r="U328" s="20">
        <v>0</v>
      </c>
      <c r="W328" s="19">
        <v>0</v>
      </c>
      <c r="X328" s="19">
        <v>0</v>
      </c>
      <c r="Y328" s="20">
        <v>0</v>
      </c>
      <c r="Z328" s="20">
        <v>0</v>
      </c>
      <c r="AB328" s="19">
        <v>0</v>
      </c>
      <c r="AC328" s="19">
        <v>0</v>
      </c>
      <c r="AD328" s="20">
        <v>0</v>
      </c>
      <c r="AE328" s="20">
        <v>0</v>
      </c>
      <c r="AF328">
        <f t="shared" si="5"/>
        <v>0</v>
      </c>
    </row>
    <row r="329" spans="1:32" hidden="1" x14ac:dyDescent="0.25">
      <c r="A329" s="18" t="s">
        <v>44</v>
      </c>
      <c r="B329" s="19">
        <v>0</v>
      </c>
      <c r="C329" s="19">
        <v>0</v>
      </c>
      <c r="D329" s="20">
        <v>0</v>
      </c>
      <c r="E329" s="20">
        <v>0</v>
      </c>
      <c r="G329" s="19">
        <v>0</v>
      </c>
      <c r="H329" s="19">
        <v>0</v>
      </c>
      <c r="I329" s="20">
        <v>0</v>
      </c>
      <c r="J329" s="20">
        <v>0</v>
      </c>
      <c r="L329" s="19">
        <v>0</v>
      </c>
      <c r="M329" s="19">
        <v>0</v>
      </c>
      <c r="N329" s="20">
        <v>0</v>
      </c>
      <c r="O329" s="20">
        <v>0</v>
      </c>
      <c r="R329" s="19">
        <v>0</v>
      </c>
      <c r="S329" s="19">
        <v>0</v>
      </c>
      <c r="T329" s="20">
        <v>0</v>
      </c>
      <c r="U329" s="20">
        <v>0</v>
      </c>
      <c r="W329" s="19">
        <v>0</v>
      </c>
      <c r="X329" s="19">
        <v>0</v>
      </c>
      <c r="Y329" s="20">
        <v>0</v>
      </c>
      <c r="Z329" s="20">
        <v>0</v>
      </c>
      <c r="AB329" s="19">
        <v>0</v>
      </c>
      <c r="AC329" s="19">
        <v>0</v>
      </c>
      <c r="AD329" s="20">
        <v>0</v>
      </c>
      <c r="AE329" s="20">
        <v>0</v>
      </c>
      <c r="AF329">
        <f t="shared" si="5"/>
        <v>0</v>
      </c>
    </row>
    <row r="330" spans="1:32" hidden="1" x14ac:dyDescent="0.25">
      <c r="A330" s="18" t="s">
        <v>45</v>
      </c>
      <c r="B330" s="19">
        <v>0</v>
      </c>
      <c r="C330" s="19">
        <v>0</v>
      </c>
      <c r="D330" s="20">
        <v>0</v>
      </c>
      <c r="E330" s="20">
        <v>0</v>
      </c>
      <c r="G330" s="19">
        <v>0</v>
      </c>
      <c r="H330" s="19">
        <v>0</v>
      </c>
      <c r="I330" s="20">
        <v>0</v>
      </c>
      <c r="J330" s="20">
        <v>0</v>
      </c>
      <c r="L330" s="19">
        <v>0</v>
      </c>
      <c r="M330" s="19">
        <v>0</v>
      </c>
      <c r="N330" s="20">
        <v>0</v>
      </c>
      <c r="O330" s="20">
        <v>0</v>
      </c>
      <c r="R330" s="19">
        <v>0</v>
      </c>
      <c r="S330" s="19">
        <v>0</v>
      </c>
      <c r="T330" s="20">
        <v>0</v>
      </c>
      <c r="U330" s="20">
        <v>0</v>
      </c>
      <c r="W330" s="19">
        <v>0</v>
      </c>
      <c r="X330" s="19">
        <v>0</v>
      </c>
      <c r="Y330" s="20">
        <v>0</v>
      </c>
      <c r="Z330" s="20">
        <v>0</v>
      </c>
      <c r="AB330" s="19">
        <v>0</v>
      </c>
      <c r="AC330" s="19">
        <v>0</v>
      </c>
      <c r="AD330" s="20">
        <v>0</v>
      </c>
      <c r="AE330" s="20">
        <v>0</v>
      </c>
      <c r="AF330">
        <f t="shared" si="5"/>
        <v>0</v>
      </c>
    </row>
    <row r="331" spans="1:32" hidden="1" x14ac:dyDescent="0.25">
      <c r="A331" s="18" t="s">
        <v>174</v>
      </c>
      <c r="B331" s="19">
        <v>0</v>
      </c>
      <c r="C331" s="19">
        <v>0</v>
      </c>
      <c r="D331" s="20">
        <v>0</v>
      </c>
      <c r="E331" s="20">
        <v>0</v>
      </c>
      <c r="G331" s="19">
        <v>0</v>
      </c>
      <c r="H331" s="19">
        <v>0</v>
      </c>
      <c r="I331" s="20">
        <v>0</v>
      </c>
      <c r="J331" s="20">
        <v>0</v>
      </c>
      <c r="L331" s="19">
        <v>0</v>
      </c>
      <c r="M331" s="19">
        <v>0</v>
      </c>
      <c r="N331" s="20">
        <v>0</v>
      </c>
      <c r="O331" s="20">
        <v>0</v>
      </c>
      <c r="R331" s="19">
        <v>0</v>
      </c>
      <c r="S331" s="19">
        <v>0</v>
      </c>
      <c r="T331" s="20">
        <v>0</v>
      </c>
      <c r="U331" s="20">
        <v>0</v>
      </c>
      <c r="W331" s="19">
        <v>0</v>
      </c>
      <c r="X331" s="19">
        <v>0</v>
      </c>
      <c r="Y331" s="20">
        <v>0</v>
      </c>
      <c r="Z331" s="20">
        <v>0</v>
      </c>
      <c r="AB331" s="19">
        <v>0</v>
      </c>
      <c r="AC331" s="19">
        <v>0</v>
      </c>
      <c r="AD331" s="20">
        <v>0</v>
      </c>
      <c r="AE331" s="20">
        <v>0</v>
      </c>
      <c r="AF331">
        <f t="shared" si="5"/>
        <v>0</v>
      </c>
    </row>
    <row r="332" spans="1:32" hidden="1" x14ac:dyDescent="0.25">
      <c r="A332" s="18" t="s">
        <v>46</v>
      </c>
      <c r="B332" s="19">
        <v>0</v>
      </c>
      <c r="C332" s="19">
        <v>0</v>
      </c>
      <c r="D332" s="20">
        <v>0</v>
      </c>
      <c r="E332" s="20">
        <v>0</v>
      </c>
      <c r="G332" s="19">
        <v>0</v>
      </c>
      <c r="H332" s="19">
        <v>0</v>
      </c>
      <c r="I332" s="20">
        <v>0</v>
      </c>
      <c r="J332" s="20">
        <v>0</v>
      </c>
      <c r="L332" s="19">
        <v>0</v>
      </c>
      <c r="M332" s="19">
        <v>0</v>
      </c>
      <c r="N332" s="20">
        <v>0</v>
      </c>
      <c r="O332" s="20">
        <v>0</v>
      </c>
      <c r="R332" s="19">
        <v>0</v>
      </c>
      <c r="S332" s="19">
        <v>0</v>
      </c>
      <c r="T332" s="20">
        <v>0</v>
      </c>
      <c r="U332" s="20">
        <v>0</v>
      </c>
      <c r="W332" s="19">
        <v>0</v>
      </c>
      <c r="X332" s="19">
        <v>0</v>
      </c>
      <c r="Y332" s="20">
        <v>0</v>
      </c>
      <c r="Z332" s="20">
        <v>0</v>
      </c>
      <c r="AB332" s="19">
        <v>0</v>
      </c>
      <c r="AC332" s="19">
        <v>0</v>
      </c>
      <c r="AD332" s="20">
        <v>0</v>
      </c>
      <c r="AE332" s="20">
        <v>0</v>
      </c>
      <c r="AF332">
        <f t="shared" si="5"/>
        <v>0</v>
      </c>
    </row>
    <row r="333" spans="1:32" x14ac:dyDescent="0.25">
      <c r="A333" s="18" t="s">
        <v>126</v>
      </c>
      <c r="B333" s="19">
        <v>0</v>
      </c>
      <c r="C333" s="19">
        <v>1</v>
      </c>
      <c r="D333" s="20">
        <v>0</v>
      </c>
      <c r="E333" s="20">
        <v>4.833252779120348E-5</v>
      </c>
      <c r="G333" s="19">
        <v>0</v>
      </c>
      <c r="H333" s="19">
        <v>0</v>
      </c>
      <c r="I333" s="20">
        <v>0</v>
      </c>
      <c r="J333" s="20">
        <v>0</v>
      </c>
      <c r="L333" s="19">
        <v>0</v>
      </c>
      <c r="M333" s="19">
        <v>0</v>
      </c>
      <c r="N333" s="20">
        <v>0</v>
      </c>
      <c r="O333" s="20">
        <v>0</v>
      </c>
      <c r="R333" s="19">
        <v>0</v>
      </c>
      <c r="S333" s="19">
        <v>0</v>
      </c>
      <c r="T333" s="20">
        <v>0</v>
      </c>
      <c r="U333" s="20">
        <v>0</v>
      </c>
      <c r="W333" s="19">
        <v>0</v>
      </c>
      <c r="X333" s="19">
        <v>0</v>
      </c>
      <c r="Y333" s="20">
        <v>0</v>
      </c>
      <c r="Z333" s="20">
        <v>0</v>
      </c>
      <c r="AB333" s="19">
        <v>0</v>
      </c>
      <c r="AC333" s="19">
        <v>0</v>
      </c>
      <c r="AD333" s="20">
        <v>0</v>
      </c>
      <c r="AE333" s="20">
        <v>0</v>
      </c>
      <c r="AF333">
        <f t="shared" si="5"/>
        <v>1.0000483325277911</v>
      </c>
    </row>
    <row r="334" spans="1:32" hidden="1" x14ac:dyDescent="0.25">
      <c r="A334" s="18" t="s">
        <v>47</v>
      </c>
      <c r="B334" s="19">
        <v>0</v>
      </c>
      <c r="C334" s="19">
        <v>0</v>
      </c>
      <c r="D334" s="20">
        <v>0</v>
      </c>
      <c r="E334" s="20">
        <v>0</v>
      </c>
      <c r="G334" s="19">
        <v>0</v>
      </c>
      <c r="H334" s="19">
        <v>0</v>
      </c>
      <c r="I334" s="20">
        <v>0</v>
      </c>
      <c r="J334" s="20">
        <v>0</v>
      </c>
      <c r="L334" s="19">
        <v>0</v>
      </c>
      <c r="M334" s="19">
        <v>0</v>
      </c>
      <c r="N334" s="20">
        <v>0</v>
      </c>
      <c r="O334" s="20">
        <v>0</v>
      </c>
      <c r="R334" s="19">
        <v>0</v>
      </c>
      <c r="S334" s="19">
        <v>0</v>
      </c>
      <c r="T334" s="20">
        <v>0</v>
      </c>
      <c r="U334" s="20">
        <v>0</v>
      </c>
      <c r="W334" s="19">
        <v>0</v>
      </c>
      <c r="X334" s="19">
        <v>0</v>
      </c>
      <c r="Y334" s="20">
        <v>0</v>
      </c>
      <c r="Z334" s="20">
        <v>0</v>
      </c>
      <c r="AB334" s="19">
        <v>0</v>
      </c>
      <c r="AC334" s="19">
        <v>0</v>
      </c>
      <c r="AD334" s="20">
        <v>0</v>
      </c>
      <c r="AE334" s="20">
        <v>0</v>
      </c>
      <c r="AF334">
        <f t="shared" si="5"/>
        <v>0</v>
      </c>
    </row>
    <row r="335" spans="1:32" hidden="1" x14ac:dyDescent="0.25">
      <c r="A335" s="18" t="s">
        <v>48</v>
      </c>
      <c r="B335" s="19">
        <v>0</v>
      </c>
      <c r="C335" s="19">
        <v>0</v>
      </c>
      <c r="D335" s="20">
        <v>0</v>
      </c>
      <c r="E335" s="20">
        <v>0</v>
      </c>
      <c r="G335" s="19">
        <v>0</v>
      </c>
      <c r="H335" s="19">
        <v>0</v>
      </c>
      <c r="I335" s="20">
        <v>0</v>
      </c>
      <c r="J335" s="20">
        <v>0</v>
      </c>
      <c r="L335" s="19">
        <v>0</v>
      </c>
      <c r="M335" s="19">
        <v>0</v>
      </c>
      <c r="N335" s="20">
        <v>0</v>
      </c>
      <c r="O335" s="20">
        <v>0</v>
      </c>
      <c r="R335" s="19">
        <v>0</v>
      </c>
      <c r="S335" s="19">
        <v>0</v>
      </c>
      <c r="T335" s="20">
        <v>0</v>
      </c>
      <c r="U335" s="20">
        <v>0</v>
      </c>
      <c r="W335" s="19">
        <v>0</v>
      </c>
      <c r="X335" s="19">
        <v>0</v>
      </c>
      <c r="Y335" s="20">
        <v>0</v>
      </c>
      <c r="Z335" s="20">
        <v>0</v>
      </c>
      <c r="AB335" s="19">
        <v>0</v>
      </c>
      <c r="AC335" s="19">
        <v>0</v>
      </c>
      <c r="AD335" s="20">
        <v>0</v>
      </c>
      <c r="AE335" s="20">
        <v>0</v>
      </c>
      <c r="AF335">
        <f t="shared" si="5"/>
        <v>0</v>
      </c>
    </row>
    <row r="336" spans="1:32" hidden="1" x14ac:dyDescent="0.25">
      <c r="A336" s="18" t="s">
        <v>88</v>
      </c>
      <c r="B336" s="19">
        <v>0</v>
      </c>
      <c r="C336" s="19">
        <v>0</v>
      </c>
      <c r="D336" s="20">
        <v>0</v>
      </c>
      <c r="E336" s="20">
        <v>0</v>
      </c>
      <c r="G336" s="19">
        <v>0</v>
      </c>
      <c r="H336" s="19">
        <v>0</v>
      </c>
      <c r="I336" s="20">
        <v>0</v>
      </c>
      <c r="J336" s="20">
        <v>0</v>
      </c>
      <c r="L336" s="19">
        <v>0</v>
      </c>
      <c r="M336" s="19">
        <v>0</v>
      </c>
      <c r="N336" s="20">
        <v>0</v>
      </c>
      <c r="O336" s="20">
        <v>0</v>
      </c>
      <c r="R336" s="19">
        <v>0</v>
      </c>
      <c r="S336" s="19">
        <v>0</v>
      </c>
      <c r="T336" s="20">
        <v>0</v>
      </c>
      <c r="U336" s="20">
        <v>0</v>
      </c>
      <c r="W336" s="19">
        <v>0</v>
      </c>
      <c r="X336" s="19">
        <v>0</v>
      </c>
      <c r="Y336" s="20">
        <v>0</v>
      </c>
      <c r="Z336" s="20">
        <v>0</v>
      </c>
      <c r="AB336" s="19">
        <v>0</v>
      </c>
      <c r="AC336" s="19">
        <v>0</v>
      </c>
      <c r="AD336" s="20">
        <v>0</v>
      </c>
      <c r="AE336" s="20">
        <v>0</v>
      </c>
      <c r="AF336">
        <f t="shared" si="5"/>
        <v>0</v>
      </c>
    </row>
    <row r="337" spans="1:32" hidden="1" x14ac:dyDescent="0.25">
      <c r="A337" s="18" t="s">
        <v>49</v>
      </c>
      <c r="B337" s="19">
        <v>0</v>
      </c>
      <c r="C337" s="19">
        <v>0</v>
      </c>
      <c r="D337" s="20">
        <v>0</v>
      </c>
      <c r="E337" s="20">
        <v>0</v>
      </c>
      <c r="G337" s="19">
        <v>0</v>
      </c>
      <c r="H337" s="19">
        <v>0</v>
      </c>
      <c r="I337" s="20">
        <v>0</v>
      </c>
      <c r="J337" s="20">
        <v>0</v>
      </c>
      <c r="L337" s="19">
        <v>0</v>
      </c>
      <c r="M337" s="19">
        <v>0</v>
      </c>
      <c r="N337" s="20">
        <v>0</v>
      </c>
      <c r="O337" s="20">
        <v>0</v>
      </c>
      <c r="R337" s="19">
        <v>0</v>
      </c>
      <c r="S337" s="19">
        <v>0</v>
      </c>
      <c r="T337" s="20">
        <v>0</v>
      </c>
      <c r="U337" s="20">
        <v>0</v>
      </c>
      <c r="W337" s="19">
        <v>0</v>
      </c>
      <c r="X337" s="19">
        <v>0</v>
      </c>
      <c r="Y337" s="20">
        <v>0</v>
      </c>
      <c r="Z337" s="20">
        <v>0</v>
      </c>
      <c r="AB337" s="19">
        <v>0</v>
      </c>
      <c r="AC337" s="19">
        <v>0</v>
      </c>
      <c r="AD337" s="20">
        <v>0</v>
      </c>
      <c r="AE337" s="20">
        <v>0</v>
      </c>
      <c r="AF337">
        <f t="shared" si="5"/>
        <v>0</v>
      </c>
    </row>
    <row r="338" spans="1:32" hidden="1" x14ac:dyDescent="0.25">
      <c r="A338" s="18" t="s">
        <v>50</v>
      </c>
      <c r="B338" s="19">
        <v>0</v>
      </c>
      <c r="C338" s="19">
        <v>0</v>
      </c>
      <c r="D338" s="20">
        <v>0</v>
      </c>
      <c r="E338" s="20">
        <v>0</v>
      </c>
      <c r="G338" s="19">
        <v>0</v>
      </c>
      <c r="H338" s="19">
        <v>0</v>
      </c>
      <c r="I338" s="20">
        <v>0</v>
      </c>
      <c r="J338" s="20">
        <v>0</v>
      </c>
      <c r="L338" s="19">
        <v>0</v>
      </c>
      <c r="M338" s="19">
        <v>0</v>
      </c>
      <c r="N338" s="20">
        <v>0</v>
      </c>
      <c r="O338" s="20">
        <v>0</v>
      </c>
      <c r="R338" s="19">
        <v>0</v>
      </c>
      <c r="S338" s="19">
        <v>0</v>
      </c>
      <c r="T338" s="20">
        <v>0</v>
      </c>
      <c r="U338" s="20">
        <v>0</v>
      </c>
      <c r="W338" s="19">
        <v>0</v>
      </c>
      <c r="X338" s="19">
        <v>0</v>
      </c>
      <c r="Y338" s="20">
        <v>0</v>
      </c>
      <c r="Z338" s="20">
        <v>0</v>
      </c>
      <c r="AB338" s="19">
        <v>0</v>
      </c>
      <c r="AC338" s="19">
        <v>0</v>
      </c>
      <c r="AD338" s="20">
        <v>0</v>
      </c>
      <c r="AE338" s="20">
        <v>0</v>
      </c>
      <c r="AF338">
        <f t="shared" si="5"/>
        <v>0</v>
      </c>
    </row>
    <row r="339" spans="1:32" hidden="1" x14ac:dyDescent="0.25">
      <c r="A339" s="18" t="s">
        <v>51</v>
      </c>
      <c r="B339" s="19">
        <v>0</v>
      </c>
      <c r="C339" s="19">
        <v>0</v>
      </c>
      <c r="D339" s="20">
        <v>0</v>
      </c>
      <c r="E339" s="20">
        <v>0</v>
      </c>
      <c r="G339" s="19">
        <v>0</v>
      </c>
      <c r="H339" s="19">
        <v>0</v>
      </c>
      <c r="I339" s="20">
        <v>0</v>
      </c>
      <c r="J339" s="20">
        <v>0</v>
      </c>
      <c r="L339" s="19">
        <v>0</v>
      </c>
      <c r="M339" s="19">
        <v>0</v>
      </c>
      <c r="N339" s="20">
        <v>0</v>
      </c>
      <c r="O339" s="20">
        <v>0</v>
      </c>
      <c r="R339" s="19">
        <v>0</v>
      </c>
      <c r="S339" s="19">
        <v>0</v>
      </c>
      <c r="T339" s="20">
        <v>0</v>
      </c>
      <c r="U339" s="20">
        <v>0</v>
      </c>
      <c r="W339" s="19">
        <v>0</v>
      </c>
      <c r="X339" s="19">
        <v>0</v>
      </c>
      <c r="Y339" s="20">
        <v>0</v>
      </c>
      <c r="Z339" s="20">
        <v>0</v>
      </c>
      <c r="AB339" s="19">
        <v>0</v>
      </c>
      <c r="AC339" s="19">
        <v>0</v>
      </c>
      <c r="AD339" s="20">
        <v>0</v>
      </c>
      <c r="AE339" s="20">
        <v>0</v>
      </c>
      <c r="AF339">
        <f t="shared" si="5"/>
        <v>0</v>
      </c>
    </row>
    <row r="340" spans="1:32" hidden="1" x14ac:dyDescent="0.25">
      <c r="A340" s="18" t="s">
        <v>52</v>
      </c>
      <c r="B340" s="19">
        <v>0</v>
      </c>
      <c r="C340" s="19">
        <v>0</v>
      </c>
      <c r="D340" s="20">
        <v>0</v>
      </c>
      <c r="E340" s="20">
        <v>0</v>
      </c>
      <c r="G340" s="19">
        <v>0</v>
      </c>
      <c r="H340" s="19">
        <v>0</v>
      </c>
      <c r="I340" s="20">
        <v>0</v>
      </c>
      <c r="J340" s="20">
        <v>0</v>
      </c>
      <c r="L340" s="19">
        <v>0</v>
      </c>
      <c r="M340" s="19">
        <v>0</v>
      </c>
      <c r="N340" s="20">
        <v>0</v>
      </c>
      <c r="O340" s="20">
        <v>0</v>
      </c>
      <c r="R340" s="19">
        <v>0</v>
      </c>
      <c r="S340" s="19">
        <v>0</v>
      </c>
      <c r="T340" s="20">
        <v>0</v>
      </c>
      <c r="U340" s="20">
        <v>0</v>
      </c>
      <c r="W340" s="19">
        <v>0</v>
      </c>
      <c r="X340" s="19">
        <v>0</v>
      </c>
      <c r="Y340" s="20">
        <v>0</v>
      </c>
      <c r="Z340" s="20">
        <v>0</v>
      </c>
      <c r="AB340" s="19">
        <v>0</v>
      </c>
      <c r="AC340" s="19">
        <v>0</v>
      </c>
      <c r="AD340" s="20">
        <v>0</v>
      </c>
      <c r="AE340" s="20">
        <v>0</v>
      </c>
      <c r="AF340">
        <f t="shared" si="5"/>
        <v>0</v>
      </c>
    </row>
    <row r="341" spans="1:32" hidden="1" x14ac:dyDescent="0.25">
      <c r="A341" s="18" t="s">
        <v>89</v>
      </c>
      <c r="B341" s="19">
        <v>0</v>
      </c>
      <c r="C341" s="19">
        <v>0</v>
      </c>
      <c r="D341" s="20">
        <v>0</v>
      </c>
      <c r="E341" s="20">
        <v>0</v>
      </c>
      <c r="G341" s="19">
        <v>0</v>
      </c>
      <c r="H341" s="19">
        <v>0</v>
      </c>
      <c r="I341" s="20">
        <v>0</v>
      </c>
      <c r="J341" s="20">
        <v>0</v>
      </c>
      <c r="L341" s="19">
        <v>0</v>
      </c>
      <c r="M341" s="19">
        <v>0</v>
      </c>
      <c r="N341" s="20">
        <v>0</v>
      </c>
      <c r="O341" s="20">
        <v>0</v>
      </c>
      <c r="R341" s="19">
        <v>0</v>
      </c>
      <c r="S341" s="19">
        <v>0</v>
      </c>
      <c r="T341" s="20">
        <v>0</v>
      </c>
      <c r="U341" s="20">
        <v>0</v>
      </c>
      <c r="W341" s="19">
        <v>0</v>
      </c>
      <c r="X341" s="19">
        <v>0</v>
      </c>
      <c r="Y341" s="20">
        <v>0</v>
      </c>
      <c r="Z341" s="20">
        <v>0</v>
      </c>
      <c r="AB341" s="19">
        <v>0</v>
      </c>
      <c r="AC341" s="19">
        <v>0</v>
      </c>
      <c r="AD341" s="20">
        <v>0</v>
      </c>
      <c r="AE341" s="20">
        <v>0</v>
      </c>
      <c r="AF341">
        <f t="shared" si="5"/>
        <v>0</v>
      </c>
    </row>
    <row r="342" spans="1:32" hidden="1" x14ac:dyDescent="0.25">
      <c r="A342" s="18" t="s">
        <v>53</v>
      </c>
      <c r="B342" s="19">
        <v>0</v>
      </c>
      <c r="C342" s="19">
        <v>0</v>
      </c>
      <c r="D342" s="20">
        <v>0</v>
      </c>
      <c r="E342" s="20">
        <v>0</v>
      </c>
      <c r="G342" s="19">
        <v>0</v>
      </c>
      <c r="H342" s="19">
        <v>0</v>
      </c>
      <c r="I342" s="20">
        <v>0</v>
      </c>
      <c r="J342" s="20">
        <v>0</v>
      </c>
      <c r="L342" s="19">
        <v>0</v>
      </c>
      <c r="M342" s="19">
        <v>0</v>
      </c>
      <c r="N342" s="20">
        <v>0</v>
      </c>
      <c r="O342" s="20">
        <v>0</v>
      </c>
      <c r="R342" s="19">
        <v>0</v>
      </c>
      <c r="S342" s="19">
        <v>0</v>
      </c>
      <c r="T342" s="20">
        <v>0</v>
      </c>
      <c r="U342" s="20">
        <v>0</v>
      </c>
      <c r="W342" s="19">
        <v>0</v>
      </c>
      <c r="X342" s="19">
        <v>0</v>
      </c>
      <c r="Y342" s="20">
        <v>0</v>
      </c>
      <c r="Z342" s="20">
        <v>0</v>
      </c>
      <c r="AB342" s="19">
        <v>0</v>
      </c>
      <c r="AC342" s="19">
        <v>0</v>
      </c>
      <c r="AD342" s="20">
        <v>0</v>
      </c>
      <c r="AE342" s="20">
        <v>0</v>
      </c>
      <c r="AF342">
        <f t="shared" si="5"/>
        <v>0</v>
      </c>
    </row>
    <row r="343" spans="1:32" hidden="1" x14ac:dyDescent="0.25">
      <c r="A343" s="18" t="s">
        <v>54</v>
      </c>
      <c r="B343" s="19">
        <v>0</v>
      </c>
      <c r="C343" s="19">
        <v>0</v>
      </c>
      <c r="D343" s="20">
        <v>0</v>
      </c>
      <c r="E343" s="20">
        <v>0</v>
      </c>
      <c r="G343" s="19">
        <v>0</v>
      </c>
      <c r="H343" s="19">
        <v>0</v>
      </c>
      <c r="I343" s="20">
        <v>0</v>
      </c>
      <c r="J343" s="20">
        <v>0</v>
      </c>
      <c r="L343" s="19">
        <v>0</v>
      </c>
      <c r="M343" s="19">
        <v>0</v>
      </c>
      <c r="N343" s="20">
        <v>0</v>
      </c>
      <c r="O343" s="20">
        <v>0</v>
      </c>
      <c r="R343" s="19">
        <v>0</v>
      </c>
      <c r="S343" s="19">
        <v>0</v>
      </c>
      <c r="T343" s="20">
        <v>0</v>
      </c>
      <c r="U343" s="20">
        <v>0</v>
      </c>
      <c r="W343" s="19">
        <v>0</v>
      </c>
      <c r="X343" s="19">
        <v>0</v>
      </c>
      <c r="Y343" s="20">
        <v>0</v>
      </c>
      <c r="Z343" s="20">
        <v>0</v>
      </c>
      <c r="AB343" s="19">
        <v>0</v>
      </c>
      <c r="AC343" s="19">
        <v>0</v>
      </c>
      <c r="AD343" s="20">
        <v>0</v>
      </c>
      <c r="AE343" s="20">
        <v>0</v>
      </c>
      <c r="AF343">
        <f t="shared" si="5"/>
        <v>0</v>
      </c>
    </row>
    <row r="344" spans="1:32" hidden="1" x14ac:dyDescent="0.25">
      <c r="A344" s="18" t="s">
        <v>90</v>
      </c>
      <c r="B344" s="19">
        <v>0</v>
      </c>
      <c r="C344" s="19">
        <v>0</v>
      </c>
      <c r="D344" s="20">
        <v>0</v>
      </c>
      <c r="E344" s="20">
        <v>0</v>
      </c>
      <c r="G344" s="19">
        <v>0</v>
      </c>
      <c r="H344" s="19">
        <v>0</v>
      </c>
      <c r="I344" s="20">
        <v>0</v>
      </c>
      <c r="J344" s="20">
        <v>0</v>
      </c>
      <c r="L344" s="19">
        <v>0</v>
      </c>
      <c r="M344" s="19">
        <v>0</v>
      </c>
      <c r="N344" s="20">
        <v>0</v>
      </c>
      <c r="O344" s="20">
        <v>0</v>
      </c>
      <c r="R344" s="19">
        <v>0</v>
      </c>
      <c r="S344" s="19">
        <v>0</v>
      </c>
      <c r="T344" s="20">
        <v>0</v>
      </c>
      <c r="U344" s="20">
        <v>0</v>
      </c>
      <c r="W344" s="19">
        <v>0</v>
      </c>
      <c r="X344" s="19">
        <v>0</v>
      </c>
      <c r="Y344" s="20">
        <v>0</v>
      </c>
      <c r="Z344" s="20">
        <v>0</v>
      </c>
      <c r="AB344" s="19">
        <v>0</v>
      </c>
      <c r="AC344" s="19">
        <v>0</v>
      </c>
      <c r="AD344" s="20">
        <v>0</v>
      </c>
      <c r="AE344" s="20">
        <v>0</v>
      </c>
      <c r="AF344">
        <f t="shared" si="5"/>
        <v>0</v>
      </c>
    </row>
    <row r="345" spans="1:32" x14ac:dyDescent="0.25">
      <c r="A345" s="18" t="s">
        <v>55</v>
      </c>
      <c r="B345" s="19">
        <v>5</v>
      </c>
      <c r="C345" s="19">
        <v>0</v>
      </c>
      <c r="D345" s="20">
        <v>6.4072170893294205E-5</v>
      </c>
      <c r="E345" s="20">
        <v>0</v>
      </c>
      <c r="G345" s="19">
        <v>2</v>
      </c>
      <c r="H345" s="19">
        <v>0</v>
      </c>
      <c r="I345" s="20">
        <v>5.2534804307853957E-4</v>
      </c>
      <c r="J345" s="20">
        <v>0</v>
      </c>
      <c r="L345" s="19">
        <v>0</v>
      </c>
      <c r="M345" s="19">
        <v>0</v>
      </c>
      <c r="N345" s="20">
        <v>0</v>
      </c>
      <c r="O345" s="20">
        <v>0</v>
      </c>
      <c r="R345" s="19">
        <v>25</v>
      </c>
      <c r="S345" s="19">
        <v>1</v>
      </c>
      <c r="T345" s="20">
        <v>6.1641640160761397E-4</v>
      </c>
      <c r="U345" s="20">
        <v>2.4099289070972408E-5</v>
      </c>
      <c r="W345" s="19">
        <v>0</v>
      </c>
      <c r="X345" s="19">
        <v>0</v>
      </c>
      <c r="Y345" s="20">
        <v>0</v>
      </c>
      <c r="Z345" s="20">
        <v>0</v>
      </c>
      <c r="AB345" s="19">
        <v>0</v>
      </c>
      <c r="AC345" s="19">
        <v>0</v>
      </c>
      <c r="AD345" s="20">
        <v>0</v>
      </c>
      <c r="AE345" s="20">
        <v>0</v>
      </c>
      <c r="AF345">
        <f t="shared" si="5"/>
        <v>33.001229935904647</v>
      </c>
    </row>
    <row r="346" spans="1:32" hidden="1" x14ac:dyDescent="0.25">
      <c r="A346" s="18" t="s">
        <v>91</v>
      </c>
      <c r="B346" s="19">
        <v>0</v>
      </c>
      <c r="C346" s="19">
        <v>0</v>
      </c>
      <c r="D346" s="20">
        <v>0</v>
      </c>
      <c r="E346" s="20">
        <v>0</v>
      </c>
      <c r="G346" s="19">
        <v>0</v>
      </c>
      <c r="H346" s="19">
        <v>0</v>
      </c>
      <c r="I346" s="20">
        <v>0</v>
      </c>
      <c r="J346" s="20">
        <v>0</v>
      </c>
      <c r="L346" s="19">
        <v>0</v>
      </c>
      <c r="M346" s="19">
        <v>0</v>
      </c>
      <c r="N346" s="20">
        <v>0</v>
      </c>
      <c r="O346" s="20">
        <v>0</v>
      </c>
      <c r="R346" s="19">
        <v>0</v>
      </c>
      <c r="S346" s="19">
        <v>0</v>
      </c>
      <c r="T346" s="20">
        <v>0</v>
      </c>
      <c r="U346" s="20">
        <v>0</v>
      </c>
      <c r="W346" s="19">
        <v>0</v>
      </c>
      <c r="X346" s="19">
        <v>0</v>
      </c>
      <c r="Y346" s="20">
        <v>0</v>
      </c>
      <c r="Z346" s="20">
        <v>0</v>
      </c>
      <c r="AB346" s="19">
        <v>0</v>
      </c>
      <c r="AC346" s="19">
        <v>0</v>
      </c>
      <c r="AD346" s="20">
        <v>0</v>
      </c>
      <c r="AE346" s="20">
        <v>0</v>
      </c>
      <c r="AF346">
        <f t="shared" si="5"/>
        <v>0</v>
      </c>
    </row>
    <row r="347" spans="1:32" hidden="1" x14ac:dyDescent="0.25">
      <c r="A347" s="18" t="s">
        <v>175</v>
      </c>
      <c r="B347" s="19">
        <v>0</v>
      </c>
      <c r="C347" s="19">
        <v>0</v>
      </c>
      <c r="D347" s="20">
        <v>0</v>
      </c>
      <c r="E347" s="20">
        <v>0</v>
      </c>
      <c r="G347" s="19">
        <v>0</v>
      </c>
      <c r="H347" s="19">
        <v>0</v>
      </c>
      <c r="I347" s="20">
        <v>0</v>
      </c>
      <c r="J347" s="20">
        <v>0</v>
      </c>
      <c r="L347" s="19">
        <v>0</v>
      </c>
      <c r="M347" s="19">
        <v>0</v>
      </c>
      <c r="N347" s="20">
        <v>0</v>
      </c>
      <c r="O347" s="20">
        <v>0</v>
      </c>
      <c r="R347" s="19">
        <v>0</v>
      </c>
      <c r="S347" s="19">
        <v>0</v>
      </c>
      <c r="T347" s="20">
        <v>0</v>
      </c>
      <c r="U347" s="20">
        <v>0</v>
      </c>
      <c r="W347" s="19">
        <v>0</v>
      </c>
      <c r="X347" s="19">
        <v>0</v>
      </c>
      <c r="Y347" s="20">
        <v>0</v>
      </c>
      <c r="Z347" s="20">
        <v>0</v>
      </c>
      <c r="AB347" s="19">
        <v>0</v>
      </c>
      <c r="AC347" s="19">
        <v>0</v>
      </c>
      <c r="AD347" s="20">
        <v>0</v>
      </c>
      <c r="AE347" s="20">
        <v>0</v>
      </c>
      <c r="AF347">
        <f t="shared" si="5"/>
        <v>0</v>
      </c>
    </row>
    <row r="348" spans="1:32" hidden="1" x14ac:dyDescent="0.25">
      <c r="A348" s="18" t="s">
        <v>56</v>
      </c>
      <c r="B348" s="19">
        <v>0</v>
      </c>
      <c r="C348" s="19">
        <v>0</v>
      </c>
      <c r="D348" s="20">
        <v>0</v>
      </c>
      <c r="E348" s="20">
        <v>0</v>
      </c>
      <c r="G348" s="19">
        <v>0</v>
      </c>
      <c r="H348" s="19">
        <v>0</v>
      </c>
      <c r="I348" s="20">
        <v>0</v>
      </c>
      <c r="J348" s="20">
        <v>0</v>
      </c>
      <c r="L348" s="19">
        <v>0</v>
      </c>
      <c r="M348" s="19">
        <v>0</v>
      </c>
      <c r="N348" s="20">
        <v>0</v>
      </c>
      <c r="O348" s="20">
        <v>0</v>
      </c>
      <c r="R348" s="19">
        <v>0</v>
      </c>
      <c r="S348" s="19">
        <v>0</v>
      </c>
      <c r="T348" s="20">
        <v>0</v>
      </c>
      <c r="U348" s="20">
        <v>0</v>
      </c>
      <c r="W348" s="19">
        <v>0</v>
      </c>
      <c r="X348" s="19">
        <v>0</v>
      </c>
      <c r="Y348" s="20">
        <v>0</v>
      </c>
      <c r="Z348" s="20">
        <v>0</v>
      </c>
      <c r="AB348" s="19">
        <v>0</v>
      </c>
      <c r="AC348" s="19">
        <v>0</v>
      </c>
      <c r="AD348" s="20">
        <v>0</v>
      </c>
      <c r="AE348" s="20">
        <v>0</v>
      </c>
      <c r="AF348">
        <f t="shared" si="5"/>
        <v>0</v>
      </c>
    </row>
    <row r="349" spans="1:32" hidden="1" x14ac:dyDescent="0.25">
      <c r="A349" s="18" t="s">
        <v>57</v>
      </c>
      <c r="B349" s="19">
        <v>0</v>
      </c>
      <c r="C349" s="19">
        <v>0</v>
      </c>
      <c r="D349" s="20">
        <v>0</v>
      </c>
      <c r="E349" s="20">
        <v>0</v>
      </c>
      <c r="G349" s="19">
        <v>0</v>
      </c>
      <c r="H349" s="19">
        <v>0</v>
      </c>
      <c r="I349" s="20">
        <v>0</v>
      </c>
      <c r="J349" s="20">
        <v>0</v>
      </c>
      <c r="L349" s="19">
        <v>0</v>
      </c>
      <c r="M349" s="19">
        <v>0</v>
      </c>
      <c r="N349" s="20">
        <v>0</v>
      </c>
      <c r="O349" s="20">
        <v>0</v>
      </c>
      <c r="R349" s="19">
        <v>0</v>
      </c>
      <c r="S349" s="19">
        <v>0</v>
      </c>
      <c r="T349" s="20">
        <v>0</v>
      </c>
      <c r="U349" s="20">
        <v>0</v>
      </c>
      <c r="W349" s="19">
        <v>0</v>
      </c>
      <c r="X349" s="19">
        <v>0</v>
      </c>
      <c r="Y349" s="20">
        <v>0</v>
      </c>
      <c r="Z349" s="20">
        <v>0</v>
      </c>
      <c r="AB349" s="19">
        <v>0</v>
      </c>
      <c r="AC349" s="19">
        <v>0</v>
      </c>
      <c r="AD349" s="20">
        <v>0</v>
      </c>
      <c r="AE349" s="20">
        <v>0</v>
      </c>
      <c r="AF349">
        <f t="shared" si="5"/>
        <v>0</v>
      </c>
    </row>
    <row r="350" spans="1:32" hidden="1" x14ac:dyDescent="0.25">
      <c r="A350" s="18" t="s">
        <v>176</v>
      </c>
      <c r="B350" s="19">
        <v>0</v>
      </c>
      <c r="C350" s="19">
        <v>0</v>
      </c>
      <c r="D350" s="20">
        <v>0</v>
      </c>
      <c r="E350" s="20">
        <v>0</v>
      </c>
      <c r="G350" s="19">
        <v>0</v>
      </c>
      <c r="H350" s="19">
        <v>0</v>
      </c>
      <c r="I350" s="20">
        <v>0</v>
      </c>
      <c r="J350" s="20">
        <v>0</v>
      </c>
      <c r="L350" s="19">
        <v>0</v>
      </c>
      <c r="M350" s="19">
        <v>0</v>
      </c>
      <c r="N350" s="20">
        <v>0</v>
      </c>
      <c r="O350" s="20">
        <v>0</v>
      </c>
      <c r="R350" s="19">
        <v>0</v>
      </c>
      <c r="S350" s="19">
        <v>0</v>
      </c>
      <c r="T350" s="20">
        <v>0</v>
      </c>
      <c r="U350" s="20">
        <v>0</v>
      </c>
      <c r="W350" s="19">
        <v>0</v>
      </c>
      <c r="X350" s="19">
        <v>0</v>
      </c>
      <c r="Y350" s="20">
        <v>0</v>
      </c>
      <c r="Z350" s="20">
        <v>0</v>
      </c>
      <c r="AB350" s="19">
        <v>0</v>
      </c>
      <c r="AC350" s="19">
        <v>0</v>
      </c>
      <c r="AD350" s="20">
        <v>0</v>
      </c>
      <c r="AE350" s="20">
        <v>0</v>
      </c>
      <c r="AF350">
        <f t="shared" si="5"/>
        <v>0</v>
      </c>
    </row>
    <row r="351" spans="1:32" x14ac:dyDescent="0.25">
      <c r="A351" s="18" t="s">
        <v>58</v>
      </c>
      <c r="B351" s="19">
        <v>0</v>
      </c>
      <c r="C351" s="19">
        <v>0</v>
      </c>
      <c r="D351" s="20">
        <v>0</v>
      </c>
      <c r="E351" s="20">
        <v>0</v>
      </c>
      <c r="G351" s="19">
        <v>0</v>
      </c>
      <c r="H351" s="19">
        <v>0</v>
      </c>
      <c r="I351" s="20">
        <v>0</v>
      </c>
      <c r="J351" s="20">
        <v>0</v>
      </c>
      <c r="L351" s="19">
        <v>36</v>
      </c>
      <c r="M351" s="19">
        <v>0</v>
      </c>
      <c r="N351" s="20">
        <v>0.15126050420168066</v>
      </c>
      <c r="O351" s="20">
        <v>0</v>
      </c>
      <c r="R351" s="19">
        <v>0</v>
      </c>
      <c r="S351" s="19">
        <v>0</v>
      </c>
      <c r="T351" s="20">
        <v>0</v>
      </c>
      <c r="U351" s="20">
        <v>0</v>
      </c>
      <c r="W351" s="19">
        <v>0</v>
      </c>
      <c r="X351" s="19">
        <v>0</v>
      </c>
      <c r="Y351" s="20">
        <v>0</v>
      </c>
      <c r="Z351" s="20">
        <v>0</v>
      </c>
      <c r="AB351" s="19">
        <v>0</v>
      </c>
      <c r="AC351" s="19">
        <v>0</v>
      </c>
      <c r="AD351" s="20">
        <v>0</v>
      </c>
      <c r="AE351" s="20">
        <v>0</v>
      </c>
      <c r="AF351">
        <f t="shared" si="5"/>
        <v>36.15126050420168</v>
      </c>
    </row>
    <row r="352" spans="1:32" hidden="1" x14ac:dyDescent="0.25">
      <c r="A352" s="18" t="s">
        <v>59</v>
      </c>
      <c r="B352" s="19">
        <v>0</v>
      </c>
      <c r="C352" s="19">
        <v>0</v>
      </c>
      <c r="D352" s="20">
        <v>0</v>
      </c>
      <c r="E352" s="20">
        <v>0</v>
      </c>
      <c r="G352" s="19">
        <v>0</v>
      </c>
      <c r="H352" s="19">
        <v>0</v>
      </c>
      <c r="I352" s="20">
        <v>0</v>
      </c>
      <c r="J352" s="20">
        <v>0</v>
      </c>
      <c r="L352" s="19">
        <v>0</v>
      </c>
      <c r="M352" s="19">
        <v>0</v>
      </c>
      <c r="N352" s="20">
        <v>0</v>
      </c>
      <c r="O352" s="20">
        <v>0</v>
      </c>
      <c r="R352" s="19">
        <v>0</v>
      </c>
      <c r="S352" s="19">
        <v>0</v>
      </c>
      <c r="T352" s="20">
        <v>0</v>
      </c>
      <c r="U352" s="20">
        <v>0</v>
      </c>
      <c r="W352" s="19">
        <v>0</v>
      </c>
      <c r="X352" s="19">
        <v>0</v>
      </c>
      <c r="Y352" s="20">
        <v>0</v>
      </c>
      <c r="Z352" s="20">
        <v>0</v>
      </c>
      <c r="AB352" s="19">
        <v>0</v>
      </c>
      <c r="AC352" s="19">
        <v>0</v>
      </c>
      <c r="AD352" s="20">
        <v>0</v>
      </c>
      <c r="AE352" s="20">
        <v>0</v>
      </c>
      <c r="AF352">
        <f t="shared" si="5"/>
        <v>0</v>
      </c>
    </row>
    <row r="353" spans="1:32" hidden="1" x14ac:dyDescent="0.25">
      <c r="A353" s="18" t="s">
        <v>60</v>
      </c>
      <c r="B353" s="19">
        <v>0</v>
      </c>
      <c r="C353" s="19">
        <v>0</v>
      </c>
      <c r="D353" s="20">
        <v>0</v>
      </c>
      <c r="E353" s="20">
        <v>0</v>
      </c>
      <c r="G353" s="19">
        <v>0</v>
      </c>
      <c r="H353" s="19">
        <v>0</v>
      </c>
      <c r="I353" s="20">
        <v>0</v>
      </c>
      <c r="J353" s="20">
        <v>0</v>
      </c>
      <c r="L353" s="19">
        <v>0</v>
      </c>
      <c r="M353" s="19">
        <v>0</v>
      </c>
      <c r="N353" s="20">
        <v>0</v>
      </c>
      <c r="O353" s="20">
        <v>0</v>
      </c>
      <c r="R353" s="19">
        <v>0</v>
      </c>
      <c r="S353" s="19">
        <v>0</v>
      </c>
      <c r="T353" s="20">
        <v>0</v>
      </c>
      <c r="U353" s="20">
        <v>0</v>
      </c>
      <c r="W353" s="19">
        <v>0</v>
      </c>
      <c r="X353" s="19">
        <v>0</v>
      </c>
      <c r="Y353" s="20">
        <v>0</v>
      </c>
      <c r="Z353" s="20">
        <v>0</v>
      </c>
      <c r="AB353" s="19">
        <v>0</v>
      </c>
      <c r="AC353" s="19">
        <v>0</v>
      </c>
      <c r="AD353" s="20">
        <v>0</v>
      </c>
      <c r="AE353" s="20">
        <v>0</v>
      </c>
      <c r="AF353">
        <f t="shared" si="5"/>
        <v>0</v>
      </c>
    </row>
    <row r="354" spans="1:32" hidden="1" x14ac:dyDescent="0.25">
      <c r="A354" s="18" t="s">
        <v>93</v>
      </c>
      <c r="B354" s="19">
        <v>0</v>
      </c>
      <c r="C354" s="19">
        <v>0</v>
      </c>
      <c r="D354" s="20">
        <v>0</v>
      </c>
      <c r="E354" s="20">
        <v>0</v>
      </c>
      <c r="G354" s="19">
        <v>0</v>
      </c>
      <c r="H354" s="19">
        <v>0</v>
      </c>
      <c r="I354" s="20">
        <v>0</v>
      </c>
      <c r="J354" s="20">
        <v>0</v>
      </c>
      <c r="L354" s="19">
        <v>0</v>
      </c>
      <c r="M354" s="19">
        <v>0</v>
      </c>
      <c r="N354" s="20">
        <v>0</v>
      </c>
      <c r="O354" s="20">
        <v>0</v>
      </c>
      <c r="R354" s="19">
        <v>0</v>
      </c>
      <c r="S354" s="19">
        <v>0</v>
      </c>
      <c r="T354" s="20">
        <v>0</v>
      </c>
      <c r="U354" s="20">
        <v>0</v>
      </c>
      <c r="W354" s="19">
        <v>0</v>
      </c>
      <c r="X354" s="19">
        <v>0</v>
      </c>
      <c r="Y354" s="20">
        <v>0</v>
      </c>
      <c r="Z354" s="20">
        <v>0</v>
      </c>
      <c r="AB354" s="19">
        <v>0</v>
      </c>
      <c r="AC354" s="19">
        <v>0</v>
      </c>
      <c r="AD354" s="20">
        <v>0</v>
      </c>
      <c r="AE354" s="20">
        <v>0</v>
      </c>
      <c r="AF354">
        <f t="shared" si="5"/>
        <v>0</v>
      </c>
    </row>
    <row r="355" spans="1:32" hidden="1" x14ac:dyDescent="0.25">
      <c r="A355" s="18" t="s">
        <v>61</v>
      </c>
      <c r="B355" s="19">
        <v>0</v>
      </c>
      <c r="C355" s="19">
        <v>0</v>
      </c>
      <c r="D355" s="20">
        <v>0</v>
      </c>
      <c r="E355" s="20">
        <v>0</v>
      </c>
      <c r="G355" s="19">
        <v>0</v>
      </c>
      <c r="H355" s="19">
        <v>0</v>
      </c>
      <c r="I355" s="20">
        <v>0</v>
      </c>
      <c r="J355" s="20">
        <v>0</v>
      </c>
      <c r="L355" s="19">
        <v>0</v>
      </c>
      <c r="M355" s="19">
        <v>0</v>
      </c>
      <c r="N355" s="20">
        <v>0</v>
      </c>
      <c r="O355" s="20">
        <v>0</v>
      </c>
      <c r="R355" s="19">
        <v>0</v>
      </c>
      <c r="S355" s="19">
        <v>0</v>
      </c>
      <c r="T355" s="20">
        <v>0</v>
      </c>
      <c r="U355" s="20">
        <v>0</v>
      </c>
      <c r="W355" s="19">
        <v>0</v>
      </c>
      <c r="X355" s="19">
        <v>0</v>
      </c>
      <c r="Y355" s="20">
        <v>0</v>
      </c>
      <c r="Z355" s="20">
        <v>0</v>
      </c>
      <c r="AB355" s="19">
        <v>0</v>
      </c>
      <c r="AC355" s="19">
        <v>0</v>
      </c>
      <c r="AD355" s="20">
        <v>0</v>
      </c>
      <c r="AE355" s="20">
        <v>0</v>
      </c>
      <c r="AF355">
        <f t="shared" si="5"/>
        <v>0</v>
      </c>
    </row>
    <row r="356" spans="1:32" x14ac:dyDescent="0.25">
      <c r="A356" s="29" t="s">
        <v>71</v>
      </c>
      <c r="B356" s="27">
        <v>12</v>
      </c>
      <c r="C356" s="27">
        <v>12</v>
      </c>
      <c r="D356" s="20">
        <v>1.6955810332305623E-5</v>
      </c>
      <c r="E356" s="20">
        <v>1.6919018527735205E-5</v>
      </c>
      <c r="G356" s="27">
        <v>2</v>
      </c>
      <c r="H356" s="27">
        <v>11</v>
      </c>
      <c r="I356" s="20">
        <v>2.6015244933531049E-5</v>
      </c>
      <c r="J356" s="20">
        <v>1.4750053636558677E-4</v>
      </c>
      <c r="L356" s="27">
        <v>38</v>
      </c>
      <c r="M356" s="27">
        <v>1</v>
      </c>
      <c r="N356" s="20">
        <v>6.0509554140127392E-3</v>
      </c>
      <c r="O356" s="20">
        <v>9.3976130062964003E-5</v>
      </c>
      <c r="R356" s="27">
        <v>28</v>
      </c>
      <c r="S356" s="27">
        <v>6</v>
      </c>
      <c r="T356" s="20">
        <v>7.3117549517554735E-5</v>
      </c>
      <c r="U356" s="20">
        <v>1.5569654742906078E-5</v>
      </c>
      <c r="W356" s="27">
        <v>0</v>
      </c>
      <c r="X356" s="27">
        <v>3</v>
      </c>
      <c r="Y356" s="20">
        <v>0</v>
      </c>
      <c r="Z356" s="20">
        <v>4.3066322136089578E-4</v>
      </c>
      <c r="AB356" s="27">
        <v>0</v>
      </c>
      <c r="AC356" s="27">
        <v>0</v>
      </c>
      <c r="AD356" s="20">
        <v>0</v>
      </c>
      <c r="AE356" s="20">
        <v>0</v>
      </c>
      <c r="AF356">
        <f t="shared" si="5"/>
        <v>113.00687167257986</v>
      </c>
    </row>
    <row r="357" spans="1:32" x14ac:dyDescent="0.25">
      <c r="A357" s="18"/>
      <c r="B357" s="19"/>
      <c r="C357" s="19"/>
      <c r="D357" s="19"/>
      <c r="E357" s="19"/>
      <c r="G357" s="19"/>
      <c r="H357" s="19"/>
      <c r="I357" s="19"/>
      <c r="J357" s="19"/>
      <c r="L357" s="19"/>
      <c r="M357" s="19"/>
      <c r="N357" s="19"/>
      <c r="O357" s="19"/>
      <c r="R357" s="19"/>
      <c r="S357" s="19"/>
      <c r="T357" s="19"/>
      <c r="U357" s="19"/>
      <c r="W357" s="19"/>
      <c r="X357" s="19"/>
      <c r="Y357" s="19"/>
      <c r="Z357" s="19"/>
      <c r="AB357" s="19"/>
      <c r="AC357" s="19"/>
      <c r="AD357" s="19"/>
      <c r="AE357" s="19"/>
      <c r="AF357">
        <v>1</v>
      </c>
    </row>
    <row r="358" spans="1:32" x14ac:dyDescent="0.25">
      <c r="A358" s="28" t="s">
        <v>72</v>
      </c>
      <c r="B358" s="25" t="s">
        <v>12</v>
      </c>
      <c r="C358" s="25" t="s">
        <v>164</v>
      </c>
      <c r="D358" s="25" t="s">
        <v>12</v>
      </c>
      <c r="E358" s="25" t="s">
        <v>164</v>
      </c>
      <c r="G358" s="25" t="s">
        <v>12</v>
      </c>
      <c r="H358" s="25" t="s">
        <v>164</v>
      </c>
      <c r="I358" s="25" t="s">
        <v>12</v>
      </c>
      <c r="J358" s="25" t="s">
        <v>164</v>
      </c>
      <c r="L358" s="25" t="s">
        <v>12</v>
      </c>
      <c r="M358" s="25" t="s">
        <v>164</v>
      </c>
      <c r="N358" s="25" t="s">
        <v>12</v>
      </c>
      <c r="O358" s="25" t="s">
        <v>164</v>
      </c>
      <c r="R358" s="25" t="s">
        <v>12</v>
      </c>
      <c r="S358" s="25" t="s">
        <v>164</v>
      </c>
      <c r="T358" s="25" t="s">
        <v>12</v>
      </c>
      <c r="U358" s="25" t="s">
        <v>164</v>
      </c>
      <c r="W358" s="25" t="s">
        <v>12</v>
      </c>
      <c r="X358" s="25" t="s">
        <v>164</v>
      </c>
      <c r="Y358" s="25" t="s">
        <v>12</v>
      </c>
      <c r="Z358" s="25" t="s">
        <v>164</v>
      </c>
      <c r="AB358" s="25" t="s">
        <v>12</v>
      </c>
      <c r="AC358" s="25" t="s">
        <v>164</v>
      </c>
      <c r="AD358" s="25" t="s">
        <v>12</v>
      </c>
      <c r="AE358" s="25" t="s">
        <v>164</v>
      </c>
      <c r="AF358">
        <v>1</v>
      </c>
    </row>
    <row r="359" spans="1:32" hidden="1" x14ac:dyDescent="0.25">
      <c r="A359" s="18" t="s">
        <v>17</v>
      </c>
      <c r="B359" s="19">
        <v>0</v>
      </c>
      <c r="C359" s="19">
        <v>0</v>
      </c>
      <c r="D359" s="20">
        <v>0</v>
      </c>
      <c r="E359" s="20">
        <v>0</v>
      </c>
      <c r="G359" s="19">
        <v>0</v>
      </c>
      <c r="H359" s="19">
        <v>0</v>
      </c>
      <c r="I359" s="20">
        <v>0</v>
      </c>
      <c r="J359" s="20">
        <v>0</v>
      </c>
      <c r="L359" s="19">
        <v>0</v>
      </c>
      <c r="M359" s="19">
        <v>0</v>
      </c>
      <c r="N359" s="20">
        <v>0</v>
      </c>
      <c r="O359" s="20">
        <v>0</v>
      </c>
      <c r="R359" s="19">
        <v>0</v>
      </c>
      <c r="S359" s="19">
        <v>0</v>
      </c>
      <c r="T359" s="20">
        <v>0</v>
      </c>
      <c r="U359" s="20">
        <v>0</v>
      </c>
      <c r="W359" s="19">
        <v>0</v>
      </c>
      <c r="X359" s="19">
        <v>0</v>
      </c>
      <c r="Y359" s="20">
        <v>0</v>
      </c>
      <c r="Z359" s="20">
        <v>0</v>
      </c>
      <c r="AB359" s="19">
        <v>0</v>
      </c>
      <c r="AC359" s="19">
        <v>0</v>
      </c>
      <c r="AD359" s="20">
        <v>0</v>
      </c>
      <c r="AE359" s="20">
        <v>0</v>
      </c>
      <c r="AF359">
        <f t="shared" si="5"/>
        <v>0</v>
      </c>
    </row>
    <row r="360" spans="1:32" hidden="1" x14ac:dyDescent="0.25">
      <c r="A360" s="18" t="s">
        <v>18</v>
      </c>
      <c r="B360" s="19">
        <v>0</v>
      </c>
      <c r="C360" s="19">
        <v>0</v>
      </c>
      <c r="D360" s="20">
        <v>0</v>
      </c>
      <c r="E360" s="20">
        <v>0</v>
      </c>
      <c r="G360" s="19">
        <v>0</v>
      </c>
      <c r="H360" s="19">
        <v>0</v>
      </c>
      <c r="I360" s="20">
        <v>0</v>
      </c>
      <c r="J360" s="20">
        <v>0</v>
      </c>
      <c r="L360" s="19">
        <v>0</v>
      </c>
      <c r="M360" s="19">
        <v>0</v>
      </c>
      <c r="N360" s="20">
        <v>0</v>
      </c>
      <c r="O360" s="20">
        <v>0</v>
      </c>
      <c r="R360" s="19">
        <v>0</v>
      </c>
      <c r="S360" s="19">
        <v>0</v>
      </c>
      <c r="T360" s="20">
        <v>0</v>
      </c>
      <c r="U360" s="20">
        <v>0</v>
      </c>
      <c r="W360" s="19">
        <v>0</v>
      </c>
      <c r="X360" s="19">
        <v>0</v>
      </c>
      <c r="Y360" s="20">
        <v>0</v>
      </c>
      <c r="Z360" s="20">
        <v>0</v>
      </c>
      <c r="AB360" s="19">
        <v>0</v>
      </c>
      <c r="AC360" s="19">
        <v>0</v>
      </c>
      <c r="AD360" s="20">
        <v>0</v>
      </c>
      <c r="AE360" s="20">
        <v>0</v>
      </c>
      <c r="AF360">
        <f t="shared" si="5"/>
        <v>0</v>
      </c>
    </row>
    <row r="361" spans="1:32" hidden="1" x14ac:dyDescent="0.25">
      <c r="A361" s="18" t="s">
        <v>19</v>
      </c>
      <c r="B361" s="19">
        <v>0</v>
      </c>
      <c r="C361" s="19">
        <v>0</v>
      </c>
      <c r="D361" s="20">
        <v>0</v>
      </c>
      <c r="E361" s="20">
        <v>0</v>
      </c>
      <c r="G361" s="19">
        <v>0</v>
      </c>
      <c r="H361" s="19">
        <v>0</v>
      </c>
      <c r="I361" s="20">
        <v>0</v>
      </c>
      <c r="J361" s="20">
        <v>0</v>
      </c>
      <c r="L361" s="19">
        <v>0</v>
      </c>
      <c r="M361" s="19">
        <v>0</v>
      </c>
      <c r="N361" s="20">
        <v>0</v>
      </c>
      <c r="O361" s="20">
        <v>0</v>
      </c>
      <c r="R361" s="19">
        <v>0</v>
      </c>
      <c r="S361" s="19">
        <v>0</v>
      </c>
      <c r="T361" s="20">
        <v>0</v>
      </c>
      <c r="U361" s="20">
        <v>0</v>
      </c>
      <c r="W361" s="19">
        <v>0</v>
      </c>
      <c r="X361" s="19">
        <v>0</v>
      </c>
      <c r="Y361" s="20">
        <v>0</v>
      </c>
      <c r="Z361" s="20">
        <v>0</v>
      </c>
      <c r="AB361" s="19">
        <v>0</v>
      </c>
      <c r="AC361" s="19">
        <v>0</v>
      </c>
      <c r="AD361" s="20">
        <v>0</v>
      </c>
      <c r="AE361" s="20">
        <v>0</v>
      </c>
      <c r="AF361">
        <f t="shared" si="5"/>
        <v>0</v>
      </c>
    </row>
    <row r="362" spans="1:32" hidden="1" x14ac:dyDescent="0.25">
      <c r="A362" s="18" t="s">
        <v>20</v>
      </c>
      <c r="B362" s="19">
        <v>0</v>
      </c>
      <c r="C362" s="19">
        <v>0</v>
      </c>
      <c r="D362" s="20">
        <v>0</v>
      </c>
      <c r="E362" s="20">
        <v>0</v>
      </c>
      <c r="G362" s="19">
        <v>0</v>
      </c>
      <c r="H362" s="19">
        <v>0</v>
      </c>
      <c r="I362" s="20">
        <v>0</v>
      </c>
      <c r="J362" s="20">
        <v>0</v>
      </c>
      <c r="L362" s="19">
        <v>0</v>
      </c>
      <c r="M362" s="19">
        <v>0</v>
      </c>
      <c r="N362" s="20">
        <v>0</v>
      </c>
      <c r="O362" s="20">
        <v>0</v>
      </c>
      <c r="R362" s="19">
        <v>0</v>
      </c>
      <c r="S362" s="19">
        <v>0</v>
      </c>
      <c r="T362" s="20">
        <v>0</v>
      </c>
      <c r="U362" s="20">
        <v>0</v>
      </c>
      <c r="W362" s="19">
        <v>0</v>
      </c>
      <c r="X362" s="19">
        <v>0</v>
      </c>
      <c r="Y362" s="20">
        <v>0</v>
      </c>
      <c r="Z362" s="20">
        <v>0</v>
      </c>
      <c r="AB362" s="19">
        <v>0</v>
      </c>
      <c r="AC362" s="19">
        <v>0</v>
      </c>
      <c r="AD362" s="20">
        <v>0</v>
      </c>
      <c r="AE362" s="20">
        <v>0</v>
      </c>
      <c r="AF362">
        <f t="shared" si="5"/>
        <v>0</v>
      </c>
    </row>
    <row r="363" spans="1:32" hidden="1" x14ac:dyDescent="0.25">
      <c r="A363" s="18" t="s">
        <v>21</v>
      </c>
      <c r="B363" s="19">
        <v>0</v>
      </c>
      <c r="C363" s="19">
        <v>0</v>
      </c>
      <c r="D363" s="20">
        <v>0</v>
      </c>
      <c r="E363" s="20">
        <v>0</v>
      </c>
      <c r="G363" s="19">
        <v>0</v>
      </c>
      <c r="H363" s="19">
        <v>0</v>
      </c>
      <c r="I363" s="20">
        <v>0</v>
      </c>
      <c r="J363" s="20">
        <v>0</v>
      </c>
      <c r="L363" s="19">
        <v>0</v>
      </c>
      <c r="M363" s="19">
        <v>0</v>
      </c>
      <c r="N363" s="20">
        <v>0</v>
      </c>
      <c r="O363" s="20">
        <v>0</v>
      </c>
      <c r="R363" s="19">
        <v>0</v>
      </c>
      <c r="S363" s="19">
        <v>0</v>
      </c>
      <c r="T363" s="20">
        <v>0</v>
      </c>
      <c r="U363" s="20">
        <v>0</v>
      </c>
      <c r="W363" s="19">
        <v>0</v>
      </c>
      <c r="X363" s="19">
        <v>0</v>
      </c>
      <c r="Y363" s="20">
        <v>0</v>
      </c>
      <c r="Z363" s="20">
        <v>0</v>
      </c>
      <c r="AB363" s="19">
        <v>0</v>
      </c>
      <c r="AC363" s="19">
        <v>0</v>
      </c>
      <c r="AD363" s="20">
        <v>0</v>
      </c>
      <c r="AE363" s="20">
        <v>0</v>
      </c>
      <c r="AF363">
        <f t="shared" si="5"/>
        <v>0</v>
      </c>
    </row>
    <row r="364" spans="1:32" hidden="1" x14ac:dyDescent="0.25">
      <c r="A364" s="18" t="s">
        <v>169</v>
      </c>
      <c r="B364" s="19">
        <v>0</v>
      </c>
      <c r="C364" s="19">
        <v>0</v>
      </c>
      <c r="D364" s="20">
        <v>0</v>
      </c>
      <c r="E364" s="20">
        <v>0</v>
      </c>
      <c r="G364" s="19">
        <v>0</v>
      </c>
      <c r="H364" s="19">
        <v>0</v>
      </c>
      <c r="I364" s="20">
        <v>0</v>
      </c>
      <c r="J364" s="20">
        <v>0</v>
      </c>
      <c r="L364" s="19">
        <v>0</v>
      </c>
      <c r="M364" s="19">
        <v>0</v>
      </c>
      <c r="N364" s="20">
        <v>0</v>
      </c>
      <c r="O364" s="20">
        <v>0</v>
      </c>
      <c r="R364" s="19">
        <v>0</v>
      </c>
      <c r="S364" s="19">
        <v>0</v>
      </c>
      <c r="T364" s="20">
        <v>0</v>
      </c>
      <c r="U364" s="20">
        <v>0</v>
      </c>
      <c r="W364" s="19">
        <v>0</v>
      </c>
      <c r="X364" s="19">
        <v>0</v>
      </c>
      <c r="Y364" s="20">
        <v>0</v>
      </c>
      <c r="Z364" s="20">
        <v>0</v>
      </c>
      <c r="AB364" s="19">
        <v>0</v>
      </c>
      <c r="AC364" s="19">
        <v>0</v>
      </c>
      <c r="AD364" s="20">
        <v>0</v>
      </c>
      <c r="AE364" s="20">
        <v>0</v>
      </c>
      <c r="AF364">
        <f t="shared" si="5"/>
        <v>0</v>
      </c>
    </row>
    <row r="365" spans="1:32" x14ac:dyDescent="0.25">
      <c r="A365" s="18" t="s">
        <v>22</v>
      </c>
      <c r="B365" s="19">
        <v>4040</v>
      </c>
      <c r="C365" s="19">
        <v>8696</v>
      </c>
      <c r="D365" s="20">
        <v>0.2049616965146365</v>
      </c>
      <c r="E365" s="20">
        <v>0.59770430957454124</v>
      </c>
      <c r="G365" s="19">
        <v>57</v>
      </c>
      <c r="H365" s="19">
        <v>70</v>
      </c>
      <c r="I365" s="20">
        <v>1.52E-2</v>
      </c>
      <c r="J365" s="20">
        <v>1.9455252918287938E-2</v>
      </c>
      <c r="L365" s="19">
        <v>10</v>
      </c>
      <c r="M365" s="19">
        <v>17</v>
      </c>
      <c r="N365" s="20">
        <v>4.8520135856380394E-3</v>
      </c>
      <c r="O365" s="20">
        <v>8.5255767301905712E-3</v>
      </c>
      <c r="R365" s="19">
        <v>0</v>
      </c>
      <c r="S365" s="19">
        <v>0</v>
      </c>
      <c r="T365" s="20">
        <v>0</v>
      </c>
      <c r="U365" s="20">
        <v>0</v>
      </c>
      <c r="W365" s="19">
        <v>0</v>
      </c>
      <c r="X365" s="19">
        <v>0</v>
      </c>
      <c r="Y365" s="20">
        <v>0</v>
      </c>
      <c r="Z365" s="20">
        <v>0</v>
      </c>
      <c r="AB365" s="19">
        <v>0</v>
      </c>
      <c r="AC365" s="19">
        <v>0</v>
      </c>
      <c r="AD365" s="20">
        <v>0</v>
      </c>
      <c r="AE365" s="20">
        <v>0</v>
      </c>
      <c r="AF365">
        <f t="shared" si="5"/>
        <v>12890.850698849323</v>
      </c>
    </row>
    <row r="366" spans="1:32" hidden="1" x14ac:dyDescent="0.25">
      <c r="A366" s="18" t="s">
        <v>23</v>
      </c>
      <c r="B366" s="19">
        <v>0</v>
      </c>
      <c r="C366" s="19">
        <v>0</v>
      </c>
      <c r="D366" s="20">
        <v>0</v>
      </c>
      <c r="E366" s="20">
        <v>0</v>
      </c>
      <c r="G366" s="19">
        <v>0</v>
      </c>
      <c r="H366" s="19">
        <v>0</v>
      </c>
      <c r="I366" s="20">
        <v>0</v>
      </c>
      <c r="J366" s="20">
        <v>0</v>
      </c>
      <c r="L366" s="19">
        <v>0</v>
      </c>
      <c r="M366" s="19">
        <v>0</v>
      </c>
      <c r="N366" s="20">
        <v>0</v>
      </c>
      <c r="O366" s="20">
        <v>0</v>
      </c>
      <c r="R366" s="19">
        <v>0</v>
      </c>
      <c r="S366" s="19">
        <v>0</v>
      </c>
      <c r="T366" s="20">
        <v>0</v>
      </c>
      <c r="U366" s="20">
        <v>0</v>
      </c>
      <c r="W366" s="19">
        <v>0</v>
      </c>
      <c r="X366" s="19">
        <v>0</v>
      </c>
      <c r="Y366" s="20">
        <v>0</v>
      </c>
      <c r="Z366" s="20">
        <v>0</v>
      </c>
      <c r="AB366" s="19">
        <v>0</v>
      </c>
      <c r="AC366" s="19">
        <v>0</v>
      </c>
      <c r="AD366" s="20">
        <v>0</v>
      </c>
      <c r="AE366" s="20">
        <v>0</v>
      </c>
      <c r="AF366">
        <f t="shared" si="5"/>
        <v>0</v>
      </c>
    </row>
    <row r="367" spans="1:32" hidden="1" x14ac:dyDescent="0.25">
      <c r="A367" s="18" t="s">
        <v>24</v>
      </c>
      <c r="B367" s="19">
        <v>0</v>
      </c>
      <c r="C367" s="19">
        <v>0</v>
      </c>
      <c r="D367" s="20">
        <v>0</v>
      </c>
      <c r="E367" s="20">
        <v>0</v>
      </c>
      <c r="G367" s="19">
        <v>0</v>
      </c>
      <c r="H367" s="19">
        <v>0</v>
      </c>
      <c r="I367" s="20">
        <v>0</v>
      </c>
      <c r="J367" s="20">
        <v>0</v>
      </c>
      <c r="L367" s="19">
        <v>0</v>
      </c>
      <c r="M367" s="19">
        <v>0</v>
      </c>
      <c r="N367" s="20">
        <v>0</v>
      </c>
      <c r="O367" s="20">
        <v>0</v>
      </c>
      <c r="R367" s="19">
        <v>0</v>
      </c>
      <c r="S367" s="19">
        <v>0</v>
      </c>
      <c r="T367" s="20">
        <v>0</v>
      </c>
      <c r="U367" s="20">
        <v>0</v>
      </c>
      <c r="W367" s="19">
        <v>0</v>
      </c>
      <c r="X367" s="19">
        <v>0</v>
      </c>
      <c r="Y367" s="20">
        <v>0</v>
      </c>
      <c r="Z367" s="20">
        <v>0</v>
      </c>
      <c r="AB367" s="19">
        <v>0</v>
      </c>
      <c r="AC367" s="19">
        <v>0</v>
      </c>
      <c r="AD367" s="20">
        <v>0</v>
      </c>
      <c r="AE367" s="20">
        <v>0</v>
      </c>
      <c r="AF367">
        <f t="shared" si="5"/>
        <v>0</v>
      </c>
    </row>
    <row r="368" spans="1:32" hidden="1" x14ac:dyDescent="0.25">
      <c r="A368" s="18" t="s">
        <v>25</v>
      </c>
      <c r="B368" s="19">
        <v>0</v>
      </c>
      <c r="C368" s="19">
        <v>0</v>
      </c>
      <c r="D368" s="20">
        <v>0</v>
      </c>
      <c r="E368" s="20">
        <v>0</v>
      </c>
      <c r="G368" s="19">
        <v>0</v>
      </c>
      <c r="H368" s="19">
        <v>0</v>
      </c>
      <c r="I368" s="20">
        <v>0</v>
      </c>
      <c r="J368" s="20">
        <v>0</v>
      </c>
      <c r="L368" s="19">
        <v>0</v>
      </c>
      <c r="M368" s="19">
        <v>0</v>
      </c>
      <c r="N368" s="20">
        <v>0</v>
      </c>
      <c r="O368" s="20">
        <v>0</v>
      </c>
      <c r="R368" s="19">
        <v>0</v>
      </c>
      <c r="S368" s="19">
        <v>0</v>
      </c>
      <c r="T368" s="20">
        <v>0</v>
      </c>
      <c r="U368" s="20">
        <v>0</v>
      </c>
      <c r="W368" s="19">
        <v>0</v>
      </c>
      <c r="X368" s="19">
        <v>0</v>
      </c>
      <c r="Y368" s="20">
        <v>0</v>
      </c>
      <c r="Z368" s="20">
        <v>0</v>
      </c>
      <c r="AB368" s="19">
        <v>0</v>
      </c>
      <c r="AC368" s="19">
        <v>0</v>
      </c>
      <c r="AD368" s="20">
        <v>0</v>
      </c>
      <c r="AE368" s="20">
        <v>0</v>
      </c>
      <c r="AF368">
        <f t="shared" si="5"/>
        <v>0</v>
      </c>
    </row>
    <row r="369" spans="1:32" hidden="1" x14ac:dyDescent="0.25">
      <c r="A369" s="18" t="s">
        <v>82</v>
      </c>
      <c r="B369" s="19">
        <v>0</v>
      </c>
      <c r="C369" s="19">
        <v>0</v>
      </c>
      <c r="D369" s="20">
        <v>0</v>
      </c>
      <c r="E369" s="20">
        <v>0</v>
      </c>
      <c r="G369" s="19">
        <v>0</v>
      </c>
      <c r="H369" s="19">
        <v>0</v>
      </c>
      <c r="I369" s="20">
        <v>0</v>
      </c>
      <c r="J369" s="20">
        <v>0</v>
      </c>
      <c r="L369" s="19">
        <v>0</v>
      </c>
      <c r="M369" s="19">
        <v>0</v>
      </c>
      <c r="N369" s="20">
        <v>0</v>
      </c>
      <c r="O369" s="20">
        <v>0</v>
      </c>
      <c r="R369" s="19">
        <v>0</v>
      </c>
      <c r="S369" s="19">
        <v>0</v>
      </c>
      <c r="T369" s="20">
        <v>0</v>
      </c>
      <c r="U369" s="20">
        <v>0</v>
      </c>
      <c r="W369" s="19">
        <v>0</v>
      </c>
      <c r="X369" s="19">
        <v>0</v>
      </c>
      <c r="Y369" s="20">
        <v>0</v>
      </c>
      <c r="Z369" s="20">
        <v>0</v>
      </c>
      <c r="AB369" s="19">
        <v>0</v>
      </c>
      <c r="AC369" s="19">
        <v>0</v>
      </c>
      <c r="AD369" s="20">
        <v>0</v>
      </c>
      <c r="AE369" s="20">
        <v>0</v>
      </c>
      <c r="AF369">
        <f t="shared" si="5"/>
        <v>0</v>
      </c>
    </row>
    <row r="370" spans="1:32" hidden="1" x14ac:dyDescent="0.25">
      <c r="A370" s="18" t="s">
        <v>83</v>
      </c>
      <c r="B370" s="19">
        <v>0</v>
      </c>
      <c r="C370" s="19">
        <v>0</v>
      </c>
      <c r="D370" s="20">
        <v>0</v>
      </c>
      <c r="E370" s="20">
        <v>0</v>
      </c>
      <c r="G370" s="19">
        <v>0</v>
      </c>
      <c r="H370" s="19">
        <v>0</v>
      </c>
      <c r="I370" s="20">
        <v>0</v>
      </c>
      <c r="J370" s="20">
        <v>0</v>
      </c>
      <c r="L370" s="19">
        <v>0</v>
      </c>
      <c r="M370" s="19">
        <v>0</v>
      </c>
      <c r="N370" s="20">
        <v>0</v>
      </c>
      <c r="O370" s="20">
        <v>0</v>
      </c>
      <c r="R370" s="19">
        <v>0</v>
      </c>
      <c r="S370" s="19">
        <v>0</v>
      </c>
      <c r="T370" s="20">
        <v>0</v>
      </c>
      <c r="U370" s="20">
        <v>0</v>
      </c>
      <c r="W370" s="19">
        <v>0</v>
      </c>
      <c r="X370" s="19">
        <v>0</v>
      </c>
      <c r="Y370" s="20">
        <v>0</v>
      </c>
      <c r="Z370" s="20">
        <v>0</v>
      </c>
      <c r="AB370" s="19">
        <v>0</v>
      </c>
      <c r="AC370" s="19">
        <v>0</v>
      </c>
      <c r="AD370" s="20">
        <v>0</v>
      </c>
      <c r="AE370" s="20">
        <v>0</v>
      </c>
      <c r="AF370">
        <f t="shared" si="5"/>
        <v>0</v>
      </c>
    </row>
    <row r="371" spans="1:32" hidden="1" x14ac:dyDescent="0.25">
      <c r="A371" s="18" t="s">
        <v>84</v>
      </c>
      <c r="B371" s="19">
        <v>0</v>
      </c>
      <c r="C371" s="19">
        <v>0</v>
      </c>
      <c r="D371" s="20">
        <v>0</v>
      </c>
      <c r="E371" s="20">
        <v>0</v>
      </c>
      <c r="G371" s="19">
        <v>0</v>
      </c>
      <c r="H371" s="19">
        <v>0</v>
      </c>
      <c r="I371" s="20">
        <v>0</v>
      </c>
      <c r="J371" s="20">
        <v>0</v>
      </c>
      <c r="L371" s="19">
        <v>0</v>
      </c>
      <c r="M371" s="19">
        <v>0</v>
      </c>
      <c r="N371" s="20">
        <v>0</v>
      </c>
      <c r="O371" s="20">
        <v>0</v>
      </c>
      <c r="R371" s="19">
        <v>0</v>
      </c>
      <c r="S371" s="19">
        <v>0</v>
      </c>
      <c r="T371" s="20">
        <v>0</v>
      </c>
      <c r="U371" s="20">
        <v>0</v>
      </c>
      <c r="W371" s="19">
        <v>0</v>
      </c>
      <c r="X371" s="19">
        <v>0</v>
      </c>
      <c r="Y371" s="20">
        <v>0</v>
      </c>
      <c r="Z371" s="20">
        <v>0</v>
      </c>
      <c r="AB371" s="19">
        <v>0</v>
      </c>
      <c r="AC371" s="19">
        <v>0</v>
      </c>
      <c r="AD371" s="20">
        <v>0</v>
      </c>
      <c r="AE371" s="20">
        <v>0</v>
      </c>
      <c r="AF371">
        <f t="shared" si="5"/>
        <v>0</v>
      </c>
    </row>
    <row r="372" spans="1:32" hidden="1" x14ac:dyDescent="0.25">
      <c r="A372" s="18" t="s">
        <v>26</v>
      </c>
      <c r="B372" s="19">
        <v>0</v>
      </c>
      <c r="C372" s="19">
        <v>0</v>
      </c>
      <c r="D372" s="20">
        <v>0</v>
      </c>
      <c r="E372" s="20">
        <v>0</v>
      </c>
      <c r="G372" s="19">
        <v>0</v>
      </c>
      <c r="H372" s="19">
        <v>0</v>
      </c>
      <c r="I372" s="20">
        <v>0</v>
      </c>
      <c r="J372" s="20">
        <v>0</v>
      </c>
      <c r="L372" s="19">
        <v>0</v>
      </c>
      <c r="M372" s="19">
        <v>0</v>
      </c>
      <c r="N372" s="20">
        <v>0</v>
      </c>
      <c r="O372" s="20">
        <v>0</v>
      </c>
      <c r="R372" s="19">
        <v>0</v>
      </c>
      <c r="S372" s="19">
        <v>0</v>
      </c>
      <c r="T372" s="20">
        <v>0</v>
      </c>
      <c r="U372" s="20">
        <v>0</v>
      </c>
      <c r="W372" s="19">
        <v>0</v>
      </c>
      <c r="X372" s="19">
        <v>0</v>
      </c>
      <c r="Y372" s="20">
        <v>0</v>
      </c>
      <c r="Z372" s="20">
        <v>0</v>
      </c>
      <c r="AB372" s="19">
        <v>0</v>
      </c>
      <c r="AC372" s="19">
        <v>0</v>
      </c>
      <c r="AD372" s="20">
        <v>0</v>
      </c>
      <c r="AE372" s="20">
        <v>0</v>
      </c>
      <c r="AF372">
        <f t="shared" si="5"/>
        <v>0</v>
      </c>
    </row>
    <row r="373" spans="1:32" hidden="1" x14ac:dyDescent="0.25">
      <c r="A373" s="18" t="s">
        <v>27</v>
      </c>
      <c r="B373" s="19">
        <v>0</v>
      </c>
      <c r="C373" s="19">
        <v>0</v>
      </c>
      <c r="D373" s="20">
        <v>0</v>
      </c>
      <c r="E373" s="20">
        <v>0</v>
      </c>
      <c r="G373" s="19">
        <v>0</v>
      </c>
      <c r="H373" s="19">
        <v>0</v>
      </c>
      <c r="I373" s="20">
        <v>0</v>
      </c>
      <c r="J373" s="20">
        <v>0</v>
      </c>
      <c r="L373" s="19">
        <v>0</v>
      </c>
      <c r="M373" s="19">
        <v>0</v>
      </c>
      <c r="N373" s="20">
        <v>0</v>
      </c>
      <c r="O373" s="20">
        <v>0</v>
      </c>
      <c r="R373" s="19">
        <v>0</v>
      </c>
      <c r="S373" s="19">
        <v>0</v>
      </c>
      <c r="T373" s="20">
        <v>0</v>
      </c>
      <c r="U373" s="20">
        <v>0</v>
      </c>
      <c r="W373" s="19">
        <v>0</v>
      </c>
      <c r="X373" s="19">
        <v>0</v>
      </c>
      <c r="Y373" s="20">
        <v>0</v>
      </c>
      <c r="Z373" s="20">
        <v>0</v>
      </c>
      <c r="AB373" s="19">
        <v>0</v>
      </c>
      <c r="AC373" s="19">
        <v>0</v>
      </c>
      <c r="AD373" s="20">
        <v>0</v>
      </c>
      <c r="AE373" s="20">
        <v>0</v>
      </c>
      <c r="AF373">
        <f t="shared" si="5"/>
        <v>0</v>
      </c>
    </row>
    <row r="374" spans="1:32" hidden="1" x14ac:dyDescent="0.25">
      <c r="A374" s="18" t="s">
        <v>28</v>
      </c>
      <c r="B374" s="19">
        <v>0</v>
      </c>
      <c r="C374" s="19">
        <v>0</v>
      </c>
      <c r="D374" s="20">
        <v>0</v>
      </c>
      <c r="E374" s="20">
        <v>0</v>
      </c>
      <c r="G374" s="19">
        <v>0</v>
      </c>
      <c r="H374" s="19">
        <v>0</v>
      </c>
      <c r="I374" s="20">
        <v>0</v>
      </c>
      <c r="J374" s="20">
        <v>0</v>
      </c>
      <c r="L374" s="19">
        <v>0</v>
      </c>
      <c r="M374" s="19">
        <v>0</v>
      </c>
      <c r="N374" s="20">
        <v>0</v>
      </c>
      <c r="O374" s="20">
        <v>0</v>
      </c>
      <c r="R374" s="19">
        <v>0</v>
      </c>
      <c r="S374" s="19">
        <v>0</v>
      </c>
      <c r="T374" s="20">
        <v>0</v>
      </c>
      <c r="U374" s="20">
        <v>0</v>
      </c>
      <c r="W374" s="19">
        <v>0</v>
      </c>
      <c r="X374" s="19">
        <v>0</v>
      </c>
      <c r="Y374" s="20">
        <v>0</v>
      </c>
      <c r="Z374" s="20">
        <v>0</v>
      </c>
      <c r="AB374" s="19">
        <v>0</v>
      </c>
      <c r="AC374" s="19">
        <v>0</v>
      </c>
      <c r="AD374" s="20">
        <v>0</v>
      </c>
      <c r="AE374" s="20">
        <v>0</v>
      </c>
      <c r="AF374">
        <f t="shared" si="5"/>
        <v>0</v>
      </c>
    </row>
    <row r="375" spans="1:32" hidden="1" x14ac:dyDescent="0.25">
      <c r="A375" s="18" t="s">
        <v>170</v>
      </c>
      <c r="B375" s="19">
        <v>0</v>
      </c>
      <c r="C375" s="19">
        <v>0</v>
      </c>
      <c r="D375" s="20">
        <v>0</v>
      </c>
      <c r="E375" s="20">
        <v>0</v>
      </c>
      <c r="G375" s="19">
        <v>0</v>
      </c>
      <c r="H375" s="19">
        <v>0</v>
      </c>
      <c r="I375" s="20">
        <v>0</v>
      </c>
      <c r="J375" s="20">
        <v>0</v>
      </c>
      <c r="L375" s="19">
        <v>0</v>
      </c>
      <c r="M375" s="19">
        <v>0</v>
      </c>
      <c r="N375" s="20">
        <v>0</v>
      </c>
      <c r="O375" s="20">
        <v>0</v>
      </c>
      <c r="R375" s="19">
        <v>0</v>
      </c>
      <c r="S375" s="19">
        <v>0</v>
      </c>
      <c r="T375" s="20">
        <v>0</v>
      </c>
      <c r="U375" s="20">
        <v>0</v>
      </c>
      <c r="W375" s="19">
        <v>0</v>
      </c>
      <c r="X375" s="19">
        <v>0</v>
      </c>
      <c r="Y375" s="20">
        <v>0</v>
      </c>
      <c r="Z375" s="20">
        <v>0</v>
      </c>
      <c r="AB375" s="19">
        <v>0</v>
      </c>
      <c r="AC375" s="19">
        <v>0</v>
      </c>
      <c r="AD375" s="20">
        <v>0</v>
      </c>
      <c r="AE375" s="20">
        <v>0</v>
      </c>
      <c r="AF375">
        <f t="shared" si="5"/>
        <v>0</v>
      </c>
    </row>
    <row r="376" spans="1:32" hidden="1" x14ac:dyDescent="0.25">
      <c r="A376" s="18" t="s">
        <v>171</v>
      </c>
      <c r="B376" s="19">
        <v>0</v>
      </c>
      <c r="C376" s="19">
        <v>0</v>
      </c>
      <c r="D376" s="20">
        <v>0</v>
      </c>
      <c r="E376" s="20">
        <v>0</v>
      </c>
      <c r="G376" s="19">
        <v>0</v>
      </c>
      <c r="H376" s="19">
        <v>0</v>
      </c>
      <c r="I376" s="20">
        <v>0</v>
      </c>
      <c r="J376" s="20">
        <v>0</v>
      </c>
      <c r="L376" s="19">
        <v>0</v>
      </c>
      <c r="M376" s="19">
        <v>0</v>
      </c>
      <c r="N376" s="20">
        <v>0</v>
      </c>
      <c r="O376" s="20">
        <v>0</v>
      </c>
      <c r="R376" s="19">
        <v>0</v>
      </c>
      <c r="S376" s="19">
        <v>0</v>
      </c>
      <c r="T376" s="20">
        <v>0</v>
      </c>
      <c r="U376" s="20">
        <v>0</v>
      </c>
      <c r="W376" s="19">
        <v>0</v>
      </c>
      <c r="X376" s="19">
        <v>0</v>
      </c>
      <c r="Y376" s="20">
        <v>0</v>
      </c>
      <c r="Z376" s="20">
        <v>0</v>
      </c>
      <c r="AB376" s="19">
        <v>0</v>
      </c>
      <c r="AC376" s="19">
        <v>0</v>
      </c>
      <c r="AD376" s="20">
        <v>0</v>
      </c>
      <c r="AE376" s="20">
        <v>0</v>
      </c>
      <c r="AF376">
        <f t="shared" si="5"/>
        <v>0</v>
      </c>
    </row>
    <row r="377" spans="1:32" hidden="1" x14ac:dyDescent="0.25">
      <c r="A377" s="18" t="s">
        <v>29</v>
      </c>
      <c r="B377" s="19">
        <v>0</v>
      </c>
      <c r="C377" s="19">
        <v>0</v>
      </c>
      <c r="D377" s="20">
        <v>0</v>
      </c>
      <c r="E377" s="20">
        <v>0</v>
      </c>
      <c r="G377" s="19">
        <v>0</v>
      </c>
      <c r="H377" s="19">
        <v>0</v>
      </c>
      <c r="I377" s="20">
        <v>0</v>
      </c>
      <c r="J377" s="20">
        <v>0</v>
      </c>
      <c r="L377" s="19">
        <v>0</v>
      </c>
      <c r="M377" s="19">
        <v>0</v>
      </c>
      <c r="N377" s="20">
        <v>0</v>
      </c>
      <c r="O377" s="20">
        <v>0</v>
      </c>
      <c r="R377" s="19">
        <v>0</v>
      </c>
      <c r="S377" s="19">
        <v>0</v>
      </c>
      <c r="T377" s="20">
        <v>0</v>
      </c>
      <c r="U377" s="20">
        <v>0</v>
      </c>
      <c r="W377" s="19">
        <v>0</v>
      </c>
      <c r="X377" s="19">
        <v>0</v>
      </c>
      <c r="Y377" s="20">
        <v>0</v>
      </c>
      <c r="Z377" s="20">
        <v>0</v>
      </c>
      <c r="AB377" s="19">
        <v>0</v>
      </c>
      <c r="AC377" s="19">
        <v>0</v>
      </c>
      <c r="AD377" s="20">
        <v>0</v>
      </c>
      <c r="AE377" s="20">
        <v>0</v>
      </c>
      <c r="AF377">
        <f t="shared" si="5"/>
        <v>0</v>
      </c>
    </row>
    <row r="378" spans="1:32" hidden="1" x14ac:dyDescent="0.25">
      <c r="A378" s="18" t="s">
        <v>30</v>
      </c>
      <c r="B378" s="19">
        <v>0</v>
      </c>
      <c r="C378" s="19">
        <v>0</v>
      </c>
      <c r="D378" s="20">
        <v>0</v>
      </c>
      <c r="E378" s="20">
        <v>0</v>
      </c>
      <c r="G378" s="19">
        <v>0</v>
      </c>
      <c r="H378" s="19">
        <v>0</v>
      </c>
      <c r="I378" s="20">
        <v>0</v>
      </c>
      <c r="J378" s="20">
        <v>0</v>
      </c>
      <c r="L378" s="19">
        <v>0</v>
      </c>
      <c r="M378" s="19">
        <v>0</v>
      </c>
      <c r="N378" s="20">
        <v>0</v>
      </c>
      <c r="O378" s="20">
        <v>0</v>
      </c>
      <c r="R378" s="19">
        <v>0</v>
      </c>
      <c r="S378" s="19">
        <v>0</v>
      </c>
      <c r="T378" s="20">
        <v>0</v>
      </c>
      <c r="U378" s="20">
        <v>0</v>
      </c>
      <c r="W378" s="19">
        <v>0</v>
      </c>
      <c r="X378" s="19">
        <v>0</v>
      </c>
      <c r="Y378" s="20">
        <v>0</v>
      </c>
      <c r="Z378" s="20">
        <v>0</v>
      </c>
      <c r="AB378" s="19">
        <v>0</v>
      </c>
      <c r="AC378" s="19">
        <v>0</v>
      </c>
      <c r="AD378" s="20">
        <v>0</v>
      </c>
      <c r="AE378" s="20">
        <v>0</v>
      </c>
      <c r="AF378">
        <f t="shared" si="5"/>
        <v>0</v>
      </c>
    </row>
    <row r="379" spans="1:32" hidden="1" x14ac:dyDescent="0.25">
      <c r="A379" s="18" t="s">
        <v>31</v>
      </c>
      <c r="B379" s="19">
        <v>0</v>
      </c>
      <c r="C379" s="19">
        <v>0</v>
      </c>
      <c r="D379" s="20">
        <v>0</v>
      </c>
      <c r="E379" s="20">
        <v>0</v>
      </c>
      <c r="G379" s="19">
        <v>0</v>
      </c>
      <c r="H379" s="19">
        <v>0</v>
      </c>
      <c r="I379" s="20">
        <v>0</v>
      </c>
      <c r="J379" s="20">
        <v>0</v>
      </c>
      <c r="L379" s="19">
        <v>0</v>
      </c>
      <c r="M379" s="19">
        <v>0</v>
      </c>
      <c r="N379" s="20">
        <v>0</v>
      </c>
      <c r="O379" s="20">
        <v>0</v>
      </c>
      <c r="R379" s="19">
        <v>0</v>
      </c>
      <c r="S379" s="19">
        <v>0</v>
      </c>
      <c r="T379" s="20">
        <v>0</v>
      </c>
      <c r="U379" s="20">
        <v>0</v>
      </c>
      <c r="W379" s="19">
        <v>0</v>
      </c>
      <c r="X379" s="19">
        <v>0</v>
      </c>
      <c r="Y379" s="20">
        <v>0</v>
      </c>
      <c r="Z379" s="20">
        <v>0</v>
      </c>
      <c r="AB379" s="19">
        <v>0</v>
      </c>
      <c r="AC379" s="19">
        <v>0</v>
      </c>
      <c r="AD379" s="20">
        <v>0</v>
      </c>
      <c r="AE379" s="20">
        <v>0</v>
      </c>
      <c r="AF379">
        <f t="shared" si="5"/>
        <v>0</v>
      </c>
    </row>
    <row r="380" spans="1:32" hidden="1" x14ac:dyDescent="0.25">
      <c r="A380" s="18" t="s">
        <v>79</v>
      </c>
      <c r="B380" s="19">
        <v>0</v>
      </c>
      <c r="C380" s="19">
        <v>0</v>
      </c>
      <c r="D380" s="20">
        <v>0</v>
      </c>
      <c r="E380" s="20">
        <v>0</v>
      </c>
      <c r="G380" s="19">
        <v>0</v>
      </c>
      <c r="H380" s="19">
        <v>0</v>
      </c>
      <c r="I380" s="20">
        <v>0</v>
      </c>
      <c r="J380" s="20">
        <v>0</v>
      </c>
      <c r="L380" s="19">
        <v>0</v>
      </c>
      <c r="M380" s="19">
        <v>0</v>
      </c>
      <c r="N380" s="20">
        <v>0</v>
      </c>
      <c r="O380" s="20">
        <v>0</v>
      </c>
      <c r="R380" s="19">
        <v>0</v>
      </c>
      <c r="S380" s="19">
        <v>0</v>
      </c>
      <c r="T380" s="20">
        <v>0</v>
      </c>
      <c r="U380" s="20">
        <v>0</v>
      </c>
      <c r="W380" s="19">
        <v>0</v>
      </c>
      <c r="X380" s="19">
        <v>0</v>
      </c>
      <c r="Y380" s="20">
        <v>0</v>
      </c>
      <c r="Z380" s="20">
        <v>0</v>
      </c>
      <c r="AB380" s="19">
        <v>0</v>
      </c>
      <c r="AC380" s="19">
        <v>0</v>
      </c>
      <c r="AD380" s="20">
        <v>0</v>
      </c>
      <c r="AE380" s="20">
        <v>0</v>
      </c>
      <c r="AF380">
        <f t="shared" si="5"/>
        <v>0</v>
      </c>
    </row>
    <row r="381" spans="1:32" hidden="1" x14ac:dyDescent="0.25">
      <c r="A381" s="18" t="s">
        <v>32</v>
      </c>
      <c r="B381" s="19">
        <v>0</v>
      </c>
      <c r="C381" s="19">
        <v>0</v>
      </c>
      <c r="D381" s="20">
        <v>0</v>
      </c>
      <c r="E381" s="20">
        <v>0</v>
      </c>
      <c r="G381" s="19">
        <v>0</v>
      </c>
      <c r="H381" s="19">
        <v>0</v>
      </c>
      <c r="I381" s="20">
        <v>0</v>
      </c>
      <c r="J381" s="20">
        <v>0</v>
      </c>
      <c r="L381" s="19">
        <v>0</v>
      </c>
      <c r="M381" s="19">
        <v>0</v>
      </c>
      <c r="N381" s="20">
        <v>0</v>
      </c>
      <c r="O381" s="20">
        <v>0</v>
      </c>
      <c r="R381" s="19">
        <v>0</v>
      </c>
      <c r="S381" s="19">
        <v>0</v>
      </c>
      <c r="T381" s="20">
        <v>0</v>
      </c>
      <c r="U381" s="20">
        <v>0</v>
      </c>
      <c r="W381" s="19">
        <v>0</v>
      </c>
      <c r="X381" s="19">
        <v>0</v>
      </c>
      <c r="Y381" s="20">
        <v>0</v>
      </c>
      <c r="Z381" s="20">
        <v>0</v>
      </c>
      <c r="AB381" s="19">
        <v>0</v>
      </c>
      <c r="AC381" s="19">
        <v>0</v>
      </c>
      <c r="AD381" s="20">
        <v>0</v>
      </c>
      <c r="AE381" s="20">
        <v>0</v>
      </c>
      <c r="AF381">
        <f t="shared" si="5"/>
        <v>0</v>
      </c>
    </row>
    <row r="382" spans="1:32" x14ac:dyDescent="0.25">
      <c r="A382" s="18" t="s">
        <v>80</v>
      </c>
      <c r="B382" s="19">
        <v>0</v>
      </c>
      <c r="C382" s="19">
        <v>0</v>
      </c>
      <c r="D382" s="20">
        <v>0</v>
      </c>
      <c r="E382" s="20">
        <v>0</v>
      </c>
      <c r="G382" s="19">
        <v>0</v>
      </c>
      <c r="H382" s="19">
        <v>0</v>
      </c>
      <c r="I382" s="20">
        <v>0</v>
      </c>
      <c r="J382" s="20">
        <v>0</v>
      </c>
      <c r="L382" s="19">
        <v>3</v>
      </c>
      <c r="M382" s="19">
        <v>2</v>
      </c>
      <c r="N382" s="20">
        <v>1.1952191235059761E-2</v>
      </c>
      <c r="O382" s="20">
        <v>7.575757575757576E-3</v>
      </c>
      <c r="R382" s="19">
        <v>0</v>
      </c>
      <c r="S382" s="19">
        <v>0</v>
      </c>
      <c r="T382" s="20">
        <v>0</v>
      </c>
      <c r="U382" s="20">
        <v>0</v>
      </c>
      <c r="W382" s="19">
        <v>0</v>
      </c>
      <c r="X382" s="19">
        <v>0</v>
      </c>
      <c r="Y382" s="20">
        <v>0</v>
      </c>
      <c r="Z382" s="20">
        <v>0</v>
      </c>
      <c r="AB382" s="19">
        <v>0</v>
      </c>
      <c r="AC382" s="19">
        <v>0</v>
      </c>
      <c r="AD382" s="20">
        <v>0</v>
      </c>
      <c r="AE382" s="20">
        <v>0</v>
      </c>
      <c r="AF382">
        <f t="shared" si="5"/>
        <v>5.0195279488108175</v>
      </c>
    </row>
    <row r="383" spans="1:32" hidden="1" x14ac:dyDescent="0.25">
      <c r="A383" s="18" t="s">
        <v>33</v>
      </c>
      <c r="B383" s="19">
        <v>0</v>
      </c>
      <c r="C383" s="19">
        <v>0</v>
      </c>
      <c r="D383" s="20">
        <v>0</v>
      </c>
      <c r="E383" s="20">
        <v>0</v>
      </c>
      <c r="G383" s="19">
        <v>0</v>
      </c>
      <c r="H383" s="19">
        <v>0</v>
      </c>
      <c r="I383" s="20">
        <v>0</v>
      </c>
      <c r="J383" s="20">
        <v>0</v>
      </c>
      <c r="L383" s="19">
        <v>0</v>
      </c>
      <c r="M383" s="19">
        <v>0</v>
      </c>
      <c r="N383" s="20">
        <v>0</v>
      </c>
      <c r="O383" s="20">
        <v>0</v>
      </c>
      <c r="R383" s="19">
        <v>0</v>
      </c>
      <c r="S383" s="19">
        <v>0</v>
      </c>
      <c r="T383" s="20">
        <v>0</v>
      </c>
      <c r="U383" s="20">
        <v>0</v>
      </c>
      <c r="W383" s="19">
        <v>0</v>
      </c>
      <c r="X383" s="19">
        <v>0</v>
      </c>
      <c r="Y383" s="20">
        <v>0</v>
      </c>
      <c r="Z383" s="20">
        <v>0</v>
      </c>
      <c r="AB383" s="19">
        <v>0</v>
      </c>
      <c r="AC383" s="19">
        <v>0</v>
      </c>
      <c r="AD383" s="20">
        <v>0</v>
      </c>
      <c r="AE383" s="20">
        <v>0</v>
      </c>
      <c r="AF383">
        <f t="shared" si="5"/>
        <v>0</v>
      </c>
    </row>
    <row r="384" spans="1:32" hidden="1" x14ac:dyDescent="0.25">
      <c r="A384" s="18" t="s">
        <v>34</v>
      </c>
      <c r="B384" s="19">
        <v>0</v>
      </c>
      <c r="C384" s="19">
        <v>0</v>
      </c>
      <c r="D384" s="20">
        <v>0</v>
      </c>
      <c r="E384" s="20">
        <v>0</v>
      </c>
      <c r="G384" s="19">
        <v>0</v>
      </c>
      <c r="H384" s="19">
        <v>0</v>
      </c>
      <c r="I384" s="20">
        <v>0</v>
      </c>
      <c r="J384" s="20">
        <v>0</v>
      </c>
      <c r="L384" s="19">
        <v>0</v>
      </c>
      <c r="M384" s="19">
        <v>0</v>
      </c>
      <c r="N384" s="20">
        <v>0</v>
      </c>
      <c r="O384" s="20">
        <v>0</v>
      </c>
      <c r="R384" s="19">
        <v>0</v>
      </c>
      <c r="S384" s="19">
        <v>0</v>
      </c>
      <c r="T384" s="20">
        <v>0</v>
      </c>
      <c r="U384" s="20">
        <v>0</v>
      </c>
      <c r="W384" s="19">
        <v>0</v>
      </c>
      <c r="X384" s="19">
        <v>0</v>
      </c>
      <c r="Y384" s="20">
        <v>0</v>
      </c>
      <c r="Z384" s="20">
        <v>0</v>
      </c>
      <c r="AB384" s="19">
        <v>0</v>
      </c>
      <c r="AC384" s="19">
        <v>0</v>
      </c>
      <c r="AD384" s="20">
        <v>0</v>
      </c>
      <c r="AE384" s="20">
        <v>0</v>
      </c>
      <c r="AF384">
        <f t="shared" si="5"/>
        <v>0</v>
      </c>
    </row>
    <row r="385" spans="1:32" hidden="1" x14ac:dyDescent="0.25">
      <c r="A385" s="18" t="s">
        <v>166</v>
      </c>
      <c r="B385" s="19">
        <v>0</v>
      </c>
      <c r="C385" s="19">
        <v>0</v>
      </c>
      <c r="D385" s="20">
        <v>0</v>
      </c>
      <c r="E385" s="20">
        <v>0</v>
      </c>
      <c r="G385" s="19">
        <v>0</v>
      </c>
      <c r="H385" s="19">
        <v>0</v>
      </c>
      <c r="I385" s="20">
        <v>0</v>
      </c>
      <c r="J385" s="20">
        <v>0</v>
      </c>
      <c r="L385" s="19">
        <v>0</v>
      </c>
      <c r="M385" s="19">
        <v>0</v>
      </c>
      <c r="N385" s="20">
        <v>0</v>
      </c>
      <c r="O385" s="20">
        <v>0</v>
      </c>
      <c r="R385" s="19">
        <v>0</v>
      </c>
      <c r="S385" s="19">
        <v>0</v>
      </c>
      <c r="T385" s="20">
        <v>0</v>
      </c>
      <c r="U385" s="20">
        <v>0</v>
      </c>
      <c r="W385" s="19">
        <v>0</v>
      </c>
      <c r="X385" s="19">
        <v>0</v>
      </c>
      <c r="Y385" s="20">
        <v>0</v>
      </c>
      <c r="Z385" s="20">
        <v>0</v>
      </c>
      <c r="AB385" s="19">
        <v>0</v>
      </c>
      <c r="AC385" s="19">
        <v>0</v>
      </c>
      <c r="AD385" s="20">
        <v>0</v>
      </c>
      <c r="AE385" s="20">
        <v>0</v>
      </c>
      <c r="AF385">
        <f t="shared" si="5"/>
        <v>0</v>
      </c>
    </row>
    <row r="386" spans="1:32" hidden="1" x14ac:dyDescent="0.25">
      <c r="A386" s="18" t="s">
        <v>172</v>
      </c>
      <c r="B386" s="19">
        <v>0</v>
      </c>
      <c r="C386" s="19">
        <v>0</v>
      </c>
      <c r="D386" s="20">
        <v>0</v>
      </c>
      <c r="E386" s="20">
        <v>0</v>
      </c>
      <c r="G386" s="19">
        <v>0</v>
      </c>
      <c r="H386" s="19">
        <v>0</v>
      </c>
      <c r="I386" s="20">
        <v>0</v>
      </c>
      <c r="J386" s="20">
        <v>0</v>
      </c>
      <c r="L386" s="19">
        <v>0</v>
      </c>
      <c r="M386" s="19">
        <v>0</v>
      </c>
      <c r="N386" s="20">
        <v>0</v>
      </c>
      <c r="O386" s="20">
        <v>0</v>
      </c>
      <c r="R386" s="19">
        <v>0</v>
      </c>
      <c r="S386" s="19">
        <v>0</v>
      </c>
      <c r="T386" s="20">
        <v>0</v>
      </c>
      <c r="U386" s="20">
        <v>0</v>
      </c>
      <c r="W386" s="19">
        <v>0</v>
      </c>
      <c r="X386" s="19">
        <v>0</v>
      </c>
      <c r="Y386" s="20">
        <v>0</v>
      </c>
      <c r="Z386" s="20">
        <v>0</v>
      </c>
      <c r="AB386" s="19">
        <v>0</v>
      </c>
      <c r="AC386" s="19">
        <v>0</v>
      </c>
      <c r="AD386" s="20">
        <v>0</v>
      </c>
      <c r="AE386" s="20">
        <v>0</v>
      </c>
      <c r="AF386">
        <f t="shared" si="5"/>
        <v>0</v>
      </c>
    </row>
    <row r="387" spans="1:32" hidden="1" x14ac:dyDescent="0.25">
      <c r="A387" s="18" t="s">
        <v>35</v>
      </c>
      <c r="B387" s="19">
        <v>0</v>
      </c>
      <c r="C387" s="19">
        <v>0</v>
      </c>
      <c r="D387" s="20">
        <v>0</v>
      </c>
      <c r="E387" s="20">
        <v>0</v>
      </c>
      <c r="G387" s="19">
        <v>0</v>
      </c>
      <c r="H387" s="19">
        <v>0</v>
      </c>
      <c r="I387" s="20">
        <v>0</v>
      </c>
      <c r="J387" s="20">
        <v>0</v>
      </c>
      <c r="L387" s="19">
        <v>0</v>
      </c>
      <c r="M387" s="19">
        <v>0</v>
      </c>
      <c r="N387" s="20">
        <v>0</v>
      </c>
      <c r="O387" s="20">
        <v>0</v>
      </c>
      <c r="R387" s="19">
        <v>0</v>
      </c>
      <c r="S387" s="19">
        <v>0</v>
      </c>
      <c r="T387" s="20">
        <v>0</v>
      </c>
      <c r="U387" s="20">
        <v>0</v>
      </c>
      <c r="W387" s="19">
        <v>0</v>
      </c>
      <c r="X387" s="19">
        <v>0</v>
      </c>
      <c r="Y387" s="20">
        <v>0</v>
      </c>
      <c r="Z387" s="20">
        <v>0</v>
      </c>
      <c r="AB387" s="19">
        <v>0</v>
      </c>
      <c r="AC387" s="19">
        <v>0</v>
      </c>
      <c r="AD387" s="20">
        <v>0</v>
      </c>
      <c r="AE387" s="20">
        <v>0</v>
      </c>
      <c r="AF387">
        <f t="shared" si="5"/>
        <v>0</v>
      </c>
    </row>
    <row r="388" spans="1:32" hidden="1" x14ac:dyDescent="0.25">
      <c r="A388" s="18" t="s">
        <v>85</v>
      </c>
      <c r="B388" s="19">
        <v>0</v>
      </c>
      <c r="C388" s="19">
        <v>0</v>
      </c>
      <c r="D388" s="20">
        <v>0</v>
      </c>
      <c r="E388" s="20">
        <v>0</v>
      </c>
      <c r="G388" s="19">
        <v>0</v>
      </c>
      <c r="H388" s="19">
        <v>0</v>
      </c>
      <c r="I388" s="20">
        <v>0</v>
      </c>
      <c r="J388" s="20">
        <v>0</v>
      </c>
      <c r="L388" s="19">
        <v>0</v>
      </c>
      <c r="M388" s="19">
        <v>0</v>
      </c>
      <c r="N388" s="20">
        <v>0</v>
      </c>
      <c r="O388" s="20">
        <v>0</v>
      </c>
      <c r="R388" s="19">
        <v>0</v>
      </c>
      <c r="S388" s="19">
        <v>0</v>
      </c>
      <c r="T388" s="20">
        <v>0</v>
      </c>
      <c r="U388" s="20">
        <v>0</v>
      </c>
      <c r="W388" s="19">
        <v>0</v>
      </c>
      <c r="X388" s="19">
        <v>0</v>
      </c>
      <c r="Y388" s="20">
        <v>0</v>
      </c>
      <c r="Z388" s="20">
        <v>0</v>
      </c>
      <c r="AB388" s="19">
        <v>0</v>
      </c>
      <c r="AC388" s="19">
        <v>0</v>
      </c>
      <c r="AD388" s="20">
        <v>0</v>
      </c>
      <c r="AE388" s="20">
        <v>0</v>
      </c>
      <c r="AF388">
        <f t="shared" ref="AF388:AF427" si="6">SUM(A388:AE388)</f>
        <v>0</v>
      </c>
    </row>
    <row r="389" spans="1:32" hidden="1" x14ac:dyDescent="0.25">
      <c r="A389" s="18" t="s">
        <v>36</v>
      </c>
      <c r="B389" s="19">
        <v>0</v>
      </c>
      <c r="C389" s="19">
        <v>0</v>
      </c>
      <c r="D389" s="20">
        <v>0</v>
      </c>
      <c r="E389" s="20">
        <v>0</v>
      </c>
      <c r="G389" s="19">
        <v>0</v>
      </c>
      <c r="H389" s="19">
        <v>0</v>
      </c>
      <c r="I389" s="20">
        <v>0</v>
      </c>
      <c r="J389" s="20">
        <v>0</v>
      </c>
      <c r="L389" s="19">
        <v>0</v>
      </c>
      <c r="M389" s="19">
        <v>0</v>
      </c>
      <c r="N389" s="20">
        <v>0</v>
      </c>
      <c r="O389" s="20">
        <v>0</v>
      </c>
      <c r="R389" s="19">
        <v>0</v>
      </c>
      <c r="S389" s="19">
        <v>0</v>
      </c>
      <c r="T389" s="20">
        <v>0</v>
      </c>
      <c r="U389" s="20">
        <v>0</v>
      </c>
      <c r="W389" s="19">
        <v>0</v>
      </c>
      <c r="X389" s="19">
        <v>0</v>
      </c>
      <c r="Y389" s="20">
        <v>0</v>
      </c>
      <c r="Z389" s="20">
        <v>0</v>
      </c>
      <c r="AB389" s="19">
        <v>0</v>
      </c>
      <c r="AC389" s="19">
        <v>0</v>
      </c>
      <c r="AD389" s="20">
        <v>0</v>
      </c>
      <c r="AE389" s="20">
        <v>0</v>
      </c>
      <c r="AF389">
        <f t="shared" si="6"/>
        <v>0</v>
      </c>
    </row>
    <row r="390" spans="1:32" hidden="1" x14ac:dyDescent="0.25">
      <c r="A390" s="18" t="s">
        <v>37</v>
      </c>
      <c r="B390" s="19">
        <v>0</v>
      </c>
      <c r="C390" s="19">
        <v>0</v>
      </c>
      <c r="D390" s="20">
        <v>0</v>
      </c>
      <c r="E390" s="20">
        <v>0</v>
      </c>
      <c r="G390" s="19">
        <v>0</v>
      </c>
      <c r="H390" s="19">
        <v>0</v>
      </c>
      <c r="I390" s="20">
        <v>0</v>
      </c>
      <c r="J390" s="20">
        <v>0</v>
      </c>
      <c r="L390" s="19">
        <v>0</v>
      </c>
      <c r="M390" s="19">
        <v>0</v>
      </c>
      <c r="N390" s="20">
        <v>0</v>
      </c>
      <c r="O390" s="20">
        <v>0</v>
      </c>
      <c r="R390" s="19">
        <v>0</v>
      </c>
      <c r="S390" s="19">
        <v>0</v>
      </c>
      <c r="T390" s="20">
        <v>0</v>
      </c>
      <c r="U390" s="20">
        <v>0</v>
      </c>
      <c r="W390" s="19">
        <v>0</v>
      </c>
      <c r="X390" s="19">
        <v>0</v>
      </c>
      <c r="Y390" s="20">
        <v>0</v>
      </c>
      <c r="Z390" s="20">
        <v>0</v>
      </c>
      <c r="AB390" s="19">
        <v>0</v>
      </c>
      <c r="AC390" s="19">
        <v>0</v>
      </c>
      <c r="AD390" s="20">
        <v>0</v>
      </c>
      <c r="AE390" s="20">
        <v>0</v>
      </c>
      <c r="AF390">
        <f t="shared" si="6"/>
        <v>0</v>
      </c>
    </row>
    <row r="391" spans="1:32" hidden="1" x14ac:dyDescent="0.25">
      <c r="A391" s="18" t="s">
        <v>86</v>
      </c>
      <c r="B391" s="19">
        <v>0</v>
      </c>
      <c r="C391" s="19">
        <v>0</v>
      </c>
      <c r="D391" s="20">
        <v>0</v>
      </c>
      <c r="E391" s="20">
        <v>0</v>
      </c>
      <c r="G391" s="19">
        <v>0</v>
      </c>
      <c r="H391" s="19">
        <v>0</v>
      </c>
      <c r="I391" s="20">
        <v>0</v>
      </c>
      <c r="J391" s="20">
        <v>0</v>
      </c>
      <c r="L391" s="19">
        <v>0</v>
      </c>
      <c r="M391" s="19">
        <v>0</v>
      </c>
      <c r="N391" s="20">
        <v>0</v>
      </c>
      <c r="O391" s="20">
        <v>0</v>
      </c>
      <c r="R391" s="19">
        <v>0</v>
      </c>
      <c r="S391" s="19">
        <v>0</v>
      </c>
      <c r="T391" s="20">
        <v>0</v>
      </c>
      <c r="U391" s="20">
        <v>0</v>
      </c>
      <c r="W391" s="19">
        <v>0</v>
      </c>
      <c r="X391" s="19">
        <v>0</v>
      </c>
      <c r="Y391" s="20">
        <v>0</v>
      </c>
      <c r="Z391" s="20">
        <v>0</v>
      </c>
      <c r="AB391" s="19">
        <v>0</v>
      </c>
      <c r="AC391" s="19">
        <v>0</v>
      </c>
      <c r="AD391" s="20">
        <v>0</v>
      </c>
      <c r="AE391" s="20">
        <v>0</v>
      </c>
      <c r="AF391">
        <f t="shared" si="6"/>
        <v>0</v>
      </c>
    </row>
    <row r="392" spans="1:32" hidden="1" x14ac:dyDescent="0.25">
      <c r="A392" s="18" t="s">
        <v>38</v>
      </c>
      <c r="B392" s="19">
        <v>0</v>
      </c>
      <c r="C392" s="19">
        <v>0</v>
      </c>
      <c r="D392" s="20">
        <v>0</v>
      </c>
      <c r="E392" s="20">
        <v>0</v>
      </c>
      <c r="G392" s="19">
        <v>0</v>
      </c>
      <c r="H392" s="19">
        <v>0</v>
      </c>
      <c r="I392" s="20">
        <v>0</v>
      </c>
      <c r="J392" s="20">
        <v>0</v>
      </c>
      <c r="L392" s="19">
        <v>0</v>
      </c>
      <c r="M392" s="19">
        <v>0</v>
      </c>
      <c r="N392" s="20">
        <v>0</v>
      </c>
      <c r="O392" s="20">
        <v>0</v>
      </c>
      <c r="R392" s="19">
        <v>0</v>
      </c>
      <c r="S392" s="19">
        <v>0</v>
      </c>
      <c r="T392" s="20">
        <v>0</v>
      </c>
      <c r="U392" s="20">
        <v>0</v>
      </c>
      <c r="W392" s="19">
        <v>0</v>
      </c>
      <c r="X392" s="19">
        <v>0</v>
      </c>
      <c r="Y392" s="20">
        <v>0</v>
      </c>
      <c r="Z392" s="20">
        <v>0</v>
      </c>
      <c r="AB392" s="19">
        <v>0</v>
      </c>
      <c r="AC392" s="19">
        <v>0</v>
      </c>
      <c r="AD392" s="20">
        <v>0</v>
      </c>
      <c r="AE392" s="20">
        <v>0</v>
      </c>
      <c r="AF392">
        <f t="shared" si="6"/>
        <v>0</v>
      </c>
    </row>
    <row r="393" spans="1:32" hidden="1" x14ac:dyDescent="0.25">
      <c r="A393" s="18" t="s">
        <v>39</v>
      </c>
      <c r="B393" s="19">
        <v>0</v>
      </c>
      <c r="C393" s="19">
        <v>0</v>
      </c>
      <c r="D393" s="20">
        <v>0</v>
      </c>
      <c r="E393" s="20">
        <v>0</v>
      </c>
      <c r="G393" s="19">
        <v>0</v>
      </c>
      <c r="H393" s="19">
        <v>0</v>
      </c>
      <c r="I393" s="20">
        <v>0</v>
      </c>
      <c r="J393" s="20">
        <v>0</v>
      </c>
      <c r="L393" s="19">
        <v>0</v>
      </c>
      <c r="M393" s="19">
        <v>0</v>
      </c>
      <c r="N393" s="20">
        <v>0</v>
      </c>
      <c r="O393" s="20">
        <v>0</v>
      </c>
      <c r="R393" s="19">
        <v>0</v>
      </c>
      <c r="S393" s="19">
        <v>0</v>
      </c>
      <c r="T393" s="20">
        <v>0</v>
      </c>
      <c r="U393" s="20">
        <v>0</v>
      </c>
      <c r="W393" s="19">
        <v>0</v>
      </c>
      <c r="X393" s="19">
        <v>0</v>
      </c>
      <c r="Y393" s="20">
        <v>0</v>
      </c>
      <c r="Z393" s="20">
        <v>0</v>
      </c>
      <c r="AB393" s="19">
        <v>0</v>
      </c>
      <c r="AC393" s="19">
        <v>0</v>
      </c>
      <c r="AD393" s="20">
        <v>0</v>
      </c>
      <c r="AE393" s="20">
        <v>0</v>
      </c>
      <c r="AF393">
        <f t="shared" si="6"/>
        <v>0</v>
      </c>
    </row>
    <row r="394" spans="1:32" hidden="1" x14ac:dyDescent="0.25">
      <c r="A394" s="18" t="s">
        <v>40</v>
      </c>
      <c r="B394" s="19">
        <v>0</v>
      </c>
      <c r="C394" s="19">
        <v>0</v>
      </c>
      <c r="D394" s="20">
        <v>0</v>
      </c>
      <c r="E394" s="20">
        <v>0</v>
      </c>
      <c r="G394" s="19">
        <v>0</v>
      </c>
      <c r="H394" s="19">
        <v>0</v>
      </c>
      <c r="I394" s="20">
        <v>0</v>
      </c>
      <c r="J394" s="20">
        <v>0</v>
      </c>
      <c r="L394" s="19">
        <v>0</v>
      </c>
      <c r="M394" s="19">
        <v>0</v>
      </c>
      <c r="N394" s="20">
        <v>0</v>
      </c>
      <c r="O394" s="20">
        <v>0</v>
      </c>
      <c r="R394" s="19">
        <v>0</v>
      </c>
      <c r="S394" s="19">
        <v>0</v>
      </c>
      <c r="T394" s="20">
        <v>0</v>
      </c>
      <c r="U394" s="20">
        <v>0</v>
      </c>
      <c r="W394" s="19">
        <v>0</v>
      </c>
      <c r="X394" s="19">
        <v>0</v>
      </c>
      <c r="Y394" s="20">
        <v>0</v>
      </c>
      <c r="Z394" s="20">
        <v>0</v>
      </c>
      <c r="AB394" s="19">
        <v>0</v>
      </c>
      <c r="AC394" s="19">
        <v>0</v>
      </c>
      <c r="AD394" s="20">
        <v>0</v>
      </c>
      <c r="AE394" s="20">
        <v>0</v>
      </c>
      <c r="AF394">
        <f t="shared" si="6"/>
        <v>0</v>
      </c>
    </row>
    <row r="395" spans="1:32" hidden="1" x14ac:dyDescent="0.25">
      <c r="A395" s="18" t="s">
        <v>173</v>
      </c>
      <c r="B395" s="19">
        <v>0</v>
      </c>
      <c r="C395" s="19">
        <v>0</v>
      </c>
      <c r="D395" s="20">
        <v>0</v>
      </c>
      <c r="E395" s="20">
        <v>0</v>
      </c>
      <c r="G395" s="19">
        <v>0</v>
      </c>
      <c r="H395" s="19">
        <v>0</v>
      </c>
      <c r="I395" s="20">
        <v>0</v>
      </c>
      <c r="J395" s="20">
        <v>0</v>
      </c>
      <c r="L395" s="19">
        <v>0</v>
      </c>
      <c r="M395" s="19">
        <v>0</v>
      </c>
      <c r="N395" s="20">
        <v>0</v>
      </c>
      <c r="O395" s="20">
        <v>0</v>
      </c>
      <c r="R395" s="19">
        <v>0</v>
      </c>
      <c r="S395" s="19">
        <v>0</v>
      </c>
      <c r="T395" s="20">
        <v>0</v>
      </c>
      <c r="U395" s="20">
        <v>0</v>
      </c>
      <c r="W395" s="19">
        <v>0</v>
      </c>
      <c r="X395" s="19">
        <v>0</v>
      </c>
      <c r="Y395" s="20">
        <v>0</v>
      </c>
      <c r="Z395" s="20">
        <v>0</v>
      </c>
      <c r="AB395" s="19">
        <v>0</v>
      </c>
      <c r="AC395" s="19">
        <v>0</v>
      </c>
      <c r="AD395" s="20">
        <v>0</v>
      </c>
      <c r="AE395" s="20">
        <v>0</v>
      </c>
      <c r="AF395">
        <f t="shared" si="6"/>
        <v>0</v>
      </c>
    </row>
    <row r="396" spans="1:32" hidden="1" x14ac:dyDescent="0.25">
      <c r="A396" s="18" t="s">
        <v>41</v>
      </c>
      <c r="B396" s="19">
        <v>0</v>
      </c>
      <c r="C396" s="19">
        <v>0</v>
      </c>
      <c r="D396" s="20">
        <v>0</v>
      </c>
      <c r="E396" s="20">
        <v>0</v>
      </c>
      <c r="G396" s="19">
        <v>0</v>
      </c>
      <c r="H396" s="19">
        <v>0</v>
      </c>
      <c r="I396" s="20">
        <v>0</v>
      </c>
      <c r="J396" s="20">
        <v>0</v>
      </c>
      <c r="L396" s="19">
        <v>0</v>
      </c>
      <c r="M396" s="19">
        <v>0</v>
      </c>
      <c r="N396" s="20">
        <v>0</v>
      </c>
      <c r="O396" s="20">
        <v>0</v>
      </c>
      <c r="R396" s="19">
        <v>0</v>
      </c>
      <c r="S396" s="19">
        <v>0</v>
      </c>
      <c r="T396" s="20">
        <v>0</v>
      </c>
      <c r="U396" s="20">
        <v>0</v>
      </c>
      <c r="W396" s="19">
        <v>0</v>
      </c>
      <c r="X396" s="19">
        <v>0</v>
      </c>
      <c r="Y396" s="20">
        <v>0</v>
      </c>
      <c r="Z396" s="20">
        <v>0</v>
      </c>
      <c r="AB396" s="19">
        <v>0</v>
      </c>
      <c r="AC396" s="19">
        <v>0</v>
      </c>
      <c r="AD396" s="20">
        <v>0</v>
      </c>
      <c r="AE396" s="20">
        <v>0</v>
      </c>
      <c r="AF396">
        <f t="shared" si="6"/>
        <v>0</v>
      </c>
    </row>
    <row r="397" spans="1:32" hidden="1" x14ac:dyDescent="0.25">
      <c r="A397" s="18" t="s">
        <v>42</v>
      </c>
      <c r="B397" s="19">
        <v>0</v>
      </c>
      <c r="C397" s="19">
        <v>0</v>
      </c>
      <c r="D397" s="20">
        <v>0</v>
      </c>
      <c r="E397" s="20">
        <v>0</v>
      </c>
      <c r="G397" s="19">
        <v>0</v>
      </c>
      <c r="H397" s="19">
        <v>0</v>
      </c>
      <c r="I397" s="20">
        <v>0</v>
      </c>
      <c r="J397" s="20">
        <v>0</v>
      </c>
      <c r="L397" s="19">
        <v>0</v>
      </c>
      <c r="M397" s="19">
        <v>0</v>
      </c>
      <c r="N397" s="20">
        <v>0</v>
      </c>
      <c r="O397" s="20">
        <v>0</v>
      </c>
      <c r="R397" s="19">
        <v>0</v>
      </c>
      <c r="S397" s="19">
        <v>0</v>
      </c>
      <c r="T397" s="20">
        <v>0</v>
      </c>
      <c r="U397" s="20">
        <v>0</v>
      </c>
      <c r="W397" s="19">
        <v>0</v>
      </c>
      <c r="X397" s="19">
        <v>0</v>
      </c>
      <c r="Y397" s="20">
        <v>0</v>
      </c>
      <c r="Z397" s="20">
        <v>0</v>
      </c>
      <c r="AB397" s="19">
        <v>0</v>
      </c>
      <c r="AC397" s="19">
        <v>0</v>
      </c>
      <c r="AD397" s="20">
        <v>0</v>
      </c>
      <c r="AE397" s="20">
        <v>0</v>
      </c>
      <c r="AF397">
        <f t="shared" si="6"/>
        <v>0</v>
      </c>
    </row>
    <row r="398" spans="1:32" hidden="1" x14ac:dyDescent="0.25">
      <c r="A398" s="18" t="s">
        <v>43</v>
      </c>
      <c r="B398" s="19">
        <v>0</v>
      </c>
      <c r="C398" s="19">
        <v>0</v>
      </c>
      <c r="D398" s="20">
        <v>0</v>
      </c>
      <c r="E398" s="20">
        <v>0</v>
      </c>
      <c r="G398" s="19">
        <v>0</v>
      </c>
      <c r="H398" s="19">
        <v>0</v>
      </c>
      <c r="I398" s="20">
        <v>0</v>
      </c>
      <c r="J398" s="20">
        <v>0</v>
      </c>
      <c r="L398" s="19">
        <v>0</v>
      </c>
      <c r="M398" s="19">
        <v>0</v>
      </c>
      <c r="N398" s="20">
        <v>0</v>
      </c>
      <c r="O398" s="20">
        <v>0</v>
      </c>
      <c r="R398" s="19">
        <v>0</v>
      </c>
      <c r="S398" s="19">
        <v>0</v>
      </c>
      <c r="T398" s="20">
        <v>0</v>
      </c>
      <c r="U398" s="20">
        <v>0</v>
      </c>
      <c r="W398" s="19">
        <v>0</v>
      </c>
      <c r="X398" s="19">
        <v>0</v>
      </c>
      <c r="Y398" s="20">
        <v>0</v>
      </c>
      <c r="Z398" s="20">
        <v>0</v>
      </c>
      <c r="AB398" s="19">
        <v>0</v>
      </c>
      <c r="AC398" s="19">
        <v>0</v>
      </c>
      <c r="AD398" s="20">
        <v>0</v>
      </c>
      <c r="AE398" s="20">
        <v>0</v>
      </c>
      <c r="AF398">
        <f t="shared" si="6"/>
        <v>0</v>
      </c>
    </row>
    <row r="399" spans="1:32" hidden="1" x14ac:dyDescent="0.25">
      <c r="A399" s="18" t="s">
        <v>87</v>
      </c>
      <c r="B399" s="19">
        <v>0</v>
      </c>
      <c r="C399" s="19">
        <v>0</v>
      </c>
      <c r="D399" s="20">
        <v>0</v>
      </c>
      <c r="E399" s="20">
        <v>0</v>
      </c>
      <c r="G399" s="19">
        <v>0</v>
      </c>
      <c r="H399" s="19">
        <v>0</v>
      </c>
      <c r="I399" s="20">
        <v>0</v>
      </c>
      <c r="J399" s="20">
        <v>0</v>
      </c>
      <c r="L399" s="19">
        <v>0</v>
      </c>
      <c r="M399" s="19">
        <v>0</v>
      </c>
      <c r="N399" s="20">
        <v>0</v>
      </c>
      <c r="O399" s="20">
        <v>0</v>
      </c>
      <c r="R399" s="19">
        <v>0</v>
      </c>
      <c r="S399" s="19">
        <v>0</v>
      </c>
      <c r="T399" s="20">
        <v>0</v>
      </c>
      <c r="U399" s="20">
        <v>0</v>
      </c>
      <c r="W399" s="19">
        <v>0</v>
      </c>
      <c r="X399" s="19">
        <v>0</v>
      </c>
      <c r="Y399" s="20">
        <v>0</v>
      </c>
      <c r="Z399" s="20">
        <v>0</v>
      </c>
      <c r="AB399" s="19">
        <v>0</v>
      </c>
      <c r="AC399" s="19">
        <v>0</v>
      </c>
      <c r="AD399" s="20">
        <v>0</v>
      </c>
      <c r="AE399" s="20">
        <v>0</v>
      </c>
      <c r="AF399">
        <f t="shared" si="6"/>
        <v>0</v>
      </c>
    </row>
    <row r="400" spans="1:32" hidden="1" x14ac:dyDescent="0.25">
      <c r="A400" s="18" t="s">
        <v>44</v>
      </c>
      <c r="B400" s="19">
        <v>0</v>
      </c>
      <c r="C400" s="19">
        <v>0</v>
      </c>
      <c r="D400" s="20">
        <v>0</v>
      </c>
      <c r="E400" s="20">
        <v>0</v>
      </c>
      <c r="G400" s="19">
        <v>0</v>
      </c>
      <c r="H400" s="19">
        <v>0</v>
      </c>
      <c r="I400" s="20">
        <v>0</v>
      </c>
      <c r="J400" s="20">
        <v>0</v>
      </c>
      <c r="L400" s="19">
        <v>0</v>
      </c>
      <c r="M400" s="19">
        <v>0</v>
      </c>
      <c r="N400" s="20">
        <v>0</v>
      </c>
      <c r="O400" s="20">
        <v>0</v>
      </c>
      <c r="R400" s="19">
        <v>0</v>
      </c>
      <c r="S400" s="19">
        <v>0</v>
      </c>
      <c r="T400" s="20">
        <v>0</v>
      </c>
      <c r="U400" s="20">
        <v>0</v>
      </c>
      <c r="W400" s="19">
        <v>0</v>
      </c>
      <c r="X400" s="19">
        <v>0</v>
      </c>
      <c r="Y400" s="20">
        <v>0</v>
      </c>
      <c r="Z400" s="20">
        <v>0</v>
      </c>
      <c r="AB400" s="19">
        <v>0</v>
      </c>
      <c r="AC400" s="19">
        <v>0</v>
      </c>
      <c r="AD400" s="20">
        <v>0</v>
      </c>
      <c r="AE400" s="20">
        <v>0</v>
      </c>
      <c r="AF400">
        <f t="shared" si="6"/>
        <v>0</v>
      </c>
    </row>
    <row r="401" spans="1:32" hidden="1" x14ac:dyDescent="0.25">
      <c r="A401" s="18" t="s">
        <v>45</v>
      </c>
      <c r="B401" s="19">
        <v>0</v>
      </c>
      <c r="C401" s="19">
        <v>0</v>
      </c>
      <c r="D401" s="20">
        <v>0</v>
      </c>
      <c r="E401" s="20">
        <v>0</v>
      </c>
      <c r="G401" s="19">
        <v>0</v>
      </c>
      <c r="H401" s="19">
        <v>0</v>
      </c>
      <c r="I401" s="20">
        <v>0</v>
      </c>
      <c r="J401" s="20">
        <v>0</v>
      </c>
      <c r="L401" s="19">
        <v>0</v>
      </c>
      <c r="M401" s="19">
        <v>0</v>
      </c>
      <c r="N401" s="20">
        <v>0</v>
      </c>
      <c r="O401" s="20">
        <v>0</v>
      </c>
      <c r="R401" s="19">
        <v>0</v>
      </c>
      <c r="S401" s="19">
        <v>0</v>
      </c>
      <c r="T401" s="20">
        <v>0</v>
      </c>
      <c r="U401" s="20">
        <v>0</v>
      </c>
      <c r="W401" s="19">
        <v>0</v>
      </c>
      <c r="X401" s="19">
        <v>0</v>
      </c>
      <c r="Y401" s="20">
        <v>0</v>
      </c>
      <c r="Z401" s="20">
        <v>0</v>
      </c>
      <c r="AB401" s="19">
        <v>0</v>
      </c>
      <c r="AC401" s="19">
        <v>0</v>
      </c>
      <c r="AD401" s="20">
        <v>0</v>
      </c>
      <c r="AE401" s="20">
        <v>0</v>
      </c>
      <c r="AF401">
        <f t="shared" si="6"/>
        <v>0</v>
      </c>
    </row>
    <row r="402" spans="1:32" hidden="1" x14ac:dyDescent="0.25">
      <c r="A402" s="18" t="s">
        <v>174</v>
      </c>
      <c r="B402" s="19">
        <v>0</v>
      </c>
      <c r="C402" s="19">
        <v>0</v>
      </c>
      <c r="D402" s="20">
        <v>0</v>
      </c>
      <c r="E402" s="20">
        <v>0</v>
      </c>
      <c r="G402" s="19">
        <v>0</v>
      </c>
      <c r="H402" s="19">
        <v>0</v>
      </c>
      <c r="I402" s="20">
        <v>0</v>
      </c>
      <c r="J402" s="20">
        <v>0</v>
      </c>
      <c r="L402" s="19">
        <v>0</v>
      </c>
      <c r="M402" s="19">
        <v>0</v>
      </c>
      <c r="N402" s="20">
        <v>0</v>
      </c>
      <c r="O402" s="20">
        <v>0</v>
      </c>
      <c r="R402" s="19">
        <v>0</v>
      </c>
      <c r="S402" s="19">
        <v>0</v>
      </c>
      <c r="T402" s="20">
        <v>0</v>
      </c>
      <c r="U402" s="20">
        <v>0</v>
      </c>
      <c r="W402" s="19">
        <v>0</v>
      </c>
      <c r="X402" s="19">
        <v>0</v>
      </c>
      <c r="Y402" s="20">
        <v>0</v>
      </c>
      <c r="Z402" s="20">
        <v>0</v>
      </c>
      <c r="AB402" s="19">
        <v>0</v>
      </c>
      <c r="AC402" s="19">
        <v>0</v>
      </c>
      <c r="AD402" s="20">
        <v>0</v>
      </c>
      <c r="AE402" s="20">
        <v>0</v>
      </c>
      <c r="AF402">
        <f t="shared" si="6"/>
        <v>0</v>
      </c>
    </row>
    <row r="403" spans="1:32" hidden="1" x14ac:dyDescent="0.25">
      <c r="A403" s="18" t="s">
        <v>46</v>
      </c>
      <c r="B403" s="19">
        <v>0</v>
      </c>
      <c r="C403" s="19">
        <v>0</v>
      </c>
      <c r="D403" s="20">
        <v>0</v>
      </c>
      <c r="E403" s="20">
        <v>0</v>
      </c>
      <c r="G403" s="19">
        <v>0</v>
      </c>
      <c r="H403" s="19">
        <v>0</v>
      </c>
      <c r="I403" s="20">
        <v>0</v>
      </c>
      <c r="J403" s="20">
        <v>0</v>
      </c>
      <c r="L403" s="19">
        <v>0</v>
      </c>
      <c r="M403" s="19">
        <v>0</v>
      </c>
      <c r="N403" s="20">
        <v>0</v>
      </c>
      <c r="O403" s="20">
        <v>0</v>
      </c>
      <c r="R403" s="19">
        <v>0</v>
      </c>
      <c r="S403" s="19">
        <v>0</v>
      </c>
      <c r="T403" s="20">
        <v>0</v>
      </c>
      <c r="U403" s="20">
        <v>0</v>
      </c>
      <c r="W403" s="19">
        <v>0</v>
      </c>
      <c r="X403" s="19">
        <v>0</v>
      </c>
      <c r="Y403" s="20">
        <v>0</v>
      </c>
      <c r="Z403" s="20">
        <v>0</v>
      </c>
      <c r="AB403" s="19">
        <v>0</v>
      </c>
      <c r="AC403" s="19">
        <v>0</v>
      </c>
      <c r="AD403" s="20">
        <v>0</v>
      </c>
      <c r="AE403" s="20">
        <v>0</v>
      </c>
      <c r="AF403">
        <f t="shared" si="6"/>
        <v>0</v>
      </c>
    </row>
    <row r="404" spans="1:32" hidden="1" x14ac:dyDescent="0.25">
      <c r="A404" s="18" t="s">
        <v>126</v>
      </c>
      <c r="B404" s="19">
        <v>0</v>
      </c>
      <c r="C404" s="19">
        <v>0</v>
      </c>
      <c r="D404" s="20">
        <v>0</v>
      </c>
      <c r="E404" s="20">
        <v>0</v>
      </c>
      <c r="G404" s="19">
        <v>0</v>
      </c>
      <c r="H404" s="19">
        <v>0</v>
      </c>
      <c r="I404" s="20">
        <v>0</v>
      </c>
      <c r="J404" s="20">
        <v>0</v>
      </c>
      <c r="L404" s="19">
        <v>0</v>
      </c>
      <c r="M404" s="19">
        <v>0</v>
      </c>
      <c r="N404" s="20">
        <v>0</v>
      </c>
      <c r="O404" s="20">
        <v>0</v>
      </c>
      <c r="R404" s="19">
        <v>0</v>
      </c>
      <c r="S404" s="19">
        <v>0</v>
      </c>
      <c r="T404" s="20">
        <v>0</v>
      </c>
      <c r="U404" s="20">
        <v>0</v>
      </c>
      <c r="W404" s="19">
        <v>0</v>
      </c>
      <c r="X404" s="19">
        <v>0</v>
      </c>
      <c r="Y404" s="20">
        <v>0</v>
      </c>
      <c r="Z404" s="20">
        <v>0</v>
      </c>
      <c r="AB404" s="19">
        <v>0</v>
      </c>
      <c r="AC404" s="19">
        <v>0</v>
      </c>
      <c r="AD404" s="20">
        <v>0</v>
      </c>
      <c r="AE404" s="20">
        <v>0</v>
      </c>
      <c r="AF404">
        <f t="shared" si="6"/>
        <v>0</v>
      </c>
    </row>
    <row r="405" spans="1:32" hidden="1" x14ac:dyDescent="0.25">
      <c r="A405" s="18" t="s">
        <v>47</v>
      </c>
      <c r="B405" s="19">
        <v>0</v>
      </c>
      <c r="C405" s="19">
        <v>0</v>
      </c>
      <c r="D405" s="20">
        <v>0</v>
      </c>
      <c r="E405" s="20">
        <v>0</v>
      </c>
      <c r="G405" s="19">
        <v>0</v>
      </c>
      <c r="H405" s="19">
        <v>0</v>
      </c>
      <c r="I405" s="20">
        <v>0</v>
      </c>
      <c r="J405" s="20">
        <v>0</v>
      </c>
      <c r="L405" s="19">
        <v>0</v>
      </c>
      <c r="M405" s="19">
        <v>0</v>
      </c>
      <c r="N405" s="20">
        <v>0</v>
      </c>
      <c r="O405" s="20">
        <v>0</v>
      </c>
      <c r="R405" s="19">
        <v>0</v>
      </c>
      <c r="S405" s="19">
        <v>0</v>
      </c>
      <c r="T405" s="20">
        <v>0</v>
      </c>
      <c r="U405" s="20">
        <v>0</v>
      </c>
      <c r="W405" s="19">
        <v>0</v>
      </c>
      <c r="X405" s="19">
        <v>0</v>
      </c>
      <c r="Y405" s="20">
        <v>0</v>
      </c>
      <c r="Z405" s="20">
        <v>0</v>
      </c>
      <c r="AB405" s="19">
        <v>0</v>
      </c>
      <c r="AC405" s="19">
        <v>0</v>
      </c>
      <c r="AD405" s="20">
        <v>0</v>
      </c>
      <c r="AE405" s="20">
        <v>0</v>
      </c>
      <c r="AF405">
        <f t="shared" si="6"/>
        <v>0</v>
      </c>
    </row>
    <row r="406" spans="1:32" hidden="1" x14ac:dyDescent="0.25">
      <c r="A406" s="18" t="s">
        <v>48</v>
      </c>
      <c r="B406" s="19">
        <v>0</v>
      </c>
      <c r="C406" s="19">
        <v>0</v>
      </c>
      <c r="D406" s="20">
        <v>0</v>
      </c>
      <c r="E406" s="20">
        <v>0</v>
      </c>
      <c r="G406" s="19">
        <v>0</v>
      </c>
      <c r="H406" s="19">
        <v>0</v>
      </c>
      <c r="I406" s="20">
        <v>0</v>
      </c>
      <c r="J406" s="20">
        <v>0</v>
      </c>
      <c r="L406" s="19">
        <v>0</v>
      </c>
      <c r="M406" s="19">
        <v>0</v>
      </c>
      <c r="N406" s="20">
        <v>0</v>
      </c>
      <c r="O406" s="20">
        <v>0</v>
      </c>
      <c r="R406" s="19">
        <v>0</v>
      </c>
      <c r="S406" s="19">
        <v>0</v>
      </c>
      <c r="T406" s="20">
        <v>0</v>
      </c>
      <c r="U406" s="20">
        <v>0</v>
      </c>
      <c r="W406" s="19">
        <v>0</v>
      </c>
      <c r="X406" s="19">
        <v>0</v>
      </c>
      <c r="Y406" s="20">
        <v>0</v>
      </c>
      <c r="Z406" s="20">
        <v>0</v>
      </c>
      <c r="AB406" s="19">
        <v>0</v>
      </c>
      <c r="AC406" s="19">
        <v>0</v>
      </c>
      <c r="AD406" s="20">
        <v>0</v>
      </c>
      <c r="AE406" s="20">
        <v>0</v>
      </c>
      <c r="AF406">
        <f t="shared" si="6"/>
        <v>0</v>
      </c>
    </row>
    <row r="407" spans="1:32" hidden="1" x14ac:dyDescent="0.25">
      <c r="A407" s="18" t="s">
        <v>88</v>
      </c>
      <c r="B407" s="19">
        <v>0</v>
      </c>
      <c r="C407" s="19">
        <v>0</v>
      </c>
      <c r="D407" s="20">
        <v>0</v>
      </c>
      <c r="E407" s="20">
        <v>0</v>
      </c>
      <c r="G407" s="19">
        <v>0</v>
      </c>
      <c r="H407" s="19">
        <v>0</v>
      </c>
      <c r="I407" s="20">
        <v>0</v>
      </c>
      <c r="J407" s="20">
        <v>0</v>
      </c>
      <c r="L407" s="19">
        <v>0</v>
      </c>
      <c r="M407" s="19">
        <v>0</v>
      </c>
      <c r="N407" s="20">
        <v>0</v>
      </c>
      <c r="O407" s="20">
        <v>0</v>
      </c>
      <c r="R407" s="19">
        <v>0</v>
      </c>
      <c r="S407" s="19">
        <v>0</v>
      </c>
      <c r="T407" s="20">
        <v>0</v>
      </c>
      <c r="U407" s="20">
        <v>0</v>
      </c>
      <c r="W407" s="19">
        <v>0</v>
      </c>
      <c r="X407" s="19">
        <v>0</v>
      </c>
      <c r="Y407" s="20">
        <v>0</v>
      </c>
      <c r="Z407" s="20">
        <v>0</v>
      </c>
      <c r="AB407" s="19">
        <v>0</v>
      </c>
      <c r="AC407" s="19">
        <v>0</v>
      </c>
      <c r="AD407" s="20">
        <v>0</v>
      </c>
      <c r="AE407" s="20">
        <v>0</v>
      </c>
      <c r="AF407">
        <f t="shared" si="6"/>
        <v>0</v>
      </c>
    </row>
    <row r="408" spans="1:32" hidden="1" x14ac:dyDescent="0.25">
      <c r="A408" s="18" t="s">
        <v>49</v>
      </c>
      <c r="B408" s="19">
        <v>0</v>
      </c>
      <c r="C408" s="19">
        <v>0</v>
      </c>
      <c r="D408" s="20">
        <v>0</v>
      </c>
      <c r="E408" s="20">
        <v>0</v>
      </c>
      <c r="G408" s="19">
        <v>0</v>
      </c>
      <c r="H408" s="19">
        <v>0</v>
      </c>
      <c r="I408" s="20">
        <v>0</v>
      </c>
      <c r="J408" s="20">
        <v>0</v>
      </c>
      <c r="L408" s="19">
        <v>0</v>
      </c>
      <c r="M408" s="19">
        <v>0</v>
      </c>
      <c r="N408" s="20">
        <v>0</v>
      </c>
      <c r="O408" s="20">
        <v>0</v>
      </c>
      <c r="R408" s="19">
        <v>0</v>
      </c>
      <c r="S408" s="19">
        <v>0</v>
      </c>
      <c r="T408" s="20">
        <v>0</v>
      </c>
      <c r="U408" s="20">
        <v>0</v>
      </c>
      <c r="W408" s="19">
        <v>0</v>
      </c>
      <c r="X408" s="19">
        <v>0</v>
      </c>
      <c r="Y408" s="20">
        <v>0</v>
      </c>
      <c r="Z408" s="20">
        <v>0</v>
      </c>
      <c r="AB408" s="19">
        <v>0</v>
      </c>
      <c r="AC408" s="19">
        <v>0</v>
      </c>
      <c r="AD408" s="20">
        <v>0</v>
      </c>
      <c r="AE408" s="20">
        <v>0</v>
      </c>
      <c r="AF408">
        <f t="shared" si="6"/>
        <v>0</v>
      </c>
    </row>
    <row r="409" spans="1:32" hidden="1" x14ac:dyDescent="0.25">
      <c r="A409" s="18" t="s">
        <v>50</v>
      </c>
      <c r="B409" s="19">
        <v>0</v>
      </c>
      <c r="C409" s="19">
        <v>0</v>
      </c>
      <c r="D409" s="20">
        <v>0</v>
      </c>
      <c r="E409" s="20">
        <v>0</v>
      </c>
      <c r="G409" s="19">
        <v>0</v>
      </c>
      <c r="H409" s="19">
        <v>0</v>
      </c>
      <c r="I409" s="20">
        <v>0</v>
      </c>
      <c r="J409" s="20">
        <v>0</v>
      </c>
      <c r="L409" s="19">
        <v>0</v>
      </c>
      <c r="M409" s="19">
        <v>0</v>
      </c>
      <c r="N409" s="20">
        <v>0</v>
      </c>
      <c r="O409" s="20">
        <v>0</v>
      </c>
      <c r="R409" s="19">
        <v>0</v>
      </c>
      <c r="S409" s="19">
        <v>0</v>
      </c>
      <c r="T409" s="20">
        <v>0</v>
      </c>
      <c r="U409" s="20">
        <v>0</v>
      </c>
      <c r="W409" s="19">
        <v>0</v>
      </c>
      <c r="X409" s="19">
        <v>0</v>
      </c>
      <c r="Y409" s="20">
        <v>0</v>
      </c>
      <c r="Z409" s="20">
        <v>0</v>
      </c>
      <c r="AB409" s="19">
        <v>0</v>
      </c>
      <c r="AC409" s="19">
        <v>0</v>
      </c>
      <c r="AD409" s="20">
        <v>0</v>
      </c>
      <c r="AE409" s="20">
        <v>0</v>
      </c>
      <c r="AF409">
        <f t="shared" si="6"/>
        <v>0</v>
      </c>
    </row>
    <row r="410" spans="1:32" hidden="1" x14ac:dyDescent="0.25">
      <c r="A410" s="18" t="s">
        <v>51</v>
      </c>
      <c r="B410" s="19">
        <v>0</v>
      </c>
      <c r="C410" s="19">
        <v>0</v>
      </c>
      <c r="D410" s="20">
        <v>0</v>
      </c>
      <c r="E410" s="20">
        <v>0</v>
      </c>
      <c r="G410" s="19">
        <v>0</v>
      </c>
      <c r="H410" s="19">
        <v>0</v>
      </c>
      <c r="I410" s="20">
        <v>0</v>
      </c>
      <c r="J410" s="20">
        <v>0</v>
      </c>
      <c r="L410" s="19">
        <v>0</v>
      </c>
      <c r="M410" s="19">
        <v>0</v>
      </c>
      <c r="N410" s="20">
        <v>0</v>
      </c>
      <c r="O410" s="20">
        <v>0</v>
      </c>
      <c r="R410" s="19">
        <v>0</v>
      </c>
      <c r="S410" s="19">
        <v>0</v>
      </c>
      <c r="T410" s="20">
        <v>0</v>
      </c>
      <c r="U410" s="20">
        <v>0</v>
      </c>
      <c r="W410" s="19">
        <v>0</v>
      </c>
      <c r="X410" s="19">
        <v>0</v>
      </c>
      <c r="Y410" s="20">
        <v>0</v>
      </c>
      <c r="Z410" s="20">
        <v>0</v>
      </c>
      <c r="AB410" s="19">
        <v>0</v>
      </c>
      <c r="AC410" s="19">
        <v>0</v>
      </c>
      <c r="AD410" s="20">
        <v>0</v>
      </c>
      <c r="AE410" s="20">
        <v>0</v>
      </c>
      <c r="AF410">
        <f t="shared" si="6"/>
        <v>0</v>
      </c>
    </row>
    <row r="411" spans="1:32" hidden="1" x14ac:dyDescent="0.25">
      <c r="A411" s="18" t="s">
        <v>52</v>
      </c>
      <c r="B411" s="19">
        <v>0</v>
      </c>
      <c r="C411" s="19">
        <v>0</v>
      </c>
      <c r="D411" s="20">
        <v>0</v>
      </c>
      <c r="E411" s="20">
        <v>0</v>
      </c>
      <c r="G411" s="19">
        <v>0</v>
      </c>
      <c r="H411" s="19">
        <v>0</v>
      </c>
      <c r="I411" s="20">
        <v>0</v>
      </c>
      <c r="J411" s="20">
        <v>0</v>
      </c>
      <c r="L411" s="19">
        <v>0</v>
      </c>
      <c r="M411" s="19">
        <v>0</v>
      </c>
      <c r="N411" s="20">
        <v>0</v>
      </c>
      <c r="O411" s="20">
        <v>0</v>
      </c>
      <c r="R411" s="19">
        <v>0</v>
      </c>
      <c r="S411" s="19">
        <v>0</v>
      </c>
      <c r="T411" s="20">
        <v>0</v>
      </c>
      <c r="U411" s="20">
        <v>0</v>
      </c>
      <c r="W411" s="19">
        <v>0</v>
      </c>
      <c r="X411" s="19">
        <v>0</v>
      </c>
      <c r="Y411" s="20">
        <v>0</v>
      </c>
      <c r="Z411" s="20">
        <v>0</v>
      </c>
      <c r="AB411" s="19">
        <v>0</v>
      </c>
      <c r="AC411" s="19">
        <v>0</v>
      </c>
      <c r="AD411" s="20">
        <v>0</v>
      </c>
      <c r="AE411" s="20">
        <v>0</v>
      </c>
      <c r="AF411">
        <f t="shared" si="6"/>
        <v>0</v>
      </c>
    </row>
    <row r="412" spans="1:32" hidden="1" x14ac:dyDescent="0.25">
      <c r="A412" s="18" t="s">
        <v>89</v>
      </c>
      <c r="B412" s="19">
        <v>0</v>
      </c>
      <c r="C412" s="19">
        <v>0</v>
      </c>
      <c r="D412" s="20">
        <v>0</v>
      </c>
      <c r="E412" s="20">
        <v>0</v>
      </c>
      <c r="G412" s="19">
        <v>0</v>
      </c>
      <c r="H412" s="19">
        <v>0</v>
      </c>
      <c r="I412" s="20">
        <v>0</v>
      </c>
      <c r="J412" s="20">
        <v>0</v>
      </c>
      <c r="L412" s="19">
        <v>0</v>
      </c>
      <c r="M412" s="19">
        <v>0</v>
      </c>
      <c r="N412" s="20">
        <v>0</v>
      </c>
      <c r="O412" s="20">
        <v>0</v>
      </c>
      <c r="R412" s="19">
        <v>0</v>
      </c>
      <c r="S412" s="19">
        <v>0</v>
      </c>
      <c r="T412" s="20">
        <v>0</v>
      </c>
      <c r="U412" s="20">
        <v>0</v>
      </c>
      <c r="W412" s="19">
        <v>0</v>
      </c>
      <c r="X412" s="19">
        <v>0</v>
      </c>
      <c r="Y412" s="20">
        <v>0</v>
      </c>
      <c r="Z412" s="20">
        <v>0</v>
      </c>
      <c r="AB412" s="19">
        <v>0</v>
      </c>
      <c r="AC412" s="19">
        <v>0</v>
      </c>
      <c r="AD412" s="20">
        <v>0</v>
      </c>
      <c r="AE412" s="20">
        <v>0</v>
      </c>
      <c r="AF412">
        <f t="shared" si="6"/>
        <v>0</v>
      </c>
    </row>
    <row r="413" spans="1:32" hidden="1" x14ac:dyDescent="0.25">
      <c r="A413" s="18" t="s">
        <v>53</v>
      </c>
      <c r="B413" s="19">
        <v>0</v>
      </c>
      <c r="C413" s="19">
        <v>0</v>
      </c>
      <c r="D413" s="20">
        <v>0</v>
      </c>
      <c r="E413" s="20">
        <v>0</v>
      </c>
      <c r="G413" s="19">
        <v>0</v>
      </c>
      <c r="H413" s="19">
        <v>0</v>
      </c>
      <c r="I413" s="20">
        <v>0</v>
      </c>
      <c r="J413" s="20">
        <v>0</v>
      </c>
      <c r="L413" s="19">
        <v>0</v>
      </c>
      <c r="M413" s="19">
        <v>0</v>
      </c>
      <c r="N413" s="20">
        <v>0</v>
      </c>
      <c r="O413" s="20">
        <v>0</v>
      </c>
      <c r="R413" s="19">
        <v>0</v>
      </c>
      <c r="S413" s="19">
        <v>0</v>
      </c>
      <c r="T413" s="20">
        <v>0</v>
      </c>
      <c r="U413" s="20">
        <v>0</v>
      </c>
      <c r="W413" s="19">
        <v>0</v>
      </c>
      <c r="X413" s="19">
        <v>0</v>
      </c>
      <c r="Y413" s="20">
        <v>0</v>
      </c>
      <c r="Z413" s="20">
        <v>0</v>
      </c>
      <c r="AB413" s="19">
        <v>0</v>
      </c>
      <c r="AC413" s="19">
        <v>0</v>
      </c>
      <c r="AD413" s="20">
        <v>0</v>
      </c>
      <c r="AE413" s="20">
        <v>0</v>
      </c>
      <c r="AF413">
        <f t="shared" si="6"/>
        <v>0</v>
      </c>
    </row>
    <row r="414" spans="1:32" hidden="1" x14ac:dyDescent="0.25">
      <c r="A414" s="18" t="s">
        <v>54</v>
      </c>
      <c r="B414" s="19">
        <v>0</v>
      </c>
      <c r="C414" s="19">
        <v>0</v>
      </c>
      <c r="D414" s="20">
        <v>0</v>
      </c>
      <c r="E414" s="20">
        <v>0</v>
      </c>
      <c r="G414" s="19">
        <v>0</v>
      </c>
      <c r="H414" s="19">
        <v>0</v>
      </c>
      <c r="I414" s="20">
        <v>0</v>
      </c>
      <c r="J414" s="20">
        <v>0</v>
      </c>
      <c r="L414" s="19">
        <v>0</v>
      </c>
      <c r="M414" s="19">
        <v>0</v>
      </c>
      <c r="N414" s="20">
        <v>0</v>
      </c>
      <c r="O414" s="20">
        <v>0</v>
      </c>
      <c r="R414" s="19">
        <v>0</v>
      </c>
      <c r="S414" s="19">
        <v>0</v>
      </c>
      <c r="T414" s="20">
        <v>0</v>
      </c>
      <c r="U414" s="20">
        <v>0</v>
      </c>
      <c r="W414" s="19">
        <v>0</v>
      </c>
      <c r="X414" s="19">
        <v>0</v>
      </c>
      <c r="Y414" s="20">
        <v>0</v>
      </c>
      <c r="Z414" s="20">
        <v>0</v>
      </c>
      <c r="AB414" s="19">
        <v>0</v>
      </c>
      <c r="AC414" s="19">
        <v>0</v>
      </c>
      <c r="AD414" s="20">
        <v>0</v>
      </c>
      <c r="AE414" s="20">
        <v>0</v>
      </c>
      <c r="AF414">
        <f t="shared" si="6"/>
        <v>0</v>
      </c>
    </row>
    <row r="415" spans="1:32" hidden="1" x14ac:dyDescent="0.25">
      <c r="A415" s="18" t="s">
        <v>90</v>
      </c>
      <c r="B415" s="19">
        <v>0</v>
      </c>
      <c r="C415" s="19">
        <v>0</v>
      </c>
      <c r="D415" s="20">
        <v>0</v>
      </c>
      <c r="E415" s="20">
        <v>0</v>
      </c>
      <c r="G415" s="19">
        <v>0</v>
      </c>
      <c r="H415" s="19">
        <v>0</v>
      </c>
      <c r="I415" s="20">
        <v>0</v>
      </c>
      <c r="J415" s="20">
        <v>0</v>
      </c>
      <c r="L415" s="19">
        <v>0</v>
      </c>
      <c r="M415" s="19">
        <v>0</v>
      </c>
      <c r="N415" s="20">
        <v>0</v>
      </c>
      <c r="O415" s="20">
        <v>0</v>
      </c>
      <c r="R415" s="19">
        <v>0</v>
      </c>
      <c r="S415" s="19">
        <v>0</v>
      </c>
      <c r="T415" s="20">
        <v>0</v>
      </c>
      <c r="U415" s="20">
        <v>0</v>
      </c>
      <c r="W415" s="19">
        <v>0</v>
      </c>
      <c r="X415" s="19">
        <v>0</v>
      </c>
      <c r="Y415" s="20">
        <v>0</v>
      </c>
      <c r="Z415" s="20">
        <v>0</v>
      </c>
      <c r="AB415" s="19">
        <v>0</v>
      </c>
      <c r="AC415" s="19">
        <v>0</v>
      </c>
      <c r="AD415" s="20">
        <v>0</v>
      </c>
      <c r="AE415" s="20">
        <v>0</v>
      </c>
      <c r="AF415">
        <f t="shared" si="6"/>
        <v>0</v>
      </c>
    </row>
    <row r="416" spans="1:32" hidden="1" x14ac:dyDescent="0.25">
      <c r="A416" s="18" t="s">
        <v>55</v>
      </c>
      <c r="B416" s="19">
        <v>0</v>
      </c>
      <c r="C416" s="19">
        <v>0</v>
      </c>
      <c r="D416" s="20">
        <v>0</v>
      </c>
      <c r="E416" s="20">
        <v>0</v>
      </c>
      <c r="G416" s="19">
        <v>0</v>
      </c>
      <c r="H416" s="19">
        <v>0</v>
      </c>
      <c r="I416" s="20">
        <v>0</v>
      </c>
      <c r="J416" s="20">
        <v>0</v>
      </c>
      <c r="L416" s="19">
        <v>0</v>
      </c>
      <c r="M416" s="19">
        <v>0</v>
      </c>
      <c r="N416" s="20">
        <v>0</v>
      </c>
      <c r="O416" s="20">
        <v>0</v>
      </c>
      <c r="R416" s="19">
        <v>0</v>
      </c>
      <c r="S416" s="19">
        <v>0</v>
      </c>
      <c r="T416" s="20">
        <v>0</v>
      </c>
      <c r="U416" s="20">
        <v>0</v>
      </c>
      <c r="W416" s="19">
        <v>0</v>
      </c>
      <c r="X416" s="19">
        <v>0</v>
      </c>
      <c r="Y416" s="20">
        <v>0</v>
      </c>
      <c r="Z416" s="20">
        <v>0</v>
      </c>
      <c r="AB416" s="19">
        <v>0</v>
      </c>
      <c r="AC416" s="19">
        <v>0</v>
      </c>
      <c r="AD416" s="20">
        <v>0</v>
      </c>
      <c r="AE416" s="20">
        <v>0</v>
      </c>
      <c r="AF416">
        <f t="shared" si="6"/>
        <v>0</v>
      </c>
    </row>
    <row r="417" spans="1:32" hidden="1" x14ac:dyDescent="0.25">
      <c r="A417" s="18" t="s">
        <v>91</v>
      </c>
      <c r="B417" s="19">
        <v>0</v>
      </c>
      <c r="C417" s="19">
        <v>0</v>
      </c>
      <c r="D417" s="20">
        <v>0</v>
      </c>
      <c r="E417" s="20">
        <v>0</v>
      </c>
      <c r="G417" s="19">
        <v>0</v>
      </c>
      <c r="H417" s="19">
        <v>0</v>
      </c>
      <c r="I417" s="20">
        <v>0</v>
      </c>
      <c r="J417" s="20">
        <v>0</v>
      </c>
      <c r="L417" s="19">
        <v>0</v>
      </c>
      <c r="M417" s="19">
        <v>0</v>
      </c>
      <c r="N417" s="20">
        <v>0</v>
      </c>
      <c r="O417" s="20">
        <v>0</v>
      </c>
      <c r="R417" s="19">
        <v>0</v>
      </c>
      <c r="S417" s="19">
        <v>0</v>
      </c>
      <c r="T417" s="20">
        <v>0</v>
      </c>
      <c r="U417" s="20">
        <v>0</v>
      </c>
      <c r="W417" s="19">
        <v>0</v>
      </c>
      <c r="X417" s="19">
        <v>0</v>
      </c>
      <c r="Y417" s="20">
        <v>0</v>
      </c>
      <c r="Z417" s="20">
        <v>0</v>
      </c>
      <c r="AB417" s="19">
        <v>0</v>
      </c>
      <c r="AC417" s="19">
        <v>0</v>
      </c>
      <c r="AD417" s="20">
        <v>0</v>
      </c>
      <c r="AE417" s="20">
        <v>0</v>
      </c>
      <c r="AF417">
        <f t="shared" si="6"/>
        <v>0</v>
      </c>
    </row>
    <row r="418" spans="1:32" hidden="1" x14ac:dyDescent="0.25">
      <c r="A418" s="18" t="s">
        <v>175</v>
      </c>
      <c r="B418" s="19">
        <v>0</v>
      </c>
      <c r="C418" s="19">
        <v>0</v>
      </c>
      <c r="D418" s="20">
        <v>0</v>
      </c>
      <c r="E418" s="20">
        <v>0</v>
      </c>
      <c r="G418" s="19">
        <v>0</v>
      </c>
      <c r="H418" s="19">
        <v>0</v>
      </c>
      <c r="I418" s="20">
        <v>0</v>
      </c>
      <c r="J418" s="20">
        <v>0</v>
      </c>
      <c r="L418" s="19">
        <v>0</v>
      </c>
      <c r="M418" s="19">
        <v>0</v>
      </c>
      <c r="N418" s="20">
        <v>0</v>
      </c>
      <c r="O418" s="20">
        <v>0</v>
      </c>
      <c r="R418" s="19">
        <v>0</v>
      </c>
      <c r="S418" s="19">
        <v>0</v>
      </c>
      <c r="T418" s="20">
        <v>0</v>
      </c>
      <c r="U418" s="20">
        <v>0</v>
      </c>
      <c r="W418" s="19">
        <v>0</v>
      </c>
      <c r="X418" s="19">
        <v>0</v>
      </c>
      <c r="Y418" s="20">
        <v>0</v>
      </c>
      <c r="Z418" s="20">
        <v>0</v>
      </c>
      <c r="AB418" s="19">
        <v>0</v>
      </c>
      <c r="AC418" s="19">
        <v>0</v>
      </c>
      <c r="AD418" s="20">
        <v>0</v>
      </c>
      <c r="AE418" s="20">
        <v>0</v>
      </c>
      <c r="AF418">
        <f t="shared" si="6"/>
        <v>0</v>
      </c>
    </row>
    <row r="419" spans="1:32" hidden="1" x14ac:dyDescent="0.25">
      <c r="A419" s="18" t="s">
        <v>56</v>
      </c>
      <c r="B419" s="19">
        <v>0</v>
      </c>
      <c r="C419" s="19">
        <v>0</v>
      </c>
      <c r="D419" s="20">
        <v>0</v>
      </c>
      <c r="E419" s="20">
        <v>0</v>
      </c>
      <c r="G419" s="19">
        <v>0</v>
      </c>
      <c r="H419" s="19">
        <v>0</v>
      </c>
      <c r="I419" s="20">
        <v>0</v>
      </c>
      <c r="J419" s="20">
        <v>0</v>
      </c>
      <c r="L419" s="19">
        <v>0</v>
      </c>
      <c r="M419" s="19">
        <v>0</v>
      </c>
      <c r="N419" s="20">
        <v>0</v>
      </c>
      <c r="O419" s="20">
        <v>0</v>
      </c>
      <c r="R419" s="19">
        <v>0</v>
      </c>
      <c r="S419" s="19">
        <v>0</v>
      </c>
      <c r="T419" s="20">
        <v>0</v>
      </c>
      <c r="U419" s="20">
        <v>0</v>
      </c>
      <c r="W419" s="19">
        <v>0</v>
      </c>
      <c r="X419" s="19">
        <v>0</v>
      </c>
      <c r="Y419" s="20">
        <v>0</v>
      </c>
      <c r="Z419" s="20">
        <v>0</v>
      </c>
      <c r="AB419" s="19">
        <v>0</v>
      </c>
      <c r="AC419" s="19">
        <v>0</v>
      </c>
      <c r="AD419" s="20">
        <v>0</v>
      </c>
      <c r="AE419" s="20">
        <v>0</v>
      </c>
      <c r="AF419">
        <f t="shared" si="6"/>
        <v>0</v>
      </c>
    </row>
    <row r="420" spans="1:32" hidden="1" x14ac:dyDescent="0.25">
      <c r="A420" s="18" t="s">
        <v>57</v>
      </c>
      <c r="B420" s="19">
        <v>0</v>
      </c>
      <c r="C420" s="19">
        <v>0</v>
      </c>
      <c r="D420" s="20">
        <v>0</v>
      </c>
      <c r="E420" s="20">
        <v>0</v>
      </c>
      <c r="G420" s="19">
        <v>0</v>
      </c>
      <c r="H420" s="19">
        <v>0</v>
      </c>
      <c r="I420" s="20">
        <v>0</v>
      </c>
      <c r="J420" s="20">
        <v>0</v>
      </c>
      <c r="L420" s="19">
        <v>0</v>
      </c>
      <c r="M420" s="19">
        <v>0</v>
      </c>
      <c r="N420" s="20">
        <v>0</v>
      </c>
      <c r="O420" s="20">
        <v>0</v>
      </c>
      <c r="R420" s="19">
        <v>0</v>
      </c>
      <c r="S420" s="19">
        <v>0</v>
      </c>
      <c r="T420" s="20">
        <v>0</v>
      </c>
      <c r="U420" s="20">
        <v>0</v>
      </c>
      <c r="W420" s="19">
        <v>0</v>
      </c>
      <c r="X420" s="19">
        <v>0</v>
      </c>
      <c r="Y420" s="20">
        <v>0</v>
      </c>
      <c r="Z420" s="20">
        <v>0</v>
      </c>
      <c r="AB420" s="19">
        <v>0</v>
      </c>
      <c r="AC420" s="19">
        <v>0</v>
      </c>
      <c r="AD420" s="20">
        <v>0</v>
      </c>
      <c r="AE420" s="20">
        <v>0</v>
      </c>
      <c r="AF420">
        <f t="shared" si="6"/>
        <v>0</v>
      </c>
    </row>
    <row r="421" spans="1:32" hidden="1" x14ac:dyDescent="0.25">
      <c r="A421" s="18" t="s">
        <v>176</v>
      </c>
      <c r="B421" s="19">
        <v>0</v>
      </c>
      <c r="C421" s="19">
        <v>0</v>
      </c>
      <c r="D421" s="20">
        <v>0</v>
      </c>
      <c r="E421" s="20">
        <v>0</v>
      </c>
      <c r="G421" s="19">
        <v>0</v>
      </c>
      <c r="H421" s="19">
        <v>0</v>
      </c>
      <c r="I421" s="20">
        <v>0</v>
      </c>
      <c r="J421" s="20">
        <v>0</v>
      </c>
      <c r="L421" s="19">
        <v>0</v>
      </c>
      <c r="M421" s="19">
        <v>0</v>
      </c>
      <c r="N421" s="20">
        <v>0</v>
      </c>
      <c r="O421" s="20">
        <v>0</v>
      </c>
      <c r="R421" s="19">
        <v>0</v>
      </c>
      <c r="S421" s="19">
        <v>0</v>
      </c>
      <c r="T421" s="20">
        <v>0</v>
      </c>
      <c r="U421" s="20">
        <v>0</v>
      </c>
      <c r="W421" s="19">
        <v>0</v>
      </c>
      <c r="X421" s="19">
        <v>0</v>
      </c>
      <c r="Y421" s="20">
        <v>0</v>
      </c>
      <c r="Z421" s="20">
        <v>0</v>
      </c>
      <c r="AB421" s="19">
        <v>0</v>
      </c>
      <c r="AC421" s="19">
        <v>0</v>
      </c>
      <c r="AD421" s="20">
        <v>0</v>
      </c>
      <c r="AE421" s="20">
        <v>0</v>
      </c>
      <c r="AF421">
        <f t="shared" si="6"/>
        <v>0</v>
      </c>
    </row>
    <row r="422" spans="1:32" hidden="1" x14ac:dyDescent="0.25">
      <c r="A422" s="18" t="s">
        <v>58</v>
      </c>
      <c r="B422" s="19">
        <v>0</v>
      </c>
      <c r="C422" s="19">
        <v>0</v>
      </c>
      <c r="D422" s="20">
        <v>0</v>
      </c>
      <c r="E422" s="20">
        <v>0</v>
      </c>
      <c r="G422" s="19">
        <v>0</v>
      </c>
      <c r="H422" s="19">
        <v>0</v>
      </c>
      <c r="I422" s="20">
        <v>0</v>
      </c>
      <c r="J422" s="20">
        <v>0</v>
      </c>
      <c r="L422" s="19">
        <v>0</v>
      </c>
      <c r="M422" s="19">
        <v>0</v>
      </c>
      <c r="N422" s="20">
        <v>0</v>
      </c>
      <c r="O422" s="20">
        <v>0</v>
      </c>
      <c r="R422" s="19">
        <v>0</v>
      </c>
      <c r="S422" s="19">
        <v>0</v>
      </c>
      <c r="T422" s="20">
        <v>0</v>
      </c>
      <c r="U422" s="20">
        <v>0</v>
      </c>
      <c r="W422" s="19">
        <v>0</v>
      </c>
      <c r="X422" s="19">
        <v>0</v>
      </c>
      <c r="Y422" s="20">
        <v>0</v>
      </c>
      <c r="Z422" s="20">
        <v>0</v>
      </c>
      <c r="AB422" s="19">
        <v>0</v>
      </c>
      <c r="AC422" s="19">
        <v>0</v>
      </c>
      <c r="AD422" s="20">
        <v>0</v>
      </c>
      <c r="AE422" s="20">
        <v>0</v>
      </c>
      <c r="AF422">
        <f t="shared" si="6"/>
        <v>0</v>
      </c>
    </row>
    <row r="423" spans="1:32" hidden="1" x14ac:dyDescent="0.25">
      <c r="A423" s="18" t="s">
        <v>59</v>
      </c>
      <c r="B423" s="19">
        <v>0</v>
      </c>
      <c r="C423" s="19">
        <v>0</v>
      </c>
      <c r="D423" s="20">
        <v>0</v>
      </c>
      <c r="E423" s="20">
        <v>0</v>
      </c>
      <c r="G423" s="19">
        <v>0</v>
      </c>
      <c r="H423" s="19">
        <v>0</v>
      </c>
      <c r="I423" s="20">
        <v>0</v>
      </c>
      <c r="J423" s="20">
        <v>0</v>
      </c>
      <c r="L423" s="19">
        <v>0</v>
      </c>
      <c r="M423" s="19">
        <v>0</v>
      </c>
      <c r="N423" s="20">
        <v>0</v>
      </c>
      <c r="O423" s="20">
        <v>0</v>
      </c>
      <c r="R423" s="19">
        <v>0</v>
      </c>
      <c r="S423" s="19">
        <v>0</v>
      </c>
      <c r="T423" s="20">
        <v>0</v>
      </c>
      <c r="U423" s="20">
        <v>0</v>
      </c>
      <c r="W423" s="19">
        <v>0</v>
      </c>
      <c r="X423" s="19">
        <v>0</v>
      </c>
      <c r="Y423" s="20">
        <v>0</v>
      </c>
      <c r="Z423" s="20">
        <v>0</v>
      </c>
      <c r="AB423" s="19">
        <v>0</v>
      </c>
      <c r="AC423" s="19">
        <v>0</v>
      </c>
      <c r="AD423" s="20">
        <v>0</v>
      </c>
      <c r="AE423" s="20">
        <v>0</v>
      </c>
      <c r="AF423">
        <f t="shared" si="6"/>
        <v>0</v>
      </c>
    </row>
    <row r="424" spans="1:32" hidden="1" x14ac:dyDescent="0.25">
      <c r="A424" s="18" t="s">
        <v>60</v>
      </c>
      <c r="B424" s="19">
        <v>0</v>
      </c>
      <c r="C424" s="19">
        <v>0</v>
      </c>
      <c r="D424" s="20">
        <v>0</v>
      </c>
      <c r="E424" s="20">
        <v>0</v>
      </c>
      <c r="G424" s="19">
        <v>0</v>
      </c>
      <c r="H424" s="19">
        <v>0</v>
      </c>
      <c r="I424" s="20">
        <v>0</v>
      </c>
      <c r="J424" s="20">
        <v>0</v>
      </c>
      <c r="L424" s="19">
        <v>0</v>
      </c>
      <c r="M424" s="19">
        <v>0</v>
      </c>
      <c r="N424" s="20">
        <v>0</v>
      </c>
      <c r="O424" s="20">
        <v>0</v>
      </c>
      <c r="R424" s="19">
        <v>0</v>
      </c>
      <c r="S424" s="19">
        <v>0</v>
      </c>
      <c r="T424" s="20">
        <v>0</v>
      </c>
      <c r="U424" s="20">
        <v>0</v>
      </c>
      <c r="W424" s="19">
        <v>0</v>
      </c>
      <c r="X424" s="19">
        <v>0</v>
      </c>
      <c r="Y424" s="20">
        <v>0</v>
      </c>
      <c r="Z424" s="20">
        <v>0</v>
      </c>
      <c r="AB424" s="19">
        <v>0</v>
      </c>
      <c r="AC424" s="19">
        <v>0</v>
      </c>
      <c r="AD424" s="20">
        <v>0</v>
      </c>
      <c r="AE424" s="20">
        <v>0</v>
      </c>
      <c r="AF424">
        <f t="shared" si="6"/>
        <v>0</v>
      </c>
    </row>
    <row r="425" spans="1:32" hidden="1" x14ac:dyDescent="0.25">
      <c r="A425" s="18" t="s">
        <v>93</v>
      </c>
      <c r="B425" s="19">
        <v>0</v>
      </c>
      <c r="C425" s="19">
        <v>0</v>
      </c>
      <c r="D425" s="20">
        <v>0</v>
      </c>
      <c r="E425" s="20">
        <v>0</v>
      </c>
      <c r="G425" s="19">
        <v>0</v>
      </c>
      <c r="H425" s="19">
        <v>0</v>
      </c>
      <c r="I425" s="20">
        <v>0</v>
      </c>
      <c r="J425" s="20">
        <v>0</v>
      </c>
      <c r="L425" s="19">
        <v>0</v>
      </c>
      <c r="M425" s="19">
        <v>0</v>
      </c>
      <c r="N425" s="20">
        <v>0</v>
      </c>
      <c r="O425" s="20">
        <v>0</v>
      </c>
      <c r="R425" s="19">
        <v>0</v>
      </c>
      <c r="S425" s="19">
        <v>0</v>
      </c>
      <c r="T425" s="20">
        <v>0</v>
      </c>
      <c r="U425" s="20">
        <v>0</v>
      </c>
      <c r="W425" s="19">
        <v>0</v>
      </c>
      <c r="X425" s="19">
        <v>0</v>
      </c>
      <c r="Y425" s="20">
        <v>0</v>
      </c>
      <c r="Z425" s="20">
        <v>0</v>
      </c>
      <c r="AB425" s="19">
        <v>0</v>
      </c>
      <c r="AC425" s="19">
        <v>0</v>
      </c>
      <c r="AD425" s="20">
        <v>0</v>
      </c>
      <c r="AE425" s="20">
        <v>0</v>
      </c>
      <c r="AF425">
        <f t="shared" si="6"/>
        <v>0</v>
      </c>
    </row>
    <row r="426" spans="1:32" hidden="1" x14ac:dyDescent="0.25">
      <c r="A426" s="18" t="s">
        <v>61</v>
      </c>
      <c r="B426" s="19">
        <v>0</v>
      </c>
      <c r="C426" s="19">
        <v>0</v>
      </c>
      <c r="D426" s="20">
        <v>0</v>
      </c>
      <c r="E426" s="20">
        <v>0</v>
      </c>
      <c r="G426" s="19">
        <v>0</v>
      </c>
      <c r="H426" s="19">
        <v>0</v>
      </c>
      <c r="I426" s="20">
        <v>0</v>
      </c>
      <c r="J426" s="20">
        <v>0</v>
      </c>
      <c r="L426" s="19">
        <v>0</v>
      </c>
      <c r="M426" s="19">
        <v>0</v>
      </c>
      <c r="N426" s="20">
        <v>0</v>
      </c>
      <c r="O426" s="20">
        <v>0</v>
      </c>
      <c r="R426" s="19">
        <v>0</v>
      </c>
      <c r="S426" s="19">
        <v>0</v>
      </c>
      <c r="T426" s="20">
        <v>0</v>
      </c>
      <c r="U426" s="20">
        <v>0</v>
      </c>
      <c r="W426" s="19">
        <v>0</v>
      </c>
      <c r="X426" s="19">
        <v>0</v>
      </c>
      <c r="Y426" s="20">
        <v>0</v>
      </c>
      <c r="Z426" s="20">
        <v>0</v>
      </c>
      <c r="AB426" s="19">
        <v>0</v>
      </c>
      <c r="AC426" s="19">
        <v>0</v>
      </c>
      <c r="AD426" s="20">
        <v>0</v>
      </c>
      <c r="AE426" s="20">
        <v>0</v>
      </c>
      <c r="AF426">
        <f t="shared" si="6"/>
        <v>0</v>
      </c>
    </row>
    <row r="427" spans="1:32" x14ac:dyDescent="0.25">
      <c r="A427" s="29" t="s">
        <v>73</v>
      </c>
      <c r="B427" s="27">
        <v>4040</v>
      </c>
      <c r="C427" s="27">
        <v>8696</v>
      </c>
      <c r="D427" s="20">
        <v>0.2049616965146365</v>
      </c>
      <c r="E427" s="20">
        <v>0.5948830209330962</v>
      </c>
      <c r="G427" s="27">
        <v>57</v>
      </c>
      <c r="H427" s="27">
        <v>70</v>
      </c>
      <c r="I427" s="20">
        <v>1.4574277678343135E-2</v>
      </c>
      <c r="J427" s="20">
        <v>1.8612071257644244E-2</v>
      </c>
      <c r="L427" s="27">
        <v>13</v>
      </c>
      <c r="M427" s="27">
        <v>19</v>
      </c>
      <c r="N427" s="20">
        <v>5.6131260794473233E-3</v>
      </c>
      <c r="O427" s="20">
        <v>8.3922261484098946E-3</v>
      </c>
      <c r="R427" s="27">
        <v>0</v>
      </c>
      <c r="S427" s="27">
        <v>0</v>
      </c>
      <c r="T427" s="20">
        <v>0</v>
      </c>
      <c r="U427" s="20">
        <v>0</v>
      </c>
      <c r="W427" s="27">
        <v>0</v>
      </c>
      <c r="X427" s="27">
        <v>0</v>
      </c>
      <c r="Y427" s="20">
        <v>0</v>
      </c>
      <c r="Z427" s="20">
        <v>0</v>
      </c>
      <c r="AB427" s="27">
        <v>0</v>
      </c>
      <c r="AC427" s="27">
        <v>0</v>
      </c>
      <c r="AD427" s="20">
        <v>0</v>
      </c>
      <c r="AE427" s="20">
        <v>0</v>
      </c>
      <c r="AF427">
        <f t="shared" si="6"/>
        <v>12895.847036418611</v>
      </c>
    </row>
    <row r="428" spans="1:32" x14ac:dyDescent="0.25">
      <c r="G428" s="19"/>
      <c r="H428" s="19"/>
      <c r="I428" s="19"/>
      <c r="J428" s="19"/>
      <c r="AB428" s="19"/>
      <c r="AC428" s="19"/>
      <c r="AD428" s="19"/>
      <c r="AE428" s="19"/>
    </row>
    <row r="429" spans="1:32" x14ac:dyDescent="0.25">
      <c r="G429" s="19"/>
      <c r="H429" s="19"/>
      <c r="I429" s="19"/>
      <c r="J429" s="19"/>
      <c r="AB429" s="19"/>
      <c r="AC429" s="19"/>
      <c r="AD429" s="19"/>
      <c r="AE429" s="19"/>
    </row>
    <row r="430" spans="1:32" x14ac:dyDescent="0.25">
      <c r="G430" s="21"/>
      <c r="H430" s="21"/>
      <c r="I430" s="21"/>
      <c r="J430" s="21"/>
      <c r="AB430" s="21"/>
      <c r="AC430" s="21"/>
      <c r="AD430" s="21"/>
      <c r="AE430" s="21"/>
    </row>
    <row r="431" spans="1:32" x14ac:dyDescent="0.25">
      <c r="G431" s="9" t="s">
        <v>12</v>
      </c>
      <c r="H431" s="9" t="s">
        <v>164</v>
      </c>
      <c r="I431" s="9" t="s">
        <v>12</v>
      </c>
      <c r="J431" s="9" t="s">
        <v>164</v>
      </c>
      <c r="AB431" s="9" t="s">
        <v>12</v>
      </c>
      <c r="AC431" s="9" t="s">
        <v>164</v>
      </c>
      <c r="AD431" s="9" t="s">
        <v>12</v>
      </c>
      <c r="AE431" s="9" t="s">
        <v>164</v>
      </c>
    </row>
    <row r="432" spans="1:32" x14ac:dyDescent="0.25">
      <c r="G432" s="19">
        <v>2</v>
      </c>
      <c r="H432" s="19">
        <v>333</v>
      </c>
      <c r="I432" s="20">
        <v>1.7111421017958438E-5</v>
      </c>
      <c r="J432" s="20">
        <v>2.8298760123392792E-3</v>
      </c>
      <c r="AB432" s="19">
        <v>0</v>
      </c>
      <c r="AC432" s="19">
        <v>3</v>
      </c>
      <c r="AD432" s="20">
        <v>0</v>
      </c>
      <c r="AE432" s="20">
        <v>1.5045135406218655E-3</v>
      </c>
    </row>
    <row r="433" spans="7:31" x14ac:dyDescent="0.25">
      <c r="G433" s="19">
        <v>4</v>
      </c>
      <c r="H433" s="19">
        <v>12</v>
      </c>
      <c r="I433" s="20">
        <v>2.067568126369764E-5</v>
      </c>
      <c r="J433" s="20">
        <v>6.2424570310874356E-5</v>
      </c>
      <c r="AB433" s="19">
        <v>0</v>
      </c>
      <c r="AC433" s="19">
        <v>0</v>
      </c>
      <c r="AD433" s="20">
        <v>0</v>
      </c>
      <c r="AE433" s="20">
        <v>0</v>
      </c>
    </row>
    <row r="434" spans="7:31" x14ac:dyDescent="0.25">
      <c r="G434" s="19">
        <v>7</v>
      </c>
      <c r="H434" s="19">
        <v>0</v>
      </c>
      <c r="I434" s="20">
        <v>7.8282263475732504E-5</v>
      </c>
      <c r="J434" s="20">
        <v>0</v>
      </c>
      <c r="AB434" s="19">
        <v>0</v>
      </c>
      <c r="AC434" s="19">
        <v>0</v>
      </c>
      <c r="AD434" s="20">
        <v>0</v>
      </c>
      <c r="AE434" s="20">
        <v>0</v>
      </c>
    </row>
    <row r="435" spans="7:31" x14ac:dyDescent="0.25">
      <c r="G435" s="19">
        <v>193</v>
      </c>
      <c r="H435" s="19">
        <v>164</v>
      </c>
      <c r="I435" s="20">
        <v>2.370625857509418E-4</v>
      </c>
      <c r="J435" s="20">
        <v>1.9817126589146257E-4</v>
      </c>
      <c r="AB435" s="19">
        <v>0</v>
      </c>
      <c r="AC435" s="19">
        <v>0</v>
      </c>
      <c r="AD435" s="20">
        <v>0</v>
      </c>
      <c r="AE435" s="20">
        <v>0</v>
      </c>
    </row>
    <row r="436" spans="7:31" x14ac:dyDescent="0.25">
      <c r="G436" s="21">
        <v>206</v>
      </c>
      <c r="H436" s="21">
        <v>509</v>
      </c>
      <c r="I436" s="22">
        <v>3.1783845166386888E-4</v>
      </c>
      <c r="J436" s="22">
        <v>7.7615836680420983E-4</v>
      </c>
      <c r="AB436" s="21">
        <v>0</v>
      </c>
      <c r="AC436" s="21">
        <v>3</v>
      </c>
      <c r="AD436" s="22">
        <v>0</v>
      </c>
      <c r="AE436" s="22">
        <v>6.2253579580825893E-4</v>
      </c>
    </row>
    <row r="437" spans="7:31" x14ac:dyDescent="0.25">
      <c r="AB437" s="19"/>
      <c r="AC437" s="19"/>
      <c r="AD437" s="19"/>
      <c r="AE437" s="19"/>
    </row>
    <row r="438" spans="7:31" x14ac:dyDescent="0.25">
      <c r="AB438" s="9" t="s">
        <v>12</v>
      </c>
      <c r="AC438" s="9" t="s">
        <v>164</v>
      </c>
      <c r="AD438" s="9" t="s">
        <v>12</v>
      </c>
      <c r="AE438" s="9" t="s">
        <v>164</v>
      </c>
    </row>
    <row r="439" spans="7:31" x14ac:dyDescent="0.25">
      <c r="AB439" s="19">
        <v>0</v>
      </c>
      <c r="AC439" s="19">
        <v>0</v>
      </c>
      <c r="AD439" s="20">
        <v>0</v>
      </c>
      <c r="AE439" s="20">
        <v>0</v>
      </c>
    </row>
    <row r="440" spans="7:31" x14ac:dyDescent="0.25">
      <c r="AB440" s="19">
        <v>0</v>
      </c>
      <c r="AC440" s="19">
        <v>0</v>
      </c>
      <c r="AD440" s="20">
        <v>0</v>
      </c>
      <c r="AE440" s="20">
        <v>0</v>
      </c>
    </row>
    <row r="441" spans="7:31" x14ac:dyDescent="0.25">
      <c r="AB441" s="19">
        <v>0</v>
      </c>
      <c r="AC441" s="19">
        <v>0</v>
      </c>
      <c r="AD441" s="20">
        <v>0</v>
      </c>
      <c r="AE441" s="20">
        <v>0</v>
      </c>
    </row>
    <row r="442" spans="7:31" x14ac:dyDescent="0.25">
      <c r="AB442" s="19">
        <v>0</v>
      </c>
      <c r="AC442" s="19">
        <v>0</v>
      </c>
      <c r="AD442" s="20">
        <v>0</v>
      </c>
      <c r="AE442" s="20">
        <v>0</v>
      </c>
    </row>
    <row r="443" spans="7:31" x14ac:dyDescent="0.25">
      <c r="AB443" s="21">
        <v>0</v>
      </c>
      <c r="AC443" s="21">
        <v>0</v>
      </c>
      <c r="AD443" s="22">
        <v>0</v>
      </c>
      <c r="AE443" s="22">
        <v>0</v>
      </c>
    </row>
  </sheetData>
  <autoFilter ref="AF1:AF443">
    <filterColumn colId="0">
      <filters blank="1">
        <filter val="1"/>
        <filter val="1.000012526"/>
        <filter val="1.000021835"/>
        <filter val="1.000027296"/>
        <filter val="1.000048333"/>
        <filter val="1.000187547"/>
        <filter val="1.000194288"/>
        <filter val="1.000199164"/>
        <filter val="1.000356761"/>
        <filter val="1.006289308"/>
        <filter val="11.00962677"/>
        <filter val="113.0068717"/>
        <filter val="127.0013536"/>
        <filter val="12890.8507"/>
        <filter val="12895.84704"/>
        <filter val="1366.10713"/>
        <filter val="1534.006861"/>
        <filter val="155.0006675"/>
        <filter val="15580.00989"/>
        <filter val="17.0008417"/>
        <filter val="2.000012619"/>
        <filter val="2.000021581"/>
        <filter val="2.000050171"/>
        <filter val="23.00068361"/>
        <filter val="27.00311298"/>
        <filter val="27.08390707"/>
        <filter val="3.000010385"/>
        <filter val="3.000097723"/>
        <filter val="3.000168754"/>
        <filter val="3.004060859"/>
        <filter val="3.018181818"/>
        <filter val="33.00122994"/>
        <filter val="334.0088887"/>
        <filter val="36.00095828"/>
        <filter val="36.03859352"/>
        <filter val="36.1512605"/>
        <filter val="37.08240535"/>
        <filter val="4.004229393"/>
        <filter val="400.0056555"/>
        <filter val="44.00404431"/>
        <filter val="461.0517158"/>
        <filter val="49.00040002"/>
        <filter val="5.019527949"/>
        <filter val="58.00069228"/>
        <filter val="598.2070909"/>
        <filter val="71.00072581"/>
        <filter val="9.000794434"/>
        <filter val="9.00080561"/>
        <filter val="905.1149319"/>
        <filter val="911.0447174"/>
      </filters>
    </filterColumn>
  </autoFilter>
  <conditionalFormatting sqref="A2">
    <cfRule type="duplicateValues" dxfId="1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" sqref="E1"/>
    </sheetView>
  </sheetViews>
  <sheetFormatPr defaultRowHeight="15" x14ac:dyDescent="0.25"/>
  <cols>
    <col min="1" max="1" width="24.85546875" customWidth="1"/>
    <col min="2" max="7" width="12.42578125" customWidth="1"/>
    <col min="8" max="8" width="5.85546875" customWidth="1"/>
    <col min="9" max="14" width="12.42578125" customWidth="1"/>
    <col min="15" max="16" width="4.85546875" customWidth="1"/>
    <col min="17" max="22" width="12.42578125" customWidth="1"/>
    <col min="23" max="23" width="5.85546875" customWidth="1"/>
    <col min="24" max="27" width="12.42578125" customWidth="1"/>
    <col min="31" max="31" width="14.140625" customWidth="1"/>
    <col min="32" max="32" width="9.140625" style="109"/>
  </cols>
  <sheetData>
    <row r="1" spans="1:32" x14ac:dyDescent="0.25">
      <c r="A1" s="1" t="s">
        <v>0</v>
      </c>
      <c r="B1" s="58" t="s">
        <v>153</v>
      </c>
      <c r="D1" s="4"/>
    </row>
    <row r="2" spans="1:32" x14ac:dyDescent="0.25">
      <c r="A2" s="35" t="s">
        <v>137</v>
      </c>
      <c r="B2" s="12"/>
      <c r="D2" s="4"/>
    </row>
    <row r="3" spans="1:32" x14ac:dyDescent="0.25">
      <c r="A3" s="9" t="s">
        <v>199</v>
      </c>
      <c r="B3" s="172" t="s">
        <v>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94"/>
      <c r="P3" s="94"/>
      <c r="Q3" s="172" t="s">
        <v>92</v>
      </c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</row>
    <row r="4" spans="1:32" x14ac:dyDescent="0.25">
      <c r="A4" s="1" t="s">
        <v>4</v>
      </c>
      <c r="B4" s="166" t="s">
        <v>3</v>
      </c>
      <c r="C4" s="166"/>
      <c r="D4" s="166"/>
      <c r="E4" s="166"/>
      <c r="F4" s="149"/>
      <c r="G4" s="149"/>
      <c r="H4" s="39"/>
      <c r="I4" s="171" t="s">
        <v>95</v>
      </c>
      <c r="J4" s="171"/>
      <c r="K4" s="171"/>
      <c r="L4" s="171"/>
      <c r="M4" s="150"/>
      <c r="N4" s="150"/>
      <c r="O4" s="93"/>
      <c r="P4" s="93"/>
      <c r="Q4" s="166" t="s">
        <v>3</v>
      </c>
      <c r="R4" s="166"/>
      <c r="S4" s="166"/>
      <c r="T4" s="166"/>
      <c r="U4" s="149"/>
      <c r="V4" s="149"/>
      <c r="W4" s="30"/>
      <c r="X4" s="171" t="s">
        <v>95</v>
      </c>
      <c r="Y4" s="171"/>
      <c r="Z4" s="171"/>
      <c r="AA4" s="171"/>
    </row>
    <row r="5" spans="1:32" s="32" customFormat="1" x14ac:dyDescent="0.25">
      <c r="A5" s="31"/>
      <c r="B5" s="177" t="s">
        <v>143</v>
      </c>
      <c r="C5" s="177"/>
      <c r="D5" s="177"/>
      <c r="E5" s="177" t="s">
        <v>131</v>
      </c>
      <c r="F5" s="177"/>
      <c r="G5" s="177"/>
      <c r="H5" s="36"/>
      <c r="I5" s="177" t="s">
        <v>143</v>
      </c>
      <c r="J5" s="177"/>
      <c r="K5" s="177"/>
      <c r="L5" s="177" t="s">
        <v>131</v>
      </c>
      <c r="M5" s="177"/>
      <c r="N5" s="177"/>
      <c r="O5" s="36"/>
      <c r="P5" s="36"/>
      <c r="Q5" s="177" t="s">
        <v>143</v>
      </c>
      <c r="R5" s="177"/>
      <c r="S5" s="177"/>
      <c r="T5" s="177" t="s">
        <v>131</v>
      </c>
      <c r="U5" s="177"/>
      <c r="V5" s="177"/>
      <c r="W5" s="36"/>
      <c r="X5" s="177" t="s">
        <v>143</v>
      </c>
      <c r="Y5" s="177"/>
      <c r="Z5" s="177"/>
      <c r="AA5" s="177" t="s">
        <v>131</v>
      </c>
      <c r="AB5" s="177"/>
      <c r="AC5" s="177"/>
      <c r="AF5" s="110"/>
    </row>
    <row r="6" spans="1:32" x14ac:dyDescent="0.25">
      <c r="A6" s="9" t="s">
        <v>9</v>
      </c>
      <c r="B6" s="10" t="s">
        <v>12</v>
      </c>
      <c r="C6" s="10" t="s">
        <v>164</v>
      </c>
      <c r="D6" s="10" t="s">
        <v>195</v>
      </c>
      <c r="E6" s="10" t="s">
        <v>12</v>
      </c>
      <c r="F6" s="10" t="s">
        <v>164</v>
      </c>
      <c r="G6" s="10" t="s">
        <v>195</v>
      </c>
      <c r="I6" s="10" t="s">
        <v>12</v>
      </c>
      <c r="J6" s="10" t="s">
        <v>164</v>
      </c>
      <c r="K6" s="10" t="s">
        <v>195</v>
      </c>
      <c r="L6" s="10" t="s">
        <v>12</v>
      </c>
      <c r="M6" s="10" t="s">
        <v>164</v>
      </c>
      <c r="N6" s="10" t="s">
        <v>195</v>
      </c>
      <c r="Q6" s="10" t="s">
        <v>12</v>
      </c>
      <c r="R6" s="10" t="s">
        <v>164</v>
      </c>
      <c r="S6" s="10" t="s">
        <v>195</v>
      </c>
      <c r="T6" s="10" t="s">
        <v>12</v>
      </c>
      <c r="U6" s="10" t="s">
        <v>164</v>
      </c>
      <c r="V6" s="10" t="s">
        <v>195</v>
      </c>
      <c r="X6" s="10" t="s">
        <v>12</v>
      </c>
      <c r="Y6" s="10" t="s">
        <v>164</v>
      </c>
      <c r="Z6" s="10" t="s">
        <v>195</v>
      </c>
      <c r="AA6" s="10" t="s">
        <v>12</v>
      </c>
      <c r="AB6" s="10" t="s">
        <v>164</v>
      </c>
      <c r="AC6" s="10" t="s">
        <v>195</v>
      </c>
      <c r="AF6"/>
    </row>
    <row r="7" spans="1:32" x14ac:dyDescent="0.25">
      <c r="A7" s="18" t="s">
        <v>17</v>
      </c>
      <c r="B7" s="19">
        <v>209</v>
      </c>
      <c r="C7" s="19">
        <v>180</v>
      </c>
      <c r="D7" s="19">
        <v>91</v>
      </c>
      <c r="E7" s="20">
        <v>1.5870605209203432E-2</v>
      </c>
      <c r="F7" s="20">
        <v>1.3455931823278762E-2</v>
      </c>
      <c r="G7" s="20">
        <v>6.5951587186548772E-3</v>
      </c>
      <c r="I7" s="19">
        <v>17</v>
      </c>
      <c r="J7" s="19">
        <v>13</v>
      </c>
      <c r="K7" s="19">
        <v>19</v>
      </c>
      <c r="L7" s="20">
        <v>1.3877551020408163E-2</v>
      </c>
      <c r="M7" s="20">
        <v>1.1168384879725086E-2</v>
      </c>
      <c r="N7" s="20">
        <v>1.1838006230529595E-2</v>
      </c>
      <c r="Q7" s="19">
        <v>0</v>
      </c>
      <c r="R7" s="19">
        <v>0</v>
      </c>
      <c r="S7" s="19">
        <v>0</v>
      </c>
      <c r="T7" s="20">
        <v>0</v>
      </c>
      <c r="U7" s="20">
        <v>0</v>
      </c>
      <c r="V7" s="20">
        <v>0</v>
      </c>
      <c r="X7" s="19">
        <v>0</v>
      </c>
      <c r="Y7" s="19">
        <v>0</v>
      </c>
      <c r="Z7" s="19">
        <v>0</v>
      </c>
      <c r="AA7" s="20">
        <v>0</v>
      </c>
      <c r="AB7" s="20">
        <v>0</v>
      </c>
      <c r="AC7" s="20">
        <v>0</v>
      </c>
      <c r="AF7"/>
    </row>
    <row r="8" spans="1:32" x14ac:dyDescent="0.25">
      <c r="A8" s="18" t="s">
        <v>18</v>
      </c>
      <c r="B8" s="19">
        <v>1420</v>
      </c>
      <c r="C8" s="19">
        <v>2447</v>
      </c>
      <c r="D8" s="19">
        <v>1835</v>
      </c>
      <c r="E8" s="20">
        <v>2.0631138490149359E-2</v>
      </c>
      <c r="F8" s="20">
        <v>3.1272764451033268E-2</v>
      </c>
      <c r="G8" s="20">
        <v>2.1437917659703723E-2</v>
      </c>
      <c r="I8" s="19">
        <v>25</v>
      </c>
      <c r="J8" s="19">
        <v>21</v>
      </c>
      <c r="K8" s="19">
        <v>58</v>
      </c>
      <c r="L8" s="20">
        <v>1.0633772862611655E-2</v>
      </c>
      <c r="M8" s="20">
        <v>7.720588235294118E-3</v>
      </c>
      <c r="N8" s="20">
        <v>2.0272631946871723E-2</v>
      </c>
      <c r="Q8" s="19">
        <v>700</v>
      </c>
      <c r="R8" s="19">
        <v>1097</v>
      </c>
      <c r="S8" s="19">
        <v>820</v>
      </c>
      <c r="T8" s="20">
        <v>1.532600604282524E-2</v>
      </c>
      <c r="U8" s="20">
        <v>2.1661433959283612E-2</v>
      </c>
      <c r="V8" s="20">
        <v>1.4850498940543673E-2</v>
      </c>
      <c r="X8" s="19">
        <v>0</v>
      </c>
      <c r="Y8" s="19">
        <v>1</v>
      </c>
      <c r="Z8" s="19">
        <v>0</v>
      </c>
      <c r="AA8" s="20">
        <v>0</v>
      </c>
      <c r="AB8" s="20">
        <v>2.4154589371980675E-3</v>
      </c>
      <c r="AC8" s="20">
        <v>0</v>
      </c>
      <c r="AF8"/>
    </row>
    <row r="9" spans="1:32" x14ac:dyDescent="0.25">
      <c r="A9" s="18" t="s">
        <v>19</v>
      </c>
      <c r="B9" s="19">
        <v>4350</v>
      </c>
      <c r="C9" s="19">
        <v>1837</v>
      </c>
      <c r="D9" s="19">
        <v>21067</v>
      </c>
      <c r="E9" s="20">
        <v>3.5117178354901468E-3</v>
      </c>
      <c r="F9" s="20">
        <v>1.4829333503395732E-3</v>
      </c>
      <c r="G9" s="20">
        <v>1.6994765318642774E-2</v>
      </c>
      <c r="I9" s="19">
        <v>55</v>
      </c>
      <c r="J9" s="19">
        <v>15</v>
      </c>
      <c r="K9" s="19">
        <v>619</v>
      </c>
      <c r="L9" s="20">
        <v>5.804688077170689E-4</v>
      </c>
      <c r="M9" s="20">
        <v>1.5593488159344659E-4</v>
      </c>
      <c r="N9" s="20">
        <v>6.1660142047435477E-3</v>
      </c>
      <c r="Q9" s="19">
        <v>3524</v>
      </c>
      <c r="R9" s="19">
        <v>7659</v>
      </c>
      <c r="S9" s="19">
        <v>712</v>
      </c>
      <c r="T9" s="20">
        <v>5.1529131359804642E-3</v>
      </c>
      <c r="U9" s="20">
        <v>1.1161647884183511E-2</v>
      </c>
      <c r="V9" s="20">
        <v>1.03516207119647E-3</v>
      </c>
      <c r="X9" s="19">
        <v>3</v>
      </c>
      <c r="Y9" s="19">
        <v>2</v>
      </c>
      <c r="Z9" s="19">
        <v>0</v>
      </c>
      <c r="AA9" s="20">
        <v>1.7361111111111112E-4</v>
      </c>
      <c r="AB9" s="20">
        <v>1.1758480804280087E-4</v>
      </c>
      <c r="AC9" s="20">
        <v>0</v>
      </c>
      <c r="AF9"/>
    </row>
    <row r="10" spans="1:32" x14ac:dyDescent="0.25">
      <c r="A10" s="18" t="s">
        <v>20</v>
      </c>
      <c r="B10" s="19">
        <v>2338</v>
      </c>
      <c r="C10" s="19">
        <v>2559</v>
      </c>
      <c r="D10" s="19">
        <v>451</v>
      </c>
      <c r="E10" s="20">
        <v>7.8792433499927546E-3</v>
      </c>
      <c r="F10" s="20">
        <v>8.1697937917229353E-3</v>
      </c>
      <c r="G10" s="20">
        <v>1.3143361728046069E-3</v>
      </c>
      <c r="I10" s="19">
        <v>30</v>
      </c>
      <c r="J10" s="19">
        <v>27</v>
      </c>
      <c r="K10" s="19">
        <v>27</v>
      </c>
      <c r="L10" s="20">
        <v>1.0974137615685701E-3</v>
      </c>
      <c r="M10" s="20">
        <v>1.0019668237651687E-3</v>
      </c>
      <c r="N10" s="20">
        <v>9.6116193798725567E-4</v>
      </c>
      <c r="Q10" s="19">
        <v>587</v>
      </c>
      <c r="R10" s="19">
        <v>648</v>
      </c>
      <c r="S10" s="19">
        <v>53</v>
      </c>
      <c r="T10" s="20">
        <v>1.3561593198410498E-2</v>
      </c>
      <c r="U10" s="20">
        <v>1.4319176205418305E-2</v>
      </c>
      <c r="V10" s="20">
        <v>1.0274503722084367E-3</v>
      </c>
      <c r="X10" s="19">
        <v>0</v>
      </c>
      <c r="Y10" s="19">
        <v>0</v>
      </c>
      <c r="Z10" s="19">
        <v>0</v>
      </c>
      <c r="AA10" s="20">
        <v>0</v>
      </c>
      <c r="AB10" s="20">
        <v>0</v>
      </c>
      <c r="AC10" s="20">
        <v>0</v>
      </c>
      <c r="AF10"/>
    </row>
    <row r="11" spans="1:32" x14ac:dyDescent="0.25">
      <c r="A11" s="18" t="s">
        <v>21</v>
      </c>
      <c r="B11" s="19">
        <v>1838</v>
      </c>
      <c r="C11" s="19">
        <v>908</v>
      </c>
      <c r="D11" s="19">
        <v>1074</v>
      </c>
      <c r="E11" s="20">
        <v>1.9631298998141544E-2</v>
      </c>
      <c r="F11" s="20">
        <v>9.6929843289636618E-3</v>
      </c>
      <c r="G11" s="20">
        <v>1.1732063270121471E-2</v>
      </c>
      <c r="I11" s="19">
        <v>12</v>
      </c>
      <c r="J11" s="19">
        <v>9</v>
      </c>
      <c r="K11" s="19">
        <v>7</v>
      </c>
      <c r="L11" s="20">
        <v>4.125128910278446E-3</v>
      </c>
      <c r="M11" s="20">
        <v>3.011040481766477E-3</v>
      </c>
      <c r="N11" s="20">
        <v>2.317880794701987E-3</v>
      </c>
      <c r="Q11" s="19">
        <v>494</v>
      </c>
      <c r="R11" s="19">
        <v>267</v>
      </c>
      <c r="S11" s="19">
        <v>308</v>
      </c>
      <c r="T11" s="20">
        <v>2.6571997202947662E-2</v>
      </c>
      <c r="U11" s="20">
        <v>1.3607869119820601E-2</v>
      </c>
      <c r="V11" s="20">
        <v>1.4972534150017014E-2</v>
      </c>
      <c r="X11" s="19">
        <v>0</v>
      </c>
      <c r="Y11" s="19">
        <v>1</v>
      </c>
      <c r="Z11" s="19">
        <v>0</v>
      </c>
      <c r="AA11" s="20">
        <v>0</v>
      </c>
      <c r="AB11" s="20">
        <v>3.3783783783783786E-3</v>
      </c>
      <c r="AC11" s="20">
        <v>0</v>
      </c>
      <c r="AF11"/>
    </row>
    <row r="12" spans="1:32" x14ac:dyDescent="0.25">
      <c r="A12" s="18" t="s">
        <v>22</v>
      </c>
      <c r="B12" s="19">
        <v>0</v>
      </c>
      <c r="C12" s="19">
        <v>0</v>
      </c>
      <c r="D12" s="19">
        <v>0</v>
      </c>
      <c r="E12" s="20">
        <v>0</v>
      </c>
      <c r="F12" s="20">
        <v>0</v>
      </c>
      <c r="G12" s="20">
        <v>0</v>
      </c>
      <c r="I12" s="19">
        <v>227</v>
      </c>
      <c r="J12" s="19">
        <v>116</v>
      </c>
      <c r="K12" s="19">
        <v>187</v>
      </c>
      <c r="L12" s="20">
        <v>6.309060589216231E-2</v>
      </c>
      <c r="M12" s="20">
        <v>3.267605633802817E-2</v>
      </c>
      <c r="N12" s="20">
        <v>5.353564271399943E-2</v>
      </c>
      <c r="Q12" s="19">
        <v>0</v>
      </c>
      <c r="R12" s="19">
        <v>0</v>
      </c>
      <c r="S12" s="19">
        <v>0</v>
      </c>
      <c r="T12" s="20">
        <v>0</v>
      </c>
      <c r="U12" s="20">
        <v>0</v>
      </c>
      <c r="V12" s="20">
        <v>0</v>
      </c>
      <c r="X12" s="19">
        <v>0</v>
      </c>
      <c r="Y12" s="19">
        <v>0</v>
      </c>
      <c r="Z12" s="19">
        <v>0</v>
      </c>
      <c r="AA12" s="20">
        <v>0</v>
      </c>
      <c r="AB12" s="20">
        <v>0</v>
      </c>
      <c r="AC12" s="20">
        <v>0</v>
      </c>
      <c r="AF12"/>
    </row>
    <row r="13" spans="1:32" x14ac:dyDescent="0.25">
      <c r="A13" s="18" t="s">
        <v>25</v>
      </c>
      <c r="B13" s="19">
        <v>92</v>
      </c>
      <c r="C13" s="19">
        <v>141</v>
      </c>
      <c r="D13" s="19">
        <v>127</v>
      </c>
      <c r="E13" s="20">
        <v>2.6077097505668934E-2</v>
      </c>
      <c r="F13" s="20">
        <v>3.9529015979814973E-2</v>
      </c>
      <c r="G13" s="20">
        <v>3.5634118967452298E-2</v>
      </c>
      <c r="I13" s="19">
        <v>279</v>
      </c>
      <c r="J13" s="19">
        <v>429</v>
      </c>
      <c r="K13" s="19">
        <v>218</v>
      </c>
      <c r="L13" s="20">
        <v>6.014227204138823E-2</v>
      </c>
      <c r="M13" s="20">
        <v>9.2337494619027113E-2</v>
      </c>
      <c r="N13" s="20">
        <v>4.8198098607119169E-2</v>
      </c>
      <c r="Q13" s="19">
        <v>43</v>
      </c>
      <c r="R13" s="19">
        <v>67</v>
      </c>
      <c r="S13" s="19">
        <v>51</v>
      </c>
      <c r="T13" s="20">
        <v>2.0623501199040769E-2</v>
      </c>
      <c r="U13" s="20">
        <v>3.1678486997635931E-2</v>
      </c>
      <c r="V13" s="20">
        <v>2.3319615912208505E-2</v>
      </c>
      <c r="X13" s="19">
        <v>100</v>
      </c>
      <c r="Y13" s="19">
        <v>299</v>
      </c>
      <c r="Z13" s="19">
        <v>159</v>
      </c>
      <c r="AA13" s="20">
        <v>4.3975373790677223E-2</v>
      </c>
      <c r="AB13" s="20">
        <v>0.12610712779417968</v>
      </c>
      <c r="AC13" s="20">
        <v>6.6975568660488621E-2</v>
      </c>
      <c r="AF13"/>
    </row>
    <row r="14" spans="1:32" x14ac:dyDescent="0.25">
      <c r="A14" s="18" t="s">
        <v>26</v>
      </c>
      <c r="B14" s="19">
        <v>0</v>
      </c>
      <c r="C14" s="19">
        <v>6</v>
      </c>
      <c r="D14" s="19">
        <v>1</v>
      </c>
      <c r="E14" s="20">
        <v>0</v>
      </c>
      <c r="F14" s="20">
        <v>9.11854103343465E-4</v>
      </c>
      <c r="G14" s="20">
        <v>1.5015015015015014E-4</v>
      </c>
      <c r="I14" s="19">
        <v>0</v>
      </c>
      <c r="J14" s="19">
        <v>0</v>
      </c>
      <c r="K14" s="19">
        <v>0</v>
      </c>
      <c r="L14" s="20">
        <v>0</v>
      </c>
      <c r="M14" s="20">
        <v>0</v>
      </c>
      <c r="N14" s="20">
        <v>0</v>
      </c>
      <c r="Q14" s="19">
        <v>0</v>
      </c>
      <c r="R14" s="19">
        <v>0</v>
      </c>
      <c r="S14" s="19">
        <v>0</v>
      </c>
      <c r="T14" s="20">
        <v>0</v>
      </c>
      <c r="U14" s="20">
        <v>0</v>
      </c>
      <c r="V14" s="20">
        <v>0</v>
      </c>
      <c r="X14" s="19">
        <v>0</v>
      </c>
      <c r="Y14" s="19">
        <v>0</v>
      </c>
      <c r="Z14" s="19">
        <v>0</v>
      </c>
      <c r="AA14" s="20">
        <v>0</v>
      </c>
      <c r="AB14" s="20">
        <v>0</v>
      </c>
      <c r="AC14" s="20">
        <v>0</v>
      </c>
      <c r="AF14"/>
    </row>
    <row r="15" spans="1:32" x14ac:dyDescent="0.25">
      <c r="A15" s="18" t="s">
        <v>29</v>
      </c>
      <c r="B15" s="19">
        <v>119</v>
      </c>
      <c r="C15" s="19">
        <v>0</v>
      </c>
      <c r="D15" s="19">
        <v>0</v>
      </c>
      <c r="E15" s="20">
        <v>1.5404530744336569E-2</v>
      </c>
      <c r="F15" s="20">
        <v>0</v>
      </c>
      <c r="G15" s="20">
        <v>0</v>
      </c>
      <c r="I15" s="19">
        <v>2</v>
      </c>
      <c r="J15" s="19">
        <v>0</v>
      </c>
      <c r="K15" s="19">
        <v>0</v>
      </c>
      <c r="L15" s="20">
        <v>5.9523809523809521E-3</v>
      </c>
      <c r="M15" s="20">
        <v>0</v>
      </c>
      <c r="N15" s="20">
        <v>0</v>
      </c>
      <c r="Q15" s="19">
        <v>0</v>
      </c>
      <c r="R15" s="19">
        <v>0</v>
      </c>
      <c r="S15" s="19">
        <v>0</v>
      </c>
      <c r="T15" s="20">
        <v>0</v>
      </c>
      <c r="U15" s="20">
        <v>0</v>
      </c>
      <c r="V15" s="20">
        <v>0</v>
      </c>
      <c r="X15" s="19">
        <v>0</v>
      </c>
      <c r="Y15" s="19">
        <v>0</v>
      </c>
      <c r="Z15" s="19">
        <v>0</v>
      </c>
      <c r="AA15" s="20">
        <v>0</v>
      </c>
      <c r="AB15" s="20">
        <v>0</v>
      </c>
      <c r="AC15" s="20">
        <v>0</v>
      </c>
      <c r="AF15"/>
    </row>
    <row r="16" spans="1:32" x14ac:dyDescent="0.25">
      <c r="A16" s="18" t="s">
        <v>30</v>
      </c>
      <c r="B16" s="19">
        <v>2796</v>
      </c>
      <c r="C16" s="19">
        <v>2041</v>
      </c>
      <c r="D16" s="19">
        <v>168</v>
      </c>
      <c r="E16" s="20">
        <v>2.8800514206605578E-3</v>
      </c>
      <c r="F16" s="20">
        <v>2.2141918742087331E-3</v>
      </c>
      <c r="G16" s="20">
        <v>1.8006237875263932E-4</v>
      </c>
      <c r="I16" s="19">
        <v>434</v>
      </c>
      <c r="J16" s="19">
        <v>708</v>
      </c>
      <c r="K16" s="19">
        <v>596</v>
      </c>
      <c r="L16" s="20">
        <v>5.9247529077704362E-3</v>
      </c>
      <c r="M16" s="20">
        <v>1.0278148771848324E-2</v>
      </c>
      <c r="N16" s="20">
        <v>8.5634644673697521E-3</v>
      </c>
      <c r="Q16" s="19">
        <v>1092</v>
      </c>
      <c r="R16" s="19">
        <v>1001</v>
      </c>
      <c r="S16" s="19">
        <v>114</v>
      </c>
      <c r="T16" s="20">
        <v>2.6077051478296588E-3</v>
      </c>
      <c r="U16" s="20">
        <v>2.5216900613670031E-3</v>
      </c>
      <c r="V16" s="20">
        <v>2.8415818138763913E-4</v>
      </c>
      <c r="X16" s="19">
        <v>11</v>
      </c>
      <c r="Y16" s="19">
        <v>34</v>
      </c>
      <c r="Z16" s="19">
        <v>2</v>
      </c>
      <c r="AA16" s="20">
        <v>1.7465862178469354E-3</v>
      </c>
      <c r="AB16" s="20">
        <v>6.4175160437901094E-3</v>
      </c>
      <c r="AC16" s="20">
        <v>3.4441191665231615E-4</v>
      </c>
      <c r="AF16"/>
    </row>
    <row r="17" spans="1:32" x14ac:dyDescent="0.25">
      <c r="A17" s="18" t="s">
        <v>37</v>
      </c>
      <c r="B17" s="19">
        <v>212</v>
      </c>
      <c r="C17" s="19">
        <v>0</v>
      </c>
      <c r="D17" s="19">
        <v>0</v>
      </c>
      <c r="E17" s="20">
        <v>5.9843053124823574E-3</v>
      </c>
      <c r="F17" s="20">
        <v>0</v>
      </c>
      <c r="G17" s="20">
        <v>0</v>
      </c>
      <c r="I17" s="19">
        <v>37</v>
      </c>
      <c r="J17" s="19">
        <v>0</v>
      </c>
      <c r="K17" s="19">
        <v>0</v>
      </c>
      <c r="L17" s="20">
        <v>9.9302200751476121E-3</v>
      </c>
      <c r="M17" s="20">
        <v>0</v>
      </c>
      <c r="N17" s="20">
        <v>0</v>
      </c>
      <c r="Q17" s="19">
        <v>13</v>
      </c>
      <c r="R17" s="19">
        <v>0</v>
      </c>
      <c r="S17" s="19">
        <v>0</v>
      </c>
      <c r="T17" s="20">
        <v>1.9507803121248499E-3</v>
      </c>
      <c r="U17" s="20">
        <v>0</v>
      </c>
      <c r="V17" s="20">
        <v>0</v>
      </c>
      <c r="X17" s="19">
        <v>0</v>
      </c>
      <c r="Y17" s="19">
        <v>0</v>
      </c>
      <c r="Z17" s="19">
        <v>0</v>
      </c>
      <c r="AA17" s="20">
        <v>0</v>
      </c>
      <c r="AB17" s="20">
        <v>0</v>
      </c>
      <c r="AC17" s="20">
        <v>0</v>
      </c>
      <c r="AF17"/>
    </row>
    <row r="18" spans="1:32" x14ac:dyDescent="0.25">
      <c r="A18" s="18" t="s">
        <v>41</v>
      </c>
      <c r="B18" s="19">
        <v>0</v>
      </c>
      <c r="C18" s="19">
        <v>0</v>
      </c>
      <c r="D18" s="19">
        <v>1</v>
      </c>
      <c r="E18" s="20">
        <v>0</v>
      </c>
      <c r="F18" s="20">
        <v>0</v>
      </c>
      <c r="G18" s="20">
        <v>1.282051282051282E-2</v>
      </c>
      <c r="I18" s="19">
        <v>0</v>
      </c>
      <c r="J18" s="19">
        <v>0</v>
      </c>
      <c r="K18" s="19">
        <v>151</v>
      </c>
      <c r="L18" s="20">
        <v>0</v>
      </c>
      <c r="M18" s="20">
        <v>0</v>
      </c>
      <c r="N18" s="20">
        <v>2.1525302922309336E-2</v>
      </c>
      <c r="Q18" s="19">
        <v>0</v>
      </c>
      <c r="R18" s="19">
        <v>0</v>
      </c>
      <c r="S18" s="19">
        <v>0</v>
      </c>
      <c r="T18" s="20">
        <v>0</v>
      </c>
      <c r="U18" s="20">
        <v>0</v>
      </c>
      <c r="V18" s="20">
        <v>0</v>
      </c>
      <c r="X18" s="19">
        <v>0</v>
      </c>
      <c r="Y18" s="19">
        <v>0</v>
      </c>
      <c r="Z18" s="19">
        <v>0</v>
      </c>
      <c r="AA18" s="20">
        <v>0</v>
      </c>
      <c r="AB18" s="20">
        <v>0</v>
      </c>
      <c r="AC18" s="20">
        <v>0</v>
      </c>
      <c r="AF18"/>
    </row>
    <row r="19" spans="1:32" x14ac:dyDescent="0.25">
      <c r="A19" s="18" t="s">
        <v>43</v>
      </c>
      <c r="B19" s="19">
        <v>58106</v>
      </c>
      <c r="C19" s="19">
        <v>58889</v>
      </c>
      <c r="D19" s="19">
        <v>56981</v>
      </c>
      <c r="E19" s="20">
        <v>3.922045084686502E-2</v>
      </c>
      <c r="F19" s="20">
        <v>3.9378966633967324E-2</v>
      </c>
      <c r="G19" s="20">
        <v>3.7828629622523639E-2</v>
      </c>
      <c r="I19" s="19">
        <v>4396</v>
      </c>
      <c r="J19" s="19">
        <v>4155</v>
      </c>
      <c r="K19" s="19">
        <v>5202</v>
      </c>
      <c r="L19" s="20">
        <v>2.9618250663648246E-2</v>
      </c>
      <c r="M19" s="20">
        <v>2.8041735280619821E-2</v>
      </c>
      <c r="N19" s="20">
        <v>3.6020939508087747E-2</v>
      </c>
      <c r="Q19" s="19">
        <v>20915</v>
      </c>
      <c r="R19" s="19">
        <v>20033</v>
      </c>
      <c r="S19" s="19">
        <v>20518</v>
      </c>
      <c r="T19" s="20">
        <v>4.2590582624508475E-2</v>
      </c>
      <c r="U19" s="20">
        <v>4.0137927165480543E-2</v>
      </c>
      <c r="V19" s="20">
        <v>4.0619407358134969E-2</v>
      </c>
      <c r="X19" s="19">
        <v>1250</v>
      </c>
      <c r="Y19" s="19">
        <v>1314</v>
      </c>
      <c r="Z19" s="19">
        <v>1474</v>
      </c>
      <c r="AA19" s="20">
        <v>3.873926922242539E-2</v>
      </c>
      <c r="AB19" s="20">
        <v>3.9283685610930076E-2</v>
      </c>
      <c r="AC19" s="20">
        <v>4.302267884766936E-2</v>
      </c>
      <c r="AF19"/>
    </row>
    <row r="20" spans="1:32" x14ac:dyDescent="0.25">
      <c r="A20" s="18" t="s">
        <v>126</v>
      </c>
      <c r="B20" s="19">
        <v>601</v>
      </c>
      <c r="C20" s="19">
        <v>861</v>
      </c>
      <c r="D20" s="19">
        <v>73</v>
      </c>
      <c r="E20" s="20">
        <v>1.3122843792305341E-2</v>
      </c>
      <c r="F20" s="20">
        <v>1.8494651372599563E-2</v>
      </c>
      <c r="G20" s="20">
        <v>1.5515409139213602E-3</v>
      </c>
      <c r="I20" s="19">
        <v>16</v>
      </c>
      <c r="J20" s="19">
        <v>2</v>
      </c>
      <c r="K20" s="19">
        <v>8</v>
      </c>
      <c r="L20" s="20">
        <v>1.3796671552987843E-3</v>
      </c>
      <c r="M20" s="20">
        <v>1.8057060310581438E-4</v>
      </c>
      <c r="N20" s="20">
        <v>7.5287031808770938E-4</v>
      </c>
      <c r="Q20" s="19">
        <v>0</v>
      </c>
      <c r="R20" s="19">
        <v>0</v>
      </c>
      <c r="S20" s="19">
        <v>0</v>
      </c>
      <c r="T20" s="20">
        <v>0</v>
      </c>
      <c r="U20" s="20">
        <v>0</v>
      </c>
      <c r="V20" s="20">
        <v>0</v>
      </c>
      <c r="X20" s="19">
        <v>0</v>
      </c>
      <c r="Y20" s="19">
        <v>0</v>
      </c>
      <c r="Z20" s="19">
        <v>0</v>
      </c>
      <c r="AA20" s="20">
        <v>0</v>
      </c>
      <c r="AB20" s="20">
        <v>0</v>
      </c>
      <c r="AC20" s="20">
        <v>0</v>
      </c>
      <c r="AF20"/>
    </row>
    <row r="21" spans="1:32" x14ac:dyDescent="0.25">
      <c r="A21" s="18" t="s">
        <v>55</v>
      </c>
      <c r="B21" s="19">
        <v>60252</v>
      </c>
      <c r="C21" s="19">
        <v>59871</v>
      </c>
      <c r="D21" s="19">
        <v>54375</v>
      </c>
      <c r="E21" s="20">
        <v>0.48240192153722977</v>
      </c>
      <c r="F21" s="20">
        <v>0.46432144435913542</v>
      </c>
      <c r="G21" s="20">
        <v>0.41989389715591868</v>
      </c>
      <c r="I21" s="19">
        <v>3868</v>
      </c>
      <c r="J21" s="19">
        <v>4146</v>
      </c>
      <c r="K21" s="19">
        <v>3961</v>
      </c>
      <c r="L21" s="20">
        <v>0.62518183287538387</v>
      </c>
      <c r="M21" s="20">
        <v>0.66325387937929936</v>
      </c>
      <c r="N21" s="20">
        <v>0.61890624999999999</v>
      </c>
      <c r="Q21" s="19">
        <v>21853</v>
      </c>
      <c r="R21" s="19">
        <v>21653</v>
      </c>
      <c r="S21" s="19">
        <v>19849</v>
      </c>
      <c r="T21" s="20">
        <v>0.46844587352625938</v>
      </c>
      <c r="U21" s="20">
        <v>0.43851512819474259</v>
      </c>
      <c r="V21" s="20">
        <v>0.38410480687359705</v>
      </c>
      <c r="X21" s="19">
        <v>45</v>
      </c>
      <c r="Y21" s="19">
        <v>68</v>
      </c>
      <c r="Z21" s="19">
        <v>59</v>
      </c>
      <c r="AA21" s="20">
        <v>0.16014234875444841</v>
      </c>
      <c r="AB21" s="20">
        <v>0.24113475177304963</v>
      </c>
      <c r="AC21" s="20">
        <v>0.18670886075949367</v>
      </c>
      <c r="AF21"/>
    </row>
    <row r="22" spans="1:32" x14ac:dyDescent="0.25">
      <c r="A22" s="18" t="s">
        <v>58</v>
      </c>
      <c r="B22" s="19">
        <v>0</v>
      </c>
      <c r="C22" s="19">
        <v>0</v>
      </c>
      <c r="D22" s="19">
        <v>0</v>
      </c>
      <c r="E22" s="20">
        <v>0</v>
      </c>
      <c r="F22" s="20">
        <v>0</v>
      </c>
      <c r="G22" s="20">
        <v>0</v>
      </c>
      <c r="I22" s="19">
        <v>0</v>
      </c>
      <c r="J22" s="19">
        <v>0</v>
      </c>
      <c r="K22" s="19">
        <v>12</v>
      </c>
      <c r="L22" s="20">
        <v>0</v>
      </c>
      <c r="M22" s="20">
        <v>0</v>
      </c>
      <c r="N22" s="20">
        <v>0.8571428571428571</v>
      </c>
      <c r="Q22" s="19">
        <v>0</v>
      </c>
      <c r="R22" s="19">
        <v>0</v>
      </c>
      <c r="S22" s="19">
        <v>0</v>
      </c>
      <c r="T22" s="20">
        <v>0</v>
      </c>
      <c r="U22" s="20">
        <v>0</v>
      </c>
      <c r="V22" s="20">
        <v>0</v>
      </c>
      <c r="X22" s="19">
        <v>0</v>
      </c>
      <c r="Y22" s="19">
        <v>0</v>
      </c>
      <c r="Z22" s="19">
        <v>0</v>
      </c>
      <c r="AA22" s="20">
        <v>0</v>
      </c>
      <c r="AB22" s="20">
        <v>0</v>
      </c>
      <c r="AC22" s="20">
        <v>0</v>
      </c>
      <c r="AF22"/>
    </row>
    <row r="23" spans="1:32" s="43" customFormat="1" x14ac:dyDescent="0.25">
      <c r="A23" s="1" t="s">
        <v>62</v>
      </c>
      <c r="B23" s="21">
        <v>132333</v>
      </c>
      <c r="C23" s="21">
        <v>129740</v>
      </c>
      <c r="D23" s="21">
        <v>136244</v>
      </c>
      <c r="E23" s="22">
        <v>2.7419959073017947E-2</v>
      </c>
      <c r="F23" s="22">
        <v>2.6809568375041355E-2</v>
      </c>
      <c r="G23" s="22">
        <v>2.7661004285868006E-2</v>
      </c>
      <c r="I23" s="21">
        <v>9398</v>
      </c>
      <c r="J23" s="21">
        <v>9641</v>
      </c>
      <c r="K23" s="21">
        <v>11065</v>
      </c>
      <c r="L23" s="22">
        <v>2.2346820369419238E-2</v>
      </c>
      <c r="M23" s="22">
        <v>2.3031973855209845E-2</v>
      </c>
      <c r="N23" s="22">
        <v>2.6154744373716194E-2</v>
      </c>
      <c r="Q23" s="21">
        <v>49221</v>
      </c>
      <c r="R23" s="21">
        <v>52425</v>
      </c>
      <c r="S23" s="21">
        <v>42425</v>
      </c>
      <c r="T23" s="22">
        <v>2.7001510781184686E-2</v>
      </c>
      <c r="U23" s="22">
        <v>2.8698806775600785E-2</v>
      </c>
      <c r="V23" s="22">
        <v>2.2826959540458467E-2</v>
      </c>
      <c r="X23" s="21">
        <v>1409</v>
      </c>
      <c r="Y23" s="21">
        <v>1719</v>
      </c>
      <c r="Z23" s="21">
        <v>1694</v>
      </c>
      <c r="AA23" s="22">
        <v>2.3803490277566605E-2</v>
      </c>
      <c r="AB23" s="22">
        <v>2.9004825701076504E-2</v>
      </c>
      <c r="AC23" s="22">
        <v>2.7368931254543986E-2</v>
      </c>
    </row>
    <row r="24" spans="1:32" x14ac:dyDescent="0.25">
      <c r="A24" s="1"/>
      <c r="B24" s="21"/>
      <c r="C24" s="21"/>
      <c r="D24" s="21"/>
      <c r="E24" s="20"/>
      <c r="F24" s="20"/>
      <c r="G24" s="22"/>
      <c r="I24" s="21"/>
      <c r="J24" s="21"/>
      <c r="K24" s="21"/>
      <c r="L24" s="20"/>
      <c r="M24" s="20"/>
      <c r="N24" s="22"/>
      <c r="Q24" s="21"/>
      <c r="R24" s="21"/>
      <c r="S24" s="21"/>
      <c r="T24" s="20"/>
      <c r="U24" s="20"/>
      <c r="V24" s="22"/>
      <c r="X24" s="21"/>
      <c r="Y24" s="21"/>
      <c r="Z24" s="21"/>
      <c r="AA24" s="20"/>
      <c r="AB24" s="20"/>
      <c r="AC24" s="22"/>
      <c r="AF24"/>
    </row>
    <row r="25" spans="1:32" x14ac:dyDescent="0.25">
      <c r="A25" s="1" t="s">
        <v>63</v>
      </c>
      <c r="B25" s="21"/>
      <c r="C25" s="21"/>
      <c r="D25" s="21"/>
      <c r="E25" s="20"/>
      <c r="F25" s="20"/>
      <c r="G25" s="22"/>
      <c r="I25" s="21"/>
      <c r="J25" s="21"/>
      <c r="K25" s="21"/>
      <c r="L25" s="20"/>
      <c r="M25" s="20"/>
      <c r="N25" s="22"/>
      <c r="Q25" s="21"/>
      <c r="R25" s="21"/>
      <c r="S25" s="21"/>
      <c r="T25" s="20"/>
      <c r="U25" s="20"/>
      <c r="V25" s="22"/>
      <c r="X25" s="21"/>
      <c r="Y25" s="21"/>
      <c r="Z25" s="21"/>
      <c r="AA25" s="20"/>
      <c r="AB25" s="20"/>
      <c r="AC25" s="22"/>
      <c r="AF25"/>
    </row>
    <row r="26" spans="1:32" x14ac:dyDescent="0.25">
      <c r="A26" s="9" t="s">
        <v>64</v>
      </c>
      <c r="B26" s="21"/>
      <c r="C26" s="21"/>
      <c r="D26" s="21"/>
      <c r="E26" s="20"/>
      <c r="F26" s="20"/>
      <c r="G26" s="22"/>
      <c r="I26" s="21"/>
      <c r="J26" s="21"/>
      <c r="K26" s="21"/>
      <c r="L26" s="20"/>
      <c r="M26" s="20"/>
      <c r="N26" s="22"/>
      <c r="Q26" s="21"/>
      <c r="R26" s="21"/>
      <c r="S26" s="21"/>
      <c r="T26" s="20"/>
      <c r="U26" s="20"/>
      <c r="V26" s="22"/>
      <c r="X26" s="21"/>
      <c r="Y26" s="21"/>
      <c r="Z26" s="21"/>
      <c r="AA26" s="20"/>
      <c r="AB26" s="20"/>
      <c r="AC26" s="22"/>
      <c r="AF26"/>
    </row>
    <row r="27" spans="1:32" x14ac:dyDescent="0.25">
      <c r="A27" s="18" t="s">
        <v>18</v>
      </c>
      <c r="B27" s="19">
        <v>764</v>
      </c>
      <c r="C27" s="19">
        <v>1422</v>
      </c>
      <c r="D27" s="19">
        <v>1173</v>
      </c>
      <c r="E27" s="20">
        <v>1.4918669817031497E-2</v>
      </c>
      <c r="F27" s="20">
        <v>2.4234367810215245E-2</v>
      </c>
      <c r="G27" s="20">
        <v>1.7814564507555624E-2</v>
      </c>
      <c r="I27" s="19">
        <v>7</v>
      </c>
      <c r="J27" s="19">
        <v>12</v>
      </c>
      <c r="K27" s="19">
        <v>30</v>
      </c>
      <c r="L27" s="20">
        <v>4.0369088811995383E-3</v>
      </c>
      <c r="M27" s="20">
        <v>5.8337384540593099E-3</v>
      </c>
      <c r="N27" s="20">
        <v>1.3630168105406633E-2</v>
      </c>
      <c r="Q27" s="19">
        <v>473</v>
      </c>
      <c r="R27" s="19">
        <v>758</v>
      </c>
      <c r="S27" s="19">
        <v>618</v>
      </c>
      <c r="T27" s="20">
        <v>1.265281010084798E-2</v>
      </c>
      <c r="U27" s="20">
        <v>1.8009456152438881E-2</v>
      </c>
      <c r="V27" s="20">
        <v>1.3296041308089502E-2</v>
      </c>
      <c r="X27" s="19">
        <v>0</v>
      </c>
      <c r="Y27" s="19">
        <v>0</v>
      </c>
      <c r="Z27" s="19">
        <v>0</v>
      </c>
      <c r="AA27" s="20">
        <v>0</v>
      </c>
      <c r="AB27" s="20">
        <v>0</v>
      </c>
      <c r="AC27" s="20">
        <v>0</v>
      </c>
      <c r="AF27"/>
    </row>
    <row r="28" spans="1:32" x14ac:dyDescent="0.25">
      <c r="A28" s="18" t="s">
        <v>30</v>
      </c>
      <c r="B28" s="19">
        <v>14</v>
      </c>
      <c r="C28" s="19">
        <v>11</v>
      </c>
      <c r="D28" s="19">
        <v>1</v>
      </c>
      <c r="E28" s="20">
        <v>1.8457481872116018E-3</v>
      </c>
      <c r="F28" s="20">
        <v>1.4919300149193002E-3</v>
      </c>
      <c r="G28" s="20">
        <v>1.3772207684891889E-4</v>
      </c>
      <c r="I28" s="19">
        <v>0</v>
      </c>
      <c r="J28" s="19">
        <v>3</v>
      </c>
      <c r="K28" s="19">
        <v>14</v>
      </c>
      <c r="L28" s="20">
        <v>0</v>
      </c>
      <c r="M28" s="20">
        <v>7.7519379844961239E-3</v>
      </c>
      <c r="N28" s="20">
        <v>3.9106145251396648E-2</v>
      </c>
      <c r="Q28" s="19">
        <v>10</v>
      </c>
      <c r="R28" s="19">
        <v>12</v>
      </c>
      <c r="S28" s="19">
        <v>1</v>
      </c>
      <c r="T28" s="20">
        <v>1.8355359765051395E-3</v>
      </c>
      <c r="U28" s="20">
        <v>2.2844089091947459E-3</v>
      </c>
      <c r="V28" s="20">
        <v>1.9592476489028212E-4</v>
      </c>
      <c r="X28" s="19">
        <v>1</v>
      </c>
      <c r="Y28" s="19">
        <v>0</v>
      </c>
      <c r="Z28" s="19">
        <v>0</v>
      </c>
      <c r="AA28" s="20">
        <v>1.3513513513513514E-2</v>
      </c>
      <c r="AB28" s="20">
        <v>0</v>
      </c>
      <c r="AC28" s="20">
        <v>0</v>
      </c>
      <c r="AF28"/>
    </row>
    <row r="29" spans="1:32" x14ac:dyDescent="0.25">
      <c r="A29" s="18" t="s">
        <v>41</v>
      </c>
      <c r="B29" s="19">
        <v>0</v>
      </c>
      <c r="C29" s="19">
        <v>0</v>
      </c>
      <c r="D29" s="19">
        <v>0</v>
      </c>
      <c r="E29" s="20">
        <v>0</v>
      </c>
      <c r="F29" s="20">
        <v>0</v>
      </c>
      <c r="G29" s="20">
        <v>0</v>
      </c>
      <c r="I29" s="19">
        <v>0</v>
      </c>
      <c r="J29" s="19">
        <v>0</v>
      </c>
      <c r="K29" s="19">
        <v>19</v>
      </c>
      <c r="L29" s="20">
        <v>0</v>
      </c>
      <c r="M29" s="20">
        <v>0</v>
      </c>
      <c r="N29" s="20">
        <v>0.23170731707317074</v>
      </c>
      <c r="Q29" s="19">
        <v>0</v>
      </c>
      <c r="R29" s="19">
        <v>0</v>
      </c>
      <c r="S29" s="19">
        <v>0</v>
      </c>
      <c r="T29" s="20">
        <v>0</v>
      </c>
      <c r="U29" s="20">
        <v>0</v>
      </c>
      <c r="V29" s="20">
        <v>0</v>
      </c>
      <c r="X29" s="19">
        <v>0</v>
      </c>
      <c r="Y29" s="19">
        <v>0</v>
      </c>
      <c r="Z29" s="19">
        <v>0</v>
      </c>
      <c r="AA29" s="20">
        <v>0</v>
      </c>
      <c r="AB29" s="20">
        <v>0</v>
      </c>
      <c r="AC29" s="20">
        <v>0</v>
      </c>
      <c r="AF29"/>
    </row>
    <row r="30" spans="1:32" x14ac:dyDescent="0.25">
      <c r="A30" s="18" t="s">
        <v>43</v>
      </c>
      <c r="B30" s="19">
        <v>584</v>
      </c>
      <c r="C30" s="19">
        <v>604</v>
      </c>
      <c r="D30" s="19">
        <v>1051</v>
      </c>
      <c r="E30" s="20">
        <v>2.835915116787258E-2</v>
      </c>
      <c r="F30" s="20">
        <v>2.6351380829806727E-2</v>
      </c>
      <c r="G30" s="20">
        <v>4.2760079742869932E-2</v>
      </c>
      <c r="I30" s="19">
        <v>39</v>
      </c>
      <c r="J30" s="19">
        <v>73</v>
      </c>
      <c r="K30" s="19">
        <v>69</v>
      </c>
      <c r="L30" s="20">
        <v>2.3297491039426525E-2</v>
      </c>
      <c r="M30" s="20">
        <v>4.2590431738623105E-2</v>
      </c>
      <c r="N30" s="20">
        <v>3.9406053683609367E-2</v>
      </c>
      <c r="Q30" s="19">
        <v>366</v>
      </c>
      <c r="R30" s="19">
        <v>459</v>
      </c>
      <c r="S30" s="19">
        <v>808</v>
      </c>
      <c r="T30" s="20">
        <v>2.6217765042979943E-2</v>
      </c>
      <c r="U30" s="20">
        <v>2.9209621993127148E-2</v>
      </c>
      <c r="V30" s="20">
        <v>4.8155432385720245E-2</v>
      </c>
      <c r="X30" s="19">
        <v>19</v>
      </c>
      <c r="Y30" s="19">
        <v>35</v>
      </c>
      <c r="Z30" s="19">
        <v>28</v>
      </c>
      <c r="AA30" s="20">
        <v>2.710413694721826E-2</v>
      </c>
      <c r="AB30" s="20">
        <v>4.4359949302915085E-2</v>
      </c>
      <c r="AC30" s="20">
        <v>3.3857315598548973E-2</v>
      </c>
      <c r="AF30"/>
    </row>
    <row r="31" spans="1:32" s="43" customFormat="1" x14ac:dyDescent="0.25">
      <c r="A31" s="26" t="s">
        <v>65</v>
      </c>
      <c r="B31" s="27">
        <v>1362</v>
      </c>
      <c r="C31" s="27">
        <v>2037</v>
      </c>
      <c r="D31" s="27">
        <v>2225</v>
      </c>
      <c r="E31" s="22">
        <v>1.7091014041736206E-2</v>
      </c>
      <c r="F31" s="22">
        <v>2.2802834402391108E-2</v>
      </c>
      <c r="G31" s="22">
        <v>2.2648154557114067E-2</v>
      </c>
      <c r="I31" s="27">
        <v>46</v>
      </c>
      <c r="J31" s="27">
        <v>88</v>
      </c>
      <c r="K31" s="27">
        <v>132</v>
      </c>
      <c r="L31" s="22">
        <v>1.1408730158730158E-2</v>
      </c>
      <c r="M31" s="22">
        <v>2.0202020202020204E-2</v>
      </c>
      <c r="N31" s="22">
        <v>2.9346376167185415E-2</v>
      </c>
      <c r="Q31" s="27">
        <v>849</v>
      </c>
      <c r="R31" s="27">
        <v>1229</v>
      </c>
      <c r="S31" s="27">
        <v>1427</v>
      </c>
      <c r="T31" s="22">
        <v>1.4949551865612509E-2</v>
      </c>
      <c r="U31" s="22">
        <v>1.9490611519918804E-2</v>
      </c>
      <c r="V31" s="22">
        <v>2.0873864517355879E-2</v>
      </c>
      <c r="X31" s="27">
        <v>20</v>
      </c>
      <c r="Y31" s="27">
        <v>35</v>
      </c>
      <c r="Z31" s="27">
        <v>28</v>
      </c>
      <c r="AA31" s="22">
        <v>1.8450184501845018E-2</v>
      </c>
      <c r="AB31" s="22">
        <v>2.8854080791426217E-2</v>
      </c>
      <c r="AC31" s="22">
        <v>2.1840873634945399E-2</v>
      </c>
    </row>
    <row r="32" spans="1:32" x14ac:dyDescent="0.25">
      <c r="A32" s="18"/>
      <c r="B32" s="19"/>
      <c r="C32" s="19"/>
      <c r="D32" s="19"/>
      <c r="E32" s="19"/>
      <c r="F32" s="19"/>
      <c r="G32" s="19"/>
      <c r="I32" s="19"/>
      <c r="J32" s="19"/>
      <c r="K32" s="19"/>
      <c r="L32" s="19"/>
      <c r="M32" s="19"/>
      <c r="N32" s="19"/>
      <c r="Q32" s="19"/>
      <c r="R32" s="19"/>
      <c r="S32" s="19"/>
      <c r="T32" s="19"/>
      <c r="U32" s="19"/>
      <c r="V32" s="19"/>
      <c r="X32" s="19"/>
      <c r="Y32" s="19"/>
      <c r="Z32" s="19"/>
      <c r="AA32" s="19"/>
      <c r="AB32" s="19"/>
      <c r="AC32" s="19"/>
      <c r="AF32"/>
    </row>
    <row r="33" spans="1:32" x14ac:dyDescent="0.25">
      <c r="A33" s="28" t="s">
        <v>66</v>
      </c>
      <c r="B33" s="25"/>
      <c r="C33" s="25"/>
      <c r="D33" s="25"/>
      <c r="E33" s="25"/>
      <c r="F33" s="25"/>
      <c r="G33" s="25"/>
      <c r="I33" s="25"/>
      <c r="J33" s="25"/>
      <c r="K33" s="25"/>
      <c r="L33" s="25"/>
      <c r="M33" s="25"/>
      <c r="N33" s="25"/>
      <c r="Q33" s="25"/>
      <c r="R33" s="25"/>
      <c r="S33" s="25"/>
      <c r="T33" s="25"/>
      <c r="U33" s="25"/>
      <c r="V33" s="25"/>
      <c r="X33" s="25"/>
      <c r="Y33" s="25"/>
      <c r="Z33" s="25"/>
      <c r="AA33" s="25"/>
      <c r="AB33" s="25"/>
      <c r="AC33" s="25"/>
      <c r="AF33"/>
    </row>
    <row r="34" spans="1:32" x14ac:dyDescent="0.25">
      <c r="A34" s="18" t="s">
        <v>17</v>
      </c>
      <c r="B34" s="19">
        <v>150</v>
      </c>
      <c r="C34" s="19">
        <v>135</v>
      </c>
      <c r="D34" s="19">
        <v>59</v>
      </c>
      <c r="E34" s="20">
        <v>1.7859268960590546E-2</v>
      </c>
      <c r="F34" s="20">
        <v>1.6405395552314985E-2</v>
      </c>
      <c r="G34" s="20">
        <v>7.297464440321583E-3</v>
      </c>
      <c r="I34" s="19">
        <v>16</v>
      </c>
      <c r="J34" s="19">
        <v>9</v>
      </c>
      <c r="K34" s="19">
        <v>16</v>
      </c>
      <c r="L34" s="20">
        <v>1.4084507042253521E-2</v>
      </c>
      <c r="M34" s="20">
        <v>9.11854103343465E-3</v>
      </c>
      <c r="N34" s="20">
        <v>1.444043321299639E-2</v>
      </c>
      <c r="Q34" s="19">
        <v>0</v>
      </c>
      <c r="R34" s="19">
        <v>0</v>
      </c>
      <c r="S34" s="19">
        <v>0</v>
      </c>
      <c r="T34" s="20">
        <v>0</v>
      </c>
      <c r="U34" s="20">
        <v>0</v>
      </c>
      <c r="V34" s="20">
        <v>0</v>
      </c>
      <c r="X34" s="19">
        <v>0</v>
      </c>
      <c r="Y34" s="19">
        <v>0</v>
      </c>
      <c r="Z34" s="19">
        <v>0</v>
      </c>
      <c r="AA34" s="20">
        <v>0</v>
      </c>
      <c r="AB34" s="20">
        <v>0</v>
      </c>
      <c r="AC34" s="20">
        <v>0</v>
      </c>
      <c r="AF34"/>
    </row>
    <row r="35" spans="1:32" x14ac:dyDescent="0.25">
      <c r="A35" s="18" t="s">
        <v>18</v>
      </c>
      <c r="B35" s="19">
        <v>656</v>
      </c>
      <c r="C35" s="19">
        <v>1025</v>
      </c>
      <c r="D35" s="19">
        <v>662</v>
      </c>
      <c r="E35" s="20">
        <v>3.7236759947777712E-2</v>
      </c>
      <c r="F35" s="20">
        <v>5.2376085845682166E-2</v>
      </c>
      <c r="G35" s="20">
        <v>3.3517290263784111E-2</v>
      </c>
      <c r="I35" s="19">
        <v>18</v>
      </c>
      <c r="J35" s="19">
        <v>9</v>
      </c>
      <c r="K35" s="19">
        <v>28</v>
      </c>
      <c r="L35" s="20">
        <v>2.9173419773095625E-2</v>
      </c>
      <c r="M35" s="20">
        <v>1.3574660633484163E-2</v>
      </c>
      <c r="N35" s="20">
        <v>4.2424242424242427E-2</v>
      </c>
      <c r="Q35" s="19">
        <v>227</v>
      </c>
      <c r="R35" s="19">
        <v>339</v>
      </c>
      <c r="S35" s="19">
        <v>202</v>
      </c>
      <c r="T35" s="20">
        <v>2.7379085755638643E-2</v>
      </c>
      <c r="U35" s="20">
        <v>3.9630582183773674E-2</v>
      </c>
      <c r="V35" s="20">
        <v>2.3120064095227193E-2</v>
      </c>
      <c r="X35" s="19">
        <v>0</v>
      </c>
      <c r="Y35" s="19">
        <v>1</v>
      </c>
      <c r="Z35" s="19">
        <v>0</v>
      </c>
      <c r="AA35" s="20">
        <v>0</v>
      </c>
      <c r="AB35" s="20">
        <v>1.6949152542372881E-2</v>
      </c>
      <c r="AC35" s="20">
        <v>0</v>
      </c>
      <c r="AF35"/>
    </row>
    <row r="36" spans="1:32" x14ac:dyDescent="0.25">
      <c r="A36" s="18" t="s">
        <v>19</v>
      </c>
      <c r="B36" s="19">
        <v>1875</v>
      </c>
      <c r="C36" s="19">
        <v>644</v>
      </c>
      <c r="D36" s="19">
        <v>14162</v>
      </c>
      <c r="E36" s="20">
        <v>2.6483013442071411E-3</v>
      </c>
      <c r="F36" s="20">
        <v>9.1081508049540422E-4</v>
      </c>
      <c r="G36" s="20">
        <v>2.0028341191744285E-2</v>
      </c>
      <c r="I36" s="19">
        <v>2</v>
      </c>
      <c r="J36" s="19">
        <v>1</v>
      </c>
      <c r="K36" s="19">
        <v>377</v>
      </c>
      <c r="L36" s="20">
        <v>3.7869463957737679E-5</v>
      </c>
      <c r="M36" s="20">
        <v>1.8545994065281898E-5</v>
      </c>
      <c r="N36" s="20">
        <v>6.5521915951197466E-3</v>
      </c>
      <c r="Q36" s="19">
        <v>962</v>
      </c>
      <c r="R36" s="19">
        <v>248</v>
      </c>
      <c r="S36" s="19">
        <v>384</v>
      </c>
      <c r="T36" s="20">
        <v>1.9245157702264207E-3</v>
      </c>
      <c r="U36" s="20">
        <v>4.9448884209854689E-4</v>
      </c>
      <c r="V36" s="20">
        <v>7.6460972049930613E-4</v>
      </c>
      <c r="X36" s="19">
        <v>0</v>
      </c>
      <c r="Y36" s="19">
        <v>1</v>
      </c>
      <c r="Z36" s="19">
        <v>0</v>
      </c>
      <c r="AA36" s="20">
        <v>0</v>
      </c>
      <c r="AB36" s="20">
        <v>7.5935910091882454E-5</v>
      </c>
      <c r="AC36" s="20">
        <v>0</v>
      </c>
      <c r="AF36"/>
    </row>
    <row r="37" spans="1:32" x14ac:dyDescent="0.25">
      <c r="A37" s="18" t="s">
        <v>20</v>
      </c>
      <c r="B37" s="19">
        <v>1176</v>
      </c>
      <c r="C37" s="19">
        <v>1375</v>
      </c>
      <c r="D37" s="19">
        <v>130</v>
      </c>
      <c r="E37" s="20">
        <v>1.4839303965980643E-2</v>
      </c>
      <c r="F37" s="20">
        <v>1.6179896919347625E-2</v>
      </c>
      <c r="G37" s="20">
        <v>1.388621846226153E-3</v>
      </c>
      <c r="I37" s="19">
        <v>12</v>
      </c>
      <c r="J37" s="19">
        <v>11</v>
      </c>
      <c r="K37" s="19">
        <v>7</v>
      </c>
      <c r="L37" s="20">
        <v>1.2424932698281218E-3</v>
      </c>
      <c r="M37" s="20">
        <v>1.1902185674096516E-3</v>
      </c>
      <c r="N37" s="20">
        <v>7.1188853859452861E-4</v>
      </c>
      <c r="Q37" s="19">
        <v>238</v>
      </c>
      <c r="R37" s="19">
        <v>250</v>
      </c>
      <c r="S37" s="19">
        <v>19</v>
      </c>
      <c r="T37" s="20">
        <v>1.1432963443339578E-2</v>
      </c>
      <c r="U37" s="20">
        <v>1.1171187273783459E-2</v>
      </c>
      <c r="V37" s="20">
        <v>6.8830604260252141E-4</v>
      </c>
      <c r="X37" s="19">
        <v>0</v>
      </c>
      <c r="Y37" s="19">
        <v>0</v>
      </c>
      <c r="Z37" s="19">
        <v>0</v>
      </c>
      <c r="AA37" s="20">
        <v>0</v>
      </c>
      <c r="AB37" s="20">
        <v>0</v>
      </c>
      <c r="AC37" s="20">
        <v>0</v>
      </c>
      <c r="AF37"/>
    </row>
    <row r="38" spans="1:32" x14ac:dyDescent="0.25">
      <c r="A38" s="18" t="s">
        <v>21</v>
      </c>
      <c r="B38" s="19">
        <v>911</v>
      </c>
      <c r="C38" s="19">
        <v>531</v>
      </c>
      <c r="D38" s="19">
        <v>729</v>
      </c>
      <c r="E38" s="20">
        <v>1.8571370326578872E-2</v>
      </c>
      <c r="F38" s="20">
        <v>1.0544920168400985E-2</v>
      </c>
      <c r="G38" s="20">
        <v>1.463532151532794E-2</v>
      </c>
      <c r="I38" s="19">
        <v>6</v>
      </c>
      <c r="J38" s="19">
        <v>7</v>
      </c>
      <c r="K38" s="19">
        <v>4</v>
      </c>
      <c r="L38" s="20">
        <v>3.8265306122448979E-3</v>
      </c>
      <c r="M38" s="20">
        <v>4.1916167664670656E-3</v>
      </c>
      <c r="N38" s="20">
        <v>2.3391812865497076E-3</v>
      </c>
      <c r="Q38" s="19">
        <v>494</v>
      </c>
      <c r="R38" s="19">
        <v>267</v>
      </c>
      <c r="S38" s="19">
        <v>308</v>
      </c>
      <c r="T38" s="20">
        <v>2.6571997202947662E-2</v>
      </c>
      <c r="U38" s="20">
        <v>1.3607869119820601E-2</v>
      </c>
      <c r="V38" s="20">
        <v>1.4972534150017014E-2</v>
      </c>
      <c r="X38" s="19">
        <v>0</v>
      </c>
      <c r="Y38" s="19">
        <v>1</v>
      </c>
      <c r="Z38" s="19">
        <v>0</v>
      </c>
      <c r="AA38" s="20">
        <v>0</v>
      </c>
      <c r="AB38" s="20">
        <v>3.3783783783783786E-3</v>
      </c>
      <c r="AC38" s="20">
        <v>0</v>
      </c>
      <c r="AF38"/>
    </row>
    <row r="39" spans="1:32" x14ac:dyDescent="0.25">
      <c r="A39" s="18" t="s">
        <v>25</v>
      </c>
      <c r="B39" s="19">
        <v>92</v>
      </c>
      <c r="C39" s="19">
        <v>141</v>
      </c>
      <c r="D39" s="19">
        <v>127</v>
      </c>
      <c r="E39" s="20">
        <v>2.6077097505668934E-2</v>
      </c>
      <c r="F39" s="20">
        <v>3.9529015979814973E-2</v>
      </c>
      <c r="G39" s="20">
        <v>3.5634118967452298E-2</v>
      </c>
      <c r="I39" s="19">
        <v>279</v>
      </c>
      <c r="J39" s="19">
        <v>429</v>
      </c>
      <c r="K39" s="19">
        <v>218</v>
      </c>
      <c r="L39" s="20">
        <v>6.014227204138823E-2</v>
      </c>
      <c r="M39" s="20">
        <v>9.2337494619027113E-2</v>
      </c>
      <c r="N39" s="20">
        <v>4.8198098607119169E-2</v>
      </c>
      <c r="Q39" s="19">
        <v>43</v>
      </c>
      <c r="R39" s="19">
        <v>67</v>
      </c>
      <c r="S39" s="19">
        <v>51</v>
      </c>
      <c r="T39" s="20">
        <v>2.0623501199040769E-2</v>
      </c>
      <c r="U39" s="20">
        <v>3.1678486997635931E-2</v>
      </c>
      <c r="V39" s="20">
        <v>2.3319615912208505E-2</v>
      </c>
      <c r="X39" s="19">
        <v>100</v>
      </c>
      <c r="Y39" s="19">
        <v>299</v>
      </c>
      <c r="Z39" s="19">
        <v>159</v>
      </c>
      <c r="AA39" s="20">
        <v>4.3975373790677223E-2</v>
      </c>
      <c r="AB39" s="20">
        <v>0.12610712779417968</v>
      </c>
      <c r="AC39" s="20">
        <v>6.6975568660488621E-2</v>
      </c>
      <c r="AF39"/>
    </row>
    <row r="40" spans="1:32" x14ac:dyDescent="0.25">
      <c r="A40" s="18" t="s">
        <v>26</v>
      </c>
      <c r="B40" s="19">
        <v>0</v>
      </c>
      <c r="C40" s="19">
        <v>1</v>
      </c>
      <c r="D40" s="19">
        <v>1</v>
      </c>
      <c r="E40" s="20">
        <v>0</v>
      </c>
      <c r="F40" s="20">
        <v>3.031221582297666E-4</v>
      </c>
      <c r="G40" s="20">
        <v>3.0376670716889426E-4</v>
      </c>
      <c r="I40" s="19">
        <v>0</v>
      </c>
      <c r="J40" s="19">
        <v>0</v>
      </c>
      <c r="K40" s="19">
        <v>0</v>
      </c>
      <c r="L40" s="20">
        <v>0</v>
      </c>
      <c r="M40" s="20">
        <v>0</v>
      </c>
      <c r="N40" s="20">
        <v>0</v>
      </c>
      <c r="Q40" s="19">
        <v>0</v>
      </c>
      <c r="R40" s="19">
        <v>0</v>
      </c>
      <c r="S40" s="19">
        <v>0</v>
      </c>
      <c r="T40" s="20">
        <v>0</v>
      </c>
      <c r="U40" s="20">
        <v>0</v>
      </c>
      <c r="V40" s="20">
        <v>0</v>
      </c>
      <c r="X40" s="19">
        <v>0</v>
      </c>
      <c r="Y40" s="19">
        <v>0</v>
      </c>
      <c r="Z40" s="19">
        <v>0</v>
      </c>
      <c r="AA40" s="20">
        <v>0</v>
      </c>
      <c r="AB40" s="20">
        <v>0</v>
      </c>
      <c r="AC40" s="20">
        <v>0</v>
      </c>
      <c r="AF40"/>
    </row>
    <row r="41" spans="1:32" x14ac:dyDescent="0.25">
      <c r="A41" s="18" t="s">
        <v>29</v>
      </c>
      <c r="B41" s="19">
        <v>86</v>
      </c>
      <c r="C41" s="19">
        <v>0</v>
      </c>
      <c r="D41" s="19">
        <v>0</v>
      </c>
      <c r="E41" s="20">
        <v>1.8963616317530321E-2</v>
      </c>
      <c r="F41" s="20">
        <v>0</v>
      </c>
      <c r="G41" s="20">
        <v>0</v>
      </c>
      <c r="I41" s="19">
        <v>2</v>
      </c>
      <c r="J41" s="19">
        <v>0</v>
      </c>
      <c r="K41" s="19">
        <v>0</v>
      </c>
      <c r="L41" s="20">
        <v>7.7519379844961239E-3</v>
      </c>
      <c r="M41" s="20">
        <v>0</v>
      </c>
      <c r="N41" s="20">
        <v>0</v>
      </c>
      <c r="Q41" s="19">
        <v>0</v>
      </c>
      <c r="R41" s="19">
        <v>0</v>
      </c>
      <c r="S41" s="19">
        <v>0</v>
      </c>
      <c r="T41" s="20">
        <v>0</v>
      </c>
      <c r="U41" s="20">
        <v>0</v>
      </c>
      <c r="V41" s="20">
        <v>0</v>
      </c>
      <c r="X41" s="19">
        <v>0</v>
      </c>
      <c r="Y41" s="19">
        <v>0</v>
      </c>
      <c r="Z41" s="19">
        <v>0</v>
      </c>
      <c r="AA41" s="20">
        <v>0</v>
      </c>
      <c r="AB41" s="20">
        <v>0</v>
      </c>
      <c r="AC41" s="20">
        <v>0</v>
      </c>
      <c r="AF41"/>
    </row>
    <row r="42" spans="1:32" x14ac:dyDescent="0.25">
      <c r="A42" s="18" t="s">
        <v>30</v>
      </c>
      <c r="B42" s="19">
        <v>2327</v>
      </c>
      <c r="C42" s="19">
        <v>1639</v>
      </c>
      <c r="D42" s="19">
        <v>129</v>
      </c>
      <c r="E42" s="20">
        <v>2.9487273713369E-3</v>
      </c>
      <c r="F42" s="20">
        <v>2.1789707387761073E-3</v>
      </c>
      <c r="G42" s="20">
        <v>1.6912110775636597E-4</v>
      </c>
      <c r="I42" s="19">
        <v>363</v>
      </c>
      <c r="J42" s="19">
        <v>603</v>
      </c>
      <c r="K42" s="19">
        <v>410</v>
      </c>
      <c r="L42" s="20">
        <v>5.9291442758440454E-3</v>
      </c>
      <c r="M42" s="20">
        <v>1.0423689259969922E-2</v>
      </c>
      <c r="N42" s="20">
        <v>7.0233139763948129E-3</v>
      </c>
      <c r="Q42" s="19">
        <v>936</v>
      </c>
      <c r="R42" s="19">
        <v>807</v>
      </c>
      <c r="S42" s="19">
        <v>97</v>
      </c>
      <c r="T42" s="20">
        <v>2.5603571369955192E-3</v>
      </c>
      <c r="U42" s="20">
        <v>2.3258159809784566E-3</v>
      </c>
      <c r="V42" s="20">
        <v>2.7480076944215443E-4</v>
      </c>
      <c r="X42" s="19">
        <v>9</v>
      </c>
      <c r="Y42" s="19">
        <v>30</v>
      </c>
      <c r="Z42" s="19">
        <v>2</v>
      </c>
      <c r="AA42" s="20">
        <v>1.5820003515556336E-3</v>
      </c>
      <c r="AB42" s="20">
        <v>6.3277789495886942E-3</v>
      </c>
      <c r="AC42" s="20">
        <v>3.8262865888655061E-4</v>
      </c>
      <c r="AF42"/>
    </row>
    <row r="43" spans="1:32" x14ac:dyDescent="0.25">
      <c r="A43" s="18" t="s">
        <v>37</v>
      </c>
      <c r="B43" s="19">
        <v>31</v>
      </c>
      <c r="C43" s="19">
        <v>0</v>
      </c>
      <c r="D43" s="19">
        <v>0</v>
      </c>
      <c r="E43" s="20">
        <v>0.47692307692307695</v>
      </c>
      <c r="F43" s="20">
        <v>0</v>
      </c>
      <c r="G43" s="20">
        <v>0</v>
      </c>
      <c r="I43" s="19">
        <v>13</v>
      </c>
      <c r="J43" s="19">
        <v>0</v>
      </c>
      <c r="K43" s="19">
        <v>0</v>
      </c>
      <c r="L43" s="20">
        <v>2.0186335403726708E-2</v>
      </c>
      <c r="M43" s="20">
        <v>0</v>
      </c>
      <c r="N43" s="20">
        <v>0</v>
      </c>
      <c r="Q43" s="19">
        <v>13</v>
      </c>
      <c r="R43" s="19">
        <v>0</v>
      </c>
      <c r="S43" s="19">
        <v>0</v>
      </c>
      <c r="T43" s="20">
        <v>0.68421052631578949</v>
      </c>
      <c r="U43" s="20">
        <v>0</v>
      </c>
      <c r="V43" s="20">
        <v>0</v>
      </c>
      <c r="X43" s="19">
        <v>0</v>
      </c>
      <c r="Y43" s="19">
        <v>0</v>
      </c>
      <c r="Z43" s="19">
        <v>0</v>
      </c>
      <c r="AA43" s="20">
        <v>0</v>
      </c>
      <c r="AB43" s="20">
        <v>0</v>
      </c>
      <c r="AC43" s="20">
        <v>0</v>
      </c>
      <c r="AF43"/>
    </row>
    <row r="44" spans="1:32" x14ac:dyDescent="0.25">
      <c r="A44" s="18" t="s">
        <v>41</v>
      </c>
      <c r="B44" s="19">
        <v>0</v>
      </c>
      <c r="C44" s="19">
        <v>0</v>
      </c>
      <c r="D44" s="19">
        <v>1</v>
      </c>
      <c r="E44" s="20">
        <v>0</v>
      </c>
      <c r="F44" s="20">
        <v>0</v>
      </c>
      <c r="G44" s="20">
        <v>1.282051282051282E-2</v>
      </c>
      <c r="I44" s="19">
        <v>0</v>
      </c>
      <c r="J44" s="19">
        <v>0</v>
      </c>
      <c r="K44" s="19">
        <v>117</v>
      </c>
      <c r="L44" s="20">
        <v>0</v>
      </c>
      <c r="M44" s="20">
        <v>0</v>
      </c>
      <c r="N44" s="20">
        <v>2.0280811232449299E-2</v>
      </c>
      <c r="Q44" s="19">
        <v>0</v>
      </c>
      <c r="R44" s="19">
        <v>0</v>
      </c>
      <c r="S44" s="19">
        <v>0</v>
      </c>
      <c r="T44" s="20">
        <v>0</v>
      </c>
      <c r="U44" s="20">
        <v>0</v>
      </c>
      <c r="V44" s="20">
        <v>0</v>
      </c>
      <c r="X44" s="19">
        <v>0</v>
      </c>
      <c r="Y44" s="19">
        <v>0</v>
      </c>
      <c r="Z44" s="19">
        <v>0</v>
      </c>
      <c r="AA44" s="20">
        <v>0</v>
      </c>
      <c r="AB44" s="20">
        <v>0</v>
      </c>
      <c r="AC44" s="20">
        <v>0</v>
      </c>
      <c r="AF44"/>
    </row>
    <row r="45" spans="1:32" x14ac:dyDescent="0.25">
      <c r="A45" s="18" t="s">
        <v>43</v>
      </c>
      <c r="B45" s="19">
        <v>33227</v>
      </c>
      <c r="C45" s="19">
        <v>32468</v>
      </c>
      <c r="D45" s="19">
        <v>31407</v>
      </c>
      <c r="E45" s="20">
        <v>4.2468589833714647E-2</v>
      </c>
      <c r="F45" s="20">
        <v>4.0995777692478634E-2</v>
      </c>
      <c r="G45" s="20">
        <v>3.9313887727537869E-2</v>
      </c>
      <c r="I45" s="19">
        <v>2651</v>
      </c>
      <c r="J45" s="19">
        <v>2530</v>
      </c>
      <c r="K45" s="19">
        <v>3354</v>
      </c>
      <c r="L45" s="20">
        <v>2.9059697893144498E-2</v>
      </c>
      <c r="M45" s="20">
        <v>2.7648762362712419E-2</v>
      </c>
      <c r="N45" s="20">
        <v>3.8101080325801721E-2</v>
      </c>
      <c r="Q45" s="19">
        <v>11330</v>
      </c>
      <c r="R45" s="19">
        <v>11187</v>
      </c>
      <c r="S45" s="19">
        <v>11514</v>
      </c>
      <c r="T45" s="20">
        <v>4.5441054970441257E-2</v>
      </c>
      <c r="U45" s="20">
        <v>4.3986505614796639E-2</v>
      </c>
      <c r="V45" s="20">
        <v>4.4753494301839267E-2</v>
      </c>
      <c r="X45" s="19">
        <v>600</v>
      </c>
      <c r="Y45" s="19">
        <v>717</v>
      </c>
      <c r="Z45" s="19">
        <v>776</v>
      </c>
      <c r="AA45" s="20">
        <v>3.4560221185415588E-2</v>
      </c>
      <c r="AB45" s="20">
        <v>3.9738402704650004E-2</v>
      </c>
      <c r="AC45" s="20">
        <v>4.1548428548482091E-2</v>
      </c>
      <c r="AF45"/>
    </row>
    <row r="46" spans="1:32" x14ac:dyDescent="0.25">
      <c r="A46" s="18" t="s">
        <v>126</v>
      </c>
      <c r="B46" s="19">
        <v>0</v>
      </c>
      <c r="C46" s="19">
        <v>0</v>
      </c>
      <c r="D46" s="19">
        <v>57</v>
      </c>
      <c r="E46" s="20">
        <v>0</v>
      </c>
      <c r="F46" s="20">
        <v>0</v>
      </c>
      <c r="G46" s="20">
        <v>3.2311093475426564E-3</v>
      </c>
      <c r="I46" s="19">
        <v>0</v>
      </c>
      <c r="J46" s="19">
        <v>0</v>
      </c>
      <c r="K46" s="19">
        <v>1</v>
      </c>
      <c r="L46" s="20">
        <v>0</v>
      </c>
      <c r="M46" s="20">
        <v>0</v>
      </c>
      <c r="N46" s="20">
        <v>3.2446463335496429E-4</v>
      </c>
      <c r="Q46" s="19">
        <v>0</v>
      </c>
      <c r="R46" s="19">
        <v>0</v>
      </c>
      <c r="S46" s="19">
        <v>0</v>
      </c>
      <c r="T46" s="20">
        <v>0</v>
      </c>
      <c r="U46" s="20">
        <v>0</v>
      </c>
      <c r="V46" s="20">
        <v>0</v>
      </c>
      <c r="X46" s="19">
        <v>0</v>
      </c>
      <c r="Y46" s="19">
        <v>0</v>
      </c>
      <c r="Z46" s="19">
        <v>0</v>
      </c>
      <c r="AA46" s="20">
        <v>0</v>
      </c>
      <c r="AB46" s="20">
        <v>0</v>
      </c>
      <c r="AC46" s="20">
        <v>0</v>
      </c>
      <c r="AF46"/>
    </row>
    <row r="47" spans="1:32" x14ac:dyDescent="0.25">
      <c r="A47" s="18" t="s">
        <v>55</v>
      </c>
      <c r="B47" s="19">
        <v>15736</v>
      </c>
      <c r="C47" s="19">
        <v>16091</v>
      </c>
      <c r="D47" s="19">
        <v>14719</v>
      </c>
      <c r="E47" s="20">
        <v>0.51315832382194682</v>
      </c>
      <c r="F47" s="20">
        <v>0.51258282364933738</v>
      </c>
      <c r="G47" s="20">
        <v>0.46116489645016762</v>
      </c>
      <c r="I47" s="19">
        <v>1450</v>
      </c>
      <c r="J47" s="19">
        <v>1476</v>
      </c>
      <c r="K47" s="19">
        <v>1400</v>
      </c>
      <c r="L47" s="20">
        <v>0.625</v>
      </c>
      <c r="M47" s="20">
        <v>0.64229765013054829</v>
      </c>
      <c r="N47" s="20">
        <v>0.60060060060060061</v>
      </c>
      <c r="Q47" s="19">
        <v>117</v>
      </c>
      <c r="R47" s="19">
        <v>194</v>
      </c>
      <c r="S47" s="19">
        <v>25</v>
      </c>
      <c r="T47" s="20">
        <v>2.2696411251212415E-2</v>
      </c>
      <c r="U47" s="20">
        <v>3.3043774484755581E-2</v>
      </c>
      <c r="V47" s="20">
        <v>3.7730153939028073E-3</v>
      </c>
      <c r="X47" s="19">
        <v>0</v>
      </c>
      <c r="Y47" s="19">
        <v>0</v>
      </c>
      <c r="Z47" s="19">
        <v>0</v>
      </c>
      <c r="AA47" s="20">
        <v>0</v>
      </c>
      <c r="AB47" s="20">
        <v>0</v>
      </c>
      <c r="AC47" s="20">
        <v>0</v>
      </c>
      <c r="AF47"/>
    </row>
    <row r="48" spans="1:32" s="43" customFormat="1" x14ac:dyDescent="0.25">
      <c r="A48" s="29" t="s">
        <v>67</v>
      </c>
      <c r="B48" s="27">
        <v>56267</v>
      </c>
      <c r="C48" s="27">
        <v>54050</v>
      </c>
      <c r="D48" s="27">
        <v>62183</v>
      </c>
      <c r="E48" s="157">
        <v>2.0009551896563556E-2</v>
      </c>
      <c r="F48" s="157">
        <v>1.9205117764147652E-2</v>
      </c>
      <c r="G48" s="157">
        <v>2.1709530855163427E-2</v>
      </c>
      <c r="I48" s="27">
        <v>4812</v>
      </c>
      <c r="J48" s="27">
        <v>5075</v>
      </c>
      <c r="K48" s="27">
        <v>5932</v>
      </c>
      <c r="L48" s="157">
        <v>1.8672658059859605E-2</v>
      </c>
      <c r="M48" s="157">
        <v>1.9847011802617068E-2</v>
      </c>
      <c r="N48" s="157">
        <v>2.2993495771088352E-2</v>
      </c>
      <c r="Q48" s="27">
        <v>14360</v>
      </c>
      <c r="R48" s="27">
        <v>13359</v>
      </c>
      <c r="S48" s="27">
        <v>12600</v>
      </c>
      <c r="T48" s="157">
        <v>1.166594769983419E-2</v>
      </c>
      <c r="U48" s="157">
        <v>1.0902716171097315E-2</v>
      </c>
      <c r="V48" s="157">
        <v>1.0107727518127729E-2</v>
      </c>
      <c r="X48" s="27">
        <v>709</v>
      </c>
      <c r="Y48" s="27">
        <v>1049</v>
      </c>
      <c r="Z48" s="27">
        <v>937</v>
      </c>
      <c r="AA48" s="157">
        <v>1.8022369089984749E-2</v>
      </c>
      <c r="AB48" s="157">
        <v>2.6985311141409205E-2</v>
      </c>
      <c r="AC48" s="157">
        <v>2.3430271811157512E-2</v>
      </c>
    </row>
    <row r="49" spans="1:32" x14ac:dyDescent="0.25">
      <c r="A49" s="18"/>
      <c r="B49" s="19"/>
      <c r="C49" s="19"/>
      <c r="D49" s="19"/>
      <c r="E49" s="19"/>
      <c r="F49" s="19"/>
      <c r="G49" s="19"/>
      <c r="I49" s="19"/>
      <c r="J49" s="19"/>
      <c r="K49" s="19"/>
      <c r="L49" s="19"/>
      <c r="M49" s="19"/>
      <c r="N49" s="19"/>
      <c r="Q49" s="19"/>
      <c r="R49" s="19"/>
      <c r="S49" s="19"/>
      <c r="T49" s="19"/>
      <c r="U49" s="19"/>
      <c r="V49" s="19"/>
      <c r="X49" s="19"/>
      <c r="Y49" s="19"/>
      <c r="Z49" s="19"/>
      <c r="AA49" s="19"/>
      <c r="AB49" s="19"/>
      <c r="AC49" s="19"/>
      <c r="AF49"/>
    </row>
    <row r="50" spans="1:32" x14ac:dyDescent="0.25">
      <c r="A50" s="28" t="s">
        <v>68</v>
      </c>
      <c r="B50" s="25"/>
      <c r="C50" s="25"/>
      <c r="D50" s="25"/>
      <c r="E50" s="25"/>
      <c r="F50" s="25"/>
      <c r="G50" s="25"/>
      <c r="I50" s="25"/>
      <c r="J50" s="25"/>
      <c r="K50" s="25"/>
      <c r="L50" s="25"/>
      <c r="M50" s="25"/>
      <c r="N50" s="25"/>
      <c r="Q50" s="25"/>
      <c r="R50" s="25"/>
      <c r="S50" s="25"/>
      <c r="T50" s="25"/>
      <c r="U50" s="25"/>
      <c r="V50" s="25"/>
      <c r="X50" s="25"/>
      <c r="Y50" s="25"/>
      <c r="Z50" s="25"/>
      <c r="AA50" s="25"/>
      <c r="AB50" s="25"/>
      <c r="AC50" s="25"/>
      <c r="AF50"/>
    </row>
    <row r="51" spans="1:32" x14ac:dyDescent="0.25">
      <c r="A51" s="18" t="s">
        <v>17</v>
      </c>
      <c r="B51" s="19">
        <v>59</v>
      </c>
      <c r="C51" s="19">
        <v>40</v>
      </c>
      <c r="D51" s="19">
        <v>18</v>
      </c>
      <c r="E51" s="20">
        <v>1.2550521165709424E-2</v>
      </c>
      <c r="F51" s="20">
        <v>9.1869545245751028E-3</v>
      </c>
      <c r="G51" s="20">
        <v>4.3594090578832649E-3</v>
      </c>
      <c r="I51" s="19">
        <v>1</v>
      </c>
      <c r="J51" s="19">
        <v>0</v>
      </c>
      <c r="K51" s="19">
        <v>0</v>
      </c>
      <c r="L51" s="20">
        <v>1.2195121951219513E-2</v>
      </c>
      <c r="M51" s="20">
        <v>0</v>
      </c>
      <c r="N51" s="20">
        <v>0</v>
      </c>
      <c r="Q51" s="19">
        <v>0</v>
      </c>
      <c r="R51" s="19">
        <v>0</v>
      </c>
      <c r="S51" s="19">
        <v>0</v>
      </c>
      <c r="T51" s="20">
        <v>0</v>
      </c>
      <c r="U51" s="20">
        <v>0</v>
      </c>
      <c r="V51" s="20">
        <v>0</v>
      </c>
      <c r="X51" s="19">
        <v>0</v>
      </c>
      <c r="Y51" s="19">
        <v>0</v>
      </c>
      <c r="Z51" s="19">
        <v>0</v>
      </c>
      <c r="AA51" s="20">
        <v>0</v>
      </c>
      <c r="AB51" s="20">
        <v>0</v>
      </c>
      <c r="AC51" s="20">
        <v>0</v>
      </c>
      <c r="AF51"/>
    </row>
    <row r="52" spans="1:32" x14ac:dyDescent="0.25">
      <c r="A52" s="18" t="s">
        <v>19</v>
      </c>
      <c r="B52" s="19">
        <v>1365</v>
      </c>
      <c r="C52" s="19">
        <v>786</v>
      </c>
      <c r="D52" s="19">
        <v>4484</v>
      </c>
      <c r="E52" s="20">
        <v>4.7291725853503049E-3</v>
      </c>
      <c r="F52" s="20">
        <v>2.7064997314160573E-3</v>
      </c>
      <c r="G52" s="20">
        <v>1.5394703864812252E-2</v>
      </c>
      <c r="I52" s="19">
        <v>47</v>
      </c>
      <c r="J52" s="19">
        <v>14</v>
      </c>
      <c r="K52" s="19">
        <v>20</v>
      </c>
      <c r="L52" s="20">
        <v>3.1467595072308518E-3</v>
      </c>
      <c r="M52" s="20">
        <v>9.2171966554743562E-4</v>
      </c>
      <c r="N52" s="20">
        <v>1.2866700977869274E-3</v>
      </c>
      <c r="Q52" s="19">
        <v>2137</v>
      </c>
      <c r="R52" s="19">
        <v>7240</v>
      </c>
      <c r="S52" s="19">
        <v>57</v>
      </c>
      <c r="T52" s="20">
        <v>3.1920296349405505E-2</v>
      </c>
      <c r="U52" s="20">
        <v>0.10680986663519415</v>
      </c>
      <c r="V52" s="20">
        <v>8.281513337595165E-4</v>
      </c>
      <c r="X52" s="19">
        <v>1</v>
      </c>
      <c r="Y52" s="19">
        <v>1</v>
      </c>
      <c r="Z52" s="19">
        <v>0</v>
      </c>
      <c r="AA52" s="20">
        <v>5.8548009367681499E-4</v>
      </c>
      <c r="AB52" s="20">
        <v>5.737234652897303E-4</v>
      </c>
      <c r="AC52" s="20">
        <v>0</v>
      </c>
      <c r="AF52"/>
    </row>
    <row r="53" spans="1:32" x14ac:dyDescent="0.25">
      <c r="A53" s="18" t="s">
        <v>20</v>
      </c>
      <c r="B53" s="19">
        <v>189</v>
      </c>
      <c r="C53" s="19">
        <v>131</v>
      </c>
      <c r="D53" s="19">
        <v>188</v>
      </c>
      <c r="E53" s="20">
        <v>1.1249330397000178E-3</v>
      </c>
      <c r="F53" s="20">
        <v>7.3147170991283764E-4</v>
      </c>
      <c r="G53" s="20">
        <v>9.4830238740170191E-4</v>
      </c>
      <c r="I53" s="19">
        <v>4</v>
      </c>
      <c r="J53" s="19">
        <v>4</v>
      </c>
      <c r="K53" s="19">
        <v>14</v>
      </c>
      <c r="L53" s="20">
        <v>4.2489908646696408E-4</v>
      </c>
      <c r="M53" s="20">
        <v>4.1880431368443097E-4</v>
      </c>
      <c r="N53" s="20">
        <v>1.4378145219266715E-3</v>
      </c>
      <c r="Q53" s="19">
        <v>0</v>
      </c>
      <c r="R53" s="19">
        <v>0</v>
      </c>
      <c r="S53" s="19">
        <v>0</v>
      </c>
      <c r="T53" s="20">
        <v>0</v>
      </c>
      <c r="U53" s="20">
        <v>0</v>
      </c>
      <c r="V53" s="20">
        <v>0</v>
      </c>
      <c r="X53" s="19">
        <v>0</v>
      </c>
      <c r="Y53" s="19">
        <v>0</v>
      </c>
      <c r="Z53" s="19">
        <v>0</v>
      </c>
      <c r="AA53" s="20">
        <v>0</v>
      </c>
      <c r="AB53" s="20">
        <v>0</v>
      </c>
      <c r="AC53" s="20">
        <v>0</v>
      </c>
      <c r="AF53"/>
    </row>
    <row r="54" spans="1:32" x14ac:dyDescent="0.25">
      <c r="A54" s="18" t="s">
        <v>21</v>
      </c>
      <c r="B54" s="19">
        <v>800</v>
      </c>
      <c r="C54" s="19">
        <v>318</v>
      </c>
      <c r="D54" s="19">
        <v>241</v>
      </c>
      <c r="E54" s="20">
        <v>2.0837674515524068E-2</v>
      </c>
      <c r="F54" s="20">
        <v>8.563119345109867E-3</v>
      </c>
      <c r="G54" s="20">
        <v>6.7074867798497077E-3</v>
      </c>
      <c r="I54" s="19">
        <v>6</v>
      </c>
      <c r="J54" s="19">
        <v>2</v>
      </c>
      <c r="K54" s="19">
        <v>3</v>
      </c>
      <c r="L54" s="20">
        <v>5.2910052910052907E-3</v>
      </c>
      <c r="M54" s="20">
        <v>1.7921146953405018E-3</v>
      </c>
      <c r="N54" s="20">
        <v>2.5884383088869713E-3</v>
      </c>
      <c r="Q54" s="19">
        <v>0</v>
      </c>
      <c r="R54" s="19">
        <v>0</v>
      </c>
      <c r="S54" s="19">
        <v>0</v>
      </c>
      <c r="T54" s="20">
        <v>0</v>
      </c>
      <c r="U54" s="20">
        <v>0</v>
      </c>
      <c r="V54" s="20">
        <v>0</v>
      </c>
      <c r="X54" s="19">
        <v>0</v>
      </c>
      <c r="Y54" s="19">
        <v>0</v>
      </c>
      <c r="Z54" s="19">
        <v>0</v>
      </c>
      <c r="AA54" s="20">
        <v>0</v>
      </c>
      <c r="AB54" s="20">
        <v>0</v>
      </c>
      <c r="AC54" s="20">
        <v>0</v>
      </c>
      <c r="AF54"/>
    </row>
    <row r="55" spans="1:32" x14ac:dyDescent="0.25">
      <c r="A55" s="18" t="s">
        <v>26</v>
      </c>
      <c r="B55" s="19">
        <v>0</v>
      </c>
      <c r="C55" s="19">
        <v>4</v>
      </c>
      <c r="D55" s="19">
        <v>0</v>
      </c>
      <c r="E55" s="20">
        <v>0</v>
      </c>
      <c r="F55" s="20">
        <v>3.0935808197989174E-3</v>
      </c>
      <c r="G55" s="20">
        <v>0</v>
      </c>
      <c r="I55" s="19">
        <v>0</v>
      </c>
      <c r="J55" s="19">
        <v>0</v>
      </c>
      <c r="K55" s="19">
        <v>0</v>
      </c>
      <c r="L55" s="20">
        <v>0</v>
      </c>
      <c r="M55" s="20">
        <v>0</v>
      </c>
      <c r="N55" s="20">
        <v>0</v>
      </c>
      <c r="Q55" s="19">
        <v>0</v>
      </c>
      <c r="R55" s="19">
        <v>0</v>
      </c>
      <c r="S55" s="19">
        <v>0</v>
      </c>
      <c r="T55" s="20">
        <v>0</v>
      </c>
      <c r="U55" s="20">
        <v>0</v>
      </c>
      <c r="V55" s="20">
        <v>0</v>
      </c>
      <c r="X55" s="19">
        <v>0</v>
      </c>
      <c r="Y55" s="19">
        <v>0</v>
      </c>
      <c r="Z55" s="19">
        <v>0</v>
      </c>
      <c r="AA55" s="20">
        <v>0</v>
      </c>
      <c r="AB55" s="20">
        <v>0</v>
      </c>
      <c r="AC55" s="20">
        <v>0</v>
      </c>
      <c r="AF55"/>
    </row>
    <row r="56" spans="1:32" x14ac:dyDescent="0.25">
      <c r="A56" s="18" t="s">
        <v>29</v>
      </c>
      <c r="B56" s="19">
        <v>23</v>
      </c>
      <c r="C56" s="19">
        <v>0</v>
      </c>
      <c r="D56" s="19">
        <v>0</v>
      </c>
      <c r="E56" s="20">
        <v>1.3649851632047478E-2</v>
      </c>
      <c r="F56" s="20">
        <v>0</v>
      </c>
      <c r="G56" s="20">
        <v>0</v>
      </c>
      <c r="I56" s="19">
        <v>0</v>
      </c>
      <c r="J56" s="19">
        <v>0</v>
      </c>
      <c r="K56" s="19">
        <v>0</v>
      </c>
      <c r="L56" s="20">
        <v>0</v>
      </c>
      <c r="M56" s="20">
        <v>0</v>
      </c>
      <c r="N56" s="20">
        <v>0</v>
      </c>
      <c r="Q56" s="19">
        <v>0</v>
      </c>
      <c r="R56" s="19">
        <v>0</v>
      </c>
      <c r="S56" s="19">
        <v>0</v>
      </c>
      <c r="T56" s="20">
        <v>0</v>
      </c>
      <c r="U56" s="20">
        <v>0</v>
      </c>
      <c r="V56" s="20">
        <v>0</v>
      </c>
      <c r="X56" s="19">
        <v>0</v>
      </c>
      <c r="Y56" s="19">
        <v>0</v>
      </c>
      <c r="Z56" s="19">
        <v>0</v>
      </c>
      <c r="AA56" s="20">
        <v>0</v>
      </c>
      <c r="AB56" s="20">
        <v>0</v>
      </c>
      <c r="AC56" s="20">
        <v>0</v>
      </c>
      <c r="AF56"/>
    </row>
    <row r="57" spans="1:32" x14ac:dyDescent="0.25">
      <c r="A57" s="18" t="s">
        <v>30</v>
      </c>
      <c r="B57" s="19">
        <v>220</v>
      </c>
      <c r="C57" s="19">
        <v>138</v>
      </c>
      <c r="D57" s="19">
        <v>14</v>
      </c>
      <c r="E57" s="20">
        <v>2.0261558298029104E-3</v>
      </c>
      <c r="F57" s="20">
        <v>1.3499501105393931E-3</v>
      </c>
      <c r="G57" s="20">
        <v>1.3426165678884477E-4</v>
      </c>
      <c r="I57" s="19">
        <v>65</v>
      </c>
      <c r="J57" s="19">
        <v>85</v>
      </c>
      <c r="K57" s="19">
        <v>135</v>
      </c>
      <c r="L57" s="20">
        <v>7.8682968163660567E-3</v>
      </c>
      <c r="M57" s="20">
        <v>1.1252316653428646E-2</v>
      </c>
      <c r="N57" s="20">
        <v>1.7491578129048977E-2</v>
      </c>
      <c r="Q57" s="19">
        <v>0</v>
      </c>
      <c r="R57" s="19">
        <v>0</v>
      </c>
      <c r="S57" s="19">
        <v>0</v>
      </c>
      <c r="T57" s="20">
        <v>0</v>
      </c>
      <c r="U57" s="20">
        <v>0</v>
      </c>
      <c r="V57" s="20">
        <v>0</v>
      </c>
      <c r="X57" s="19">
        <v>0</v>
      </c>
      <c r="Y57" s="19">
        <v>0</v>
      </c>
      <c r="Z57" s="19">
        <v>0</v>
      </c>
      <c r="AA57" s="20">
        <v>0</v>
      </c>
      <c r="AB57" s="20">
        <v>0</v>
      </c>
      <c r="AC57" s="20">
        <v>0</v>
      </c>
      <c r="AF57"/>
    </row>
    <row r="58" spans="1:32" x14ac:dyDescent="0.25">
      <c r="A58" s="18" t="s">
        <v>37</v>
      </c>
      <c r="B58" s="19">
        <v>69</v>
      </c>
      <c r="C58" s="19">
        <v>0</v>
      </c>
      <c r="D58" s="19">
        <v>0</v>
      </c>
      <c r="E58" s="20">
        <v>0.46938775510204084</v>
      </c>
      <c r="F58" s="20">
        <v>0</v>
      </c>
      <c r="G58" s="20">
        <v>0</v>
      </c>
      <c r="I58" s="19">
        <v>12</v>
      </c>
      <c r="J58" s="19">
        <v>0</v>
      </c>
      <c r="K58" s="19">
        <v>0</v>
      </c>
      <c r="L58" s="20">
        <v>2.4144869215291749E-2</v>
      </c>
      <c r="M58" s="20">
        <v>0</v>
      </c>
      <c r="N58" s="20">
        <v>0</v>
      </c>
      <c r="Q58" s="19">
        <v>0</v>
      </c>
      <c r="R58" s="19">
        <v>0</v>
      </c>
      <c r="S58" s="19">
        <v>0</v>
      </c>
      <c r="T58" s="20">
        <v>0</v>
      </c>
      <c r="U58" s="20">
        <v>0</v>
      </c>
      <c r="V58" s="20">
        <v>0</v>
      </c>
      <c r="X58" s="19">
        <v>0</v>
      </c>
      <c r="Y58" s="19">
        <v>0</v>
      </c>
      <c r="Z58" s="19">
        <v>0</v>
      </c>
      <c r="AA58" s="20">
        <v>0</v>
      </c>
      <c r="AB58" s="20">
        <v>0</v>
      </c>
      <c r="AC58" s="20">
        <v>0</v>
      </c>
      <c r="AF58"/>
    </row>
    <row r="59" spans="1:32" x14ac:dyDescent="0.25">
      <c r="A59" s="18" t="s">
        <v>41</v>
      </c>
      <c r="B59" s="19">
        <v>0</v>
      </c>
      <c r="C59" s="19">
        <v>0</v>
      </c>
      <c r="D59" s="19">
        <v>0</v>
      </c>
      <c r="E59" s="20">
        <v>0</v>
      </c>
      <c r="F59" s="20">
        <v>0</v>
      </c>
      <c r="G59" s="20">
        <v>0</v>
      </c>
      <c r="I59" s="19">
        <v>0</v>
      </c>
      <c r="J59" s="19">
        <v>0</v>
      </c>
      <c r="K59" s="19">
        <v>14</v>
      </c>
      <c r="L59" s="20">
        <v>0</v>
      </c>
      <c r="M59" s="20">
        <v>0</v>
      </c>
      <c r="N59" s="20">
        <v>1.4893617021276596E-2</v>
      </c>
      <c r="Q59" s="19">
        <v>0</v>
      </c>
      <c r="R59" s="19">
        <v>0</v>
      </c>
      <c r="S59" s="19">
        <v>0</v>
      </c>
      <c r="T59" s="20">
        <v>0</v>
      </c>
      <c r="U59" s="20">
        <v>0</v>
      </c>
      <c r="V59" s="20">
        <v>0</v>
      </c>
      <c r="X59" s="19">
        <v>0</v>
      </c>
      <c r="Y59" s="19">
        <v>0</v>
      </c>
      <c r="Z59" s="19">
        <v>0</v>
      </c>
      <c r="AA59" s="20">
        <v>0</v>
      </c>
      <c r="AB59" s="20">
        <v>0</v>
      </c>
      <c r="AC59" s="20">
        <v>0</v>
      </c>
      <c r="AF59"/>
    </row>
    <row r="60" spans="1:32" x14ac:dyDescent="0.25">
      <c r="A60" s="18" t="s">
        <v>43</v>
      </c>
      <c r="B60" s="19">
        <v>18815</v>
      </c>
      <c r="C60" s="19">
        <v>21410</v>
      </c>
      <c r="D60" s="19">
        <v>19726</v>
      </c>
      <c r="E60" s="20">
        <v>3.890764939069153E-2</v>
      </c>
      <c r="F60" s="20">
        <v>4.419453853759632E-2</v>
      </c>
      <c r="G60" s="20">
        <v>4.0909015495902049E-2</v>
      </c>
      <c r="I60" s="19">
        <v>1138</v>
      </c>
      <c r="J60" s="19">
        <v>1032</v>
      </c>
      <c r="K60" s="19">
        <v>1259</v>
      </c>
      <c r="L60" s="20">
        <v>3.3504092327621741E-2</v>
      </c>
      <c r="M60" s="20">
        <v>3.0802292263610316E-2</v>
      </c>
      <c r="N60" s="20">
        <v>3.7930826705230174E-2</v>
      </c>
      <c r="Q60" s="19">
        <v>4190</v>
      </c>
      <c r="R60" s="19">
        <v>4308</v>
      </c>
      <c r="S60" s="19">
        <v>3854</v>
      </c>
      <c r="T60" s="20">
        <v>5.2806694729412948E-2</v>
      </c>
      <c r="U60" s="20">
        <v>5.3931571501896619E-2</v>
      </c>
      <c r="V60" s="20">
        <v>4.8113054442405406E-2</v>
      </c>
      <c r="X60" s="19">
        <v>513</v>
      </c>
      <c r="Y60" s="19">
        <v>422</v>
      </c>
      <c r="Z60" s="19">
        <v>536</v>
      </c>
      <c r="AA60" s="20">
        <v>5.1004175780473254E-2</v>
      </c>
      <c r="AB60" s="20">
        <v>4.0619886418327075E-2</v>
      </c>
      <c r="AC60" s="20">
        <v>5.0960258604297398E-2</v>
      </c>
      <c r="AF60"/>
    </row>
    <row r="61" spans="1:32" x14ac:dyDescent="0.25">
      <c r="A61" s="18" t="s">
        <v>126</v>
      </c>
      <c r="B61" s="19">
        <v>601</v>
      </c>
      <c r="C61" s="19">
        <v>861</v>
      </c>
      <c r="D61" s="19">
        <v>0</v>
      </c>
      <c r="E61" s="20">
        <v>7.3869223205506387E-2</v>
      </c>
      <c r="F61" s="20">
        <v>0.10403576607056549</v>
      </c>
      <c r="G61" s="20">
        <v>0</v>
      </c>
      <c r="I61" s="19">
        <v>16</v>
      </c>
      <c r="J61" s="19">
        <v>2</v>
      </c>
      <c r="K61" s="19">
        <v>7</v>
      </c>
      <c r="L61" s="20">
        <v>3.3606385213190504E-3</v>
      </c>
      <c r="M61" s="20">
        <v>4.3898156277436348E-4</v>
      </c>
      <c r="N61" s="20">
        <v>1.6018306636155606E-3</v>
      </c>
      <c r="Q61" s="19">
        <v>0</v>
      </c>
      <c r="R61" s="19">
        <v>0</v>
      </c>
      <c r="S61" s="19">
        <v>0</v>
      </c>
      <c r="T61" s="20">
        <v>0</v>
      </c>
      <c r="U61" s="20">
        <v>0</v>
      </c>
      <c r="V61" s="20">
        <v>0</v>
      </c>
      <c r="X61" s="19">
        <v>0</v>
      </c>
      <c r="Y61" s="19">
        <v>0</v>
      </c>
      <c r="Z61" s="19">
        <v>0</v>
      </c>
      <c r="AA61" s="20">
        <v>0</v>
      </c>
      <c r="AB61" s="20">
        <v>0</v>
      </c>
      <c r="AC61" s="20">
        <v>0</v>
      </c>
      <c r="AF61"/>
    </row>
    <row r="62" spans="1:32" x14ac:dyDescent="0.25">
      <c r="A62" s="18" t="s">
        <v>55</v>
      </c>
      <c r="B62" s="19">
        <v>730</v>
      </c>
      <c r="C62" s="19">
        <v>1114</v>
      </c>
      <c r="D62" s="19">
        <v>1078</v>
      </c>
      <c r="E62" s="20">
        <v>4.83603842331898E-2</v>
      </c>
      <c r="F62" s="20">
        <v>7.618656818492682E-2</v>
      </c>
      <c r="G62" s="20">
        <v>7.7342516860381696E-2</v>
      </c>
      <c r="I62" s="19">
        <v>0</v>
      </c>
      <c r="J62" s="19">
        <v>0</v>
      </c>
      <c r="K62" s="19">
        <v>0</v>
      </c>
      <c r="L62" s="20">
        <v>0</v>
      </c>
      <c r="M62" s="20">
        <v>0</v>
      </c>
      <c r="N62" s="20">
        <v>0</v>
      </c>
      <c r="Q62" s="19">
        <v>0</v>
      </c>
      <c r="R62" s="19">
        <v>0</v>
      </c>
      <c r="S62" s="19">
        <v>0</v>
      </c>
      <c r="T62" s="20">
        <v>0</v>
      </c>
      <c r="U62" s="20">
        <v>0</v>
      </c>
      <c r="V62" s="20">
        <v>0</v>
      </c>
      <c r="X62" s="19">
        <v>0</v>
      </c>
      <c r="Y62" s="19">
        <v>0</v>
      </c>
      <c r="Z62" s="19">
        <v>0</v>
      </c>
      <c r="AA62" s="20">
        <v>0</v>
      </c>
      <c r="AB62" s="20">
        <v>0</v>
      </c>
      <c r="AC62" s="20">
        <v>0</v>
      </c>
      <c r="AF62"/>
    </row>
    <row r="63" spans="1:32" s="43" customFormat="1" x14ac:dyDescent="0.25">
      <c r="A63" s="29" t="s">
        <v>69</v>
      </c>
      <c r="B63" s="27">
        <v>22871</v>
      </c>
      <c r="C63" s="27">
        <v>24802</v>
      </c>
      <c r="D63" s="27">
        <v>25749</v>
      </c>
      <c r="E63" s="22">
        <v>1.8937242387760136E-2</v>
      </c>
      <c r="F63" s="22">
        <v>2.0397924842997989E-2</v>
      </c>
      <c r="G63" s="22">
        <v>2.0800549317392357E-2</v>
      </c>
      <c r="I63" s="27">
        <v>1289</v>
      </c>
      <c r="J63" s="27">
        <v>1139</v>
      </c>
      <c r="K63" s="27">
        <v>1452</v>
      </c>
      <c r="L63" s="22">
        <v>1.6059303556967545E-2</v>
      </c>
      <c r="M63" s="22">
        <v>1.4246760394256267E-2</v>
      </c>
      <c r="N63" s="22">
        <v>1.7836304003341234E-2</v>
      </c>
      <c r="Q63" s="27">
        <v>6327</v>
      </c>
      <c r="R63" s="27">
        <v>11548</v>
      </c>
      <c r="S63" s="27">
        <v>3911</v>
      </c>
      <c r="T63" s="22">
        <v>4.2730078544462376E-2</v>
      </c>
      <c r="U63" s="22">
        <v>7.7011823862461734E-2</v>
      </c>
      <c r="V63" s="22">
        <v>2.575601917707181E-2</v>
      </c>
      <c r="X63" s="27">
        <v>514</v>
      </c>
      <c r="Y63" s="27">
        <v>423</v>
      </c>
      <c r="Z63" s="27">
        <v>536</v>
      </c>
      <c r="AA63" s="22">
        <v>4.3685194628590857E-2</v>
      </c>
      <c r="AB63" s="22">
        <v>3.4860721938355037E-2</v>
      </c>
      <c r="AC63" s="22">
        <v>4.3152725223411965E-2</v>
      </c>
    </row>
    <row r="64" spans="1:32" x14ac:dyDescent="0.25">
      <c r="A64" s="18"/>
      <c r="B64" s="19"/>
      <c r="C64" s="19"/>
      <c r="D64" s="19"/>
      <c r="E64" s="19"/>
      <c r="F64" s="19"/>
      <c r="G64" s="19"/>
      <c r="I64" s="19"/>
      <c r="J64" s="19"/>
      <c r="K64" s="19"/>
      <c r="L64" s="19"/>
      <c r="M64" s="19"/>
      <c r="N64" s="19"/>
      <c r="Q64" s="19"/>
      <c r="R64" s="19"/>
      <c r="S64" s="19"/>
      <c r="T64" s="19"/>
      <c r="U64" s="19"/>
      <c r="V64" s="19"/>
      <c r="X64" s="19"/>
      <c r="Y64" s="19"/>
      <c r="Z64" s="19"/>
      <c r="AA64" s="19"/>
      <c r="AB64" s="19"/>
      <c r="AC64" s="19"/>
      <c r="AF64"/>
    </row>
    <row r="65" spans="1:32" x14ac:dyDescent="0.25">
      <c r="A65" s="28" t="s">
        <v>70</v>
      </c>
      <c r="B65" s="25"/>
      <c r="C65" s="25"/>
      <c r="D65" s="25"/>
      <c r="E65" s="25"/>
      <c r="F65" s="25"/>
      <c r="G65" s="25"/>
      <c r="I65" s="25"/>
      <c r="J65" s="25"/>
      <c r="K65" s="25"/>
      <c r="L65" s="25"/>
      <c r="M65" s="25"/>
      <c r="N65" s="25"/>
      <c r="Q65" s="25"/>
      <c r="R65" s="25"/>
      <c r="S65" s="25"/>
      <c r="T65" s="25"/>
      <c r="U65" s="25"/>
      <c r="V65" s="25"/>
      <c r="X65" s="25"/>
      <c r="Y65" s="25"/>
      <c r="Z65" s="25"/>
      <c r="AA65" s="25"/>
      <c r="AB65" s="25"/>
      <c r="AC65" s="25"/>
      <c r="AF65"/>
    </row>
    <row r="66" spans="1:32" x14ac:dyDescent="0.25">
      <c r="A66" s="18" t="s">
        <v>19</v>
      </c>
      <c r="B66" s="19">
        <v>1110</v>
      </c>
      <c r="C66" s="19">
        <v>407</v>
      </c>
      <c r="D66" s="19">
        <v>2421</v>
      </c>
      <c r="E66" s="20">
        <v>4.5853557781679235E-3</v>
      </c>
      <c r="F66" s="20">
        <v>1.6867669609183969E-3</v>
      </c>
      <c r="G66" s="20">
        <v>1.0035233160621762E-2</v>
      </c>
      <c r="I66" s="19">
        <v>6</v>
      </c>
      <c r="J66" s="19">
        <v>0</v>
      </c>
      <c r="K66" s="19">
        <v>222</v>
      </c>
      <c r="L66" s="20">
        <v>2.2220576253610843E-4</v>
      </c>
      <c r="M66" s="20">
        <v>0</v>
      </c>
      <c r="N66" s="20">
        <v>8.1297835719778815E-3</v>
      </c>
      <c r="Q66" s="19">
        <v>425</v>
      </c>
      <c r="R66" s="19">
        <v>171</v>
      </c>
      <c r="S66" s="19">
        <v>271</v>
      </c>
      <c r="T66" s="20">
        <v>3.6302756446942456E-3</v>
      </c>
      <c r="U66" s="20">
        <v>1.4630765676737082E-3</v>
      </c>
      <c r="V66" s="20">
        <v>2.3208015757471955E-3</v>
      </c>
      <c r="X66" s="19">
        <v>2</v>
      </c>
      <c r="Y66" s="19">
        <v>0</v>
      </c>
      <c r="Z66" s="19">
        <v>0</v>
      </c>
      <c r="AA66" s="20">
        <v>9.501187648456057E-4</v>
      </c>
      <c r="AB66" s="20">
        <v>0</v>
      </c>
      <c r="AC66" s="20">
        <v>0</v>
      </c>
      <c r="AF66"/>
    </row>
    <row r="67" spans="1:32" x14ac:dyDescent="0.25">
      <c r="A67" s="18" t="s">
        <v>20</v>
      </c>
      <c r="B67" s="19">
        <v>973</v>
      </c>
      <c r="C67" s="19">
        <v>1053</v>
      </c>
      <c r="D67" s="19">
        <v>133</v>
      </c>
      <c r="E67" s="20">
        <v>1.9668485951081463E-2</v>
      </c>
      <c r="F67" s="20">
        <v>2.142246816128901E-2</v>
      </c>
      <c r="G67" s="20">
        <v>2.5940084256514278E-3</v>
      </c>
      <c r="I67" s="19">
        <v>14</v>
      </c>
      <c r="J67" s="19">
        <v>12</v>
      </c>
      <c r="K67" s="19">
        <v>6</v>
      </c>
      <c r="L67" s="20">
        <v>1.6938898971566847E-3</v>
      </c>
      <c r="M67" s="20">
        <v>1.4716703458425313E-3</v>
      </c>
      <c r="N67" s="20">
        <v>7.0414270625513439E-4</v>
      </c>
      <c r="Q67" s="19">
        <v>349</v>
      </c>
      <c r="R67" s="19">
        <v>398</v>
      </c>
      <c r="S67" s="19">
        <v>34</v>
      </c>
      <c r="T67" s="20">
        <v>1.5533894155873059E-2</v>
      </c>
      <c r="U67" s="20">
        <v>1.7398907103825138E-2</v>
      </c>
      <c r="V67" s="20">
        <v>1.4178482068390324E-3</v>
      </c>
      <c r="X67" s="19">
        <v>0</v>
      </c>
      <c r="Y67" s="19">
        <v>0</v>
      </c>
      <c r="Z67" s="19">
        <v>0</v>
      </c>
      <c r="AA67" s="20">
        <v>0</v>
      </c>
      <c r="AB67" s="20">
        <v>0</v>
      </c>
      <c r="AC67" s="20">
        <v>0</v>
      </c>
      <c r="AF67"/>
    </row>
    <row r="68" spans="1:32" x14ac:dyDescent="0.25">
      <c r="A68" s="18" t="s">
        <v>21</v>
      </c>
      <c r="B68" s="19">
        <v>127</v>
      </c>
      <c r="C68" s="19">
        <v>59</v>
      </c>
      <c r="D68" s="19">
        <v>104</v>
      </c>
      <c r="E68" s="20">
        <v>2.0550161812297733E-2</v>
      </c>
      <c r="F68" s="20">
        <v>9.5407503234152657E-3</v>
      </c>
      <c r="G68" s="20">
        <v>1.7921764604514907E-2</v>
      </c>
      <c r="I68" s="19">
        <v>0</v>
      </c>
      <c r="J68" s="19">
        <v>0</v>
      </c>
      <c r="K68" s="19">
        <v>0</v>
      </c>
      <c r="L68" s="20">
        <v>0</v>
      </c>
      <c r="M68" s="20">
        <v>0</v>
      </c>
      <c r="N68" s="20">
        <v>0</v>
      </c>
      <c r="Q68" s="19">
        <v>0</v>
      </c>
      <c r="R68" s="19">
        <v>0</v>
      </c>
      <c r="S68" s="19">
        <v>0</v>
      </c>
      <c r="T68" s="20">
        <v>0</v>
      </c>
      <c r="U68" s="20">
        <v>0</v>
      </c>
      <c r="V68" s="20">
        <v>0</v>
      </c>
      <c r="X68" s="19">
        <v>0</v>
      </c>
      <c r="Y68" s="19">
        <v>0</v>
      </c>
      <c r="Z68" s="19">
        <v>0</v>
      </c>
      <c r="AA68" s="20">
        <v>0</v>
      </c>
      <c r="AB68" s="20">
        <v>0</v>
      </c>
      <c r="AC68" s="20">
        <v>0</v>
      </c>
      <c r="AF68"/>
    </row>
    <row r="69" spans="1:32" x14ac:dyDescent="0.25">
      <c r="A69" s="18" t="s">
        <v>26</v>
      </c>
      <c r="B69" s="19">
        <v>0</v>
      </c>
      <c r="C69" s="19">
        <v>1</v>
      </c>
      <c r="D69" s="19">
        <v>0</v>
      </c>
      <c r="E69" s="20">
        <v>0</v>
      </c>
      <c r="F69" s="20">
        <v>5.0301810865191151E-4</v>
      </c>
      <c r="G69" s="20">
        <v>0</v>
      </c>
      <c r="I69" s="19">
        <v>0</v>
      </c>
      <c r="J69" s="19">
        <v>0</v>
      </c>
      <c r="K69" s="19">
        <v>0</v>
      </c>
      <c r="L69" s="20">
        <v>0</v>
      </c>
      <c r="M69" s="20">
        <v>0</v>
      </c>
      <c r="N69" s="20">
        <v>0</v>
      </c>
      <c r="Q69" s="19">
        <v>0</v>
      </c>
      <c r="R69" s="19">
        <v>0</v>
      </c>
      <c r="S69" s="19">
        <v>0</v>
      </c>
      <c r="T69" s="20">
        <v>0</v>
      </c>
      <c r="U69" s="20">
        <v>0</v>
      </c>
      <c r="V69" s="20">
        <v>0</v>
      </c>
      <c r="X69" s="19">
        <v>0</v>
      </c>
      <c r="Y69" s="19">
        <v>0</v>
      </c>
      <c r="Z69" s="19">
        <v>0</v>
      </c>
      <c r="AA69" s="20">
        <v>0</v>
      </c>
      <c r="AB69" s="20">
        <v>0</v>
      </c>
      <c r="AC69" s="20">
        <v>0</v>
      </c>
      <c r="AF69"/>
    </row>
    <row r="70" spans="1:32" x14ac:dyDescent="0.25">
      <c r="A70" s="18" t="s">
        <v>29</v>
      </c>
      <c r="B70" s="19">
        <v>10</v>
      </c>
      <c r="C70" s="19">
        <v>0</v>
      </c>
      <c r="D70" s="19">
        <v>0</v>
      </c>
      <c r="E70" s="20">
        <v>8.0128205128205121E-3</v>
      </c>
      <c r="F70" s="20">
        <v>0</v>
      </c>
      <c r="G70" s="20">
        <v>0</v>
      </c>
      <c r="I70" s="19">
        <v>0</v>
      </c>
      <c r="J70" s="19">
        <v>0</v>
      </c>
      <c r="K70" s="19">
        <v>0</v>
      </c>
      <c r="L70" s="20">
        <v>0</v>
      </c>
      <c r="M70" s="20">
        <v>0</v>
      </c>
      <c r="N70" s="20">
        <v>0</v>
      </c>
      <c r="Q70" s="19">
        <v>0</v>
      </c>
      <c r="R70" s="19">
        <v>0</v>
      </c>
      <c r="S70" s="19">
        <v>0</v>
      </c>
      <c r="T70" s="20">
        <v>0</v>
      </c>
      <c r="U70" s="20">
        <v>0</v>
      </c>
      <c r="V70" s="20">
        <v>0</v>
      </c>
      <c r="X70" s="19">
        <v>0</v>
      </c>
      <c r="Y70" s="19">
        <v>0</v>
      </c>
      <c r="Z70" s="19">
        <v>0</v>
      </c>
      <c r="AA70" s="20">
        <v>0</v>
      </c>
      <c r="AB70" s="20">
        <v>0</v>
      </c>
      <c r="AC70" s="20">
        <v>0</v>
      </c>
      <c r="AF70"/>
    </row>
    <row r="71" spans="1:32" x14ac:dyDescent="0.25">
      <c r="A71" s="18" t="s">
        <v>30</v>
      </c>
      <c r="B71" s="19">
        <v>235</v>
      </c>
      <c r="C71" s="19">
        <v>253</v>
      </c>
      <c r="D71" s="19">
        <v>24</v>
      </c>
      <c r="E71" s="20">
        <v>3.5879505931569384E-3</v>
      </c>
      <c r="F71" s="20">
        <v>4.2172289638618479E-3</v>
      </c>
      <c r="G71" s="20">
        <v>4.0880288887374804E-4</v>
      </c>
      <c r="I71" s="19">
        <v>6</v>
      </c>
      <c r="J71" s="19">
        <v>17</v>
      </c>
      <c r="K71" s="19">
        <v>37</v>
      </c>
      <c r="L71" s="20">
        <v>1.8050541516245488E-3</v>
      </c>
      <c r="M71" s="20">
        <v>5.4945054945054949E-3</v>
      </c>
      <c r="N71" s="20">
        <v>1.1764705882352941E-2</v>
      </c>
      <c r="Q71" s="19">
        <v>146</v>
      </c>
      <c r="R71" s="19">
        <v>182</v>
      </c>
      <c r="S71" s="19">
        <v>16</v>
      </c>
      <c r="T71" s="20">
        <v>3.0584242830508828E-3</v>
      </c>
      <c r="U71" s="20">
        <v>4.0690395278125558E-3</v>
      </c>
      <c r="V71" s="20">
        <v>3.7124692561139731E-4</v>
      </c>
      <c r="X71" s="19">
        <v>1</v>
      </c>
      <c r="Y71" s="19">
        <v>4</v>
      </c>
      <c r="Z71" s="19">
        <v>0</v>
      </c>
      <c r="AA71" s="20">
        <v>1.869158878504673E-3</v>
      </c>
      <c r="AB71" s="20">
        <v>8.1967213114754103E-3</v>
      </c>
      <c r="AC71" s="20">
        <v>0</v>
      </c>
      <c r="AF71"/>
    </row>
    <row r="72" spans="1:32" x14ac:dyDescent="0.25">
      <c r="A72" s="18" t="s">
        <v>37</v>
      </c>
      <c r="B72" s="19">
        <v>112</v>
      </c>
      <c r="C72" s="19">
        <v>0</v>
      </c>
      <c r="D72" s="19">
        <v>0</v>
      </c>
      <c r="E72" s="20">
        <v>3.1805531890725281E-3</v>
      </c>
      <c r="F72" s="20">
        <v>0</v>
      </c>
      <c r="G72" s="20">
        <v>0</v>
      </c>
      <c r="I72" s="19">
        <v>12</v>
      </c>
      <c r="J72" s="19">
        <v>0</v>
      </c>
      <c r="K72" s="19">
        <v>0</v>
      </c>
      <c r="L72" s="20">
        <v>4.6421663442940036E-3</v>
      </c>
      <c r="M72" s="20">
        <v>0</v>
      </c>
      <c r="N72" s="20">
        <v>0</v>
      </c>
      <c r="Q72" s="19">
        <v>0</v>
      </c>
      <c r="R72" s="19">
        <v>0</v>
      </c>
      <c r="S72" s="19">
        <v>0</v>
      </c>
      <c r="T72" s="20">
        <v>0</v>
      </c>
      <c r="U72" s="20">
        <v>0</v>
      </c>
      <c r="V72" s="20">
        <v>0</v>
      </c>
      <c r="X72" s="19">
        <v>0</v>
      </c>
      <c r="Y72" s="19">
        <v>0</v>
      </c>
      <c r="Z72" s="19">
        <v>0</v>
      </c>
      <c r="AA72" s="20">
        <v>0</v>
      </c>
      <c r="AB72" s="20">
        <v>0</v>
      </c>
      <c r="AC72" s="20">
        <v>0</v>
      </c>
      <c r="AF72"/>
    </row>
    <row r="73" spans="1:32" x14ac:dyDescent="0.25">
      <c r="A73" s="18" t="s">
        <v>41</v>
      </c>
      <c r="B73" s="19">
        <v>0</v>
      </c>
      <c r="C73" s="19">
        <v>0</v>
      </c>
      <c r="D73" s="19">
        <v>0</v>
      </c>
      <c r="E73" s="20">
        <v>0</v>
      </c>
      <c r="F73" s="20">
        <v>0</v>
      </c>
      <c r="G73" s="20">
        <v>0</v>
      </c>
      <c r="I73" s="19">
        <v>0</v>
      </c>
      <c r="J73" s="19">
        <v>0</v>
      </c>
      <c r="K73" s="19">
        <v>1</v>
      </c>
      <c r="L73" s="20">
        <v>0</v>
      </c>
      <c r="M73" s="20">
        <v>0</v>
      </c>
      <c r="N73" s="20">
        <v>4.464285714285714E-3</v>
      </c>
      <c r="Q73" s="19">
        <v>0</v>
      </c>
      <c r="R73" s="19">
        <v>0</v>
      </c>
      <c r="S73" s="19">
        <v>0</v>
      </c>
      <c r="T73" s="20">
        <v>0</v>
      </c>
      <c r="U73" s="20">
        <v>0</v>
      </c>
      <c r="V73" s="20">
        <v>0</v>
      </c>
      <c r="X73" s="19">
        <v>0</v>
      </c>
      <c r="Y73" s="19">
        <v>0</v>
      </c>
      <c r="Z73" s="19">
        <v>0</v>
      </c>
      <c r="AA73" s="20">
        <v>0</v>
      </c>
      <c r="AB73" s="20">
        <v>0</v>
      </c>
      <c r="AC73" s="20">
        <v>0</v>
      </c>
      <c r="AF73"/>
    </row>
    <row r="74" spans="1:32" x14ac:dyDescent="0.25">
      <c r="A74" s="18" t="s">
        <v>43</v>
      </c>
      <c r="B74" s="19">
        <v>5480</v>
      </c>
      <c r="C74" s="19">
        <v>4407</v>
      </c>
      <c r="D74" s="19">
        <v>4797</v>
      </c>
      <c r="E74" s="20">
        <v>2.8108474089423931E-2</v>
      </c>
      <c r="F74" s="20">
        <v>2.247448862506311E-2</v>
      </c>
      <c r="G74" s="20">
        <v>2.3908016187875043E-2</v>
      </c>
      <c r="I74" s="19">
        <v>568</v>
      </c>
      <c r="J74" s="19">
        <v>520</v>
      </c>
      <c r="K74" s="19">
        <v>520</v>
      </c>
      <c r="L74" s="20">
        <v>2.6349972165522359E-2</v>
      </c>
      <c r="M74" s="20">
        <v>2.4243554478064245E-2</v>
      </c>
      <c r="N74" s="20">
        <v>2.4249207237455699E-2</v>
      </c>
      <c r="Q74" s="19">
        <v>5029</v>
      </c>
      <c r="R74" s="19">
        <v>4079</v>
      </c>
      <c r="S74" s="19">
        <v>4342</v>
      </c>
      <c r="T74" s="20">
        <v>3.3881062581266719E-2</v>
      </c>
      <c r="U74" s="20">
        <v>2.7342257495827273E-2</v>
      </c>
      <c r="V74" s="20">
        <v>2.8760680929986088E-2</v>
      </c>
      <c r="X74" s="19">
        <v>118</v>
      </c>
      <c r="Y74" s="19">
        <v>140</v>
      </c>
      <c r="Z74" s="19">
        <v>134</v>
      </c>
      <c r="AA74" s="20">
        <v>2.8454304316373281E-2</v>
      </c>
      <c r="AB74" s="20">
        <v>3.3112582781456956E-2</v>
      </c>
      <c r="AC74" s="20">
        <v>3.1611229063458361E-2</v>
      </c>
      <c r="AF74"/>
    </row>
    <row r="75" spans="1:32" x14ac:dyDescent="0.25">
      <c r="A75" s="18" t="s">
        <v>126</v>
      </c>
      <c r="B75" s="19">
        <v>0</v>
      </c>
      <c r="C75" s="19">
        <v>0</v>
      </c>
      <c r="D75" s="19">
        <v>16</v>
      </c>
      <c r="E75" s="20">
        <v>0</v>
      </c>
      <c r="F75" s="20">
        <v>0</v>
      </c>
      <c r="G75" s="20">
        <v>7.8593182041457907E-4</v>
      </c>
      <c r="I75" s="19">
        <v>0</v>
      </c>
      <c r="J75" s="19">
        <v>0</v>
      </c>
      <c r="K75" s="19">
        <v>0</v>
      </c>
      <c r="L75" s="20">
        <v>0</v>
      </c>
      <c r="M75" s="20">
        <v>0</v>
      </c>
      <c r="N75" s="20">
        <v>0</v>
      </c>
      <c r="Q75" s="19">
        <v>0</v>
      </c>
      <c r="R75" s="19">
        <v>0</v>
      </c>
      <c r="S75" s="19">
        <v>0</v>
      </c>
      <c r="T75" s="20">
        <v>0</v>
      </c>
      <c r="U75" s="20">
        <v>0</v>
      </c>
      <c r="V75" s="20">
        <v>0</v>
      </c>
      <c r="X75" s="19">
        <v>0</v>
      </c>
      <c r="Y75" s="19">
        <v>0</v>
      </c>
      <c r="Z75" s="19">
        <v>0</v>
      </c>
      <c r="AA75" s="20">
        <v>0</v>
      </c>
      <c r="AB75" s="20">
        <v>0</v>
      </c>
      <c r="AC75" s="20">
        <v>0</v>
      </c>
      <c r="AF75"/>
    </row>
    <row r="76" spans="1:32" x14ac:dyDescent="0.25">
      <c r="A76" s="18" t="s">
        <v>55</v>
      </c>
      <c r="B76" s="19">
        <v>43786</v>
      </c>
      <c r="C76" s="19">
        <v>42666</v>
      </c>
      <c r="D76" s="19">
        <v>38578</v>
      </c>
      <c r="E76" s="20">
        <v>0.55355246523388113</v>
      </c>
      <c r="F76" s="20">
        <v>0.51473036554469775</v>
      </c>
      <c r="G76" s="20">
        <v>0.46143173255188086</v>
      </c>
      <c r="I76" s="19">
        <v>2418</v>
      </c>
      <c r="J76" s="19">
        <v>2670</v>
      </c>
      <c r="K76" s="19">
        <v>2561</v>
      </c>
      <c r="L76" s="20">
        <v>0.63866877971473845</v>
      </c>
      <c r="M76" s="20">
        <v>0.69260700389105057</v>
      </c>
      <c r="N76" s="20">
        <v>0.64769853313100656</v>
      </c>
      <c r="Q76" s="19">
        <v>21736</v>
      </c>
      <c r="R76" s="19">
        <v>21459</v>
      </c>
      <c r="S76" s="19">
        <v>19824</v>
      </c>
      <c r="T76" s="20">
        <v>0.52382214724665621</v>
      </c>
      <c r="U76" s="20">
        <v>0.49323097432597052</v>
      </c>
      <c r="V76" s="20">
        <v>0.4400443951165372</v>
      </c>
      <c r="X76" s="19">
        <v>45</v>
      </c>
      <c r="Y76" s="19">
        <v>68</v>
      </c>
      <c r="Z76" s="19">
        <v>59</v>
      </c>
      <c r="AA76" s="20">
        <v>0.23809523809523808</v>
      </c>
      <c r="AB76" s="20">
        <v>0.35602094240837695</v>
      </c>
      <c r="AC76" s="20">
        <v>0.27314814814814814</v>
      </c>
      <c r="AF76"/>
    </row>
    <row r="77" spans="1:32" x14ac:dyDescent="0.25">
      <c r="A77" s="18" t="s">
        <v>58</v>
      </c>
      <c r="B77" s="19">
        <v>0</v>
      </c>
      <c r="C77" s="19">
        <v>0</v>
      </c>
      <c r="D77" s="19">
        <v>0</v>
      </c>
      <c r="E77" s="20">
        <v>0</v>
      </c>
      <c r="F77" s="20">
        <v>0</v>
      </c>
      <c r="G77" s="20">
        <v>0</v>
      </c>
      <c r="I77" s="19">
        <v>0</v>
      </c>
      <c r="J77" s="19">
        <v>0</v>
      </c>
      <c r="K77" s="19">
        <v>12</v>
      </c>
      <c r="L77" s="20">
        <v>0</v>
      </c>
      <c r="M77" s="20">
        <v>0</v>
      </c>
      <c r="N77" s="20">
        <v>1</v>
      </c>
      <c r="Q77" s="19">
        <v>0</v>
      </c>
      <c r="R77" s="19">
        <v>0</v>
      </c>
      <c r="S77" s="19">
        <v>0</v>
      </c>
      <c r="T77" s="20">
        <v>0</v>
      </c>
      <c r="U77" s="20">
        <v>0</v>
      </c>
      <c r="V77" s="20">
        <v>0</v>
      </c>
      <c r="X77" s="19">
        <v>0</v>
      </c>
      <c r="Y77" s="19">
        <v>0</v>
      </c>
      <c r="Z77" s="19">
        <v>0</v>
      </c>
      <c r="AA77" s="20">
        <v>0</v>
      </c>
      <c r="AB77" s="20">
        <v>0</v>
      </c>
      <c r="AC77" s="20">
        <v>0</v>
      </c>
      <c r="AF77"/>
    </row>
    <row r="78" spans="1:32" s="43" customFormat="1" x14ac:dyDescent="0.25">
      <c r="A78" s="29" t="s">
        <v>71</v>
      </c>
      <c r="B78" s="27">
        <v>51833</v>
      </c>
      <c r="C78" s="27">
        <v>48846</v>
      </c>
      <c r="D78" s="27">
        <v>46073</v>
      </c>
      <c r="E78" s="22">
        <v>7.2787503124499733E-2</v>
      </c>
      <c r="F78" s="22">
        <v>6.8609617931823005E-2</v>
      </c>
      <c r="G78" s="22">
        <v>6.4001744757046744E-2</v>
      </c>
      <c r="I78" s="27">
        <v>3024</v>
      </c>
      <c r="J78" s="27">
        <v>3219</v>
      </c>
      <c r="K78" s="27">
        <v>3359</v>
      </c>
      <c r="L78" s="22">
        <v>4.0432672380366623E-2</v>
      </c>
      <c r="M78" s="22">
        <v>4.305317783008774E-2</v>
      </c>
      <c r="N78" s="22">
        <v>4.4676464720356454E-2</v>
      </c>
      <c r="Q78" s="27">
        <v>27685</v>
      </c>
      <c r="R78" s="27">
        <v>26289</v>
      </c>
      <c r="S78" s="27">
        <v>24487</v>
      </c>
      <c r="T78" s="22">
        <v>7.1518063574482371E-2</v>
      </c>
      <c r="U78" s="22">
        <v>6.7679625572492547E-2</v>
      </c>
      <c r="V78" s="22">
        <v>6.2504147884196185E-2</v>
      </c>
      <c r="X78" s="27">
        <v>166</v>
      </c>
      <c r="Y78" s="27">
        <v>212</v>
      </c>
      <c r="Z78" s="27">
        <v>193</v>
      </c>
      <c r="AA78" s="22">
        <v>2.3704126802798802E-2</v>
      </c>
      <c r="AB78" s="22">
        <v>3.0087993187624184E-2</v>
      </c>
      <c r="AC78" s="22">
        <v>2.3533715400560908E-2</v>
      </c>
    </row>
    <row r="79" spans="1:32" x14ac:dyDescent="0.25">
      <c r="A79" s="18"/>
      <c r="B79" s="19"/>
      <c r="C79" s="19"/>
      <c r="D79" s="19"/>
      <c r="E79" s="19"/>
      <c r="F79" s="19"/>
      <c r="G79" s="19"/>
      <c r="I79" s="19"/>
      <c r="J79" s="19"/>
      <c r="K79" s="19"/>
      <c r="L79" s="19"/>
      <c r="M79" s="19"/>
      <c r="N79" s="19"/>
      <c r="Q79" s="19"/>
      <c r="R79" s="19"/>
      <c r="S79" s="19"/>
      <c r="T79" s="19"/>
      <c r="U79" s="19"/>
      <c r="V79" s="19"/>
      <c r="X79" s="19"/>
      <c r="Y79" s="19"/>
      <c r="Z79" s="19"/>
      <c r="AA79" s="19"/>
      <c r="AB79" s="19"/>
      <c r="AC79" s="19"/>
      <c r="AF79"/>
    </row>
    <row r="80" spans="1:32" x14ac:dyDescent="0.25">
      <c r="A80" s="28" t="s">
        <v>72</v>
      </c>
      <c r="B80" s="25"/>
      <c r="C80" s="25"/>
      <c r="D80" s="25"/>
      <c r="E80" s="25"/>
      <c r="F80" s="25"/>
      <c r="G80" s="25"/>
      <c r="I80" s="25"/>
      <c r="J80" s="25"/>
      <c r="K80" s="25"/>
      <c r="L80" s="25"/>
      <c r="M80" s="25"/>
      <c r="N80" s="25"/>
      <c r="Q80" s="25"/>
      <c r="R80" s="25"/>
      <c r="S80" s="25"/>
      <c r="T80" s="25"/>
      <c r="U80" s="25"/>
      <c r="V80" s="25"/>
      <c r="X80" s="25"/>
      <c r="Y80" s="25"/>
      <c r="Z80" s="25"/>
      <c r="AA80" s="25"/>
      <c r="AB80" s="25"/>
      <c r="AC80" s="25"/>
      <c r="AF80"/>
    </row>
    <row r="81" spans="1:32" x14ac:dyDescent="0.25">
      <c r="A81" s="18" t="s">
        <v>17</v>
      </c>
      <c r="B81" s="19">
        <v>0</v>
      </c>
      <c r="C81" s="19">
        <v>5</v>
      </c>
      <c r="D81" s="19">
        <v>14</v>
      </c>
      <c r="E81" s="20">
        <v>0</v>
      </c>
      <c r="F81" s="20">
        <v>6.2972292191435771E-3</v>
      </c>
      <c r="G81" s="20">
        <v>8.8383838383838381E-3</v>
      </c>
      <c r="I81" s="19">
        <v>0</v>
      </c>
      <c r="J81" s="19">
        <v>4</v>
      </c>
      <c r="K81" s="19">
        <v>3</v>
      </c>
      <c r="L81" s="20">
        <v>0</v>
      </c>
      <c r="M81" s="20">
        <v>4.0816326530612242E-2</v>
      </c>
      <c r="N81" s="20">
        <v>7.3710073710073713E-3</v>
      </c>
      <c r="Q81" s="19"/>
      <c r="R81" s="19"/>
      <c r="S81" s="19"/>
      <c r="T81" s="20"/>
      <c r="U81" s="20"/>
      <c r="V81" s="20"/>
      <c r="X81" s="19"/>
      <c r="Y81" s="19"/>
      <c r="Z81" s="19"/>
      <c r="AA81" s="20"/>
      <c r="AB81" s="20"/>
      <c r="AC81" s="20"/>
      <c r="AF81"/>
    </row>
    <row r="82" spans="1:32" x14ac:dyDescent="0.25">
      <c r="A82" s="18" t="s">
        <v>22</v>
      </c>
      <c r="B82" s="19">
        <v>0</v>
      </c>
      <c r="C82" s="19">
        <v>0</v>
      </c>
      <c r="D82" s="19">
        <v>0</v>
      </c>
      <c r="E82" s="20">
        <v>0</v>
      </c>
      <c r="F82" s="20">
        <v>0</v>
      </c>
      <c r="G82" s="20">
        <v>0</v>
      </c>
      <c r="I82" s="19">
        <v>227</v>
      </c>
      <c r="J82" s="19">
        <v>116</v>
      </c>
      <c r="K82" s="19">
        <v>187</v>
      </c>
      <c r="L82" s="20">
        <v>6.309060589216231E-2</v>
      </c>
      <c r="M82" s="20">
        <v>3.267605633802817E-2</v>
      </c>
      <c r="N82" s="20">
        <v>5.353564271399943E-2</v>
      </c>
      <c r="Q82" s="19"/>
      <c r="R82" s="19"/>
      <c r="S82" s="19"/>
      <c r="T82" s="20"/>
      <c r="U82" s="20"/>
      <c r="V82" s="20"/>
      <c r="X82" s="19"/>
      <c r="Y82" s="19"/>
      <c r="Z82" s="19"/>
      <c r="AA82" s="20"/>
      <c r="AB82" s="20"/>
      <c r="AC82" s="20"/>
      <c r="AF82"/>
    </row>
    <row r="83" spans="1:32" s="43" customFormat="1" x14ac:dyDescent="0.25">
      <c r="A83" s="29" t="s">
        <v>73</v>
      </c>
      <c r="B83" s="27">
        <v>0</v>
      </c>
      <c r="C83" s="27">
        <v>5</v>
      </c>
      <c r="D83" s="27">
        <v>14</v>
      </c>
      <c r="E83" s="22">
        <v>0</v>
      </c>
      <c r="F83" s="22">
        <v>6.4242579982012079E-4</v>
      </c>
      <c r="G83" s="22">
        <v>2.7137042062415195E-3</v>
      </c>
      <c r="I83" s="27">
        <v>227</v>
      </c>
      <c r="J83" s="27">
        <v>120</v>
      </c>
      <c r="K83" s="27">
        <v>190</v>
      </c>
      <c r="L83" s="22">
        <v>6.035628822121776E-2</v>
      </c>
      <c r="M83" s="22">
        <v>3.1463030938647087E-2</v>
      </c>
      <c r="N83" s="22">
        <v>4.7702736630680392E-2</v>
      </c>
      <c r="Q83" s="27"/>
      <c r="R83" s="27"/>
      <c r="S83" s="27"/>
      <c r="T83" s="22"/>
      <c r="U83" s="22"/>
      <c r="V83" s="22"/>
      <c r="X83" s="27"/>
      <c r="Y83" s="27"/>
      <c r="Z83" s="27"/>
      <c r="AA83" s="22"/>
      <c r="AB83" s="22"/>
      <c r="AC83" s="22"/>
    </row>
  </sheetData>
  <mergeCells count="14">
    <mergeCell ref="AA5:AC5"/>
    <mergeCell ref="B3:N3"/>
    <mergeCell ref="Q3:AC3"/>
    <mergeCell ref="I5:K5"/>
    <mergeCell ref="L5:N5"/>
    <mergeCell ref="Q5:S5"/>
    <mergeCell ref="T5:V5"/>
    <mergeCell ref="X5:Z5"/>
    <mergeCell ref="B4:E4"/>
    <mergeCell ref="I4:L4"/>
    <mergeCell ref="Q4:T4"/>
    <mergeCell ref="X4:AA4"/>
    <mergeCell ref="B5:D5"/>
    <mergeCell ref="E5:G5"/>
  </mergeCells>
  <conditionalFormatting sqref="A5">
    <cfRule type="duplicateValues" dxfId="10" priority="2"/>
  </conditionalFormatting>
  <conditionalFormatting sqref="A6">
    <cfRule type="duplicateValues" dxfId="9" priority="1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" sqref="D1"/>
    </sheetView>
  </sheetViews>
  <sheetFormatPr defaultRowHeight="15" x14ac:dyDescent="0.25"/>
  <cols>
    <col min="1" max="1" width="19.85546875" customWidth="1"/>
    <col min="2" max="41" width="10.7109375" customWidth="1"/>
  </cols>
  <sheetData>
    <row r="1" spans="1:43" x14ac:dyDescent="0.25">
      <c r="A1" s="30" t="s">
        <v>0</v>
      </c>
      <c r="B1" s="58" t="s">
        <v>153</v>
      </c>
      <c r="C1" s="4"/>
      <c r="D1" s="4"/>
      <c r="E1" s="4"/>
      <c r="F1" s="4"/>
      <c r="G1" s="4"/>
    </row>
    <row r="2" spans="1:43" x14ac:dyDescent="0.25">
      <c r="A2" s="42" t="s">
        <v>138</v>
      </c>
      <c r="B2" s="12"/>
      <c r="C2" s="4"/>
      <c r="D2" s="4"/>
      <c r="E2" s="4"/>
      <c r="F2" s="4"/>
      <c r="G2" s="4"/>
    </row>
    <row r="3" spans="1:43" s="25" customFormat="1" ht="12.75" x14ac:dyDescent="0.2">
      <c r="A3" s="40" t="s">
        <v>199</v>
      </c>
      <c r="B3" s="172" t="s">
        <v>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51"/>
      <c r="U3" s="151"/>
      <c r="X3" s="173" t="s">
        <v>92</v>
      </c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</row>
    <row r="4" spans="1:43" s="19" customFormat="1" x14ac:dyDescent="0.25">
      <c r="B4" s="166" t="s">
        <v>3</v>
      </c>
      <c r="C4" s="166"/>
      <c r="D4" s="166"/>
      <c r="E4" s="166"/>
      <c r="F4" s="166"/>
      <c r="G4" s="166"/>
      <c r="H4"/>
      <c r="I4" s="171" t="s">
        <v>95</v>
      </c>
      <c r="J4" s="171"/>
      <c r="K4" s="171"/>
      <c r="L4" s="171"/>
      <c r="M4" s="171"/>
      <c r="N4" s="171"/>
      <c r="O4" s="21"/>
      <c r="P4" s="171" t="s">
        <v>81</v>
      </c>
      <c r="Q4" s="171"/>
      <c r="R4" s="171"/>
      <c r="S4" s="171"/>
      <c r="T4" s="171"/>
      <c r="U4" s="171"/>
      <c r="V4" s="45"/>
      <c r="X4" s="166" t="s">
        <v>3</v>
      </c>
      <c r="Y4" s="166"/>
      <c r="Z4" s="166"/>
      <c r="AA4" s="166"/>
      <c r="AB4" s="166"/>
      <c r="AC4" s="166"/>
      <c r="AD4"/>
      <c r="AE4" s="171" t="s">
        <v>95</v>
      </c>
      <c r="AF4" s="171"/>
      <c r="AG4" s="171"/>
      <c r="AH4" s="171"/>
      <c r="AI4" s="171"/>
      <c r="AJ4" s="171"/>
      <c r="AK4" s="21"/>
      <c r="AL4" s="171" t="s">
        <v>81</v>
      </c>
      <c r="AM4" s="171"/>
      <c r="AN4" s="171"/>
      <c r="AO4" s="171"/>
      <c r="AP4" s="171"/>
      <c r="AQ4" s="171"/>
    </row>
    <row r="5" spans="1:43" s="46" customFormat="1" ht="51.95" customHeight="1" x14ac:dyDescent="0.25">
      <c r="A5" s="46" t="s">
        <v>9</v>
      </c>
      <c r="B5" s="174" t="s">
        <v>144</v>
      </c>
      <c r="C5" s="174"/>
      <c r="D5" s="174"/>
      <c r="E5" s="174" t="s">
        <v>94</v>
      </c>
      <c r="F5" s="174"/>
      <c r="G5" s="174"/>
      <c r="I5" s="174" t="s">
        <v>144</v>
      </c>
      <c r="J5" s="174"/>
      <c r="K5" s="174"/>
      <c r="L5" s="174" t="s">
        <v>94</v>
      </c>
      <c r="M5" s="174"/>
      <c r="N5" s="174"/>
      <c r="P5" s="174" t="s">
        <v>144</v>
      </c>
      <c r="Q5" s="174"/>
      <c r="R5" s="174"/>
      <c r="S5" s="174" t="s">
        <v>94</v>
      </c>
      <c r="T5" s="174"/>
      <c r="U5" s="174"/>
      <c r="V5" s="33"/>
      <c r="X5" s="174" t="s">
        <v>144</v>
      </c>
      <c r="Y5" s="174"/>
      <c r="Z5" s="174"/>
      <c r="AA5" s="174" t="s">
        <v>94</v>
      </c>
      <c r="AB5" s="174"/>
      <c r="AC5" s="174"/>
      <c r="AE5" s="174" t="s">
        <v>144</v>
      </c>
      <c r="AF5" s="174"/>
      <c r="AG5" s="174"/>
      <c r="AH5" s="174" t="s">
        <v>94</v>
      </c>
      <c r="AI5" s="174"/>
      <c r="AJ5" s="174"/>
      <c r="AL5" s="174" t="s">
        <v>144</v>
      </c>
      <c r="AM5" s="174"/>
      <c r="AN5" s="174"/>
      <c r="AO5" s="174" t="s">
        <v>94</v>
      </c>
      <c r="AP5" s="174"/>
      <c r="AQ5" s="174"/>
    </row>
    <row r="6" spans="1:43" x14ac:dyDescent="0.25">
      <c r="A6" s="9" t="s">
        <v>9</v>
      </c>
      <c r="B6" s="10" t="s">
        <v>12</v>
      </c>
      <c r="C6" s="10" t="s">
        <v>164</v>
      </c>
      <c r="D6" s="10" t="s">
        <v>195</v>
      </c>
      <c r="E6" s="10" t="s">
        <v>12</v>
      </c>
      <c r="F6" s="10" t="s">
        <v>164</v>
      </c>
      <c r="G6" s="10" t="s">
        <v>195</v>
      </c>
      <c r="I6" s="10" t="s">
        <v>12</v>
      </c>
      <c r="J6" s="10" t="s">
        <v>164</v>
      </c>
      <c r="K6" s="10" t="s">
        <v>195</v>
      </c>
      <c r="L6" s="10" t="s">
        <v>12</v>
      </c>
      <c r="M6" s="10" t="s">
        <v>164</v>
      </c>
      <c r="N6" s="10" t="s">
        <v>195</v>
      </c>
      <c r="P6" s="10" t="s">
        <v>12</v>
      </c>
      <c r="Q6" s="10" t="s">
        <v>164</v>
      </c>
      <c r="R6" s="10" t="s">
        <v>195</v>
      </c>
      <c r="S6" s="10" t="s">
        <v>12</v>
      </c>
      <c r="T6" s="10" t="s">
        <v>164</v>
      </c>
      <c r="U6" s="10" t="s">
        <v>195</v>
      </c>
      <c r="X6" s="10" t="s">
        <v>12</v>
      </c>
      <c r="Y6" s="10" t="s">
        <v>164</v>
      </c>
      <c r="Z6" s="10" t="s">
        <v>195</v>
      </c>
      <c r="AA6" s="10" t="s">
        <v>12</v>
      </c>
      <c r="AB6" s="10" t="s">
        <v>164</v>
      </c>
      <c r="AC6" s="10" t="s">
        <v>195</v>
      </c>
      <c r="AE6" s="10" t="s">
        <v>12</v>
      </c>
      <c r="AF6" s="10" t="s">
        <v>164</v>
      </c>
      <c r="AG6" s="10" t="s">
        <v>195</v>
      </c>
      <c r="AH6" s="10" t="s">
        <v>12</v>
      </c>
      <c r="AI6" s="10" t="s">
        <v>164</v>
      </c>
      <c r="AJ6" s="10" t="s">
        <v>195</v>
      </c>
      <c r="AL6" s="10" t="s">
        <v>12</v>
      </c>
      <c r="AM6" s="10" t="s">
        <v>164</v>
      </c>
      <c r="AN6" s="10" t="s">
        <v>195</v>
      </c>
      <c r="AO6" s="10" t="s">
        <v>12</v>
      </c>
      <c r="AP6" s="10" t="s">
        <v>164</v>
      </c>
      <c r="AQ6" s="10" t="s">
        <v>195</v>
      </c>
    </row>
    <row r="7" spans="1:43" x14ac:dyDescent="0.25">
      <c r="A7" s="18" t="s">
        <v>17</v>
      </c>
      <c r="B7" s="19">
        <v>83</v>
      </c>
      <c r="C7" s="19">
        <v>127</v>
      </c>
      <c r="D7" s="19">
        <v>143</v>
      </c>
      <c r="E7" s="20">
        <v>6.3026805376262436E-3</v>
      </c>
      <c r="F7" s="20">
        <v>9.4939074530911265E-3</v>
      </c>
      <c r="G7" s="20">
        <v>1.0363820843600522E-2</v>
      </c>
      <c r="I7" s="19">
        <v>31</v>
      </c>
      <c r="J7" s="19">
        <v>34</v>
      </c>
      <c r="K7" s="19">
        <v>52</v>
      </c>
      <c r="L7" s="20">
        <v>2.5306122448979593E-2</v>
      </c>
      <c r="M7" s="20">
        <v>2.9209621993127148E-2</v>
      </c>
      <c r="N7" s="20">
        <v>3.2398753894080999E-2</v>
      </c>
      <c r="P7" s="19">
        <v>0</v>
      </c>
      <c r="Q7" s="19">
        <v>0</v>
      </c>
      <c r="R7" s="19">
        <v>0</v>
      </c>
      <c r="S7" s="20">
        <v>0</v>
      </c>
      <c r="T7" s="20">
        <v>0</v>
      </c>
      <c r="U7" s="20">
        <v>0</v>
      </c>
      <c r="X7" s="19">
        <v>0</v>
      </c>
      <c r="Y7" s="19">
        <v>0</v>
      </c>
      <c r="Z7" s="19">
        <v>0</v>
      </c>
      <c r="AA7" s="20">
        <v>0</v>
      </c>
      <c r="AB7" s="20">
        <v>0</v>
      </c>
      <c r="AC7" s="20">
        <v>0</v>
      </c>
      <c r="AE7" s="19">
        <v>0</v>
      </c>
      <c r="AF7" s="19">
        <v>0</v>
      </c>
      <c r="AG7" s="19">
        <v>0</v>
      </c>
      <c r="AH7" s="20">
        <v>0</v>
      </c>
      <c r="AI7" s="20">
        <v>0</v>
      </c>
      <c r="AJ7" s="20">
        <v>0</v>
      </c>
      <c r="AL7" s="19">
        <v>0</v>
      </c>
      <c r="AM7" s="19">
        <v>0</v>
      </c>
      <c r="AN7" s="19">
        <v>0</v>
      </c>
      <c r="AO7" s="20">
        <v>0</v>
      </c>
      <c r="AP7" s="20">
        <v>0</v>
      </c>
      <c r="AQ7" s="20">
        <v>0</v>
      </c>
    </row>
    <row r="8" spans="1:43" x14ac:dyDescent="0.25">
      <c r="A8" s="18" t="s">
        <v>18</v>
      </c>
      <c r="B8" s="19">
        <v>0</v>
      </c>
      <c r="C8" s="19">
        <v>0</v>
      </c>
      <c r="D8" s="19">
        <v>0</v>
      </c>
      <c r="E8" s="20">
        <v>0</v>
      </c>
      <c r="F8" s="20">
        <v>0</v>
      </c>
      <c r="G8" s="20">
        <v>0</v>
      </c>
      <c r="I8" s="19">
        <v>0</v>
      </c>
      <c r="J8" s="19">
        <v>0</v>
      </c>
      <c r="K8" s="19">
        <v>0</v>
      </c>
      <c r="L8" s="20">
        <v>0</v>
      </c>
      <c r="M8" s="20">
        <v>0</v>
      </c>
      <c r="N8" s="20">
        <v>0</v>
      </c>
      <c r="P8" s="19">
        <v>0</v>
      </c>
      <c r="Q8" s="19">
        <v>0</v>
      </c>
      <c r="R8" s="19">
        <v>0</v>
      </c>
      <c r="S8" s="20">
        <v>0</v>
      </c>
      <c r="T8" s="20">
        <v>0</v>
      </c>
      <c r="U8" s="20">
        <v>0</v>
      </c>
      <c r="X8" s="19">
        <v>455</v>
      </c>
      <c r="Y8" s="19">
        <v>392</v>
      </c>
      <c r="Z8" s="19">
        <v>361</v>
      </c>
      <c r="AA8" s="20">
        <v>9.961903927836406E-3</v>
      </c>
      <c r="AB8" s="20">
        <v>7.7404577138005248E-3</v>
      </c>
      <c r="AC8" s="20">
        <v>6.5378416067515439E-3</v>
      </c>
      <c r="AE8" s="19">
        <v>5</v>
      </c>
      <c r="AF8" s="19">
        <v>2</v>
      </c>
      <c r="AG8" s="19">
        <v>0</v>
      </c>
      <c r="AH8" s="20">
        <v>1.3661202185792349E-2</v>
      </c>
      <c r="AI8" s="20">
        <v>4.830917874396135E-3</v>
      </c>
      <c r="AJ8" s="20">
        <v>0</v>
      </c>
      <c r="AL8" s="19">
        <v>0</v>
      </c>
      <c r="AM8" s="19">
        <v>0</v>
      </c>
      <c r="AN8" s="19">
        <v>0</v>
      </c>
      <c r="AO8" s="20">
        <v>0</v>
      </c>
      <c r="AP8" s="20">
        <v>0</v>
      </c>
      <c r="AQ8" s="20">
        <v>0</v>
      </c>
    </row>
    <row r="9" spans="1:43" x14ac:dyDescent="0.25">
      <c r="A9" s="18" t="s">
        <v>19</v>
      </c>
      <c r="B9" s="19">
        <v>3590</v>
      </c>
      <c r="C9" s="19">
        <v>3469</v>
      </c>
      <c r="D9" s="19">
        <v>3618</v>
      </c>
      <c r="E9" s="20">
        <v>2.8981763285999143E-3</v>
      </c>
      <c r="F9" s="20">
        <v>2.8003787655568749E-3</v>
      </c>
      <c r="G9" s="20">
        <v>2.9186434197014076E-3</v>
      </c>
      <c r="I9" s="19">
        <v>1840</v>
      </c>
      <c r="J9" s="19">
        <v>1886</v>
      </c>
      <c r="K9" s="19">
        <v>1868</v>
      </c>
      <c r="L9" s="20">
        <v>1.9419320112716489E-2</v>
      </c>
      <c r="M9" s="20">
        <v>1.9606212445682683E-2</v>
      </c>
      <c r="N9" s="20">
        <v>1.8607616372311706E-2</v>
      </c>
      <c r="P9" s="19">
        <v>7</v>
      </c>
      <c r="Q9" s="19">
        <v>7</v>
      </c>
      <c r="R9" s="19">
        <v>1</v>
      </c>
      <c r="S9" s="20">
        <v>5.8411214953271024E-4</v>
      </c>
      <c r="T9" s="20">
        <v>5.8932480215524502E-4</v>
      </c>
      <c r="U9" s="20">
        <v>8.4839229659794686E-5</v>
      </c>
      <c r="X9" s="19">
        <v>11277</v>
      </c>
      <c r="Y9" s="19">
        <v>11826</v>
      </c>
      <c r="Z9" s="19">
        <v>10471</v>
      </c>
      <c r="AA9" s="20">
        <v>1.6489614481966997E-2</v>
      </c>
      <c r="AB9" s="20">
        <v>1.7234318824696986E-2</v>
      </c>
      <c r="AC9" s="20">
        <v>1.5223570291430108E-2</v>
      </c>
      <c r="AE9" s="19">
        <v>1087</v>
      </c>
      <c r="AF9" s="19">
        <v>1046</v>
      </c>
      <c r="AG9" s="19">
        <v>968</v>
      </c>
      <c r="AH9" s="20">
        <v>6.2905092592592596E-2</v>
      </c>
      <c r="AI9" s="20">
        <v>6.1496854606384856E-2</v>
      </c>
      <c r="AJ9" s="20">
        <v>5.6931129800623419E-2</v>
      </c>
      <c r="AL9" s="19">
        <v>7</v>
      </c>
      <c r="AM9" s="19">
        <v>5</v>
      </c>
      <c r="AN9" s="19">
        <v>6</v>
      </c>
      <c r="AO9" s="20">
        <v>4.3613707165109034E-3</v>
      </c>
      <c r="AP9" s="20">
        <v>3.003003003003003E-3</v>
      </c>
      <c r="AQ9" s="20">
        <v>3.5169988276670576E-3</v>
      </c>
    </row>
    <row r="10" spans="1:43" x14ac:dyDescent="0.25">
      <c r="A10" s="18" t="s">
        <v>20</v>
      </c>
      <c r="B10" s="19">
        <v>1313</v>
      </c>
      <c r="C10" s="19">
        <v>421</v>
      </c>
      <c r="D10" s="19">
        <v>656</v>
      </c>
      <c r="E10" s="20">
        <v>4.4249129677247593E-3</v>
      </c>
      <c r="F10" s="20">
        <v>1.3440731482279626E-3</v>
      </c>
      <c r="G10" s="20">
        <v>1.91176170589761E-3</v>
      </c>
      <c r="I10" s="19">
        <v>402</v>
      </c>
      <c r="J10" s="19">
        <v>206</v>
      </c>
      <c r="K10" s="19">
        <v>312</v>
      </c>
      <c r="L10" s="20">
        <v>1.4705344405018838E-2</v>
      </c>
      <c r="M10" s="20">
        <v>7.6446357665046205E-3</v>
      </c>
      <c r="N10" s="20">
        <v>1.1106760172297177E-2</v>
      </c>
      <c r="P10" s="19">
        <v>3</v>
      </c>
      <c r="Q10" s="19">
        <v>0</v>
      </c>
      <c r="R10" s="19">
        <v>1</v>
      </c>
      <c r="S10" s="20">
        <v>1.0309278350515464E-2</v>
      </c>
      <c r="T10" s="20">
        <v>0</v>
      </c>
      <c r="U10" s="20">
        <v>4.4843049327354259E-3</v>
      </c>
      <c r="X10" s="19">
        <v>663</v>
      </c>
      <c r="Y10" s="19">
        <v>320</v>
      </c>
      <c r="Z10" s="19">
        <v>428</v>
      </c>
      <c r="AA10" s="20">
        <v>1.5317438314388688E-2</v>
      </c>
      <c r="AB10" s="20">
        <v>7.0711981261324967E-3</v>
      </c>
      <c r="AC10" s="20">
        <v>8.2971464019851119E-3</v>
      </c>
      <c r="AE10" s="19">
        <v>1</v>
      </c>
      <c r="AF10" s="19">
        <v>0</v>
      </c>
      <c r="AG10" s="19">
        <v>1</v>
      </c>
      <c r="AH10" s="20">
        <v>1.5873015873015872E-2</v>
      </c>
      <c r="AI10" s="20">
        <v>0</v>
      </c>
      <c r="AJ10" s="20">
        <v>1.2987012987012988E-2</v>
      </c>
      <c r="AL10" s="19">
        <v>0</v>
      </c>
      <c r="AM10" s="19">
        <v>0</v>
      </c>
      <c r="AN10" s="19">
        <v>0</v>
      </c>
      <c r="AO10" s="20">
        <v>0</v>
      </c>
      <c r="AP10" s="20">
        <v>0</v>
      </c>
      <c r="AQ10" s="20">
        <v>0</v>
      </c>
    </row>
    <row r="11" spans="1:43" x14ac:dyDescent="0.25">
      <c r="A11" s="18" t="s">
        <v>21</v>
      </c>
      <c r="B11" s="19">
        <v>866</v>
      </c>
      <c r="C11" s="19">
        <v>842</v>
      </c>
      <c r="D11" s="19">
        <v>835</v>
      </c>
      <c r="E11" s="20">
        <v>9.2495674278512373E-3</v>
      </c>
      <c r="F11" s="20">
        <v>8.9884281993253337E-3</v>
      </c>
      <c r="G11" s="20">
        <v>9.1212968627108273E-3</v>
      </c>
      <c r="I11" s="19">
        <v>191</v>
      </c>
      <c r="J11" s="19">
        <v>185</v>
      </c>
      <c r="K11" s="19">
        <v>190</v>
      </c>
      <c r="L11" s="20">
        <v>6.5658301821931941E-2</v>
      </c>
      <c r="M11" s="20">
        <v>6.1893609902977584E-2</v>
      </c>
      <c r="N11" s="20">
        <v>6.2913907284768214E-2</v>
      </c>
      <c r="P11" s="19">
        <v>0</v>
      </c>
      <c r="Q11" s="19">
        <v>0</v>
      </c>
      <c r="R11" s="19">
        <v>0</v>
      </c>
      <c r="S11" s="20">
        <v>0</v>
      </c>
      <c r="T11" s="20">
        <v>0</v>
      </c>
      <c r="U11" s="20">
        <v>0</v>
      </c>
      <c r="X11" s="19">
        <v>291</v>
      </c>
      <c r="Y11" s="19">
        <v>343</v>
      </c>
      <c r="Z11" s="19">
        <v>344</v>
      </c>
      <c r="AA11" s="20">
        <v>1.5652735194448927E-2</v>
      </c>
      <c r="AB11" s="20">
        <v>1.7481270067784518E-2</v>
      </c>
      <c r="AC11" s="20">
        <v>1.6722570609109911E-2</v>
      </c>
      <c r="AE11" s="19">
        <v>27</v>
      </c>
      <c r="AF11" s="19">
        <v>29</v>
      </c>
      <c r="AG11" s="19">
        <v>23</v>
      </c>
      <c r="AH11" s="20">
        <v>9.5744680851063829E-2</v>
      </c>
      <c r="AI11" s="20">
        <v>9.7972972972972971E-2</v>
      </c>
      <c r="AJ11" s="20">
        <v>7.6411960132890366E-2</v>
      </c>
      <c r="AL11" s="19">
        <v>0</v>
      </c>
      <c r="AM11" s="19">
        <v>0</v>
      </c>
      <c r="AN11" s="19">
        <v>0</v>
      </c>
      <c r="AO11" s="20">
        <v>0</v>
      </c>
      <c r="AP11" s="20">
        <v>0</v>
      </c>
      <c r="AQ11" s="20">
        <v>0</v>
      </c>
    </row>
    <row r="12" spans="1:43" x14ac:dyDescent="0.25">
      <c r="A12" s="18" t="s">
        <v>22</v>
      </c>
      <c r="B12" s="19">
        <v>648</v>
      </c>
      <c r="C12" s="19">
        <v>620</v>
      </c>
      <c r="D12" s="19">
        <v>542</v>
      </c>
      <c r="E12" s="20">
        <v>4.453914358375146E-2</v>
      </c>
      <c r="F12" s="20">
        <v>8.8710831306338528E-2</v>
      </c>
      <c r="G12" s="20">
        <v>0.1516083916083916</v>
      </c>
      <c r="I12" s="19">
        <v>283</v>
      </c>
      <c r="J12" s="19">
        <v>258</v>
      </c>
      <c r="K12" s="19">
        <v>238</v>
      </c>
      <c r="L12" s="20">
        <v>7.8654808226792661E-2</v>
      </c>
      <c r="M12" s="20">
        <v>7.2676056338028164E-2</v>
      </c>
      <c r="N12" s="20">
        <v>6.8136272545090179E-2</v>
      </c>
      <c r="P12" s="19">
        <v>5</v>
      </c>
      <c r="Q12" s="19">
        <v>6</v>
      </c>
      <c r="R12" s="19">
        <v>4</v>
      </c>
      <c r="S12" s="20">
        <v>2.5075225677031092E-3</v>
      </c>
      <c r="T12" s="20">
        <v>3.1364349189754314E-3</v>
      </c>
      <c r="U12" s="20">
        <v>2.1834061135371178E-3</v>
      </c>
      <c r="X12" s="19">
        <v>0</v>
      </c>
      <c r="Y12" s="19">
        <v>0</v>
      </c>
      <c r="Z12" s="19">
        <v>0</v>
      </c>
      <c r="AA12" s="20">
        <v>0</v>
      </c>
      <c r="AB12" s="20">
        <v>0</v>
      </c>
      <c r="AC12" s="20">
        <v>0</v>
      </c>
      <c r="AE12" s="19">
        <v>0</v>
      </c>
      <c r="AF12" s="19">
        <v>0</v>
      </c>
      <c r="AG12" s="19">
        <v>0</v>
      </c>
      <c r="AH12" s="20">
        <v>0</v>
      </c>
      <c r="AI12" s="20">
        <v>0</v>
      </c>
      <c r="AJ12" s="20">
        <v>0</v>
      </c>
      <c r="AL12" s="19">
        <v>0</v>
      </c>
      <c r="AM12" s="19">
        <v>0</v>
      </c>
      <c r="AN12" s="19">
        <v>0</v>
      </c>
      <c r="AO12" s="20">
        <v>0</v>
      </c>
      <c r="AP12" s="20">
        <v>0</v>
      </c>
      <c r="AQ12" s="20">
        <v>0</v>
      </c>
    </row>
    <row r="13" spans="1:43" x14ac:dyDescent="0.25">
      <c r="A13" s="18" t="s">
        <v>25</v>
      </c>
      <c r="B13" s="19">
        <v>29</v>
      </c>
      <c r="C13" s="19">
        <v>28</v>
      </c>
      <c r="D13" s="19">
        <v>30</v>
      </c>
      <c r="E13" s="20">
        <v>8.2199546485260764E-3</v>
      </c>
      <c r="F13" s="20">
        <v>7.8497336697504905E-3</v>
      </c>
      <c r="G13" s="20">
        <v>8.4175084175084174E-3</v>
      </c>
      <c r="I13" s="19">
        <v>109</v>
      </c>
      <c r="J13" s="19">
        <v>121</v>
      </c>
      <c r="K13" s="19">
        <v>126</v>
      </c>
      <c r="L13" s="20">
        <v>2.3496443198965294E-2</v>
      </c>
      <c r="M13" s="20">
        <v>2.6043908738699956E-2</v>
      </c>
      <c r="N13" s="20">
        <v>2.7857616626133098E-2</v>
      </c>
      <c r="P13" s="19">
        <v>0</v>
      </c>
      <c r="Q13" s="19">
        <v>0</v>
      </c>
      <c r="R13" s="19">
        <v>0</v>
      </c>
      <c r="S13" s="20">
        <v>0</v>
      </c>
      <c r="T13" s="20">
        <v>0</v>
      </c>
      <c r="U13" s="20">
        <v>0</v>
      </c>
      <c r="X13" s="19">
        <v>39</v>
      </c>
      <c r="Y13" s="19">
        <v>44</v>
      </c>
      <c r="Z13" s="19">
        <v>41</v>
      </c>
      <c r="AA13" s="20">
        <v>1.870503597122302E-2</v>
      </c>
      <c r="AB13" s="20">
        <v>2.0803782505910164E-2</v>
      </c>
      <c r="AC13" s="20">
        <v>1.8747142203932327E-2</v>
      </c>
      <c r="AE13" s="19">
        <v>91</v>
      </c>
      <c r="AF13" s="19">
        <v>96</v>
      </c>
      <c r="AG13" s="19">
        <v>83</v>
      </c>
      <c r="AH13" s="20">
        <v>4.0017590149516273E-2</v>
      </c>
      <c r="AI13" s="20">
        <v>4.048924504428511E-2</v>
      </c>
      <c r="AJ13" s="20">
        <v>3.4962089300758212E-2</v>
      </c>
      <c r="AL13" s="19">
        <v>0</v>
      </c>
      <c r="AM13" s="19">
        <v>0</v>
      </c>
      <c r="AN13" s="19">
        <v>0</v>
      </c>
      <c r="AO13" s="20">
        <v>0</v>
      </c>
      <c r="AP13" s="20">
        <v>0</v>
      </c>
      <c r="AQ13" s="20">
        <v>0</v>
      </c>
    </row>
    <row r="14" spans="1:43" x14ac:dyDescent="0.25">
      <c r="A14" s="18" t="s">
        <v>26</v>
      </c>
      <c r="B14" s="19">
        <v>44</v>
      </c>
      <c r="C14" s="19">
        <v>25</v>
      </c>
      <c r="D14" s="19">
        <v>38</v>
      </c>
      <c r="E14" s="20">
        <v>6.7671485696708701E-3</v>
      </c>
      <c r="F14" s="20">
        <v>3.7993920972644378E-3</v>
      </c>
      <c r="G14" s="20">
        <v>5.7057057057057058E-3</v>
      </c>
      <c r="I14" s="19">
        <v>0</v>
      </c>
      <c r="J14" s="19">
        <v>6</v>
      </c>
      <c r="K14" s="19">
        <v>8</v>
      </c>
      <c r="L14" s="20">
        <v>0</v>
      </c>
      <c r="M14" s="20">
        <v>8.23045267489712E-3</v>
      </c>
      <c r="N14" s="20">
        <v>1.038961038961039E-2</v>
      </c>
      <c r="P14" s="19">
        <v>0</v>
      </c>
      <c r="Q14" s="19">
        <v>0</v>
      </c>
      <c r="R14" s="19">
        <v>0</v>
      </c>
      <c r="S14" s="20">
        <v>0</v>
      </c>
      <c r="T14" s="20">
        <v>0</v>
      </c>
      <c r="U14" s="20">
        <v>0</v>
      </c>
      <c r="X14" s="19">
        <v>0</v>
      </c>
      <c r="Y14" s="19">
        <v>0</v>
      </c>
      <c r="Z14" s="19">
        <v>0</v>
      </c>
      <c r="AA14" s="20">
        <v>0</v>
      </c>
      <c r="AB14" s="20">
        <v>0</v>
      </c>
      <c r="AC14" s="20">
        <v>0</v>
      </c>
      <c r="AE14" s="19">
        <v>0</v>
      </c>
      <c r="AF14" s="19">
        <v>0</v>
      </c>
      <c r="AG14" s="19">
        <v>0</v>
      </c>
      <c r="AH14" s="20">
        <v>0</v>
      </c>
      <c r="AI14" s="20">
        <v>0</v>
      </c>
      <c r="AJ14" s="20">
        <v>0</v>
      </c>
      <c r="AL14" s="19">
        <v>0</v>
      </c>
      <c r="AM14" s="19">
        <v>0</v>
      </c>
      <c r="AN14" s="19">
        <v>0</v>
      </c>
      <c r="AO14" s="20">
        <v>0</v>
      </c>
      <c r="AP14" s="20">
        <v>0</v>
      </c>
      <c r="AQ14" s="20">
        <v>0</v>
      </c>
    </row>
    <row r="15" spans="1:43" x14ac:dyDescent="0.25">
      <c r="A15" s="18" t="s">
        <v>27</v>
      </c>
      <c r="B15" s="19">
        <v>0</v>
      </c>
      <c r="C15" s="19">
        <v>0</v>
      </c>
      <c r="D15" s="19">
        <v>1</v>
      </c>
      <c r="E15" s="20">
        <v>0</v>
      </c>
      <c r="F15" s="20">
        <v>0</v>
      </c>
      <c r="G15" s="20">
        <v>1.7241379310344827E-2</v>
      </c>
      <c r="I15" s="19">
        <v>0</v>
      </c>
      <c r="J15" s="19">
        <v>0</v>
      </c>
      <c r="K15" s="19">
        <v>0</v>
      </c>
      <c r="L15" s="20">
        <v>0</v>
      </c>
      <c r="M15" s="20">
        <v>0</v>
      </c>
      <c r="N15" s="20">
        <v>0</v>
      </c>
      <c r="P15" s="19">
        <v>0</v>
      </c>
      <c r="Q15" s="19">
        <v>0</v>
      </c>
      <c r="R15" s="19">
        <v>0</v>
      </c>
      <c r="S15" s="20">
        <v>0</v>
      </c>
      <c r="T15" s="20">
        <v>0</v>
      </c>
      <c r="U15" s="20">
        <v>0</v>
      </c>
      <c r="X15" s="19">
        <v>0</v>
      </c>
      <c r="Y15" s="19">
        <v>0</v>
      </c>
      <c r="Z15" s="19">
        <v>0</v>
      </c>
      <c r="AA15" s="20">
        <v>0</v>
      </c>
      <c r="AB15" s="20">
        <v>0</v>
      </c>
      <c r="AC15" s="20">
        <v>0</v>
      </c>
      <c r="AE15" s="19">
        <v>0</v>
      </c>
      <c r="AF15" s="19">
        <v>0</v>
      </c>
      <c r="AG15" s="19">
        <v>0</v>
      </c>
      <c r="AH15" s="20">
        <v>0</v>
      </c>
      <c r="AI15" s="20">
        <v>0</v>
      </c>
      <c r="AJ15" s="20">
        <v>0</v>
      </c>
      <c r="AL15" s="19">
        <v>0</v>
      </c>
      <c r="AM15" s="19">
        <v>0</v>
      </c>
      <c r="AN15" s="19">
        <v>0</v>
      </c>
      <c r="AO15" s="20">
        <v>0</v>
      </c>
      <c r="AP15" s="20">
        <v>0</v>
      </c>
      <c r="AQ15" s="20">
        <v>0</v>
      </c>
    </row>
    <row r="16" spans="1:43" x14ac:dyDescent="0.25">
      <c r="A16" s="18" t="s">
        <v>29</v>
      </c>
      <c r="B16" s="19">
        <v>78</v>
      </c>
      <c r="C16" s="19">
        <v>106</v>
      </c>
      <c r="D16" s="19">
        <v>0</v>
      </c>
      <c r="E16" s="20">
        <v>1.0097087378640776E-2</v>
      </c>
      <c r="F16" s="20">
        <v>7.2558012184269971E-3</v>
      </c>
      <c r="G16" s="20">
        <v>0</v>
      </c>
      <c r="I16" s="19">
        <v>0</v>
      </c>
      <c r="J16" s="19">
        <v>8</v>
      </c>
      <c r="K16" s="19">
        <v>0</v>
      </c>
      <c r="L16" s="20">
        <v>0</v>
      </c>
      <c r="M16" s="20">
        <v>8.1466395112016286E-3</v>
      </c>
      <c r="N16" s="20">
        <v>0</v>
      </c>
      <c r="P16" s="19">
        <v>0</v>
      </c>
      <c r="Q16" s="19">
        <v>0</v>
      </c>
      <c r="R16" s="19">
        <v>0</v>
      </c>
      <c r="S16" s="20">
        <v>0</v>
      </c>
      <c r="T16" s="20">
        <v>0</v>
      </c>
      <c r="U16" s="20">
        <v>0</v>
      </c>
      <c r="X16" s="19">
        <v>0</v>
      </c>
      <c r="Y16" s="19">
        <v>0</v>
      </c>
      <c r="Z16" s="19">
        <v>0</v>
      </c>
      <c r="AA16" s="20">
        <v>0</v>
      </c>
      <c r="AB16" s="20">
        <v>0</v>
      </c>
      <c r="AC16" s="20">
        <v>0</v>
      </c>
      <c r="AE16" s="19">
        <v>0</v>
      </c>
      <c r="AF16" s="19">
        <v>0</v>
      </c>
      <c r="AG16" s="19">
        <v>0</v>
      </c>
      <c r="AH16" s="20">
        <v>0</v>
      </c>
      <c r="AI16" s="20">
        <v>0</v>
      </c>
      <c r="AJ16" s="20">
        <v>0</v>
      </c>
      <c r="AL16" s="19">
        <v>0</v>
      </c>
      <c r="AM16" s="19">
        <v>0</v>
      </c>
      <c r="AN16" s="19">
        <v>0</v>
      </c>
      <c r="AO16" s="20">
        <v>0</v>
      </c>
      <c r="AP16" s="20">
        <v>0</v>
      </c>
      <c r="AQ16" s="20">
        <v>0</v>
      </c>
    </row>
    <row r="17" spans="1:43" x14ac:dyDescent="0.25">
      <c r="A17" s="18" t="s">
        <v>31</v>
      </c>
      <c r="B17" s="19">
        <v>48</v>
      </c>
      <c r="C17" s="19">
        <v>48</v>
      </c>
      <c r="D17" s="19">
        <v>53</v>
      </c>
      <c r="E17" s="20">
        <v>9.286128845037725E-3</v>
      </c>
      <c r="F17" s="20">
        <v>8.8839533592448647E-3</v>
      </c>
      <c r="G17" s="20">
        <v>8.9511906772504653E-3</v>
      </c>
      <c r="I17" s="19">
        <v>15</v>
      </c>
      <c r="J17" s="19">
        <v>11</v>
      </c>
      <c r="K17" s="19">
        <v>10</v>
      </c>
      <c r="L17" s="20">
        <v>4.2253521126760563E-2</v>
      </c>
      <c r="M17" s="20">
        <v>2.8871391076115485E-2</v>
      </c>
      <c r="N17" s="20">
        <v>2.3980815347721823E-2</v>
      </c>
      <c r="P17" s="19">
        <v>0</v>
      </c>
      <c r="Q17" s="19">
        <v>0</v>
      </c>
      <c r="R17" s="19">
        <v>0</v>
      </c>
      <c r="S17" s="20">
        <v>0</v>
      </c>
      <c r="T17" s="20">
        <v>0</v>
      </c>
      <c r="U17" s="20">
        <v>0</v>
      </c>
      <c r="X17" s="19">
        <v>0</v>
      </c>
      <c r="Y17" s="19">
        <v>0</v>
      </c>
      <c r="Z17" s="19">
        <v>0</v>
      </c>
      <c r="AA17" s="20">
        <v>0</v>
      </c>
      <c r="AB17" s="20">
        <v>0</v>
      </c>
      <c r="AC17" s="20">
        <v>0</v>
      </c>
      <c r="AE17" s="19">
        <v>0</v>
      </c>
      <c r="AF17" s="19">
        <v>0</v>
      </c>
      <c r="AG17" s="19">
        <v>0</v>
      </c>
      <c r="AH17" s="20">
        <v>0</v>
      </c>
      <c r="AI17" s="20">
        <v>0</v>
      </c>
      <c r="AJ17" s="20">
        <v>0</v>
      </c>
      <c r="AL17" s="19">
        <v>0</v>
      </c>
      <c r="AM17" s="19">
        <v>0</v>
      </c>
      <c r="AN17" s="19">
        <v>0</v>
      </c>
      <c r="AO17" s="20">
        <v>0</v>
      </c>
      <c r="AP17" s="20">
        <v>0</v>
      </c>
      <c r="AQ17" s="20">
        <v>0</v>
      </c>
    </row>
    <row r="18" spans="1:43" x14ac:dyDescent="0.25">
      <c r="A18" s="18" t="s">
        <v>80</v>
      </c>
      <c r="B18" s="19">
        <v>0</v>
      </c>
      <c r="C18" s="19">
        <v>0</v>
      </c>
      <c r="D18" s="19">
        <v>0</v>
      </c>
      <c r="E18" s="20">
        <v>0</v>
      </c>
      <c r="F18" s="20">
        <v>0</v>
      </c>
      <c r="G18" s="20">
        <v>0</v>
      </c>
      <c r="I18" s="19">
        <v>1240</v>
      </c>
      <c r="J18" s="19">
        <v>932</v>
      </c>
      <c r="K18" s="19">
        <v>806</v>
      </c>
      <c r="L18" s="20">
        <v>2.9107981220657275</v>
      </c>
      <c r="M18" s="20">
        <v>2.2787286063569683</v>
      </c>
      <c r="N18" s="20">
        <v>2.5587301587301585</v>
      </c>
      <c r="P18" s="19">
        <v>5</v>
      </c>
      <c r="Q18" s="19">
        <v>5</v>
      </c>
      <c r="R18" s="19">
        <v>0</v>
      </c>
      <c r="S18" s="20">
        <v>1.7934002869440459E-3</v>
      </c>
      <c r="T18" s="20">
        <v>1.7397355601948504E-3</v>
      </c>
      <c r="U18" s="20">
        <v>0</v>
      </c>
      <c r="X18" s="19">
        <v>0</v>
      </c>
      <c r="Y18" s="19">
        <v>0</v>
      </c>
      <c r="Z18" s="19">
        <v>0</v>
      </c>
      <c r="AA18" s="20">
        <v>0</v>
      </c>
      <c r="AB18" s="20">
        <v>0</v>
      </c>
      <c r="AC18" s="20">
        <v>0</v>
      </c>
      <c r="AE18" s="19">
        <v>0</v>
      </c>
      <c r="AF18" s="19">
        <v>0</v>
      </c>
      <c r="AG18" s="19">
        <v>0</v>
      </c>
      <c r="AH18" s="20">
        <v>0</v>
      </c>
      <c r="AI18" s="20">
        <v>0</v>
      </c>
      <c r="AJ18" s="20">
        <v>0</v>
      </c>
      <c r="AL18" s="19">
        <v>0</v>
      </c>
      <c r="AM18" s="19">
        <v>0</v>
      </c>
      <c r="AN18" s="19">
        <v>0</v>
      </c>
      <c r="AO18" s="20">
        <v>0</v>
      </c>
      <c r="AP18" s="20">
        <v>0</v>
      </c>
      <c r="AQ18" s="20">
        <v>0</v>
      </c>
    </row>
    <row r="19" spans="1:43" x14ac:dyDescent="0.25">
      <c r="A19" s="18" t="s">
        <v>37</v>
      </c>
      <c r="B19" s="19">
        <v>10</v>
      </c>
      <c r="C19" s="19">
        <v>0</v>
      </c>
      <c r="D19" s="19">
        <v>0</v>
      </c>
      <c r="E19" s="20">
        <v>2.8227855247558292E-4</v>
      </c>
      <c r="F19" s="20">
        <v>0</v>
      </c>
      <c r="G19" s="20">
        <v>0</v>
      </c>
      <c r="I19" s="19">
        <v>15</v>
      </c>
      <c r="J19" s="19">
        <v>0</v>
      </c>
      <c r="K19" s="19">
        <v>0</v>
      </c>
      <c r="L19" s="20">
        <v>4.0257648953301124E-3</v>
      </c>
      <c r="M19" s="20">
        <v>0</v>
      </c>
      <c r="N19" s="20">
        <v>0</v>
      </c>
      <c r="P19" s="19">
        <v>0</v>
      </c>
      <c r="Q19" s="19">
        <v>0</v>
      </c>
      <c r="R19" s="19">
        <v>0</v>
      </c>
      <c r="S19" s="20">
        <v>0</v>
      </c>
      <c r="T19" s="20">
        <v>0</v>
      </c>
      <c r="U19" s="20">
        <v>0</v>
      </c>
      <c r="X19" s="19">
        <v>5</v>
      </c>
      <c r="Y19" s="19">
        <v>0</v>
      </c>
      <c r="Z19" s="19">
        <v>0</v>
      </c>
      <c r="AA19" s="20">
        <v>7.5030012004801924E-4</v>
      </c>
      <c r="AB19" s="20">
        <v>0</v>
      </c>
      <c r="AC19" s="20">
        <v>0</v>
      </c>
      <c r="AE19" s="19">
        <v>0</v>
      </c>
      <c r="AF19" s="19">
        <v>0</v>
      </c>
      <c r="AG19" s="19">
        <v>0</v>
      </c>
      <c r="AH19" s="20">
        <v>0</v>
      </c>
      <c r="AI19" s="20">
        <v>0</v>
      </c>
      <c r="AJ19" s="20">
        <v>0</v>
      </c>
      <c r="AL19" s="19">
        <v>0</v>
      </c>
      <c r="AM19" s="19">
        <v>0</v>
      </c>
      <c r="AN19" s="19">
        <v>0</v>
      </c>
      <c r="AO19" s="20">
        <v>0</v>
      </c>
      <c r="AP19" s="20">
        <v>0</v>
      </c>
      <c r="AQ19" s="20">
        <v>0</v>
      </c>
    </row>
    <row r="20" spans="1:43" x14ac:dyDescent="0.25">
      <c r="A20" s="18" t="s">
        <v>40</v>
      </c>
      <c r="B20" s="19">
        <v>46</v>
      </c>
      <c r="C20" s="19">
        <v>38</v>
      </c>
      <c r="D20" s="19">
        <v>37</v>
      </c>
      <c r="E20" s="20">
        <v>3.0409202088979969E-3</v>
      </c>
      <c r="F20" s="20">
        <v>1.9130084575110754E-3</v>
      </c>
      <c r="G20" s="20">
        <v>1.5649452269170579E-3</v>
      </c>
      <c r="I20" s="19">
        <v>144</v>
      </c>
      <c r="J20" s="19">
        <v>150</v>
      </c>
      <c r="K20" s="19">
        <v>145</v>
      </c>
      <c r="L20" s="20">
        <v>1.812688821752266E-2</v>
      </c>
      <c r="M20" s="20">
        <v>1.8884552436107264E-2</v>
      </c>
      <c r="N20" s="20">
        <v>1.785494397241719E-2</v>
      </c>
      <c r="P20" s="19">
        <v>0</v>
      </c>
      <c r="Q20" s="19">
        <v>0</v>
      </c>
      <c r="R20" s="19">
        <v>0</v>
      </c>
      <c r="S20" s="20">
        <v>0</v>
      </c>
      <c r="T20" s="20">
        <v>0</v>
      </c>
      <c r="U20" s="20">
        <v>0</v>
      </c>
      <c r="X20" s="19">
        <v>0</v>
      </c>
      <c r="Y20" s="19">
        <v>0</v>
      </c>
      <c r="Z20" s="19">
        <v>0</v>
      </c>
      <c r="AA20" s="20">
        <v>0</v>
      </c>
      <c r="AB20" s="20">
        <v>0</v>
      </c>
      <c r="AC20" s="20">
        <v>0</v>
      </c>
      <c r="AE20" s="19">
        <v>0</v>
      </c>
      <c r="AF20" s="19">
        <v>0</v>
      </c>
      <c r="AG20" s="19">
        <v>0</v>
      </c>
      <c r="AH20" s="20">
        <v>0</v>
      </c>
      <c r="AI20" s="20">
        <v>0</v>
      </c>
      <c r="AJ20" s="20">
        <v>0</v>
      </c>
      <c r="AL20" s="19">
        <v>0</v>
      </c>
      <c r="AM20" s="19">
        <v>0</v>
      </c>
      <c r="AN20" s="19">
        <v>0</v>
      </c>
      <c r="AO20" s="20">
        <v>0</v>
      </c>
      <c r="AP20" s="20">
        <v>0</v>
      </c>
      <c r="AQ20" s="20">
        <v>0</v>
      </c>
    </row>
    <row r="21" spans="1:43" x14ac:dyDescent="0.25">
      <c r="A21" s="18" t="s">
        <v>41</v>
      </c>
      <c r="B21" s="19">
        <v>2</v>
      </c>
      <c r="C21" s="19">
        <v>0</v>
      </c>
      <c r="D21" s="19">
        <v>1</v>
      </c>
      <c r="E21" s="20">
        <v>2.0408163265306121E-2</v>
      </c>
      <c r="F21" s="20">
        <v>0</v>
      </c>
      <c r="G21" s="20">
        <v>1.282051282051282E-2</v>
      </c>
      <c r="I21" s="19">
        <v>61</v>
      </c>
      <c r="J21" s="19">
        <v>0</v>
      </c>
      <c r="K21" s="19">
        <v>119</v>
      </c>
      <c r="L21" s="20">
        <v>8.797231035477358E-3</v>
      </c>
      <c r="M21" s="20">
        <v>0</v>
      </c>
      <c r="N21" s="20">
        <v>1.6963649322879543E-2</v>
      </c>
      <c r="P21" s="19">
        <v>9</v>
      </c>
      <c r="Q21" s="19">
        <v>0</v>
      </c>
      <c r="R21" s="19">
        <v>0</v>
      </c>
      <c r="S21" s="20">
        <v>1.4705882352941176E-2</v>
      </c>
      <c r="T21" s="20">
        <v>0</v>
      </c>
      <c r="U21" s="20">
        <v>0</v>
      </c>
      <c r="X21" s="19">
        <v>0</v>
      </c>
      <c r="Y21" s="19">
        <v>0</v>
      </c>
      <c r="Z21" s="19">
        <v>0</v>
      </c>
      <c r="AA21" s="20">
        <v>0</v>
      </c>
      <c r="AB21" s="20">
        <v>0</v>
      </c>
      <c r="AC21" s="20">
        <v>0</v>
      </c>
      <c r="AE21" s="19">
        <v>0</v>
      </c>
      <c r="AF21" s="19">
        <v>0</v>
      </c>
      <c r="AG21" s="19">
        <v>0</v>
      </c>
      <c r="AH21" s="20">
        <v>0</v>
      </c>
      <c r="AI21" s="20">
        <v>0</v>
      </c>
      <c r="AJ21" s="20">
        <v>0</v>
      </c>
      <c r="AL21" s="19">
        <v>0</v>
      </c>
      <c r="AM21" s="19">
        <v>0</v>
      </c>
      <c r="AN21" s="19">
        <v>0</v>
      </c>
      <c r="AO21" s="20">
        <v>0</v>
      </c>
      <c r="AP21" s="20">
        <v>0</v>
      </c>
      <c r="AQ21" s="20">
        <v>0</v>
      </c>
    </row>
    <row r="22" spans="1:43" x14ac:dyDescent="0.25">
      <c r="A22" s="18" t="s">
        <v>43</v>
      </c>
      <c r="B22" s="19">
        <v>6549</v>
      </c>
      <c r="C22" s="19">
        <v>6493</v>
      </c>
      <c r="D22" s="19">
        <v>6040</v>
      </c>
      <c r="E22" s="20">
        <v>4.4204511168574497E-3</v>
      </c>
      <c r="F22" s="20">
        <v>4.3418572289281501E-3</v>
      </c>
      <c r="G22" s="20">
        <v>4.0098440343279826E-3</v>
      </c>
      <c r="I22" s="19">
        <v>3044</v>
      </c>
      <c r="J22" s="19">
        <v>3012</v>
      </c>
      <c r="K22" s="19">
        <v>2804</v>
      </c>
      <c r="L22" s="20">
        <v>2.0509088949077631E-2</v>
      </c>
      <c r="M22" s="20">
        <v>2.0327727235915017E-2</v>
      </c>
      <c r="N22" s="20">
        <v>1.9416131176600931E-2</v>
      </c>
      <c r="P22" s="19">
        <v>8</v>
      </c>
      <c r="Q22" s="19">
        <v>7</v>
      </c>
      <c r="R22" s="19">
        <v>13</v>
      </c>
      <c r="S22" s="20">
        <v>4.7846889952153111E-4</v>
      </c>
      <c r="T22" s="20">
        <v>4.0432045283890716E-4</v>
      </c>
      <c r="U22" s="20">
        <v>7.5066404896639339E-4</v>
      </c>
      <c r="X22" s="19">
        <v>10799</v>
      </c>
      <c r="Y22" s="19">
        <v>10023</v>
      </c>
      <c r="Z22" s="19">
        <v>9728</v>
      </c>
      <c r="AA22" s="20">
        <v>2.1990710100983361E-2</v>
      </c>
      <c r="AB22" s="20">
        <v>2.0081986920561647E-2</v>
      </c>
      <c r="AC22" s="20">
        <v>1.9258484978064965E-2</v>
      </c>
      <c r="AE22" s="19">
        <v>1989</v>
      </c>
      <c r="AF22" s="19">
        <v>2003</v>
      </c>
      <c r="AG22" s="19">
        <v>1986</v>
      </c>
      <c r="AH22" s="20">
        <v>6.1641925186723276E-2</v>
      </c>
      <c r="AI22" s="20">
        <v>5.9882208735687163E-2</v>
      </c>
      <c r="AJ22" s="20">
        <v>5.7966784390414756E-2</v>
      </c>
      <c r="AL22" s="19">
        <v>27</v>
      </c>
      <c r="AM22" s="19">
        <v>23</v>
      </c>
      <c r="AN22" s="19">
        <v>20</v>
      </c>
      <c r="AO22" s="20">
        <v>1.4121338912133892E-2</v>
      </c>
      <c r="AP22" s="20">
        <v>1.2742382271468145E-2</v>
      </c>
      <c r="AQ22" s="20">
        <v>1.0875475802066341E-2</v>
      </c>
    </row>
    <row r="23" spans="1:43" x14ac:dyDescent="0.25">
      <c r="A23" s="18" t="s">
        <v>126</v>
      </c>
      <c r="B23" s="19">
        <v>135</v>
      </c>
      <c r="C23" s="19">
        <v>141</v>
      </c>
      <c r="D23" s="19">
        <v>137</v>
      </c>
      <c r="E23" s="20">
        <v>2.9477269749770734E-3</v>
      </c>
      <c r="F23" s="20">
        <v>3.0287408171156076E-3</v>
      </c>
      <c r="G23" s="20">
        <v>2.9117959617428269E-3</v>
      </c>
      <c r="I23" s="19">
        <v>330</v>
      </c>
      <c r="J23" s="19">
        <v>303</v>
      </c>
      <c r="K23" s="19">
        <v>272</v>
      </c>
      <c r="L23" s="20">
        <v>2.8455635078037424E-2</v>
      </c>
      <c r="M23" s="20">
        <v>2.7356446370530876E-2</v>
      </c>
      <c r="N23" s="20">
        <v>2.559759081498212E-2</v>
      </c>
      <c r="P23" s="19">
        <v>0</v>
      </c>
      <c r="Q23" s="19">
        <v>1</v>
      </c>
      <c r="R23" s="19">
        <v>0</v>
      </c>
      <c r="S23" s="20">
        <v>0</v>
      </c>
      <c r="T23" s="20">
        <v>6.5789473684210523E-3</v>
      </c>
      <c r="U23" s="20">
        <v>0</v>
      </c>
      <c r="X23" s="19">
        <v>0</v>
      </c>
      <c r="Y23" s="19">
        <v>0</v>
      </c>
      <c r="Z23" s="19">
        <v>0</v>
      </c>
      <c r="AA23" s="20">
        <v>0</v>
      </c>
      <c r="AB23" s="20">
        <v>0</v>
      </c>
      <c r="AC23" s="20">
        <v>0</v>
      </c>
      <c r="AE23" s="19">
        <v>0</v>
      </c>
      <c r="AF23" s="19">
        <v>0</v>
      </c>
      <c r="AG23" s="19">
        <v>0</v>
      </c>
      <c r="AH23" s="20">
        <v>0</v>
      </c>
      <c r="AI23" s="20">
        <v>0</v>
      </c>
      <c r="AJ23" s="20">
        <v>0</v>
      </c>
      <c r="AL23" s="19">
        <v>0</v>
      </c>
      <c r="AM23" s="19">
        <v>0</v>
      </c>
      <c r="AN23" s="19">
        <v>0</v>
      </c>
      <c r="AO23" s="20">
        <v>0</v>
      </c>
      <c r="AP23" s="20">
        <v>0</v>
      </c>
      <c r="AQ23" s="20">
        <v>0</v>
      </c>
    </row>
    <row r="24" spans="1:43" x14ac:dyDescent="0.25">
      <c r="A24" s="18" t="s">
        <v>47</v>
      </c>
      <c r="B24" s="19">
        <v>0</v>
      </c>
      <c r="C24" s="19">
        <v>0</v>
      </c>
      <c r="D24" s="19">
        <v>4</v>
      </c>
      <c r="E24" s="20">
        <v>0</v>
      </c>
      <c r="F24" s="20">
        <v>0</v>
      </c>
      <c r="G24" s="20">
        <v>4.8192771084337352E-2</v>
      </c>
      <c r="I24" s="19">
        <v>0</v>
      </c>
      <c r="J24" s="19">
        <v>0</v>
      </c>
      <c r="K24" s="19">
        <v>0</v>
      </c>
      <c r="L24" s="20">
        <v>0</v>
      </c>
      <c r="M24" s="20">
        <v>0</v>
      </c>
      <c r="N24" s="20">
        <v>0</v>
      </c>
      <c r="P24" s="19">
        <v>0</v>
      </c>
      <c r="Q24" s="19">
        <v>0</v>
      </c>
      <c r="R24" s="19">
        <v>0</v>
      </c>
      <c r="S24" s="20">
        <v>0</v>
      </c>
      <c r="T24" s="20">
        <v>0</v>
      </c>
      <c r="U24" s="20">
        <v>0</v>
      </c>
      <c r="X24" s="19">
        <v>0</v>
      </c>
      <c r="Y24" s="19">
        <v>0</v>
      </c>
      <c r="Z24" s="19">
        <v>0</v>
      </c>
      <c r="AA24" s="20">
        <v>0</v>
      </c>
      <c r="AB24" s="20">
        <v>0</v>
      </c>
      <c r="AC24" s="20">
        <v>0</v>
      </c>
      <c r="AE24" s="19">
        <v>0</v>
      </c>
      <c r="AF24" s="19">
        <v>0</v>
      </c>
      <c r="AG24" s="19">
        <v>0</v>
      </c>
      <c r="AH24" s="20">
        <v>0</v>
      </c>
      <c r="AI24" s="20">
        <v>0</v>
      </c>
      <c r="AJ24" s="20">
        <v>0</v>
      </c>
      <c r="AL24" s="19">
        <v>0</v>
      </c>
      <c r="AM24" s="19">
        <v>0</v>
      </c>
      <c r="AN24" s="19">
        <v>0</v>
      </c>
      <c r="AO24" s="20">
        <v>0</v>
      </c>
      <c r="AP24" s="20">
        <v>0</v>
      </c>
      <c r="AQ24" s="20">
        <v>0</v>
      </c>
    </row>
    <row r="25" spans="1:43" x14ac:dyDescent="0.25">
      <c r="A25" s="18" t="s">
        <v>48</v>
      </c>
      <c r="B25" s="19">
        <v>156</v>
      </c>
      <c r="C25" s="19">
        <v>89</v>
      </c>
      <c r="D25" s="19">
        <v>669</v>
      </c>
      <c r="E25" s="20">
        <v>4.1751418477679048E-3</v>
      </c>
      <c r="F25" s="20">
        <v>2.2275616959503428E-3</v>
      </c>
      <c r="G25" s="20">
        <v>1.6207180580454478E-2</v>
      </c>
      <c r="I25" s="19">
        <v>64</v>
      </c>
      <c r="J25" s="19">
        <v>52</v>
      </c>
      <c r="K25" s="19">
        <v>108</v>
      </c>
      <c r="L25" s="20">
        <v>2.6902059688944935E-2</v>
      </c>
      <c r="M25" s="20">
        <v>2.2827041264266899E-2</v>
      </c>
      <c r="N25" s="20">
        <v>5.0443717888836989E-2</v>
      </c>
      <c r="P25" s="19">
        <v>0</v>
      </c>
      <c r="Q25" s="19">
        <v>0</v>
      </c>
      <c r="R25" s="19">
        <v>0</v>
      </c>
      <c r="S25" s="20">
        <v>0</v>
      </c>
      <c r="T25" s="20">
        <v>0</v>
      </c>
      <c r="U25" s="20">
        <v>0</v>
      </c>
      <c r="X25" s="19">
        <v>0</v>
      </c>
      <c r="Y25" s="19">
        <v>0</v>
      </c>
      <c r="Z25" s="19">
        <v>0</v>
      </c>
      <c r="AA25" s="20">
        <v>0</v>
      </c>
      <c r="AB25" s="20">
        <v>0</v>
      </c>
      <c r="AC25" s="20">
        <v>0</v>
      </c>
      <c r="AE25" s="19">
        <v>0</v>
      </c>
      <c r="AF25" s="19">
        <v>0</v>
      </c>
      <c r="AG25" s="19">
        <v>0</v>
      </c>
      <c r="AH25" s="20">
        <v>0</v>
      </c>
      <c r="AI25" s="20">
        <v>0</v>
      </c>
      <c r="AJ25" s="20">
        <v>0</v>
      </c>
      <c r="AL25" s="19">
        <v>0</v>
      </c>
      <c r="AM25" s="19">
        <v>0</v>
      </c>
      <c r="AN25" s="19">
        <v>0</v>
      </c>
      <c r="AO25" s="20">
        <v>0</v>
      </c>
      <c r="AP25" s="20">
        <v>0</v>
      </c>
      <c r="AQ25" s="20">
        <v>0</v>
      </c>
    </row>
    <row r="26" spans="1:43" x14ac:dyDescent="0.25">
      <c r="A26" s="18" t="s">
        <v>49</v>
      </c>
      <c r="B26" s="19">
        <v>2</v>
      </c>
      <c r="C26" s="19">
        <v>1</v>
      </c>
      <c r="D26" s="19">
        <v>2</v>
      </c>
      <c r="E26" s="20">
        <v>3.5938903863432165E-4</v>
      </c>
      <c r="F26" s="20">
        <v>1.884303749764462E-4</v>
      </c>
      <c r="G26" s="20">
        <v>3.8842493688094777E-4</v>
      </c>
      <c r="I26" s="19">
        <v>6</v>
      </c>
      <c r="J26" s="19">
        <v>14</v>
      </c>
      <c r="K26" s="19">
        <v>15</v>
      </c>
      <c r="L26" s="20">
        <v>1.146131805157593E-3</v>
      </c>
      <c r="M26" s="20">
        <v>2.7242654212881884E-3</v>
      </c>
      <c r="N26" s="20">
        <v>2.9194239003503307E-3</v>
      </c>
      <c r="P26" s="19">
        <v>0</v>
      </c>
      <c r="Q26" s="19">
        <v>0</v>
      </c>
      <c r="R26" s="19">
        <v>0</v>
      </c>
      <c r="S26" s="20">
        <v>0</v>
      </c>
      <c r="T26" s="20">
        <v>0</v>
      </c>
      <c r="U26" s="20">
        <v>0</v>
      </c>
      <c r="X26" s="19">
        <v>0</v>
      </c>
      <c r="Y26" s="19">
        <v>0</v>
      </c>
      <c r="Z26" s="19">
        <v>0</v>
      </c>
      <c r="AA26" s="20">
        <v>0</v>
      </c>
      <c r="AB26" s="20">
        <v>0</v>
      </c>
      <c r="AC26" s="20">
        <v>0</v>
      </c>
      <c r="AE26" s="19">
        <v>0</v>
      </c>
      <c r="AF26" s="19">
        <v>0</v>
      </c>
      <c r="AG26" s="19">
        <v>0</v>
      </c>
      <c r="AH26" s="20">
        <v>0</v>
      </c>
      <c r="AI26" s="20">
        <v>0</v>
      </c>
      <c r="AJ26" s="20">
        <v>0</v>
      </c>
      <c r="AL26" s="19">
        <v>0</v>
      </c>
      <c r="AM26" s="19">
        <v>0</v>
      </c>
      <c r="AN26" s="19">
        <v>0</v>
      </c>
      <c r="AO26" s="20">
        <v>0</v>
      </c>
      <c r="AP26" s="20">
        <v>0</v>
      </c>
      <c r="AQ26" s="20">
        <v>0</v>
      </c>
    </row>
    <row r="27" spans="1:43" x14ac:dyDescent="0.25">
      <c r="A27" s="18" t="s">
        <v>50</v>
      </c>
      <c r="B27" s="19">
        <v>44</v>
      </c>
      <c r="C27" s="19">
        <v>0</v>
      </c>
      <c r="D27" s="19">
        <v>0</v>
      </c>
      <c r="E27" s="20">
        <v>7.9422382671480149E-2</v>
      </c>
      <c r="F27" s="20">
        <v>0</v>
      </c>
      <c r="G27" s="20">
        <v>0</v>
      </c>
      <c r="I27" s="19">
        <v>0</v>
      </c>
      <c r="J27" s="19">
        <v>0</v>
      </c>
      <c r="K27" s="19">
        <v>0</v>
      </c>
      <c r="L27" s="20">
        <v>0</v>
      </c>
      <c r="M27" s="20">
        <v>0</v>
      </c>
      <c r="N27" s="20">
        <v>0</v>
      </c>
      <c r="P27" s="19">
        <v>0</v>
      </c>
      <c r="Q27" s="19">
        <v>0</v>
      </c>
      <c r="R27" s="19">
        <v>0</v>
      </c>
      <c r="S27" s="20">
        <v>0</v>
      </c>
      <c r="T27" s="20">
        <v>0</v>
      </c>
      <c r="U27" s="20">
        <v>0</v>
      </c>
      <c r="X27" s="19">
        <v>24</v>
      </c>
      <c r="Y27" s="19">
        <v>0</v>
      </c>
      <c r="Z27" s="19">
        <v>0</v>
      </c>
      <c r="AA27" s="20">
        <v>0.11428571428571428</v>
      </c>
      <c r="AB27" s="20">
        <v>0</v>
      </c>
      <c r="AC27" s="20">
        <v>0</v>
      </c>
      <c r="AE27" s="19">
        <v>0</v>
      </c>
      <c r="AF27" s="19">
        <v>0</v>
      </c>
      <c r="AG27" s="19">
        <v>0</v>
      </c>
      <c r="AH27" s="20">
        <v>0</v>
      </c>
      <c r="AI27" s="20">
        <v>0</v>
      </c>
      <c r="AJ27" s="20">
        <v>0</v>
      </c>
      <c r="AL27" s="19">
        <v>0</v>
      </c>
      <c r="AM27" s="19">
        <v>0</v>
      </c>
      <c r="AN27" s="19">
        <v>0</v>
      </c>
      <c r="AO27" s="20">
        <v>0</v>
      </c>
      <c r="AP27" s="20">
        <v>0</v>
      </c>
      <c r="AQ27" s="20">
        <v>0</v>
      </c>
    </row>
    <row r="28" spans="1:43" x14ac:dyDescent="0.25">
      <c r="A28" s="18" t="s">
        <v>54</v>
      </c>
      <c r="B28" s="19">
        <v>104</v>
      </c>
      <c r="C28" s="19">
        <v>31</v>
      </c>
      <c r="D28" s="19">
        <v>34</v>
      </c>
      <c r="E28" s="20">
        <v>4.4049131723845829E-2</v>
      </c>
      <c r="F28" s="20">
        <v>1.2109375E-2</v>
      </c>
      <c r="G28" s="20">
        <v>1.1728182131769576E-2</v>
      </c>
      <c r="I28" s="19">
        <v>8</v>
      </c>
      <c r="J28" s="19">
        <v>4</v>
      </c>
      <c r="K28" s="19">
        <v>15</v>
      </c>
      <c r="L28" s="20">
        <v>4.7337278106508875E-2</v>
      </c>
      <c r="M28" s="20">
        <v>2.247191011235955E-2</v>
      </c>
      <c r="N28" s="20">
        <v>8.1967213114754092E-2</v>
      </c>
      <c r="P28" s="19">
        <v>0</v>
      </c>
      <c r="Q28" s="19">
        <v>0</v>
      </c>
      <c r="R28" s="19">
        <v>0</v>
      </c>
      <c r="S28" s="20">
        <v>0</v>
      </c>
      <c r="T28" s="20">
        <v>0</v>
      </c>
      <c r="U28" s="20">
        <v>0</v>
      </c>
      <c r="X28" s="19">
        <v>39</v>
      </c>
      <c r="Y28" s="19">
        <v>9</v>
      </c>
      <c r="Z28" s="19">
        <v>12</v>
      </c>
      <c r="AA28" s="20">
        <v>3.8537549407114624E-2</v>
      </c>
      <c r="AB28" s="20">
        <v>8.8845014807502464E-3</v>
      </c>
      <c r="AC28" s="20">
        <v>2</v>
      </c>
      <c r="AE28" s="19">
        <v>0</v>
      </c>
      <c r="AF28" s="19">
        <v>0</v>
      </c>
      <c r="AG28" s="19">
        <v>0</v>
      </c>
      <c r="AH28" s="20">
        <v>0</v>
      </c>
      <c r="AI28" s="20">
        <v>0</v>
      </c>
      <c r="AJ28" s="20">
        <v>0</v>
      </c>
      <c r="AL28" s="19">
        <v>0</v>
      </c>
      <c r="AM28" s="19">
        <v>0</v>
      </c>
      <c r="AN28" s="19">
        <v>0</v>
      </c>
      <c r="AO28" s="20">
        <v>0</v>
      </c>
      <c r="AP28" s="20">
        <v>0</v>
      </c>
      <c r="AQ28" s="20">
        <v>0</v>
      </c>
    </row>
    <row r="29" spans="1:43" x14ac:dyDescent="0.25">
      <c r="A29" s="18" t="s">
        <v>55</v>
      </c>
      <c r="B29" s="19">
        <v>148</v>
      </c>
      <c r="C29" s="19">
        <v>340</v>
      </c>
      <c r="D29" s="19">
        <v>451</v>
      </c>
      <c r="E29" s="20">
        <v>1.1849479583666933E-3</v>
      </c>
      <c r="F29" s="20">
        <v>2.6368240230179225E-3</v>
      </c>
      <c r="G29" s="20">
        <v>3.4827061630771368E-3</v>
      </c>
      <c r="I29" s="19">
        <v>65</v>
      </c>
      <c r="J29" s="19">
        <v>96</v>
      </c>
      <c r="K29" s="19">
        <v>105</v>
      </c>
      <c r="L29" s="20">
        <v>1.0505899466623565E-2</v>
      </c>
      <c r="M29" s="20">
        <v>1.5357542793153095E-2</v>
      </c>
      <c r="N29" s="20">
        <v>1.6406250000000001E-2</v>
      </c>
      <c r="P29" s="19">
        <v>1</v>
      </c>
      <c r="Q29" s="19">
        <v>1</v>
      </c>
      <c r="R29" s="19">
        <v>0</v>
      </c>
      <c r="S29" s="20">
        <v>2.6525198938992041E-3</v>
      </c>
      <c r="T29" s="20">
        <v>3.0211480362537764E-3</v>
      </c>
      <c r="U29" s="20">
        <v>0</v>
      </c>
      <c r="X29" s="19">
        <v>80</v>
      </c>
      <c r="Y29" s="19">
        <v>165</v>
      </c>
      <c r="Z29" s="19">
        <v>170</v>
      </c>
      <c r="AA29" s="20">
        <v>1.7148981779206859E-3</v>
      </c>
      <c r="AB29" s="20">
        <v>3.341569119850946E-3</v>
      </c>
      <c r="AC29" s="20">
        <v>3.289728307144516E-3</v>
      </c>
      <c r="AE29" s="19">
        <v>1</v>
      </c>
      <c r="AF29" s="19">
        <v>3</v>
      </c>
      <c r="AG29" s="19">
        <v>3</v>
      </c>
      <c r="AH29" s="20">
        <v>3.5587188612099642E-3</v>
      </c>
      <c r="AI29" s="20">
        <v>1.0638297872340425E-2</v>
      </c>
      <c r="AJ29" s="20">
        <v>9.4936708860759497E-3</v>
      </c>
      <c r="AL29" s="19">
        <v>0</v>
      </c>
      <c r="AM29" s="19">
        <v>0</v>
      </c>
      <c r="AN29" s="19">
        <v>0</v>
      </c>
      <c r="AO29" s="20">
        <v>0</v>
      </c>
      <c r="AP29" s="20">
        <v>0</v>
      </c>
      <c r="AQ29" s="20">
        <v>0</v>
      </c>
    </row>
    <row r="30" spans="1:43" x14ac:dyDescent="0.25">
      <c r="A30" s="18" t="s">
        <v>56</v>
      </c>
      <c r="B30" s="19">
        <v>1</v>
      </c>
      <c r="C30" s="19">
        <v>33</v>
      </c>
      <c r="D30" s="19">
        <v>34</v>
      </c>
      <c r="E30" s="20">
        <v>1.9000570017100514E-4</v>
      </c>
      <c r="F30" s="20">
        <v>6.799917576756645E-3</v>
      </c>
      <c r="G30" s="20">
        <v>6.2811749491963791E-3</v>
      </c>
      <c r="I30" s="19">
        <v>0</v>
      </c>
      <c r="J30" s="19">
        <v>0</v>
      </c>
      <c r="K30" s="19">
        <v>10</v>
      </c>
      <c r="L30" s="20">
        <v>0</v>
      </c>
      <c r="M30" s="20">
        <v>0</v>
      </c>
      <c r="N30" s="20">
        <v>0.15384615384615385</v>
      </c>
      <c r="P30" s="19">
        <v>0</v>
      </c>
      <c r="Q30" s="19">
        <v>0</v>
      </c>
      <c r="R30" s="19">
        <v>0</v>
      </c>
      <c r="S30" s="20">
        <v>0</v>
      </c>
      <c r="T30" s="20">
        <v>0</v>
      </c>
      <c r="U30" s="20">
        <v>0</v>
      </c>
      <c r="X30" s="19">
        <v>0</v>
      </c>
      <c r="Y30" s="19">
        <v>0</v>
      </c>
      <c r="Z30" s="19">
        <v>0</v>
      </c>
      <c r="AA30" s="20">
        <v>0</v>
      </c>
      <c r="AB30" s="20">
        <v>0</v>
      </c>
      <c r="AC30" s="20">
        <v>0</v>
      </c>
      <c r="AE30" s="19">
        <v>0</v>
      </c>
      <c r="AF30" s="19">
        <v>0</v>
      </c>
      <c r="AG30" s="19">
        <v>0</v>
      </c>
      <c r="AH30" s="20">
        <v>0</v>
      </c>
      <c r="AI30" s="20">
        <v>0</v>
      </c>
      <c r="AJ30" s="20">
        <v>0</v>
      </c>
      <c r="AL30" s="19">
        <v>0</v>
      </c>
      <c r="AM30" s="19">
        <v>0</v>
      </c>
      <c r="AN30" s="19">
        <v>0</v>
      </c>
      <c r="AO30" s="20">
        <v>0</v>
      </c>
      <c r="AP30" s="20">
        <v>0</v>
      </c>
      <c r="AQ30" s="20">
        <v>0</v>
      </c>
    </row>
    <row r="31" spans="1:43" x14ac:dyDescent="0.25">
      <c r="A31" s="18" t="s">
        <v>58</v>
      </c>
      <c r="B31" s="19">
        <v>0</v>
      </c>
      <c r="C31" s="19">
        <v>0</v>
      </c>
      <c r="D31" s="19">
        <v>1</v>
      </c>
      <c r="E31" s="20">
        <v>0</v>
      </c>
      <c r="F31" s="20">
        <v>0</v>
      </c>
      <c r="G31" s="20">
        <v>0.14285714285714285</v>
      </c>
      <c r="I31" s="19">
        <v>0</v>
      </c>
      <c r="J31" s="19">
        <v>0</v>
      </c>
      <c r="K31" s="19">
        <v>0</v>
      </c>
      <c r="L31" s="20">
        <v>0</v>
      </c>
      <c r="M31" s="20">
        <v>0</v>
      </c>
      <c r="N31" s="20">
        <v>0</v>
      </c>
      <c r="P31" s="19">
        <v>0</v>
      </c>
      <c r="Q31" s="19">
        <v>0</v>
      </c>
      <c r="R31" s="19">
        <v>2</v>
      </c>
      <c r="S31" s="20">
        <v>0</v>
      </c>
      <c r="T31" s="20">
        <v>0</v>
      </c>
      <c r="U31" s="20">
        <v>1.6129032258064516E-2</v>
      </c>
      <c r="X31" s="19">
        <v>0</v>
      </c>
      <c r="Y31" s="19">
        <v>0</v>
      </c>
      <c r="Z31" s="19">
        <v>0</v>
      </c>
      <c r="AA31" s="20">
        <v>0</v>
      </c>
      <c r="AB31" s="20">
        <v>0</v>
      </c>
      <c r="AC31" s="20">
        <v>0</v>
      </c>
      <c r="AE31" s="19">
        <v>0</v>
      </c>
      <c r="AF31" s="19">
        <v>0</v>
      </c>
      <c r="AG31" s="19">
        <v>0</v>
      </c>
      <c r="AH31" s="20">
        <v>0</v>
      </c>
      <c r="AI31" s="20">
        <v>0</v>
      </c>
      <c r="AJ31" s="20">
        <v>0</v>
      </c>
      <c r="AL31" s="19">
        <v>0</v>
      </c>
      <c r="AM31" s="19">
        <v>0</v>
      </c>
      <c r="AN31" s="19">
        <v>0</v>
      </c>
      <c r="AO31" s="20">
        <v>0</v>
      </c>
      <c r="AP31" s="20">
        <v>0</v>
      </c>
      <c r="AQ31" s="20">
        <v>0</v>
      </c>
    </row>
    <row r="32" spans="1:43" s="43" customFormat="1" x14ac:dyDescent="0.25">
      <c r="A32" s="1" t="s">
        <v>62</v>
      </c>
      <c r="B32" s="21">
        <v>13896</v>
      </c>
      <c r="C32" s="21">
        <v>12852</v>
      </c>
      <c r="D32" s="21">
        <v>13326</v>
      </c>
      <c r="E32" s="22">
        <v>2.8793101590582652E-3</v>
      </c>
      <c r="F32" s="22">
        <v>2.6557466683831622E-3</v>
      </c>
      <c r="G32" s="22">
        <v>2.7055176236272941E-3</v>
      </c>
      <c r="I32" s="21">
        <v>7848</v>
      </c>
      <c r="J32" s="21">
        <v>7278</v>
      </c>
      <c r="K32" s="21">
        <v>7203</v>
      </c>
      <c r="L32" s="22">
        <v>1.8661188152713577E-2</v>
      </c>
      <c r="M32" s="22">
        <v>1.7386858802843821E-2</v>
      </c>
      <c r="N32" s="22">
        <v>1.7025994010291708E-2</v>
      </c>
      <c r="P32" s="21">
        <v>38</v>
      </c>
      <c r="Q32" s="21">
        <v>27</v>
      </c>
      <c r="R32" s="21">
        <v>21</v>
      </c>
      <c r="S32" s="22">
        <v>6.4469063332371949E-4</v>
      </c>
      <c r="T32" s="22">
        <v>4.6031881340039211E-4</v>
      </c>
      <c r="U32" s="22">
        <v>4.0164483121354119E-4</v>
      </c>
      <c r="X32" s="21">
        <v>23672</v>
      </c>
      <c r="Y32" s="21">
        <v>23122</v>
      </c>
      <c r="Z32" s="21">
        <v>21555</v>
      </c>
      <c r="AA32" s="22">
        <v>1.2985915832920986E-2</v>
      </c>
      <c r="AB32" s="22">
        <v>1.2657583409927351E-2</v>
      </c>
      <c r="AC32" s="22">
        <v>1.1597763415311307E-2</v>
      </c>
      <c r="AE32" s="21">
        <v>3201</v>
      </c>
      <c r="AF32" s="21">
        <v>3179</v>
      </c>
      <c r="AG32" s="21">
        <v>3064</v>
      </c>
      <c r="AH32" s="22">
        <v>5.4077340226040244E-2</v>
      </c>
      <c r="AI32" s="22">
        <v>5.3639523504201397E-2</v>
      </c>
      <c r="AJ32" s="22">
        <v>4.9503190887793848E-2</v>
      </c>
      <c r="AL32" s="21">
        <v>34</v>
      </c>
      <c r="AM32" s="21">
        <v>28</v>
      </c>
      <c r="AN32" s="21">
        <v>26</v>
      </c>
      <c r="AO32" s="22">
        <v>8.1907973982172973E-3</v>
      </c>
      <c r="AP32" s="22">
        <v>6.8010687393733303E-3</v>
      </c>
      <c r="AQ32" s="22">
        <v>6.1335220570889358E-3</v>
      </c>
    </row>
    <row r="33" spans="1:43" x14ac:dyDescent="0.25">
      <c r="A33" s="23"/>
      <c r="B33" s="19"/>
      <c r="C33" s="19"/>
      <c r="D33" s="19"/>
      <c r="E33" s="19"/>
      <c r="F33" s="19"/>
      <c r="G33" s="19"/>
      <c r="I33" s="19"/>
      <c r="J33" s="19"/>
      <c r="K33" s="19"/>
      <c r="L33" s="19"/>
      <c r="M33" s="19"/>
      <c r="N33" s="19"/>
      <c r="P33" s="19"/>
      <c r="Q33" s="19"/>
      <c r="R33" s="19"/>
      <c r="S33" s="19"/>
      <c r="T33" s="19"/>
      <c r="U33" s="19"/>
      <c r="X33" s="19"/>
      <c r="Y33" s="19"/>
      <c r="Z33" s="19"/>
      <c r="AA33" s="19"/>
      <c r="AB33" s="19"/>
      <c r="AC33" s="19"/>
      <c r="AE33" s="19"/>
      <c r="AF33" s="19"/>
      <c r="AG33" s="19"/>
      <c r="AH33" s="19"/>
      <c r="AI33" s="19"/>
      <c r="AJ33" s="19"/>
      <c r="AL33" s="19"/>
      <c r="AM33" s="19"/>
      <c r="AN33" s="19"/>
      <c r="AO33" s="19"/>
      <c r="AP33" s="19"/>
      <c r="AQ33" s="19"/>
    </row>
    <row r="34" spans="1:43" x14ac:dyDescent="0.25">
      <c r="A34" s="1" t="s">
        <v>63</v>
      </c>
      <c r="B34" s="19"/>
      <c r="C34" s="19"/>
      <c r="D34" s="19"/>
      <c r="E34" s="19"/>
      <c r="F34" s="19"/>
      <c r="G34" s="19"/>
      <c r="I34" s="19"/>
      <c r="J34" s="19"/>
      <c r="K34" s="19"/>
      <c r="L34" s="19"/>
      <c r="M34" s="19"/>
      <c r="N34" s="19"/>
      <c r="P34" s="19"/>
      <c r="Q34" s="19"/>
      <c r="R34" s="19"/>
      <c r="S34" s="19"/>
      <c r="T34" s="19"/>
      <c r="U34" s="19"/>
      <c r="X34" s="19"/>
      <c r="Y34" s="19"/>
      <c r="Z34" s="19"/>
      <c r="AA34" s="19"/>
      <c r="AB34" s="19"/>
      <c r="AC34" s="19"/>
      <c r="AE34" s="19"/>
      <c r="AF34" s="19"/>
      <c r="AG34" s="19"/>
      <c r="AH34" s="19"/>
      <c r="AI34" s="19"/>
      <c r="AJ34" s="19"/>
      <c r="AL34" s="19"/>
      <c r="AM34" s="19"/>
      <c r="AN34" s="19"/>
      <c r="AO34" s="19"/>
      <c r="AP34" s="19"/>
      <c r="AQ34" s="19"/>
    </row>
    <row r="35" spans="1:43" x14ac:dyDescent="0.25">
      <c r="A35" s="24" t="s">
        <v>64</v>
      </c>
      <c r="B35" s="25" t="s">
        <v>12</v>
      </c>
      <c r="C35" s="25" t="s">
        <v>164</v>
      </c>
      <c r="D35" s="25" t="s">
        <v>195</v>
      </c>
      <c r="E35" s="25" t="s">
        <v>12</v>
      </c>
      <c r="F35" s="25" t="s">
        <v>164</v>
      </c>
      <c r="G35" s="25" t="s">
        <v>195</v>
      </c>
      <c r="I35" s="25" t="s">
        <v>12</v>
      </c>
      <c r="J35" s="25" t="s">
        <v>164</v>
      </c>
      <c r="K35" s="25" t="s">
        <v>195</v>
      </c>
      <c r="L35" s="25" t="s">
        <v>12</v>
      </c>
      <c r="M35" s="25" t="s">
        <v>164</v>
      </c>
      <c r="N35" s="25" t="s">
        <v>195</v>
      </c>
      <c r="P35" s="25" t="s">
        <v>12</v>
      </c>
      <c r="Q35" s="25" t="s">
        <v>164</v>
      </c>
      <c r="R35" s="25" t="s">
        <v>195</v>
      </c>
      <c r="S35" s="25" t="s">
        <v>12</v>
      </c>
      <c r="T35" s="25" t="s">
        <v>164</v>
      </c>
      <c r="U35" s="25" t="s">
        <v>195</v>
      </c>
      <c r="X35" s="25" t="s">
        <v>12</v>
      </c>
      <c r="Y35" s="25" t="s">
        <v>164</v>
      </c>
      <c r="Z35" s="25" t="s">
        <v>195</v>
      </c>
      <c r="AA35" s="25" t="s">
        <v>12</v>
      </c>
      <c r="AB35" s="25" t="s">
        <v>164</v>
      </c>
      <c r="AC35" s="25" t="s">
        <v>195</v>
      </c>
      <c r="AE35" s="25" t="s">
        <v>12</v>
      </c>
      <c r="AF35" s="25" t="s">
        <v>164</v>
      </c>
      <c r="AG35" s="25" t="s">
        <v>195</v>
      </c>
      <c r="AH35" s="25" t="s">
        <v>12</v>
      </c>
      <c r="AI35" s="25" t="s">
        <v>164</v>
      </c>
      <c r="AJ35" s="25" t="s">
        <v>195</v>
      </c>
      <c r="AL35" s="25" t="s">
        <v>12</v>
      </c>
      <c r="AM35" s="25" t="s">
        <v>164</v>
      </c>
      <c r="AN35" s="25" t="s">
        <v>195</v>
      </c>
      <c r="AO35" s="25" t="s">
        <v>12</v>
      </c>
      <c r="AP35" s="25" t="s">
        <v>164</v>
      </c>
      <c r="AQ35" s="25" t="s">
        <v>195</v>
      </c>
    </row>
    <row r="36" spans="1:43" x14ac:dyDescent="0.25">
      <c r="A36" s="18" t="s">
        <v>18</v>
      </c>
      <c r="B36" s="19">
        <v>0</v>
      </c>
      <c r="C36" s="19">
        <v>0</v>
      </c>
      <c r="D36" s="19">
        <v>0</v>
      </c>
      <c r="E36" s="20">
        <v>0</v>
      </c>
      <c r="F36" s="20">
        <v>0</v>
      </c>
      <c r="G36" s="20">
        <v>0</v>
      </c>
      <c r="I36" s="19">
        <v>0</v>
      </c>
      <c r="J36" s="19">
        <v>0</v>
      </c>
      <c r="K36" s="19">
        <v>0</v>
      </c>
      <c r="L36" s="20">
        <v>0</v>
      </c>
      <c r="M36" s="20">
        <v>0</v>
      </c>
      <c r="N36" s="20">
        <v>0</v>
      </c>
      <c r="P36" s="19">
        <v>0</v>
      </c>
      <c r="Q36" s="19">
        <v>0</v>
      </c>
      <c r="R36" s="19">
        <v>0</v>
      </c>
      <c r="S36" s="20">
        <v>0</v>
      </c>
      <c r="T36" s="20">
        <v>0</v>
      </c>
      <c r="U36" s="20">
        <v>0</v>
      </c>
      <c r="X36" s="19">
        <v>366</v>
      </c>
      <c r="Y36" s="19">
        <v>323</v>
      </c>
      <c r="Z36" s="19">
        <v>302</v>
      </c>
      <c r="AA36" s="20">
        <v>9.7905465050958998E-3</v>
      </c>
      <c r="AB36" s="20">
        <v>7.674214165221317E-3</v>
      </c>
      <c r="AC36" s="20">
        <v>6.4974182444061963E-3</v>
      </c>
      <c r="AE36" s="19">
        <v>4</v>
      </c>
      <c r="AF36" s="19">
        <v>2</v>
      </c>
      <c r="AG36" s="19">
        <v>0</v>
      </c>
      <c r="AH36" s="20">
        <v>1.2944983818770227E-2</v>
      </c>
      <c r="AI36" s="20">
        <v>5.6338028169014088E-3</v>
      </c>
      <c r="AJ36" s="20">
        <v>0</v>
      </c>
      <c r="AL36" s="19">
        <v>0</v>
      </c>
      <c r="AM36" s="19">
        <v>0</v>
      </c>
      <c r="AN36" s="19">
        <v>0</v>
      </c>
      <c r="AO36" s="20">
        <v>0</v>
      </c>
      <c r="AP36" s="20">
        <v>0</v>
      </c>
      <c r="AQ36" s="20">
        <v>0</v>
      </c>
    </row>
    <row r="37" spans="1:43" x14ac:dyDescent="0.25">
      <c r="A37" s="18" t="s">
        <v>29</v>
      </c>
      <c r="B37" s="19">
        <v>1</v>
      </c>
      <c r="C37" s="19">
        <v>1</v>
      </c>
      <c r="D37" s="19">
        <v>0</v>
      </c>
      <c r="E37" s="20">
        <v>3.8910505836575876E-3</v>
      </c>
      <c r="F37" s="20">
        <v>3.3670033670033669E-3</v>
      </c>
      <c r="G37" s="20">
        <v>0</v>
      </c>
      <c r="I37" s="19">
        <v>0</v>
      </c>
      <c r="J37" s="19">
        <v>0</v>
      </c>
      <c r="K37" s="19">
        <v>0</v>
      </c>
      <c r="L37" s="20">
        <v>0</v>
      </c>
      <c r="M37" s="20">
        <v>0</v>
      </c>
      <c r="N37" s="20">
        <v>0</v>
      </c>
      <c r="P37" s="19">
        <v>0</v>
      </c>
      <c r="Q37" s="19">
        <v>0</v>
      </c>
      <c r="R37" s="19">
        <v>0</v>
      </c>
      <c r="S37" s="20">
        <v>0</v>
      </c>
      <c r="T37" s="20">
        <v>0</v>
      </c>
      <c r="U37" s="20">
        <v>0</v>
      </c>
      <c r="X37" s="19">
        <v>0</v>
      </c>
      <c r="Y37" s="19">
        <v>0</v>
      </c>
      <c r="Z37" s="19">
        <v>0</v>
      </c>
      <c r="AA37" s="20">
        <v>0</v>
      </c>
      <c r="AB37" s="20">
        <v>0</v>
      </c>
      <c r="AC37" s="20">
        <v>0</v>
      </c>
      <c r="AE37" s="19">
        <v>0</v>
      </c>
      <c r="AF37" s="19">
        <v>0</v>
      </c>
      <c r="AG37" s="19">
        <v>0</v>
      </c>
      <c r="AH37" s="20">
        <v>0</v>
      </c>
      <c r="AI37" s="20">
        <v>0</v>
      </c>
      <c r="AJ37" s="20">
        <v>0</v>
      </c>
      <c r="AL37" s="19">
        <v>0</v>
      </c>
      <c r="AM37" s="19">
        <v>0</v>
      </c>
      <c r="AN37" s="19">
        <v>0</v>
      </c>
      <c r="AO37" s="20">
        <v>0</v>
      </c>
      <c r="AP37" s="20">
        <v>0</v>
      </c>
      <c r="AQ37" s="20">
        <v>0</v>
      </c>
    </row>
    <row r="38" spans="1:43" x14ac:dyDescent="0.25">
      <c r="A38" s="18" t="s">
        <v>80</v>
      </c>
      <c r="B38" s="19">
        <v>0</v>
      </c>
      <c r="C38" s="19">
        <v>0</v>
      </c>
      <c r="D38" s="19">
        <v>0</v>
      </c>
      <c r="E38" s="20">
        <v>0</v>
      </c>
      <c r="F38" s="20">
        <v>0</v>
      </c>
      <c r="G38" s="20">
        <v>0</v>
      </c>
      <c r="I38" s="19">
        <v>6</v>
      </c>
      <c r="J38" s="19">
        <v>2</v>
      </c>
      <c r="K38" s="19">
        <v>2</v>
      </c>
      <c r="L38" s="20">
        <v>0.23076923076923078</v>
      </c>
      <c r="M38" s="20">
        <v>6.6666666666666666E-2</v>
      </c>
      <c r="N38" s="20">
        <v>6.6666666666666666E-2</v>
      </c>
      <c r="P38" s="19">
        <v>1</v>
      </c>
      <c r="Q38" s="19">
        <v>1</v>
      </c>
      <c r="R38" s="19">
        <v>0</v>
      </c>
      <c r="S38" s="20">
        <v>1.7241379310344827E-2</v>
      </c>
      <c r="T38" s="20">
        <v>1.6393442622950821E-2</v>
      </c>
      <c r="U38" s="20">
        <v>0</v>
      </c>
      <c r="X38" s="19">
        <v>0</v>
      </c>
      <c r="Y38" s="19">
        <v>0</v>
      </c>
      <c r="Z38" s="19">
        <v>0</v>
      </c>
      <c r="AA38" s="20">
        <v>0</v>
      </c>
      <c r="AB38" s="20">
        <v>0</v>
      </c>
      <c r="AC38" s="20">
        <v>0</v>
      </c>
      <c r="AE38" s="19">
        <v>0</v>
      </c>
      <c r="AF38" s="19">
        <v>0</v>
      </c>
      <c r="AG38" s="19">
        <v>0</v>
      </c>
      <c r="AH38" s="20">
        <v>0</v>
      </c>
      <c r="AI38" s="20">
        <v>0</v>
      </c>
      <c r="AJ38" s="20">
        <v>0</v>
      </c>
      <c r="AL38" s="19">
        <v>0</v>
      </c>
      <c r="AM38" s="19">
        <v>0</v>
      </c>
      <c r="AN38" s="19">
        <v>0</v>
      </c>
      <c r="AO38" s="20">
        <v>0</v>
      </c>
      <c r="AP38" s="20">
        <v>0</v>
      </c>
      <c r="AQ38" s="20">
        <v>0</v>
      </c>
    </row>
    <row r="39" spans="1:43" x14ac:dyDescent="0.25">
      <c r="A39" s="18" t="s">
        <v>41</v>
      </c>
      <c r="B39" s="19">
        <v>0</v>
      </c>
      <c r="C39" s="19">
        <v>0</v>
      </c>
      <c r="D39" s="19">
        <v>0</v>
      </c>
      <c r="E39" s="20">
        <v>0</v>
      </c>
      <c r="F39" s="20">
        <v>0</v>
      </c>
      <c r="G39" s="20">
        <v>0</v>
      </c>
      <c r="I39" s="19">
        <v>1</v>
      </c>
      <c r="J39" s="19">
        <v>0</v>
      </c>
      <c r="K39" s="19">
        <v>1</v>
      </c>
      <c r="L39" s="20">
        <v>1.1627906976744186E-2</v>
      </c>
      <c r="M39" s="20">
        <v>0</v>
      </c>
      <c r="N39" s="20">
        <v>1.2195121951219513E-2</v>
      </c>
      <c r="P39" s="19">
        <v>0</v>
      </c>
      <c r="Q39" s="19">
        <v>0</v>
      </c>
      <c r="R39" s="19">
        <v>0</v>
      </c>
      <c r="S39" s="20">
        <v>0</v>
      </c>
      <c r="T39" s="20">
        <v>0</v>
      </c>
      <c r="U39" s="20">
        <v>0</v>
      </c>
      <c r="X39" s="19">
        <v>0</v>
      </c>
      <c r="Y39" s="19">
        <v>0</v>
      </c>
      <c r="Z39" s="19">
        <v>0</v>
      </c>
      <c r="AA39" s="20">
        <v>0</v>
      </c>
      <c r="AB39" s="20">
        <v>0</v>
      </c>
      <c r="AC39" s="20">
        <v>0</v>
      </c>
      <c r="AE39" s="19">
        <v>0</v>
      </c>
      <c r="AF39" s="19">
        <v>0</v>
      </c>
      <c r="AG39" s="19">
        <v>0</v>
      </c>
      <c r="AH39" s="20">
        <v>0</v>
      </c>
      <c r="AI39" s="20">
        <v>0</v>
      </c>
      <c r="AJ39" s="20">
        <v>0</v>
      </c>
      <c r="AL39" s="19">
        <v>0</v>
      </c>
      <c r="AM39" s="19">
        <v>0</v>
      </c>
      <c r="AN39" s="19">
        <v>0</v>
      </c>
      <c r="AO39" s="20">
        <v>0</v>
      </c>
      <c r="AP39" s="20">
        <v>0</v>
      </c>
      <c r="AQ39" s="20">
        <v>0</v>
      </c>
    </row>
    <row r="40" spans="1:43" x14ac:dyDescent="0.25">
      <c r="A40" s="18" t="s">
        <v>43</v>
      </c>
      <c r="B40" s="19">
        <v>66</v>
      </c>
      <c r="C40" s="19">
        <v>47</v>
      </c>
      <c r="D40" s="19">
        <v>61</v>
      </c>
      <c r="E40" s="20">
        <v>3.2049725634924488E-3</v>
      </c>
      <c r="F40" s="20">
        <v>2.0505213559617818E-3</v>
      </c>
      <c r="G40" s="20">
        <v>2.4817934008706621E-3</v>
      </c>
      <c r="I40" s="19">
        <v>27</v>
      </c>
      <c r="J40" s="19">
        <v>23</v>
      </c>
      <c r="K40" s="19">
        <v>19</v>
      </c>
      <c r="L40" s="20">
        <v>1.6129032258064516E-2</v>
      </c>
      <c r="M40" s="20">
        <v>1.3418903150525088E-2</v>
      </c>
      <c r="N40" s="20">
        <v>1.0850942318675044E-2</v>
      </c>
      <c r="P40" s="19">
        <v>0</v>
      </c>
      <c r="Q40" s="19">
        <v>0</v>
      </c>
      <c r="R40" s="19">
        <v>0</v>
      </c>
      <c r="S40" s="20">
        <v>0</v>
      </c>
      <c r="T40" s="20">
        <v>0</v>
      </c>
      <c r="U40" s="20">
        <v>0</v>
      </c>
      <c r="X40" s="19">
        <v>192</v>
      </c>
      <c r="Y40" s="19">
        <v>213</v>
      </c>
      <c r="Z40" s="19">
        <v>263</v>
      </c>
      <c r="AA40" s="20">
        <v>1.3753581661891117E-2</v>
      </c>
      <c r="AB40" s="20">
        <v>1.3554791905307369E-2</v>
      </c>
      <c r="AC40" s="20">
        <v>1.5674354848322306E-2</v>
      </c>
      <c r="AE40" s="19">
        <v>27</v>
      </c>
      <c r="AF40" s="19">
        <v>34</v>
      </c>
      <c r="AG40" s="19">
        <v>47</v>
      </c>
      <c r="AH40" s="20">
        <v>3.8516405135520682E-2</v>
      </c>
      <c r="AI40" s="20">
        <v>4.3092522179974654E-2</v>
      </c>
      <c r="AJ40" s="20">
        <v>5.6831922611850064E-2</v>
      </c>
      <c r="AL40" s="19">
        <v>0</v>
      </c>
      <c r="AM40" s="19">
        <v>0</v>
      </c>
      <c r="AN40" s="19">
        <v>0</v>
      </c>
      <c r="AO40" s="20">
        <v>0</v>
      </c>
      <c r="AP40" s="20">
        <v>0</v>
      </c>
      <c r="AQ40" s="20">
        <v>0</v>
      </c>
    </row>
    <row r="41" spans="1:43" s="43" customFormat="1" x14ac:dyDescent="0.25">
      <c r="A41" s="26" t="s">
        <v>65</v>
      </c>
      <c r="B41" s="27">
        <v>67</v>
      </c>
      <c r="C41" s="27">
        <v>48</v>
      </c>
      <c r="D41" s="27">
        <v>61</v>
      </c>
      <c r="E41" s="22">
        <v>8.4074738678144333E-4</v>
      </c>
      <c r="F41" s="22">
        <v>5.3732746750847972E-4</v>
      </c>
      <c r="G41" s="22">
        <v>6.2091569797031825E-4</v>
      </c>
      <c r="I41" s="27">
        <v>34</v>
      </c>
      <c r="J41" s="27">
        <v>25</v>
      </c>
      <c r="K41" s="27">
        <v>22</v>
      </c>
      <c r="L41" s="22">
        <v>8.4325396825396821E-3</v>
      </c>
      <c r="M41" s="22">
        <v>5.7392102846648297E-3</v>
      </c>
      <c r="N41" s="22">
        <v>4.8910626945309022E-3</v>
      </c>
      <c r="P41" s="27">
        <v>1</v>
      </c>
      <c r="Q41" s="27">
        <v>1</v>
      </c>
      <c r="R41" s="27">
        <v>0</v>
      </c>
      <c r="S41" s="22">
        <v>5.2219321148825064E-4</v>
      </c>
      <c r="T41" s="22">
        <v>5.2002080083203334E-4</v>
      </c>
      <c r="U41" s="22">
        <v>0</v>
      </c>
      <c r="X41" s="27">
        <v>558</v>
      </c>
      <c r="Y41" s="27">
        <v>536</v>
      </c>
      <c r="Z41" s="27">
        <v>565</v>
      </c>
      <c r="AA41" s="22">
        <v>9.8255005194485042E-3</v>
      </c>
      <c r="AB41" s="22">
        <v>8.500380614057345E-3</v>
      </c>
      <c r="AC41" s="22">
        <v>8.2647045916650827E-3</v>
      </c>
      <c r="AE41" s="27">
        <v>31</v>
      </c>
      <c r="AF41" s="27">
        <v>36</v>
      </c>
      <c r="AG41" s="27">
        <v>47</v>
      </c>
      <c r="AH41" s="22">
        <v>2.859778597785978E-2</v>
      </c>
      <c r="AI41" s="22">
        <v>2.967848309975268E-2</v>
      </c>
      <c r="AJ41" s="22">
        <v>3.6661466458658344E-2</v>
      </c>
      <c r="AL41" s="27">
        <v>0</v>
      </c>
      <c r="AM41" s="27">
        <v>0</v>
      </c>
      <c r="AN41" s="27">
        <v>0</v>
      </c>
      <c r="AO41" s="22">
        <v>0</v>
      </c>
      <c r="AP41" s="22">
        <v>0</v>
      </c>
      <c r="AQ41" s="22">
        <v>0</v>
      </c>
    </row>
    <row r="42" spans="1:43" x14ac:dyDescent="0.25">
      <c r="A42" s="18"/>
      <c r="B42" s="19"/>
      <c r="C42" s="19"/>
      <c r="D42" s="19"/>
      <c r="E42" s="19"/>
      <c r="F42" s="19"/>
      <c r="G42" s="19"/>
      <c r="I42" s="19"/>
      <c r="J42" s="19"/>
      <c r="K42" s="19"/>
      <c r="L42" s="19"/>
      <c r="M42" s="19"/>
      <c r="N42" s="19"/>
      <c r="P42" s="19"/>
      <c r="Q42" s="19"/>
      <c r="R42" s="19"/>
      <c r="S42" s="19"/>
      <c r="T42" s="19"/>
      <c r="U42" s="19"/>
      <c r="X42" s="19"/>
      <c r="Y42" s="19"/>
      <c r="Z42" s="19"/>
      <c r="AA42" s="19"/>
      <c r="AB42" s="19"/>
      <c r="AC42" s="19"/>
      <c r="AE42" s="19"/>
      <c r="AF42" s="19"/>
      <c r="AG42" s="19"/>
      <c r="AH42" s="19"/>
      <c r="AI42" s="19"/>
      <c r="AJ42" s="19"/>
      <c r="AL42" s="19"/>
      <c r="AM42" s="19"/>
      <c r="AN42" s="19"/>
      <c r="AO42" s="19"/>
      <c r="AP42" s="19"/>
      <c r="AQ42" s="19"/>
    </row>
    <row r="43" spans="1:43" x14ac:dyDescent="0.25">
      <c r="A43" s="28" t="s">
        <v>66</v>
      </c>
      <c r="B43" s="25" t="s">
        <v>12</v>
      </c>
      <c r="C43" s="25" t="s">
        <v>164</v>
      </c>
      <c r="D43" s="25" t="s">
        <v>195</v>
      </c>
      <c r="E43" s="25" t="s">
        <v>12</v>
      </c>
      <c r="F43" s="25" t="s">
        <v>164</v>
      </c>
      <c r="G43" s="25" t="s">
        <v>195</v>
      </c>
      <c r="I43" s="25" t="s">
        <v>12</v>
      </c>
      <c r="J43" s="25" t="s">
        <v>164</v>
      </c>
      <c r="K43" s="25" t="s">
        <v>195</v>
      </c>
      <c r="L43" s="25" t="s">
        <v>12</v>
      </c>
      <c r="M43" s="25" t="s">
        <v>164</v>
      </c>
      <c r="N43" s="25" t="s">
        <v>195</v>
      </c>
      <c r="P43" s="25" t="s">
        <v>12</v>
      </c>
      <c r="Q43" s="25" t="s">
        <v>164</v>
      </c>
      <c r="R43" s="25" t="s">
        <v>195</v>
      </c>
      <c r="S43" s="25" t="s">
        <v>12</v>
      </c>
      <c r="T43" s="25" t="s">
        <v>164</v>
      </c>
      <c r="U43" s="25" t="s">
        <v>195</v>
      </c>
      <c r="X43" s="25" t="s">
        <v>12</v>
      </c>
      <c r="Y43" s="25" t="s">
        <v>164</v>
      </c>
      <c r="Z43" s="25" t="s">
        <v>195</v>
      </c>
      <c r="AA43" s="25" t="s">
        <v>12</v>
      </c>
      <c r="AB43" s="25" t="s">
        <v>164</v>
      </c>
      <c r="AC43" s="25" t="s">
        <v>195</v>
      </c>
      <c r="AE43" s="25" t="s">
        <v>12</v>
      </c>
      <c r="AF43" s="25" t="s">
        <v>164</v>
      </c>
      <c r="AG43" s="25" t="s">
        <v>195</v>
      </c>
      <c r="AH43" s="25" t="s">
        <v>12</v>
      </c>
      <c r="AI43" s="25" t="s">
        <v>164</v>
      </c>
      <c r="AJ43" s="25" t="s">
        <v>195</v>
      </c>
      <c r="AL43" s="25" t="s">
        <v>12</v>
      </c>
      <c r="AM43" s="25" t="s">
        <v>164</v>
      </c>
      <c r="AN43" s="25" t="s">
        <v>195</v>
      </c>
      <c r="AO43" s="25" t="s">
        <v>12</v>
      </c>
      <c r="AP43" s="25" t="s">
        <v>164</v>
      </c>
      <c r="AQ43" s="25" t="s">
        <v>195</v>
      </c>
    </row>
    <row r="44" spans="1:43" x14ac:dyDescent="0.25">
      <c r="A44" s="18" t="s">
        <v>17</v>
      </c>
      <c r="B44" s="19">
        <v>67</v>
      </c>
      <c r="C44" s="19">
        <v>102</v>
      </c>
      <c r="D44" s="19">
        <v>121</v>
      </c>
      <c r="E44" s="20">
        <v>7.9771401357304449E-3</v>
      </c>
      <c r="F44" s="20">
        <v>1.2395187750637988E-2</v>
      </c>
      <c r="G44" s="20">
        <v>1.4965986394557823E-2</v>
      </c>
      <c r="I44" s="19">
        <v>31</v>
      </c>
      <c r="J44" s="19">
        <v>32</v>
      </c>
      <c r="K44" s="19">
        <v>49</v>
      </c>
      <c r="L44" s="20">
        <v>2.7288732394366196E-2</v>
      </c>
      <c r="M44" s="20">
        <v>3.242147922998987E-2</v>
      </c>
      <c r="N44" s="20">
        <v>4.4223826714801441E-2</v>
      </c>
      <c r="P44" s="19">
        <v>0</v>
      </c>
      <c r="Q44" s="19">
        <v>0</v>
      </c>
      <c r="R44" s="19">
        <v>0</v>
      </c>
      <c r="S44" s="20">
        <v>0</v>
      </c>
      <c r="T44" s="20">
        <v>0</v>
      </c>
      <c r="U44" s="20">
        <v>0</v>
      </c>
      <c r="X44" s="19">
        <v>0</v>
      </c>
      <c r="Y44" s="19">
        <v>0</v>
      </c>
      <c r="Z44" s="19">
        <v>0</v>
      </c>
      <c r="AA44" s="20">
        <v>0</v>
      </c>
      <c r="AB44" s="20">
        <v>0</v>
      </c>
      <c r="AC44" s="20">
        <v>0</v>
      </c>
      <c r="AE44" s="19">
        <v>0</v>
      </c>
      <c r="AF44" s="19">
        <v>0</v>
      </c>
      <c r="AG44" s="19">
        <v>0</v>
      </c>
      <c r="AH44" s="20">
        <v>0</v>
      </c>
      <c r="AI44" s="20">
        <v>0</v>
      </c>
      <c r="AJ44" s="20">
        <v>0</v>
      </c>
      <c r="AL44" s="19">
        <v>0</v>
      </c>
      <c r="AM44" s="19">
        <v>0</v>
      </c>
      <c r="AN44" s="19">
        <v>0</v>
      </c>
      <c r="AO44" s="20">
        <v>0</v>
      </c>
      <c r="AP44" s="20">
        <v>0</v>
      </c>
      <c r="AQ44" s="20">
        <v>0</v>
      </c>
    </row>
    <row r="45" spans="1:43" x14ac:dyDescent="0.25">
      <c r="A45" s="18" t="s">
        <v>18</v>
      </c>
      <c r="B45" s="19">
        <v>0</v>
      </c>
      <c r="C45" s="19">
        <v>0</v>
      </c>
      <c r="D45" s="19">
        <v>0</v>
      </c>
      <c r="E45" s="20">
        <v>0</v>
      </c>
      <c r="F45" s="20">
        <v>0</v>
      </c>
      <c r="G45" s="20">
        <v>0</v>
      </c>
      <c r="I45" s="19">
        <v>0</v>
      </c>
      <c r="J45" s="19">
        <v>0</v>
      </c>
      <c r="K45" s="19">
        <v>0</v>
      </c>
      <c r="L45" s="20">
        <v>0</v>
      </c>
      <c r="M45" s="20">
        <v>0</v>
      </c>
      <c r="N45" s="20">
        <v>0</v>
      </c>
      <c r="P45" s="19">
        <v>0</v>
      </c>
      <c r="Q45" s="19">
        <v>0</v>
      </c>
      <c r="R45" s="19">
        <v>0</v>
      </c>
      <c r="S45" s="20">
        <v>0</v>
      </c>
      <c r="T45" s="20">
        <v>0</v>
      </c>
      <c r="U45" s="20">
        <v>0</v>
      </c>
      <c r="X45" s="19">
        <v>89</v>
      </c>
      <c r="Y45" s="19">
        <v>69</v>
      </c>
      <c r="Z45" s="19">
        <v>59</v>
      </c>
      <c r="AA45" s="20">
        <v>1.0734531419611627E-2</v>
      </c>
      <c r="AB45" s="20">
        <v>8.0664016834229597E-3</v>
      </c>
      <c r="AC45" s="20">
        <v>6.7528900080119037E-3</v>
      </c>
      <c r="AE45" s="19">
        <v>1</v>
      </c>
      <c r="AF45" s="19">
        <v>0</v>
      </c>
      <c r="AG45" s="19">
        <v>0</v>
      </c>
      <c r="AH45" s="20">
        <v>1.7543859649122806E-2</v>
      </c>
      <c r="AI45" s="20">
        <v>0</v>
      </c>
      <c r="AJ45" s="20">
        <v>0</v>
      </c>
      <c r="AL45" s="19">
        <v>0</v>
      </c>
      <c r="AM45" s="19">
        <v>0</v>
      </c>
      <c r="AN45" s="19">
        <v>0</v>
      </c>
      <c r="AO45" s="20">
        <v>0</v>
      </c>
      <c r="AP45" s="20">
        <v>0</v>
      </c>
      <c r="AQ45" s="20">
        <v>0</v>
      </c>
    </row>
    <row r="46" spans="1:43" x14ac:dyDescent="0.25">
      <c r="A46" s="18" t="s">
        <v>19</v>
      </c>
      <c r="B46" s="19">
        <v>2491</v>
      </c>
      <c r="C46" s="19">
        <v>2393</v>
      </c>
      <c r="D46" s="19">
        <v>2545</v>
      </c>
      <c r="E46" s="20">
        <v>3.5183566124906604E-3</v>
      </c>
      <c r="F46" s="20">
        <v>3.3844417509712767E-3</v>
      </c>
      <c r="G46" s="20">
        <v>3.5992182130341198E-3</v>
      </c>
      <c r="I46" s="19">
        <v>1188</v>
      </c>
      <c r="J46" s="19">
        <v>1243</v>
      </c>
      <c r="K46" s="19">
        <v>1239</v>
      </c>
      <c r="L46" s="20">
        <v>2.249446159089618E-2</v>
      </c>
      <c r="M46" s="20">
        <v>2.3052670623145401E-2</v>
      </c>
      <c r="N46" s="20">
        <v>2.1533595189266223E-2</v>
      </c>
      <c r="P46" s="19">
        <v>4</v>
      </c>
      <c r="Q46" s="19">
        <v>4</v>
      </c>
      <c r="R46" s="19">
        <v>1</v>
      </c>
      <c r="S46" s="20">
        <v>6.3959066197633518E-4</v>
      </c>
      <c r="T46" s="20">
        <v>6.4350064350064348E-4</v>
      </c>
      <c r="U46" s="20">
        <v>1.5885623510722796E-4</v>
      </c>
      <c r="X46" s="19">
        <v>10246</v>
      </c>
      <c r="Y46" s="19">
        <v>10597</v>
      </c>
      <c r="Z46" s="19">
        <v>9663</v>
      </c>
      <c r="AA46" s="20">
        <v>2.049749332821196E-2</v>
      </c>
      <c r="AB46" s="20">
        <v>2.1129428466606051E-2</v>
      </c>
      <c r="AC46" s="20">
        <v>1.924068679475207E-2</v>
      </c>
      <c r="AE46" s="19">
        <v>970</v>
      </c>
      <c r="AF46" s="19">
        <v>931</v>
      </c>
      <c r="AG46" s="19">
        <v>885</v>
      </c>
      <c r="AH46" s="20">
        <v>7.2027920100987602E-2</v>
      </c>
      <c r="AI46" s="20">
        <v>7.0696332295542563E-2</v>
      </c>
      <c r="AJ46" s="20">
        <v>6.7469695814591751E-2</v>
      </c>
      <c r="AL46" s="19">
        <v>5</v>
      </c>
      <c r="AM46" s="19">
        <v>4</v>
      </c>
      <c r="AN46" s="19">
        <v>4</v>
      </c>
      <c r="AO46" s="20">
        <v>4.2158516020236085E-3</v>
      </c>
      <c r="AP46" s="20">
        <v>3.2573289902280132E-3</v>
      </c>
      <c r="AQ46" s="20">
        <v>3.1595576619273301E-3</v>
      </c>
    </row>
    <row r="47" spans="1:43" x14ac:dyDescent="0.25">
      <c r="A47" s="18" t="s">
        <v>20</v>
      </c>
      <c r="B47" s="19">
        <v>945</v>
      </c>
      <c r="C47" s="19">
        <v>289</v>
      </c>
      <c r="D47" s="19">
        <v>434</v>
      </c>
      <c r="E47" s="20">
        <v>1.1924440686948732E-2</v>
      </c>
      <c r="F47" s="20">
        <v>3.400720152502883E-3</v>
      </c>
      <c r="G47" s="20">
        <v>4.6358606250934652E-3</v>
      </c>
      <c r="I47" s="19">
        <v>236</v>
      </c>
      <c r="J47" s="19">
        <v>116</v>
      </c>
      <c r="K47" s="19">
        <v>191</v>
      </c>
      <c r="L47" s="20">
        <v>2.4435700973286394E-2</v>
      </c>
      <c r="M47" s="20">
        <v>1.2551395801774508E-2</v>
      </c>
      <c r="N47" s="20">
        <v>1.9424387267364996E-2</v>
      </c>
      <c r="P47" s="19">
        <v>1</v>
      </c>
      <c r="Q47" s="19">
        <v>0</v>
      </c>
      <c r="R47" s="19">
        <v>0</v>
      </c>
      <c r="S47" s="20">
        <v>1.2658227848101266E-2</v>
      </c>
      <c r="T47" s="20">
        <v>0</v>
      </c>
      <c r="U47" s="20">
        <v>0</v>
      </c>
      <c r="X47" s="19">
        <v>371</v>
      </c>
      <c r="Y47" s="19">
        <v>203</v>
      </c>
      <c r="Z47" s="19">
        <v>263</v>
      </c>
      <c r="AA47" s="20">
        <v>1.7821972426382282E-2</v>
      </c>
      <c r="AB47" s="20">
        <v>9.0710040663121681E-3</v>
      </c>
      <c r="AC47" s="20">
        <v>9.5276046949717436E-3</v>
      </c>
      <c r="AE47" s="19">
        <v>0</v>
      </c>
      <c r="AF47" s="19">
        <v>0</v>
      </c>
      <c r="AG47" s="19">
        <v>1</v>
      </c>
      <c r="AH47" s="20">
        <v>0</v>
      </c>
      <c r="AI47" s="20">
        <v>0</v>
      </c>
      <c r="AJ47" s="20">
        <v>1.3698630136986301E-2</v>
      </c>
      <c r="AL47" s="19">
        <v>0</v>
      </c>
      <c r="AM47" s="19">
        <v>0</v>
      </c>
      <c r="AN47" s="19">
        <v>0</v>
      </c>
      <c r="AO47" s="20">
        <v>0</v>
      </c>
      <c r="AP47" s="20">
        <v>0</v>
      </c>
      <c r="AQ47" s="20">
        <v>0</v>
      </c>
    </row>
    <row r="48" spans="1:43" x14ac:dyDescent="0.25">
      <c r="A48" s="18" t="s">
        <v>21</v>
      </c>
      <c r="B48" s="19">
        <v>488</v>
      </c>
      <c r="C48" s="19">
        <v>501</v>
      </c>
      <c r="D48" s="19">
        <v>506</v>
      </c>
      <c r="E48" s="20">
        <v>9.9482203286174412E-3</v>
      </c>
      <c r="F48" s="20">
        <v>9.9491619667964101E-3</v>
      </c>
      <c r="G48" s="20">
        <v>1.0158398747264661E-2</v>
      </c>
      <c r="I48" s="19">
        <v>74</v>
      </c>
      <c r="J48" s="19">
        <v>71</v>
      </c>
      <c r="K48" s="19">
        <v>73</v>
      </c>
      <c r="L48" s="20">
        <v>4.7193877551020405E-2</v>
      </c>
      <c r="M48" s="20">
        <v>4.2514970059880239E-2</v>
      </c>
      <c r="N48" s="20">
        <v>4.2690058479532167E-2</v>
      </c>
      <c r="P48" s="19">
        <v>0</v>
      </c>
      <c r="Q48" s="19">
        <v>0</v>
      </c>
      <c r="R48" s="19">
        <v>0</v>
      </c>
      <c r="S48" s="20">
        <v>0</v>
      </c>
      <c r="T48" s="20">
        <v>0</v>
      </c>
      <c r="U48" s="20">
        <v>0</v>
      </c>
      <c r="X48" s="19">
        <v>291</v>
      </c>
      <c r="Y48" s="19">
        <v>343</v>
      </c>
      <c r="Z48" s="19">
        <v>344</v>
      </c>
      <c r="AA48" s="20">
        <v>1.5652735194448927E-2</v>
      </c>
      <c r="AB48" s="20">
        <v>1.7481270067784518E-2</v>
      </c>
      <c r="AC48" s="20">
        <v>1.6722570609109911E-2</v>
      </c>
      <c r="AE48" s="19">
        <v>27</v>
      </c>
      <c r="AF48" s="19">
        <v>29</v>
      </c>
      <c r="AG48" s="19">
        <v>23</v>
      </c>
      <c r="AH48" s="20">
        <v>9.5744680851063829E-2</v>
      </c>
      <c r="AI48" s="20">
        <v>9.7972972972972971E-2</v>
      </c>
      <c r="AJ48" s="20">
        <v>7.6411960132890366E-2</v>
      </c>
      <c r="AL48" s="19">
        <v>0</v>
      </c>
      <c r="AM48" s="19">
        <v>0</v>
      </c>
      <c r="AN48" s="19">
        <v>0</v>
      </c>
      <c r="AO48" s="20">
        <v>0</v>
      </c>
      <c r="AP48" s="20">
        <v>0</v>
      </c>
      <c r="AQ48" s="20">
        <v>0</v>
      </c>
    </row>
    <row r="49" spans="1:43" x14ac:dyDescent="0.25">
      <c r="A49" s="18" t="s">
        <v>25</v>
      </c>
      <c r="B49" s="19">
        <v>29</v>
      </c>
      <c r="C49" s="19">
        <v>28</v>
      </c>
      <c r="D49" s="19">
        <v>30</v>
      </c>
      <c r="E49" s="20">
        <v>8.2199546485260764E-3</v>
      </c>
      <c r="F49" s="20">
        <v>7.8497336697504905E-3</v>
      </c>
      <c r="G49" s="20">
        <v>8.4175084175084174E-3</v>
      </c>
      <c r="I49" s="19">
        <v>109</v>
      </c>
      <c r="J49" s="19">
        <v>121</v>
      </c>
      <c r="K49" s="19">
        <v>126</v>
      </c>
      <c r="L49" s="20">
        <v>2.3496443198965294E-2</v>
      </c>
      <c r="M49" s="20">
        <v>2.6043908738699956E-2</v>
      </c>
      <c r="N49" s="20">
        <v>2.7857616626133098E-2</v>
      </c>
      <c r="P49" s="19">
        <v>0</v>
      </c>
      <c r="Q49" s="19">
        <v>0</v>
      </c>
      <c r="R49" s="19">
        <v>0</v>
      </c>
      <c r="S49" s="20">
        <v>0</v>
      </c>
      <c r="T49" s="20">
        <v>0</v>
      </c>
      <c r="U49" s="20">
        <v>0</v>
      </c>
      <c r="X49" s="19">
        <v>39</v>
      </c>
      <c r="Y49" s="19">
        <v>44</v>
      </c>
      <c r="Z49" s="19">
        <v>41</v>
      </c>
      <c r="AA49" s="20">
        <v>1.870503597122302E-2</v>
      </c>
      <c r="AB49" s="20">
        <v>2.0803782505910164E-2</v>
      </c>
      <c r="AC49" s="20">
        <v>1.8747142203932327E-2</v>
      </c>
      <c r="AE49" s="19">
        <v>91</v>
      </c>
      <c r="AF49" s="19">
        <v>96</v>
      </c>
      <c r="AG49" s="19">
        <v>83</v>
      </c>
      <c r="AH49" s="20">
        <v>4.0017590149516273E-2</v>
      </c>
      <c r="AI49" s="20">
        <v>4.048924504428511E-2</v>
      </c>
      <c r="AJ49" s="20">
        <v>3.4962089300758212E-2</v>
      </c>
      <c r="AL49" s="19">
        <v>0</v>
      </c>
      <c r="AM49" s="19">
        <v>0</v>
      </c>
      <c r="AN49" s="19">
        <v>0</v>
      </c>
      <c r="AO49" s="20">
        <v>0</v>
      </c>
      <c r="AP49" s="20">
        <v>0</v>
      </c>
      <c r="AQ49" s="20">
        <v>0</v>
      </c>
    </row>
    <row r="50" spans="1:43" x14ac:dyDescent="0.25">
      <c r="A50" s="18" t="s">
        <v>26</v>
      </c>
      <c r="B50" s="19">
        <v>30</v>
      </c>
      <c r="C50" s="19">
        <v>18</v>
      </c>
      <c r="D50" s="19">
        <v>28</v>
      </c>
      <c r="E50" s="20">
        <v>8.4961767204757861E-3</v>
      </c>
      <c r="F50" s="20">
        <v>5.4561988481357983E-3</v>
      </c>
      <c r="G50" s="20">
        <v>8.5054678007290396E-3</v>
      </c>
      <c r="I50" s="19">
        <v>0</v>
      </c>
      <c r="J50" s="19">
        <v>4</v>
      </c>
      <c r="K50" s="19">
        <v>6</v>
      </c>
      <c r="L50" s="20">
        <v>0</v>
      </c>
      <c r="M50" s="20">
        <v>3.4188034188034191E-2</v>
      </c>
      <c r="N50" s="20">
        <v>3.2786885245901641E-2</v>
      </c>
      <c r="P50" s="19">
        <v>0</v>
      </c>
      <c r="Q50" s="19">
        <v>0</v>
      </c>
      <c r="R50" s="19">
        <v>0</v>
      </c>
      <c r="S50" s="20">
        <v>0</v>
      </c>
      <c r="T50" s="20">
        <v>0</v>
      </c>
      <c r="U50" s="20">
        <v>0</v>
      </c>
      <c r="X50" s="19">
        <v>0</v>
      </c>
      <c r="Y50" s="19">
        <v>0</v>
      </c>
      <c r="Z50" s="19">
        <v>0</v>
      </c>
      <c r="AA50" s="20">
        <v>0</v>
      </c>
      <c r="AB50" s="20">
        <v>0</v>
      </c>
      <c r="AC50" s="20">
        <v>0</v>
      </c>
      <c r="AE50" s="19">
        <v>0</v>
      </c>
      <c r="AF50" s="19">
        <v>0</v>
      </c>
      <c r="AG50" s="19">
        <v>0</v>
      </c>
      <c r="AH50" s="20">
        <v>0</v>
      </c>
      <c r="AI50" s="20">
        <v>0</v>
      </c>
      <c r="AJ50" s="20">
        <v>0</v>
      </c>
      <c r="AL50" s="19">
        <v>0</v>
      </c>
      <c r="AM50" s="19">
        <v>0</v>
      </c>
      <c r="AN50" s="19">
        <v>0</v>
      </c>
      <c r="AO50" s="20">
        <v>0</v>
      </c>
      <c r="AP50" s="20">
        <v>0</v>
      </c>
      <c r="AQ50" s="20">
        <v>0</v>
      </c>
    </row>
    <row r="51" spans="1:43" x14ac:dyDescent="0.25">
      <c r="A51" s="18" t="s">
        <v>27</v>
      </c>
      <c r="B51" s="19">
        <v>0</v>
      </c>
      <c r="C51" s="19">
        <v>0</v>
      </c>
      <c r="D51" s="19">
        <v>1</v>
      </c>
      <c r="E51" s="20">
        <v>0</v>
      </c>
      <c r="F51" s="20">
        <v>0</v>
      </c>
      <c r="G51" s="20">
        <v>1.8518518518518517E-2</v>
      </c>
      <c r="I51" s="19">
        <v>0</v>
      </c>
      <c r="J51" s="19">
        <v>0</v>
      </c>
      <c r="K51" s="19">
        <v>0</v>
      </c>
      <c r="L51" s="20">
        <v>0</v>
      </c>
      <c r="M51" s="20">
        <v>0</v>
      </c>
      <c r="N51" s="20">
        <v>0</v>
      </c>
      <c r="P51" s="19">
        <v>0</v>
      </c>
      <c r="Q51" s="19">
        <v>0</v>
      </c>
      <c r="R51" s="19">
        <v>0</v>
      </c>
      <c r="S51" s="20">
        <v>0</v>
      </c>
      <c r="T51" s="20">
        <v>0</v>
      </c>
      <c r="U51" s="20">
        <v>0</v>
      </c>
      <c r="X51" s="19">
        <v>0</v>
      </c>
      <c r="Y51" s="19">
        <v>0</v>
      </c>
      <c r="Z51" s="19">
        <v>0</v>
      </c>
      <c r="AA51" s="20">
        <v>0</v>
      </c>
      <c r="AB51" s="20">
        <v>0</v>
      </c>
      <c r="AC51" s="20">
        <v>0</v>
      </c>
      <c r="AE51" s="19">
        <v>0</v>
      </c>
      <c r="AF51" s="19">
        <v>0</v>
      </c>
      <c r="AG51" s="19">
        <v>0</v>
      </c>
      <c r="AH51" s="20">
        <v>0</v>
      </c>
      <c r="AI51" s="20">
        <v>0</v>
      </c>
      <c r="AJ51" s="20">
        <v>0</v>
      </c>
      <c r="AL51" s="19">
        <v>0</v>
      </c>
      <c r="AM51" s="19">
        <v>0</v>
      </c>
      <c r="AN51" s="19">
        <v>0</v>
      </c>
      <c r="AO51" s="20">
        <v>0</v>
      </c>
      <c r="AP51" s="20">
        <v>0</v>
      </c>
      <c r="AQ51" s="20">
        <v>0</v>
      </c>
    </row>
    <row r="52" spans="1:43" x14ac:dyDescent="0.25">
      <c r="A52" s="18" t="s">
        <v>29</v>
      </c>
      <c r="B52" s="19">
        <v>59</v>
      </c>
      <c r="C52" s="19">
        <v>71</v>
      </c>
      <c r="D52" s="19">
        <v>0</v>
      </c>
      <c r="E52" s="20">
        <v>1.3009922822491731E-2</v>
      </c>
      <c r="F52" s="20">
        <v>6.3975491079473782E-3</v>
      </c>
      <c r="G52" s="20">
        <v>0</v>
      </c>
      <c r="I52" s="19">
        <v>0</v>
      </c>
      <c r="J52" s="19">
        <v>8</v>
      </c>
      <c r="K52" s="19">
        <v>0</v>
      </c>
      <c r="L52" s="20">
        <v>0</v>
      </c>
      <c r="M52" s="20">
        <v>1.2658227848101266E-2</v>
      </c>
      <c r="N52" s="20">
        <v>0</v>
      </c>
      <c r="P52" s="19">
        <v>0</v>
      </c>
      <c r="Q52" s="19">
        <v>0</v>
      </c>
      <c r="R52" s="19">
        <v>0</v>
      </c>
      <c r="S52" s="20">
        <v>0</v>
      </c>
      <c r="T52" s="20">
        <v>0</v>
      </c>
      <c r="U52" s="20">
        <v>0</v>
      </c>
      <c r="X52" s="19">
        <v>0</v>
      </c>
      <c r="Y52" s="19">
        <v>0</v>
      </c>
      <c r="Z52" s="19">
        <v>0</v>
      </c>
      <c r="AA52" s="20">
        <v>0</v>
      </c>
      <c r="AB52" s="20">
        <v>0</v>
      </c>
      <c r="AC52" s="20">
        <v>0</v>
      </c>
      <c r="AE52" s="19">
        <v>0</v>
      </c>
      <c r="AF52" s="19">
        <v>0</v>
      </c>
      <c r="AG52" s="19">
        <v>0</v>
      </c>
      <c r="AH52" s="20">
        <v>0</v>
      </c>
      <c r="AI52" s="20">
        <v>0</v>
      </c>
      <c r="AJ52" s="20">
        <v>0</v>
      </c>
      <c r="AL52" s="19">
        <v>0</v>
      </c>
      <c r="AM52" s="19">
        <v>0</v>
      </c>
      <c r="AN52" s="19">
        <v>0</v>
      </c>
      <c r="AO52" s="20">
        <v>0</v>
      </c>
      <c r="AP52" s="20">
        <v>0</v>
      </c>
      <c r="AQ52" s="20">
        <v>0</v>
      </c>
    </row>
    <row r="53" spans="1:43" x14ac:dyDescent="0.25">
      <c r="A53" s="18" t="s">
        <v>31</v>
      </c>
      <c r="B53" s="19">
        <v>48</v>
      </c>
      <c r="C53" s="19">
        <v>48</v>
      </c>
      <c r="D53" s="19">
        <v>53</v>
      </c>
      <c r="E53" s="20">
        <v>9.286128845037725E-3</v>
      </c>
      <c r="F53" s="20">
        <v>8.8839533592448647E-3</v>
      </c>
      <c r="G53" s="20">
        <v>8.9511906772504653E-3</v>
      </c>
      <c r="I53" s="19">
        <v>15</v>
      </c>
      <c r="J53" s="19">
        <v>11</v>
      </c>
      <c r="K53" s="19">
        <v>10</v>
      </c>
      <c r="L53" s="20">
        <v>4.2253521126760563E-2</v>
      </c>
      <c r="M53" s="20">
        <v>2.8871391076115485E-2</v>
      </c>
      <c r="N53" s="20">
        <v>2.3980815347721823E-2</v>
      </c>
      <c r="P53" s="19">
        <v>0</v>
      </c>
      <c r="Q53" s="19">
        <v>0</v>
      </c>
      <c r="R53" s="19">
        <v>0</v>
      </c>
      <c r="S53" s="20">
        <v>0</v>
      </c>
      <c r="T53" s="20">
        <v>0</v>
      </c>
      <c r="U53" s="20">
        <v>0</v>
      </c>
      <c r="X53" s="19">
        <v>0</v>
      </c>
      <c r="Y53" s="19">
        <v>0</v>
      </c>
      <c r="Z53" s="19">
        <v>0</v>
      </c>
      <c r="AA53" s="20">
        <v>0</v>
      </c>
      <c r="AB53" s="20">
        <v>0</v>
      </c>
      <c r="AC53" s="20">
        <v>0</v>
      </c>
      <c r="AE53" s="19">
        <v>0</v>
      </c>
      <c r="AF53" s="19">
        <v>0</v>
      </c>
      <c r="AG53" s="19">
        <v>0</v>
      </c>
      <c r="AH53" s="20">
        <v>0</v>
      </c>
      <c r="AI53" s="20">
        <v>0</v>
      </c>
      <c r="AJ53" s="20">
        <v>0</v>
      </c>
      <c r="AL53" s="19">
        <v>0</v>
      </c>
      <c r="AM53" s="19">
        <v>0</v>
      </c>
      <c r="AN53" s="19">
        <v>0</v>
      </c>
      <c r="AO53" s="20">
        <v>0</v>
      </c>
      <c r="AP53" s="20">
        <v>0</v>
      </c>
      <c r="AQ53" s="20">
        <v>0</v>
      </c>
    </row>
    <row r="54" spans="1:43" x14ac:dyDescent="0.25">
      <c r="A54" s="18" t="s">
        <v>80</v>
      </c>
      <c r="B54" s="19">
        <v>0</v>
      </c>
      <c r="C54" s="19">
        <v>0</v>
      </c>
      <c r="D54" s="19">
        <v>0</v>
      </c>
      <c r="E54" s="20">
        <v>0</v>
      </c>
      <c r="F54" s="20">
        <v>0</v>
      </c>
      <c r="G54" s="20">
        <v>0</v>
      </c>
      <c r="I54" s="19">
        <v>1187</v>
      </c>
      <c r="J54" s="19">
        <v>900</v>
      </c>
      <c r="K54" s="19">
        <v>779</v>
      </c>
      <c r="L54" s="20">
        <v>7.0654761904761907</v>
      </c>
      <c r="M54" s="20">
        <v>6.5217391304347823</v>
      </c>
      <c r="N54" s="20">
        <v>5.8134328358208958</v>
      </c>
      <c r="P54" s="19">
        <v>1</v>
      </c>
      <c r="Q54" s="19">
        <v>1</v>
      </c>
      <c r="R54" s="19">
        <v>0</v>
      </c>
      <c r="S54" s="20">
        <v>6.7842605156037987E-4</v>
      </c>
      <c r="T54" s="20">
        <v>6.6889632107023408E-4</v>
      </c>
      <c r="U54" s="20">
        <v>0</v>
      </c>
      <c r="X54" s="19">
        <v>0</v>
      </c>
      <c r="Y54" s="19">
        <v>0</v>
      </c>
      <c r="Z54" s="19">
        <v>0</v>
      </c>
      <c r="AA54" s="20">
        <v>0</v>
      </c>
      <c r="AB54" s="20">
        <v>0</v>
      </c>
      <c r="AC54" s="20">
        <v>0</v>
      </c>
      <c r="AE54" s="19">
        <v>0</v>
      </c>
      <c r="AF54" s="19">
        <v>0</v>
      </c>
      <c r="AG54" s="19">
        <v>0</v>
      </c>
      <c r="AH54" s="20">
        <v>0</v>
      </c>
      <c r="AI54" s="20">
        <v>0</v>
      </c>
      <c r="AJ54" s="20">
        <v>0</v>
      </c>
      <c r="AL54" s="19">
        <v>0</v>
      </c>
      <c r="AM54" s="19">
        <v>0</v>
      </c>
      <c r="AN54" s="19">
        <v>0</v>
      </c>
      <c r="AO54" s="20">
        <v>0</v>
      </c>
      <c r="AP54" s="20">
        <v>0</v>
      </c>
      <c r="AQ54" s="20">
        <v>0</v>
      </c>
    </row>
    <row r="55" spans="1:43" x14ac:dyDescent="0.25">
      <c r="A55" s="18" t="s">
        <v>37</v>
      </c>
      <c r="B55" s="19">
        <v>0</v>
      </c>
      <c r="C55" s="19">
        <v>0</v>
      </c>
      <c r="D55" s="19">
        <v>0</v>
      </c>
      <c r="E55" s="20">
        <v>0</v>
      </c>
      <c r="F55" s="20">
        <v>0</v>
      </c>
      <c r="G55" s="20">
        <v>0</v>
      </c>
      <c r="I55" s="19">
        <v>1</v>
      </c>
      <c r="J55" s="19">
        <v>0</v>
      </c>
      <c r="K55" s="19">
        <v>0</v>
      </c>
      <c r="L55" s="20">
        <v>1.5527950310559005E-3</v>
      </c>
      <c r="M55" s="20">
        <v>0</v>
      </c>
      <c r="N55" s="20">
        <v>0</v>
      </c>
      <c r="P55" s="19">
        <v>0</v>
      </c>
      <c r="Q55" s="19">
        <v>0</v>
      </c>
      <c r="R55" s="19">
        <v>0</v>
      </c>
      <c r="S55" s="20">
        <v>0</v>
      </c>
      <c r="T55" s="20">
        <v>0</v>
      </c>
      <c r="U55" s="20">
        <v>0</v>
      </c>
      <c r="X55" s="19">
        <v>5</v>
      </c>
      <c r="Y55" s="19">
        <v>0</v>
      </c>
      <c r="Z55" s="19">
        <v>0</v>
      </c>
      <c r="AA55" s="20">
        <v>0.26315789473684209</v>
      </c>
      <c r="AB55" s="20">
        <v>0</v>
      </c>
      <c r="AC55" s="20">
        <v>0</v>
      </c>
      <c r="AE55" s="19">
        <v>0</v>
      </c>
      <c r="AF55" s="19">
        <v>0</v>
      </c>
      <c r="AG55" s="19">
        <v>0</v>
      </c>
      <c r="AH55" s="20">
        <v>0</v>
      </c>
      <c r="AI55" s="20">
        <v>0</v>
      </c>
      <c r="AJ55" s="20">
        <v>0</v>
      </c>
      <c r="AL55" s="19">
        <v>0</v>
      </c>
      <c r="AM55" s="19">
        <v>0</v>
      </c>
      <c r="AN55" s="19">
        <v>0</v>
      </c>
      <c r="AO55" s="20">
        <v>0</v>
      </c>
      <c r="AP55" s="20">
        <v>0</v>
      </c>
      <c r="AQ55" s="20">
        <v>0</v>
      </c>
    </row>
    <row r="56" spans="1:43" x14ac:dyDescent="0.25">
      <c r="A56" s="18" t="s">
        <v>40</v>
      </c>
      <c r="B56" s="19">
        <v>35</v>
      </c>
      <c r="C56" s="19">
        <v>28</v>
      </c>
      <c r="D56" s="19">
        <v>26</v>
      </c>
      <c r="E56" s="20">
        <v>3.0597080164350031E-3</v>
      </c>
      <c r="F56" s="20">
        <v>1.7313875834776156E-3</v>
      </c>
      <c r="G56" s="20">
        <v>1.3157228885177876E-3</v>
      </c>
      <c r="I56" s="19">
        <v>108</v>
      </c>
      <c r="J56" s="19">
        <v>110</v>
      </c>
      <c r="K56" s="19">
        <v>103</v>
      </c>
      <c r="L56" s="20">
        <v>2.1441334127456819E-2</v>
      </c>
      <c r="M56" s="20">
        <v>2.1543282412847631E-2</v>
      </c>
      <c r="N56" s="20">
        <v>1.9310086239220099E-2</v>
      </c>
      <c r="P56" s="19">
        <v>0</v>
      </c>
      <c r="Q56" s="19">
        <v>0</v>
      </c>
      <c r="R56" s="19">
        <v>0</v>
      </c>
      <c r="S56" s="20">
        <v>0</v>
      </c>
      <c r="T56" s="20">
        <v>0</v>
      </c>
      <c r="U56" s="20">
        <v>0</v>
      </c>
      <c r="X56" s="19">
        <v>0</v>
      </c>
      <c r="Y56" s="19">
        <v>0</v>
      </c>
      <c r="Z56" s="19">
        <v>0</v>
      </c>
      <c r="AA56" s="20">
        <v>0</v>
      </c>
      <c r="AB56" s="20">
        <v>0</v>
      </c>
      <c r="AC56" s="20">
        <v>0</v>
      </c>
      <c r="AE56" s="19">
        <v>0</v>
      </c>
      <c r="AF56" s="19">
        <v>0</v>
      </c>
      <c r="AG56" s="19">
        <v>0</v>
      </c>
      <c r="AH56" s="20">
        <v>0</v>
      </c>
      <c r="AI56" s="20">
        <v>0</v>
      </c>
      <c r="AJ56" s="20">
        <v>0</v>
      </c>
      <c r="AL56" s="19">
        <v>0</v>
      </c>
      <c r="AM56" s="19">
        <v>0</v>
      </c>
      <c r="AN56" s="19">
        <v>0</v>
      </c>
      <c r="AO56" s="20">
        <v>0</v>
      </c>
      <c r="AP56" s="20">
        <v>0</v>
      </c>
      <c r="AQ56" s="20">
        <v>0</v>
      </c>
    </row>
    <row r="57" spans="1:43" x14ac:dyDescent="0.25">
      <c r="A57" s="18" t="s">
        <v>41</v>
      </c>
      <c r="B57" s="19">
        <v>2</v>
      </c>
      <c r="C57" s="19">
        <v>0</v>
      </c>
      <c r="D57" s="19">
        <v>1</v>
      </c>
      <c r="E57" s="20">
        <v>2.0408163265306121E-2</v>
      </c>
      <c r="F57" s="20">
        <v>0</v>
      </c>
      <c r="G57" s="20">
        <v>1.282051282051282E-2</v>
      </c>
      <c r="I57" s="19">
        <v>48</v>
      </c>
      <c r="J57" s="19">
        <v>0</v>
      </c>
      <c r="K57" s="19">
        <v>110</v>
      </c>
      <c r="L57" s="20">
        <v>8.09989875126561E-3</v>
      </c>
      <c r="M57" s="20">
        <v>0</v>
      </c>
      <c r="N57" s="20">
        <v>1.9067429363841221E-2</v>
      </c>
      <c r="P57" s="19">
        <v>9</v>
      </c>
      <c r="Q57" s="19">
        <v>0</v>
      </c>
      <c r="R57" s="19">
        <v>0</v>
      </c>
      <c r="S57" s="20">
        <v>1.6981132075471698E-2</v>
      </c>
      <c r="T57" s="20">
        <v>0</v>
      </c>
      <c r="U57" s="20">
        <v>0</v>
      </c>
      <c r="X57" s="19">
        <v>0</v>
      </c>
      <c r="Y57" s="19">
        <v>0</v>
      </c>
      <c r="Z57" s="19">
        <v>0</v>
      </c>
      <c r="AA57" s="20">
        <v>0</v>
      </c>
      <c r="AB57" s="20">
        <v>0</v>
      </c>
      <c r="AC57" s="20">
        <v>0</v>
      </c>
      <c r="AE57" s="19">
        <v>0</v>
      </c>
      <c r="AF57" s="19">
        <v>0</v>
      </c>
      <c r="AG57" s="19">
        <v>0</v>
      </c>
      <c r="AH57" s="20">
        <v>0</v>
      </c>
      <c r="AI57" s="20">
        <v>0</v>
      </c>
      <c r="AJ57" s="20">
        <v>0</v>
      </c>
      <c r="AL57" s="19">
        <v>0</v>
      </c>
      <c r="AM57" s="19">
        <v>0</v>
      </c>
      <c r="AN57" s="19">
        <v>0</v>
      </c>
      <c r="AO57" s="20">
        <v>0</v>
      </c>
      <c r="AP57" s="20">
        <v>0</v>
      </c>
      <c r="AQ57" s="20">
        <v>0</v>
      </c>
    </row>
    <row r="58" spans="1:43" x14ac:dyDescent="0.25">
      <c r="A58" s="18" t="s">
        <v>43</v>
      </c>
      <c r="B58" s="19">
        <v>4639</v>
      </c>
      <c r="C58" s="19">
        <v>4526</v>
      </c>
      <c r="D58" s="19">
        <v>4071</v>
      </c>
      <c r="E58" s="20">
        <v>5.9292680121167196E-3</v>
      </c>
      <c r="F58" s="20">
        <v>5.7147619143821087E-3</v>
      </c>
      <c r="G58" s="20">
        <v>5.0958969955362393E-3</v>
      </c>
      <c r="I58" s="19">
        <v>2275</v>
      </c>
      <c r="J58" s="19">
        <v>2216</v>
      </c>
      <c r="K58" s="19">
        <v>2030</v>
      </c>
      <c r="L58" s="20">
        <v>2.4938065902264706E-2</v>
      </c>
      <c r="M58" s="20">
        <v>2.4217255887656414E-2</v>
      </c>
      <c r="N58" s="20">
        <v>2.3060582308103011E-2</v>
      </c>
      <c r="P58" s="19">
        <v>5</v>
      </c>
      <c r="Q58" s="19">
        <v>5</v>
      </c>
      <c r="R58" s="19">
        <v>7</v>
      </c>
      <c r="S58" s="20">
        <v>5.0095180843602843E-4</v>
      </c>
      <c r="T58" s="20">
        <v>4.8713951675759937E-4</v>
      </c>
      <c r="U58" s="20">
        <v>6.8219471786375597E-4</v>
      </c>
      <c r="X58" s="19">
        <v>6381</v>
      </c>
      <c r="Y58" s="19">
        <v>6129</v>
      </c>
      <c r="Z58" s="19">
        <v>6142</v>
      </c>
      <c r="AA58" s="20">
        <v>2.5592177561022562E-2</v>
      </c>
      <c r="AB58" s="20">
        <v>2.4098801547607813E-2</v>
      </c>
      <c r="AC58" s="20">
        <v>2.3873194545935103E-2</v>
      </c>
      <c r="AE58" s="19">
        <v>1112</v>
      </c>
      <c r="AF58" s="19">
        <v>1187</v>
      </c>
      <c r="AG58" s="19">
        <v>1151</v>
      </c>
      <c r="AH58" s="20">
        <v>6.4051609930303552E-2</v>
      </c>
      <c r="AI58" s="20">
        <v>6.578728592806074E-2</v>
      </c>
      <c r="AJ58" s="20">
        <v>6.1626599560957326E-2</v>
      </c>
      <c r="AL58" s="19">
        <v>8</v>
      </c>
      <c r="AM58" s="19">
        <v>8</v>
      </c>
      <c r="AN58" s="19">
        <v>8</v>
      </c>
      <c r="AO58" s="20">
        <v>6.8610634648370496E-3</v>
      </c>
      <c r="AP58" s="20">
        <v>7.3800738007380072E-3</v>
      </c>
      <c r="AQ58" s="20">
        <v>7.2398190045248872E-3</v>
      </c>
    </row>
    <row r="59" spans="1:43" x14ac:dyDescent="0.25">
      <c r="A59" s="18" t="s">
        <v>126</v>
      </c>
      <c r="B59" s="19">
        <v>79</v>
      </c>
      <c r="C59" s="19">
        <v>81</v>
      </c>
      <c r="D59" s="19">
        <v>84</v>
      </c>
      <c r="E59" s="20">
        <v>4.6547254301201983E-3</v>
      </c>
      <c r="F59" s="20">
        <v>4.5680126325287618E-3</v>
      </c>
      <c r="G59" s="20">
        <v>4.761634827957599E-3</v>
      </c>
      <c r="I59" s="19">
        <v>194</v>
      </c>
      <c r="J59" s="19">
        <v>171</v>
      </c>
      <c r="K59" s="19">
        <v>160</v>
      </c>
      <c r="L59" s="20">
        <v>5.519203413940256E-2</v>
      </c>
      <c r="M59" s="20">
        <v>5.2118256629076501E-2</v>
      </c>
      <c r="N59" s="20">
        <v>5.191434133679429E-2</v>
      </c>
      <c r="P59" s="19">
        <v>0</v>
      </c>
      <c r="Q59" s="19">
        <v>1</v>
      </c>
      <c r="R59" s="19">
        <v>0</v>
      </c>
      <c r="S59" s="20">
        <v>0</v>
      </c>
      <c r="T59" s="20">
        <v>1.1363636363636364E-2</v>
      </c>
      <c r="U59" s="20">
        <v>0</v>
      </c>
      <c r="X59" s="19">
        <v>0</v>
      </c>
      <c r="Y59" s="19">
        <v>0</v>
      </c>
      <c r="Z59" s="19">
        <v>0</v>
      </c>
      <c r="AA59" s="20">
        <v>0</v>
      </c>
      <c r="AB59" s="20">
        <v>0</v>
      </c>
      <c r="AC59" s="20">
        <v>0</v>
      </c>
      <c r="AE59" s="19">
        <v>0</v>
      </c>
      <c r="AF59" s="19">
        <v>0</v>
      </c>
      <c r="AG59" s="19">
        <v>0</v>
      </c>
      <c r="AH59" s="20">
        <v>0</v>
      </c>
      <c r="AI59" s="20">
        <v>0</v>
      </c>
      <c r="AJ59" s="20">
        <v>0</v>
      </c>
      <c r="AL59" s="19">
        <v>0</v>
      </c>
      <c r="AM59" s="19">
        <v>0</v>
      </c>
      <c r="AN59" s="19">
        <v>0</v>
      </c>
      <c r="AO59" s="20">
        <v>0</v>
      </c>
      <c r="AP59" s="20">
        <v>0</v>
      </c>
      <c r="AQ59" s="20">
        <v>0</v>
      </c>
    </row>
    <row r="60" spans="1:43" x14ac:dyDescent="0.25">
      <c r="A60" s="18" t="s">
        <v>48</v>
      </c>
      <c r="B60" s="19">
        <v>141</v>
      </c>
      <c r="C60" s="19">
        <v>83</v>
      </c>
      <c r="D60" s="19">
        <v>596</v>
      </c>
      <c r="E60" s="20">
        <v>4.7259929612870786E-3</v>
      </c>
      <c r="F60" s="20">
        <v>2.6793208083155788E-3</v>
      </c>
      <c r="G60" s="20">
        <v>1.8579132765983976E-2</v>
      </c>
      <c r="I60" s="19">
        <v>62</v>
      </c>
      <c r="J60" s="19">
        <v>51</v>
      </c>
      <c r="K60" s="19">
        <v>84</v>
      </c>
      <c r="L60" s="20">
        <v>3.479236812570146E-2</v>
      </c>
      <c r="M60" s="20">
        <v>3.0088495575221239E-2</v>
      </c>
      <c r="N60" s="20">
        <v>4.1277641277641275E-2</v>
      </c>
      <c r="P60" s="19">
        <v>0</v>
      </c>
      <c r="Q60" s="19">
        <v>0</v>
      </c>
      <c r="R60" s="19">
        <v>0</v>
      </c>
      <c r="S60" s="20">
        <v>0</v>
      </c>
      <c r="T60" s="20">
        <v>0</v>
      </c>
      <c r="U60" s="20">
        <v>0</v>
      </c>
      <c r="X60" s="19">
        <v>0</v>
      </c>
      <c r="Y60" s="19">
        <v>0</v>
      </c>
      <c r="Z60" s="19">
        <v>0</v>
      </c>
      <c r="AA60" s="20">
        <v>0</v>
      </c>
      <c r="AB60" s="20">
        <v>0</v>
      </c>
      <c r="AC60" s="20">
        <v>0</v>
      </c>
      <c r="AE60" s="19">
        <v>0</v>
      </c>
      <c r="AF60" s="19">
        <v>0</v>
      </c>
      <c r="AG60" s="19">
        <v>0</v>
      </c>
      <c r="AH60" s="20">
        <v>0</v>
      </c>
      <c r="AI60" s="20">
        <v>0</v>
      </c>
      <c r="AJ60" s="20">
        <v>0</v>
      </c>
      <c r="AL60" s="19">
        <v>0</v>
      </c>
      <c r="AM60" s="19">
        <v>0</v>
      </c>
      <c r="AN60" s="19">
        <v>0</v>
      </c>
      <c r="AO60" s="20">
        <v>0</v>
      </c>
      <c r="AP60" s="20">
        <v>0</v>
      </c>
      <c r="AQ60" s="20">
        <v>0</v>
      </c>
    </row>
    <row r="61" spans="1:43" x14ac:dyDescent="0.25">
      <c r="A61" s="18" t="s">
        <v>49</v>
      </c>
      <c r="B61" s="19">
        <v>2</v>
      </c>
      <c r="C61" s="19">
        <v>1</v>
      </c>
      <c r="D61" s="19">
        <v>2</v>
      </c>
      <c r="E61" s="20">
        <v>5.5340343110127279E-4</v>
      </c>
      <c r="F61" s="20">
        <v>2.9154518950437317E-4</v>
      </c>
      <c r="G61" s="20">
        <v>6.0957025297165494E-4</v>
      </c>
      <c r="I61" s="19">
        <v>3</v>
      </c>
      <c r="J61" s="19">
        <v>8</v>
      </c>
      <c r="K61" s="19">
        <v>9</v>
      </c>
      <c r="L61" s="20">
        <v>1.1376564277588168E-3</v>
      </c>
      <c r="M61" s="20">
        <v>3.1987205117952819E-3</v>
      </c>
      <c r="N61" s="20">
        <v>3.6719706242350062E-3</v>
      </c>
      <c r="P61" s="19">
        <v>0</v>
      </c>
      <c r="Q61" s="19">
        <v>0</v>
      </c>
      <c r="R61" s="19">
        <v>0</v>
      </c>
      <c r="S61" s="20">
        <v>0</v>
      </c>
      <c r="T61" s="20">
        <v>0</v>
      </c>
      <c r="U61" s="20">
        <v>0</v>
      </c>
      <c r="X61" s="19">
        <v>0</v>
      </c>
      <c r="Y61" s="19">
        <v>0</v>
      </c>
      <c r="Z61" s="19">
        <v>0</v>
      </c>
      <c r="AA61" s="20">
        <v>0</v>
      </c>
      <c r="AB61" s="20">
        <v>0</v>
      </c>
      <c r="AC61" s="20">
        <v>0</v>
      </c>
      <c r="AE61" s="19">
        <v>0</v>
      </c>
      <c r="AF61" s="19">
        <v>0</v>
      </c>
      <c r="AG61" s="19">
        <v>0</v>
      </c>
      <c r="AH61" s="20">
        <v>0</v>
      </c>
      <c r="AI61" s="20">
        <v>0</v>
      </c>
      <c r="AJ61" s="20">
        <v>0</v>
      </c>
      <c r="AL61" s="19">
        <v>0</v>
      </c>
      <c r="AM61" s="19">
        <v>0</v>
      </c>
      <c r="AN61" s="19">
        <v>0</v>
      </c>
      <c r="AO61" s="20">
        <v>0</v>
      </c>
      <c r="AP61" s="20">
        <v>0</v>
      </c>
      <c r="AQ61" s="20">
        <v>0</v>
      </c>
    </row>
    <row r="62" spans="1:43" x14ac:dyDescent="0.25">
      <c r="A62" s="18" t="s">
        <v>50</v>
      </c>
      <c r="B62" s="19">
        <v>44</v>
      </c>
      <c r="C62" s="19">
        <v>0</v>
      </c>
      <c r="D62" s="19">
        <v>0</v>
      </c>
      <c r="E62" s="20">
        <v>7.9422382671480149E-2</v>
      </c>
      <c r="F62" s="20">
        <v>0</v>
      </c>
      <c r="G62" s="20">
        <v>0</v>
      </c>
      <c r="I62" s="19">
        <v>0</v>
      </c>
      <c r="J62" s="19">
        <v>0</v>
      </c>
      <c r="K62" s="19">
        <v>0</v>
      </c>
      <c r="L62" s="20">
        <v>0</v>
      </c>
      <c r="M62" s="20">
        <v>0</v>
      </c>
      <c r="N62" s="20">
        <v>0</v>
      </c>
      <c r="P62" s="19">
        <v>0</v>
      </c>
      <c r="Q62" s="19">
        <v>0</v>
      </c>
      <c r="R62" s="19">
        <v>0</v>
      </c>
      <c r="S62" s="20">
        <v>0</v>
      </c>
      <c r="T62" s="20">
        <v>0</v>
      </c>
      <c r="U62" s="20">
        <v>0</v>
      </c>
      <c r="X62" s="19">
        <v>24</v>
      </c>
      <c r="Y62" s="19">
        <v>0</v>
      </c>
      <c r="Z62" s="19">
        <v>0</v>
      </c>
      <c r="AA62" s="20">
        <v>0.11428571428571428</v>
      </c>
      <c r="AB62" s="20">
        <v>0</v>
      </c>
      <c r="AC62" s="20">
        <v>0</v>
      </c>
      <c r="AE62" s="19">
        <v>0</v>
      </c>
      <c r="AF62" s="19">
        <v>0</v>
      </c>
      <c r="AG62" s="19">
        <v>0</v>
      </c>
      <c r="AH62" s="20">
        <v>0</v>
      </c>
      <c r="AI62" s="20">
        <v>0</v>
      </c>
      <c r="AJ62" s="20">
        <v>0</v>
      </c>
      <c r="AL62" s="19">
        <v>0</v>
      </c>
      <c r="AM62" s="19">
        <v>0</v>
      </c>
      <c r="AN62" s="19">
        <v>0</v>
      </c>
      <c r="AO62" s="20">
        <v>0</v>
      </c>
      <c r="AP62" s="20">
        <v>0</v>
      </c>
      <c r="AQ62" s="20">
        <v>0</v>
      </c>
    </row>
    <row r="63" spans="1:43" x14ac:dyDescent="0.25">
      <c r="A63" s="18" t="s">
        <v>54</v>
      </c>
      <c r="B63" s="19">
        <v>0</v>
      </c>
      <c r="C63" s="19">
        <v>0</v>
      </c>
      <c r="D63" s="19">
        <v>0</v>
      </c>
      <c r="E63" s="20">
        <v>0</v>
      </c>
      <c r="F63" s="20">
        <v>0</v>
      </c>
      <c r="G63" s="20">
        <v>0</v>
      </c>
      <c r="I63" s="19">
        <v>0</v>
      </c>
      <c r="J63" s="19">
        <v>3</v>
      </c>
      <c r="K63" s="19">
        <v>2</v>
      </c>
      <c r="L63" s="20">
        <v>0</v>
      </c>
      <c r="M63" s="20">
        <v>0.23076923076923078</v>
      </c>
      <c r="N63" s="20">
        <v>0.14285714285714285</v>
      </c>
      <c r="P63" s="19">
        <v>0</v>
      </c>
      <c r="Q63" s="19">
        <v>0</v>
      </c>
      <c r="R63" s="19">
        <v>0</v>
      </c>
      <c r="S63" s="20">
        <v>0</v>
      </c>
      <c r="T63" s="20">
        <v>0</v>
      </c>
      <c r="U63" s="20">
        <v>0</v>
      </c>
      <c r="X63" s="19">
        <v>0</v>
      </c>
      <c r="Y63" s="19">
        <v>0</v>
      </c>
      <c r="Z63" s="19">
        <v>0</v>
      </c>
      <c r="AA63" s="20">
        <v>0</v>
      </c>
      <c r="AB63" s="20">
        <v>0</v>
      </c>
      <c r="AC63" s="20">
        <v>0</v>
      </c>
      <c r="AE63" s="19">
        <v>0</v>
      </c>
      <c r="AF63" s="19">
        <v>0</v>
      </c>
      <c r="AG63" s="19">
        <v>0</v>
      </c>
      <c r="AH63" s="20">
        <v>0</v>
      </c>
      <c r="AI63" s="20">
        <v>0</v>
      </c>
      <c r="AJ63" s="20">
        <v>0</v>
      </c>
      <c r="AL63" s="19">
        <v>0</v>
      </c>
      <c r="AM63" s="19">
        <v>0</v>
      </c>
      <c r="AN63" s="19">
        <v>0</v>
      </c>
      <c r="AO63" s="20">
        <v>0</v>
      </c>
      <c r="AP63" s="20">
        <v>0</v>
      </c>
      <c r="AQ63" s="20">
        <v>0</v>
      </c>
    </row>
    <row r="64" spans="1:43" x14ac:dyDescent="0.25">
      <c r="A64" s="18" t="s">
        <v>55</v>
      </c>
      <c r="B64" s="19">
        <v>93</v>
      </c>
      <c r="C64" s="19">
        <v>196</v>
      </c>
      <c r="D64" s="19">
        <v>262</v>
      </c>
      <c r="E64" s="20">
        <v>3.0327735203000165E-3</v>
      </c>
      <c r="F64" s="20">
        <v>6.2436289500509686E-3</v>
      </c>
      <c r="G64" s="20">
        <v>8.2087915530908301E-3</v>
      </c>
      <c r="I64" s="19">
        <v>48</v>
      </c>
      <c r="J64" s="19">
        <v>63</v>
      </c>
      <c r="K64" s="19">
        <v>67</v>
      </c>
      <c r="L64" s="20">
        <v>2.0689655172413793E-2</v>
      </c>
      <c r="M64" s="20">
        <v>2.7415143603133161E-2</v>
      </c>
      <c r="N64" s="20">
        <v>2.8743028743028743E-2</v>
      </c>
      <c r="P64" s="19">
        <v>1</v>
      </c>
      <c r="Q64" s="19">
        <v>1</v>
      </c>
      <c r="R64" s="19">
        <v>0</v>
      </c>
      <c r="S64" s="20">
        <v>9.5238095238095247E-3</v>
      </c>
      <c r="T64" s="20">
        <v>1.1627906976744186E-2</v>
      </c>
      <c r="U64" s="20">
        <v>0</v>
      </c>
      <c r="X64" s="19">
        <v>38</v>
      </c>
      <c r="Y64" s="19">
        <v>49</v>
      </c>
      <c r="Z64" s="19">
        <v>60</v>
      </c>
      <c r="AA64" s="20">
        <v>7.3714839961202712E-3</v>
      </c>
      <c r="AB64" s="20">
        <v>8.3461079884176465E-3</v>
      </c>
      <c r="AC64" s="20">
        <v>9.0552369453667375E-3</v>
      </c>
      <c r="AE64" s="19">
        <v>1</v>
      </c>
      <c r="AF64" s="19">
        <v>2</v>
      </c>
      <c r="AG64" s="19">
        <v>1</v>
      </c>
      <c r="AH64" s="20">
        <v>1.0869565217391304E-2</v>
      </c>
      <c r="AI64" s="20">
        <v>2.197802197802198E-2</v>
      </c>
      <c r="AJ64" s="20">
        <v>0.01</v>
      </c>
      <c r="AL64" s="19">
        <v>0</v>
      </c>
      <c r="AM64" s="19">
        <v>0</v>
      </c>
      <c r="AN64" s="19">
        <v>0</v>
      </c>
      <c r="AO64" s="20">
        <v>0</v>
      </c>
      <c r="AP64" s="20">
        <v>0</v>
      </c>
      <c r="AQ64" s="20">
        <v>0</v>
      </c>
    </row>
    <row r="65" spans="1:43" x14ac:dyDescent="0.25">
      <c r="A65" s="18" t="s">
        <v>56</v>
      </c>
      <c r="B65" s="19">
        <v>1</v>
      </c>
      <c r="C65" s="19">
        <v>33</v>
      </c>
      <c r="D65" s="19">
        <v>34</v>
      </c>
      <c r="E65" s="20">
        <v>1.9000570017100514E-4</v>
      </c>
      <c r="F65" s="20">
        <v>6.799917576756645E-3</v>
      </c>
      <c r="G65" s="20">
        <v>6.2811749491963791E-3</v>
      </c>
      <c r="I65" s="19">
        <v>0</v>
      </c>
      <c r="J65" s="19">
        <v>0</v>
      </c>
      <c r="K65" s="19">
        <v>10</v>
      </c>
      <c r="L65" s="20">
        <v>0</v>
      </c>
      <c r="M65" s="20">
        <v>0</v>
      </c>
      <c r="N65" s="20">
        <v>0.15384615384615385</v>
      </c>
      <c r="P65" s="19">
        <v>0</v>
      </c>
      <c r="Q65" s="19">
        <v>0</v>
      </c>
      <c r="R65" s="19">
        <v>0</v>
      </c>
      <c r="S65" s="20">
        <v>0</v>
      </c>
      <c r="T65" s="20">
        <v>0</v>
      </c>
      <c r="U65" s="20">
        <v>0</v>
      </c>
      <c r="X65" s="19">
        <v>0</v>
      </c>
      <c r="Y65" s="19">
        <v>0</v>
      </c>
      <c r="Z65" s="19">
        <v>0</v>
      </c>
      <c r="AA65" s="20">
        <v>0</v>
      </c>
      <c r="AB65" s="20">
        <v>0</v>
      </c>
      <c r="AC65" s="20">
        <v>0</v>
      </c>
      <c r="AE65" s="19">
        <v>0</v>
      </c>
      <c r="AF65" s="19">
        <v>0</v>
      </c>
      <c r="AG65" s="19">
        <v>0</v>
      </c>
      <c r="AH65" s="20">
        <v>0</v>
      </c>
      <c r="AI65" s="20">
        <v>0</v>
      </c>
      <c r="AJ65" s="20">
        <v>0</v>
      </c>
      <c r="AL65" s="19">
        <v>0</v>
      </c>
      <c r="AM65" s="19">
        <v>0</v>
      </c>
      <c r="AN65" s="19">
        <v>0</v>
      </c>
      <c r="AO65" s="20">
        <v>0</v>
      </c>
      <c r="AP65" s="20">
        <v>0</v>
      </c>
      <c r="AQ65" s="20">
        <v>0</v>
      </c>
    </row>
    <row r="66" spans="1:43" s="43" customFormat="1" x14ac:dyDescent="0.25">
      <c r="A66" s="29" t="s">
        <v>67</v>
      </c>
      <c r="B66" s="27">
        <v>9193</v>
      </c>
      <c r="C66" s="27">
        <v>8398</v>
      </c>
      <c r="D66" s="27">
        <v>8794</v>
      </c>
      <c r="E66" s="22">
        <v>3.2691952758296832E-3</v>
      </c>
      <c r="F66" s="22">
        <v>2.9839885103295463E-3</v>
      </c>
      <c r="G66" s="22">
        <v>3.0701898322742097E-3</v>
      </c>
      <c r="I66" s="27">
        <v>5579</v>
      </c>
      <c r="J66" s="27">
        <v>5128</v>
      </c>
      <c r="K66" s="27">
        <v>5048</v>
      </c>
      <c r="L66" s="22">
        <v>2.1648952476300238E-2</v>
      </c>
      <c r="M66" s="22">
        <v>2.0054281088437504E-2</v>
      </c>
      <c r="N66" s="22">
        <v>1.9566953245524953E-2</v>
      </c>
      <c r="P66" s="27">
        <v>21</v>
      </c>
      <c r="Q66" s="27">
        <v>12</v>
      </c>
      <c r="R66" s="27">
        <v>8</v>
      </c>
      <c r="S66" s="47">
        <v>6.8354924809582707E-4</v>
      </c>
      <c r="T66" s="47">
        <v>3.9607881968511732E-4</v>
      </c>
      <c r="U66" s="47">
        <v>2.6763908868890303E-4</v>
      </c>
      <c r="X66" s="27">
        <v>17484</v>
      </c>
      <c r="Y66" s="27">
        <v>17434</v>
      </c>
      <c r="Z66" s="27">
        <v>16572</v>
      </c>
      <c r="AA66" s="22">
        <v>1.4203859998878899E-2</v>
      </c>
      <c r="AB66" s="22">
        <v>1.4228456750274017E-2</v>
      </c>
      <c r="AC66" s="22">
        <v>1.3294068288127993E-2</v>
      </c>
      <c r="AE66" s="27">
        <v>2202</v>
      </c>
      <c r="AF66" s="27">
        <v>2245</v>
      </c>
      <c r="AG66" s="27">
        <v>2144</v>
      </c>
      <c r="AH66" s="22">
        <v>5.5973563802745298E-2</v>
      </c>
      <c r="AI66" s="22">
        <v>5.7752167314074038E-2</v>
      </c>
      <c r="AJ66" s="22">
        <v>5.3612062714110675E-2</v>
      </c>
      <c r="AL66" s="27">
        <v>13</v>
      </c>
      <c r="AM66" s="27">
        <v>12</v>
      </c>
      <c r="AN66" s="27">
        <v>12</v>
      </c>
      <c r="AO66" s="22">
        <v>4.5646067415730336E-3</v>
      </c>
      <c r="AP66" s="22">
        <v>4.2979942693409743E-3</v>
      </c>
      <c r="AQ66" s="22">
        <v>4.1870202372644803E-3</v>
      </c>
    </row>
    <row r="67" spans="1:43" x14ac:dyDescent="0.25">
      <c r="A67" s="18"/>
      <c r="B67" s="19"/>
      <c r="C67" s="19"/>
      <c r="D67" s="19"/>
      <c r="E67" s="19"/>
      <c r="F67" s="19"/>
      <c r="G67" s="19"/>
      <c r="I67" s="19"/>
      <c r="J67" s="19"/>
      <c r="K67" s="19"/>
      <c r="L67" s="19"/>
      <c r="M67" s="19"/>
      <c r="N67" s="19"/>
      <c r="P67" s="19"/>
      <c r="Q67" s="19"/>
      <c r="R67" s="19"/>
      <c r="S67" s="19"/>
      <c r="T67" s="19"/>
      <c r="U67" s="19"/>
      <c r="X67" s="19"/>
      <c r="Y67" s="19"/>
      <c r="Z67" s="19"/>
      <c r="AA67" s="19"/>
      <c r="AB67" s="19"/>
      <c r="AC67" s="19"/>
      <c r="AE67" s="19"/>
      <c r="AF67" s="19"/>
      <c r="AG67" s="19"/>
      <c r="AH67" s="19"/>
      <c r="AI67" s="19"/>
      <c r="AJ67" s="19"/>
      <c r="AL67" s="19"/>
      <c r="AM67" s="19"/>
      <c r="AN67" s="19"/>
      <c r="AO67" s="19"/>
      <c r="AP67" s="19"/>
      <c r="AQ67" s="19"/>
    </row>
    <row r="68" spans="1:43" x14ac:dyDescent="0.25">
      <c r="A68" s="28" t="s">
        <v>68</v>
      </c>
      <c r="B68" s="25" t="s">
        <v>12</v>
      </c>
      <c r="C68" s="25" t="s">
        <v>164</v>
      </c>
      <c r="D68" s="25" t="s">
        <v>195</v>
      </c>
      <c r="E68" s="25" t="s">
        <v>12</v>
      </c>
      <c r="F68" s="25" t="s">
        <v>164</v>
      </c>
      <c r="G68" s="25" t="s">
        <v>195</v>
      </c>
      <c r="I68" s="25" t="s">
        <v>12</v>
      </c>
      <c r="J68" s="25" t="s">
        <v>164</v>
      </c>
      <c r="K68" s="25" t="s">
        <v>195</v>
      </c>
      <c r="L68" s="25" t="s">
        <v>12</v>
      </c>
      <c r="M68" s="25" t="s">
        <v>164</v>
      </c>
      <c r="N68" s="25" t="s">
        <v>195</v>
      </c>
      <c r="P68" s="25" t="s">
        <v>12</v>
      </c>
      <c r="Q68" s="25" t="s">
        <v>164</v>
      </c>
      <c r="R68" s="25" t="s">
        <v>195</v>
      </c>
      <c r="S68" s="25" t="s">
        <v>12</v>
      </c>
      <c r="T68" s="25" t="s">
        <v>164</v>
      </c>
      <c r="U68" s="25" t="s">
        <v>195</v>
      </c>
      <c r="X68" s="25" t="s">
        <v>12</v>
      </c>
      <c r="Y68" s="25" t="s">
        <v>164</v>
      </c>
      <c r="Z68" s="25" t="s">
        <v>195</v>
      </c>
      <c r="AA68" s="25" t="s">
        <v>12</v>
      </c>
      <c r="AB68" s="25" t="s">
        <v>164</v>
      </c>
      <c r="AC68" s="25" t="s">
        <v>195</v>
      </c>
      <c r="AE68" s="25" t="s">
        <v>12</v>
      </c>
      <c r="AF68" s="25" t="s">
        <v>164</v>
      </c>
      <c r="AG68" s="25" t="s">
        <v>195</v>
      </c>
      <c r="AH68" s="25" t="s">
        <v>12</v>
      </c>
      <c r="AI68" s="25" t="s">
        <v>164</v>
      </c>
      <c r="AJ68" s="25" t="s">
        <v>195</v>
      </c>
      <c r="AL68" s="25" t="s">
        <v>12</v>
      </c>
      <c r="AM68" s="25" t="s">
        <v>164</v>
      </c>
      <c r="AN68" s="25" t="s">
        <v>195</v>
      </c>
      <c r="AO68" s="25" t="s">
        <v>12</v>
      </c>
      <c r="AP68" s="25" t="s">
        <v>164</v>
      </c>
      <c r="AQ68" s="25" t="s">
        <v>195</v>
      </c>
    </row>
    <row r="69" spans="1:43" x14ac:dyDescent="0.25">
      <c r="A69" s="18" t="s">
        <v>17</v>
      </c>
      <c r="B69" s="19">
        <v>16</v>
      </c>
      <c r="C69" s="19">
        <v>25</v>
      </c>
      <c r="D69" s="19">
        <v>22</v>
      </c>
      <c r="E69" s="20">
        <v>3.4035311635822164E-3</v>
      </c>
      <c r="F69" s="20">
        <v>5.7418465778594392E-3</v>
      </c>
      <c r="G69" s="20">
        <v>5.3281666263017679E-3</v>
      </c>
      <c r="I69" s="19">
        <v>0</v>
      </c>
      <c r="J69" s="19">
        <v>2</v>
      </c>
      <c r="K69" s="19">
        <v>3</v>
      </c>
      <c r="L69" s="20">
        <v>0</v>
      </c>
      <c r="M69" s="20">
        <v>2.5316455696202531E-2</v>
      </c>
      <c r="N69" s="20">
        <v>3.3333333333333333E-2</v>
      </c>
      <c r="P69" s="19">
        <v>0</v>
      </c>
      <c r="Q69" s="19">
        <v>0</v>
      </c>
      <c r="R69" s="19">
        <v>0</v>
      </c>
      <c r="S69" s="20">
        <v>0</v>
      </c>
      <c r="T69" s="20">
        <v>0</v>
      </c>
      <c r="U69" s="20">
        <v>0</v>
      </c>
      <c r="X69" s="19">
        <v>0</v>
      </c>
      <c r="Y69" s="19">
        <v>0</v>
      </c>
      <c r="Z69" s="19">
        <v>0</v>
      </c>
      <c r="AA69" s="20">
        <v>0</v>
      </c>
      <c r="AB69" s="20">
        <v>0</v>
      </c>
      <c r="AC69" s="20">
        <v>0</v>
      </c>
      <c r="AE69" s="19">
        <v>0</v>
      </c>
      <c r="AF69" s="19">
        <v>0</v>
      </c>
      <c r="AG69" s="19">
        <v>0</v>
      </c>
      <c r="AH69" s="20">
        <v>0</v>
      </c>
      <c r="AI69" s="20">
        <v>0</v>
      </c>
      <c r="AJ69" s="20">
        <v>0</v>
      </c>
      <c r="AL69" s="19">
        <v>0</v>
      </c>
      <c r="AM69" s="19">
        <v>0</v>
      </c>
      <c r="AN69" s="19">
        <v>0</v>
      </c>
      <c r="AO69" s="20">
        <v>0</v>
      </c>
      <c r="AP69" s="20">
        <v>0</v>
      </c>
      <c r="AQ69" s="20">
        <v>0</v>
      </c>
    </row>
    <row r="70" spans="1:43" x14ac:dyDescent="0.25">
      <c r="A70" s="18" t="s">
        <v>19</v>
      </c>
      <c r="B70" s="19">
        <v>567</v>
      </c>
      <c r="C70" s="19">
        <v>556</v>
      </c>
      <c r="D70" s="19">
        <v>575</v>
      </c>
      <c r="E70" s="20">
        <v>1.9644255354532036E-3</v>
      </c>
      <c r="F70" s="20">
        <v>1.9145214385080506E-3</v>
      </c>
      <c r="G70" s="20">
        <v>1.974120143235291E-3</v>
      </c>
      <c r="I70" s="19">
        <v>209</v>
      </c>
      <c r="J70" s="19">
        <v>208</v>
      </c>
      <c r="K70" s="19">
        <v>216</v>
      </c>
      <c r="L70" s="20">
        <v>1.3993036957686127E-2</v>
      </c>
      <c r="M70" s="20">
        <v>1.3694120745276187E-2</v>
      </c>
      <c r="N70" s="20">
        <v>1.3896037056098817E-2</v>
      </c>
      <c r="P70" s="19">
        <v>3</v>
      </c>
      <c r="Q70" s="19">
        <v>3</v>
      </c>
      <c r="R70" s="19">
        <v>0</v>
      </c>
      <c r="S70" s="20">
        <v>7.1123755334281653E-4</v>
      </c>
      <c r="T70" s="20">
        <v>7.2428778367938191E-4</v>
      </c>
      <c r="U70" s="20">
        <v>0</v>
      </c>
      <c r="X70" s="19">
        <v>666</v>
      </c>
      <c r="Y70" s="19">
        <v>789</v>
      </c>
      <c r="Z70" s="19">
        <v>505</v>
      </c>
      <c r="AA70" s="20">
        <v>9.9480193583079413E-3</v>
      </c>
      <c r="AB70" s="20">
        <v>1.16399150241945E-2</v>
      </c>
      <c r="AC70" s="20">
        <v>7.3371302376939616E-3</v>
      </c>
      <c r="AE70" s="19">
        <v>75</v>
      </c>
      <c r="AF70" s="19">
        <v>68</v>
      </c>
      <c r="AG70" s="19">
        <v>48</v>
      </c>
      <c r="AH70" s="20">
        <v>4.3911007025761124E-2</v>
      </c>
      <c r="AI70" s="20">
        <v>3.9013195639701667E-2</v>
      </c>
      <c r="AJ70" s="20">
        <v>2.6533996683250415E-2</v>
      </c>
      <c r="AL70" s="19">
        <v>2</v>
      </c>
      <c r="AM70" s="19">
        <v>1</v>
      </c>
      <c r="AN70" s="19">
        <v>2</v>
      </c>
      <c r="AO70" s="20">
        <v>8.4745762711864406E-3</v>
      </c>
      <c r="AP70" s="20">
        <v>4.1322314049586778E-3</v>
      </c>
      <c r="AQ70" s="20">
        <v>8.1967213114754103E-3</v>
      </c>
    </row>
    <row r="71" spans="1:43" x14ac:dyDescent="0.25">
      <c r="A71" s="18" t="s">
        <v>20</v>
      </c>
      <c r="B71" s="19">
        <v>46</v>
      </c>
      <c r="C71" s="19">
        <v>48</v>
      </c>
      <c r="D71" s="19">
        <v>116</v>
      </c>
      <c r="E71" s="20">
        <v>2.7379322659365512E-4</v>
      </c>
      <c r="F71" s="20">
        <v>2.6802016851768098E-4</v>
      </c>
      <c r="G71" s="20">
        <v>5.8512274967339052E-4</v>
      </c>
      <c r="I71" s="19">
        <v>87</v>
      </c>
      <c r="J71" s="19">
        <v>45</v>
      </c>
      <c r="K71" s="19">
        <v>67</v>
      </c>
      <c r="L71" s="20">
        <v>9.2415551306564685E-3</v>
      </c>
      <c r="M71" s="20">
        <v>4.7115485289498478E-3</v>
      </c>
      <c r="N71" s="20">
        <v>6.8809694977919273E-3</v>
      </c>
      <c r="P71" s="19">
        <v>1</v>
      </c>
      <c r="Q71" s="19">
        <v>0</v>
      </c>
      <c r="R71" s="19">
        <v>1</v>
      </c>
      <c r="S71" s="20">
        <v>1.6666666666666666E-2</v>
      </c>
      <c r="T71" s="20">
        <v>0</v>
      </c>
      <c r="U71" s="20">
        <v>2.2222222222222223E-2</v>
      </c>
      <c r="X71" s="19">
        <v>0</v>
      </c>
      <c r="Y71" s="19">
        <v>0</v>
      </c>
      <c r="Z71" s="19">
        <v>0</v>
      </c>
      <c r="AA71" s="20">
        <v>0</v>
      </c>
      <c r="AB71" s="20">
        <v>0</v>
      </c>
      <c r="AC71" s="20">
        <v>0</v>
      </c>
      <c r="AE71" s="19">
        <v>0</v>
      </c>
      <c r="AF71" s="19">
        <v>0</v>
      </c>
      <c r="AG71" s="19">
        <v>0</v>
      </c>
      <c r="AH71" s="20">
        <v>0</v>
      </c>
      <c r="AI71" s="20">
        <v>0</v>
      </c>
      <c r="AJ71" s="20">
        <v>0</v>
      </c>
      <c r="AL71" s="19">
        <v>0</v>
      </c>
      <c r="AM71" s="19">
        <v>0</v>
      </c>
      <c r="AN71" s="19">
        <v>0</v>
      </c>
      <c r="AO71" s="20">
        <v>0</v>
      </c>
      <c r="AP71" s="20">
        <v>0</v>
      </c>
      <c r="AQ71" s="20">
        <v>0</v>
      </c>
    </row>
    <row r="72" spans="1:43" x14ac:dyDescent="0.25">
      <c r="A72" s="18" t="s">
        <v>21</v>
      </c>
      <c r="B72" s="19">
        <v>342</v>
      </c>
      <c r="C72" s="19">
        <v>309</v>
      </c>
      <c r="D72" s="19">
        <v>303</v>
      </c>
      <c r="E72" s="20">
        <v>8.9081058553865389E-3</v>
      </c>
      <c r="F72" s="20">
        <v>8.3207669108143045E-3</v>
      </c>
      <c r="G72" s="20">
        <v>8.4330642916782637E-3</v>
      </c>
      <c r="I72" s="19">
        <v>109</v>
      </c>
      <c r="J72" s="19">
        <v>110</v>
      </c>
      <c r="K72" s="19">
        <v>112</v>
      </c>
      <c r="L72" s="20">
        <v>9.6119929453262781E-2</v>
      </c>
      <c r="M72" s="20">
        <v>9.8566308243727599E-2</v>
      </c>
      <c r="N72" s="20">
        <v>9.6635030198446936E-2</v>
      </c>
      <c r="P72" s="19">
        <v>0</v>
      </c>
      <c r="Q72" s="19">
        <v>0</v>
      </c>
      <c r="R72" s="19">
        <v>0</v>
      </c>
      <c r="S72" s="20">
        <v>0</v>
      </c>
      <c r="T72" s="20">
        <v>0</v>
      </c>
      <c r="U72" s="20">
        <v>0</v>
      </c>
      <c r="X72" s="19">
        <v>0</v>
      </c>
      <c r="Y72" s="19">
        <v>0</v>
      </c>
      <c r="Z72" s="19">
        <v>0</v>
      </c>
      <c r="AA72" s="20">
        <v>0</v>
      </c>
      <c r="AB72" s="20">
        <v>0</v>
      </c>
      <c r="AC72" s="20">
        <v>0</v>
      </c>
      <c r="AE72" s="19">
        <v>0</v>
      </c>
      <c r="AF72" s="19">
        <v>0</v>
      </c>
      <c r="AG72" s="19">
        <v>0</v>
      </c>
      <c r="AH72" s="20">
        <v>0</v>
      </c>
      <c r="AI72" s="20">
        <v>0</v>
      </c>
      <c r="AJ72" s="20">
        <v>0</v>
      </c>
      <c r="AL72" s="19">
        <v>0</v>
      </c>
      <c r="AM72" s="19">
        <v>0</v>
      </c>
      <c r="AN72" s="19">
        <v>0</v>
      </c>
      <c r="AO72" s="20">
        <v>0</v>
      </c>
      <c r="AP72" s="20">
        <v>0</v>
      </c>
      <c r="AQ72" s="20">
        <v>0</v>
      </c>
    </row>
    <row r="73" spans="1:43" x14ac:dyDescent="0.25">
      <c r="A73" s="18" t="s">
        <v>26</v>
      </c>
      <c r="B73" s="19">
        <v>10</v>
      </c>
      <c r="C73" s="19">
        <v>5</v>
      </c>
      <c r="D73" s="19">
        <v>9</v>
      </c>
      <c r="E73" s="20">
        <v>9.9601593625498006E-3</v>
      </c>
      <c r="F73" s="20">
        <v>3.8669760247486465E-3</v>
      </c>
      <c r="G73" s="20">
        <v>6.3291139240506328E-3</v>
      </c>
      <c r="I73" s="19">
        <v>0</v>
      </c>
      <c r="J73" s="19">
        <v>1</v>
      </c>
      <c r="K73" s="19">
        <v>1</v>
      </c>
      <c r="L73" s="20">
        <v>0</v>
      </c>
      <c r="M73" s="20">
        <v>1.9120458891013384E-3</v>
      </c>
      <c r="N73" s="20">
        <v>1.9920318725099601E-3</v>
      </c>
      <c r="P73" s="19">
        <v>0</v>
      </c>
      <c r="Q73" s="19">
        <v>0</v>
      </c>
      <c r="R73" s="19">
        <v>0</v>
      </c>
      <c r="S73" s="20">
        <v>0</v>
      </c>
      <c r="T73" s="20">
        <v>0</v>
      </c>
      <c r="U73" s="20">
        <v>0</v>
      </c>
      <c r="X73" s="19">
        <v>0</v>
      </c>
      <c r="Y73" s="19">
        <v>0</v>
      </c>
      <c r="Z73" s="19">
        <v>0</v>
      </c>
      <c r="AA73" s="20">
        <v>0</v>
      </c>
      <c r="AB73" s="20">
        <v>0</v>
      </c>
      <c r="AC73" s="20">
        <v>0</v>
      </c>
      <c r="AE73" s="19">
        <v>0</v>
      </c>
      <c r="AF73" s="19">
        <v>0</v>
      </c>
      <c r="AG73" s="19">
        <v>0</v>
      </c>
      <c r="AH73" s="20">
        <v>0</v>
      </c>
      <c r="AI73" s="20">
        <v>0</v>
      </c>
      <c r="AJ73" s="20">
        <v>0</v>
      </c>
      <c r="AL73" s="19">
        <v>0</v>
      </c>
      <c r="AM73" s="19">
        <v>0</v>
      </c>
      <c r="AN73" s="19">
        <v>0</v>
      </c>
      <c r="AO73" s="20">
        <v>0</v>
      </c>
      <c r="AP73" s="20">
        <v>0</v>
      </c>
      <c r="AQ73" s="20">
        <v>0</v>
      </c>
    </row>
    <row r="74" spans="1:43" x14ac:dyDescent="0.25">
      <c r="A74" s="18" t="s">
        <v>29</v>
      </c>
      <c r="B74" s="19">
        <v>17</v>
      </c>
      <c r="C74" s="19">
        <v>21</v>
      </c>
      <c r="D74" s="19">
        <v>0</v>
      </c>
      <c r="E74" s="20">
        <v>1.0089020771513354E-2</v>
      </c>
      <c r="F74" s="20">
        <v>1.2642986152919929E-2</v>
      </c>
      <c r="G74" s="20">
        <v>0</v>
      </c>
      <c r="I74" s="19">
        <v>0</v>
      </c>
      <c r="J74" s="19">
        <v>0</v>
      </c>
      <c r="K74" s="19">
        <v>0</v>
      </c>
      <c r="L74" s="20">
        <v>0</v>
      </c>
      <c r="M74" s="20">
        <v>0</v>
      </c>
      <c r="N74" s="20">
        <v>0</v>
      </c>
      <c r="P74" s="19">
        <v>0</v>
      </c>
      <c r="Q74" s="19">
        <v>0</v>
      </c>
      <c r="R74" s="19">
        <v>0</v>
      </c>
      <c r="S74" s="20">
        <v>0</v>
      </c>
      <c r="T74" s="20">
        <v>0</v>
      </c>
      <c r="U74" s="20">
        <v>0</v>
      </c>
      <c r="X74" s="19">
        <v>0</v>
      </c>
      <c r="Y74" s="19">
        <v>0</v>
      </c>
      <c r="Z74" s="19">
        <v>0</v>
      </c>
      <c r="AA74" s="20">
        <v>0</v>
      </c>
      <c r="AB74" s="20">
        <v>0</v>
      </c>
      <c r="AC74" s="20">
        <v>0</v>
      </c>
      <c r="AE74" s="19">
        <v>0</v>
      </c>
      <c r="AF74" s="19">
        <v>0</v>
      </c>
      <c r="AG74" s="19">
        <v>0</v>
      </c>
      <c r="AH74" s="20">
        <v>0</v>
      </c>
      <c r="AI74" s="20">
        <v>0</v>
      </c>
      <c r="AJ74" s="20">
        <v>0</v>
      </c>
      <c r="AL74" s="19">
        <v>0</v>
      </c>
      <c r="AM74" s="19">
        <v>0</v>
      </c>
      <c r="AN74" s="19">
        <v>0</v>
      </c>
      <c r="AO74" s="20">
        <v>0</v>
      </c>
      <c r="AP74" s="20">
        <v>0</v>
      </c>
      <c r="AQ74" s="20">
        <v>0</v>
      </c>
    </row>
    <row r="75" spans="1:43" x14ac:dyDescent="0.25">
      <c r="A75" s="18" t="s">
        <v>80</v>
      </c>
      <c r="B75" s="19">
        <v>0</v>
      </c>
      <c r="C75" s="19">
        <v>0</v>
      </c>
      <c r="D75" s="19">
        <v>0</v>
      </c>
      <c r="E75" s="20">
        <v>0</v>
      </c>
      <c r="F75" s="20">
        <v>0</v>
      </c>
      <c r="G75" s="20">
        <v>0</v>
      </c>
      <c r="I75" s="19">
        <v>4</v>
      </c>
      <c r="J75" s="19">
        <v>3</v>
      </c>
      <c r="K75" s="19">
        <v>2</v>
      </c>
      <c r="L75" s="20">
        <v>8.5106382978723402E-2</v>
      </c>
      <c r="M75" s="20">
        <v>6.6666666666666666E-2</v>
      </c>
      <c r="N75" s="20">
        <v>4.6511627906976744E-2</v>
      </c>
      <c r="P75" s="19">
        <v>1</v>
      </c>
      <c r="Q75" s="19">
        <v>1</v>
      </c>
      <c r="R75" s="19">
        <v>0</v>
      </c>
      <c r="S75" s="20">
        <v>1.0741138560687433E-3</v>
      </c>
      <c r="T75" s="20">
        <v>1.0141987829614604E-3</v>
      </c>
      <c r="U75" s="20">
        <v>0</v>
      </c>
      <c r="X75" s="19">
        <v>0</v>
      </c>
      <c r="Y75" s="19">
        <v>0</v>
      </c>
      <c r="Z75" s="19">
        <v>0</v>
      </c>
      <c r="AA75" s="20">
        <v>0</v>
      </c>
      <c r="AB75" s="20">
        <v>0</v>
      </c>
      <c r="AC75" s="20">
        <v>0</v>
      </c>
      <c r="AE75" s="19">
        <v>0</v>
      </c>
      <c r="AF75" s="19">
        <v>0</v>
      </c>
      <c r="AG75" s="19">
        <v>0</v>
      </c>
      <c r="AH75" s="20">
        <v>0</v>
      </c>
      <c r="AI75" s="20">
        <v>0</v>
      </c>
      <c r="AJ75" s="20">
        <v>0</v>
      </c>
      <c r="AL75" s="19">
        <v>0</v>
      </c>
      <c r="AM75" s="19">
        <v>0</v>
      </c>
      <c r="AN75" s="19">
        <v>0</v>
      </c>
      <c r="AO75" s="20">
        <v>0</v>
      </c>
      <c r="AP75" s="20">
        <v>0</v>
      </c>
      <c r="AQ75" s="20">
        <v>0</v>
      </c>
    </row>
    <row r="76" spans="1:43" x14ac:dyDescent="0.25">
      <c r="A76" s="18" t="s">
        <v>37</v>
      </c>
      <c r="B76" s="19">
        <v>0</v>
      </c>
      <c r="C76" s="19">
        <v>0</v>
      </c>
      <c r="D76" s="19">
        <v>0</v>
      </c>
      <c r="E76" s="20">
        <v>0</v>
      </c>
      <c r="F76" s="20">
        <v>0</v>
      </c>
      <c r="G76" s="20">
        <v>0</v>
      </c>
      <c r="I76" s="19">
        <v>3</v>
      </c>
      <c r="J76" s="19">
        <v>0</v>
      </c>
      <c r="K76" s="19">
        <v>0</v>
      </c>
      <c r="L76" s="20">
        <v>6.0362173038229373E-3</v>
      </c>
      <c r="M76" s="20">
        <v>0</v>
      </c>
      <c r="N76" s="20">
        <v>0</v>
      </c>
      <c r="P76" s="19">
        <v>0</v>
      </c>
      <c r="Q76" s="19">
        <v>0</v>
      </c>
      <c r="R76" s="19">
        <v>0</v>
      </c>
      <c r="S76" s="20">
        <v>0</v>
      </c>
      <c r="T76" s="20">
        <v>0</v>
      </c>
      <c r="U76" s="20">
        <v>0</v>
      </c>
      <c r="X76" s="19">
        <v>0</v>
      </c>
      <c r="Y76" s="19">
        <v>0</v>
      </c>
      <c r="Z76" s="19">
        <v>0</v>
      </c>
      <c r="AA76" s="20">
        <v>0</v>
      </c>
      <c r="AB76" s="20">
        <v>0</v>
      </c>
      <c r="AC76" s="20">
        <v>0</v>
      </c>
      <c r="AE76" s="19">
        <v>0</v>
      </c>
      <c r="AF76" s="19">
        <v>0</v>
      </c>
      <c r="AG76" s="19">
        <v>0</v>
      </c>
      <c r="AH76" s="20">
        <v>0</v>
      </c>
      <c r="AI76" s="20">
        <v>0</v>
      </c>
      <c r="AJ76" s="20">
        <v>0</v>
      </c>
      <c r="AL76" s="19">
        <v>0</v>
      </c>
      <c r="AM76" s="19">
        <v>0</v>
      </c>
      <c r="AN76" s="19">
        <v>0</v>
      </c>
      <c r="AO76" s="20">
        <v>0</v>
      </c>
      <c r="AP76" s="20">
        <v>0</v>
      </c>
      <c r="AQ76" s="20">
        <v>0</v>
      </c>
    </row>
    <row r="77" spans="1:43" x14ac:dyDescent="0.25">
      <c r="A77" s="18" t="s">
        <v>41</v>
      </c>
      <c r="B77" s="19">
        <v>0</v>
      </c>
      <c r="C77" s="19">
        <v>0</v>
      </c>
      <c r="D77" s="19">
        <v>0</v>
      </c>
      <c r="E77" s="20">
        <v>0</v>
      </c>
      <c r="F77" s="20">
        <v>0</v>
      </c>
      <c r="G77" s="20">
        <v>0</v>
      </c>
      <c r="I77" s="19">
        <v>6</v>
      </c>
      <c r="J77" s="19">
        <v>0</v>
      </c>
      <c r="K77" s="19">
        <v>5</v>
      </c>
      <c r="L77" s="20">
        <v>8.7976539589442824E-3</v>
      </c>
      <c r="M77" s="20">
        <v>0</v>
      </c>
      <c r="N77" s="20">
        <v>5.3191489361702126E-3</v>
      </c>
      <c r="P77" s="19">
        <v>0</v>
      </c>
      <c r="Q77" s="19">
        <v>0</v>
      </c>
      <c r="R77" s="19">
        <v>0</v>
      </c>
      <c r="S77" s="20">
        <v>0</v>
      </c>
      <c r="T77" s="20">
        <v>0</v>
      </c>
      <c r="U77" s="20">
        <v>0</v>
      </c>
      <c r="X77" s="19">
        <v>0</v>
      </c>
      <c r="Y77" s="19">
        <v>0</v>
      </c>
      <c r="Z77" s="19">
        <v>0</v>
      </c>
      <c r="AA77" s="20">
        <v>0</v>
      </c>
      <c r="AB77" s="20">
        <v>0</v>
      </c>
      <c r="AC77" s="20">
        <v>0</v>
      </c>
      <c r="AE77" s="19">
        <v>0</v>
      </c>
      <c r="AF77" s="19">
        <v>0</v>
      </c>
      <c r="AG77" s="19">
        <v>0</v>
      </c>
      <c r="AH77" s="20">
        <v>0</v>
      </c>
      <c r="AI77" s="20">
        <v>0</v>
      </c>
      <c r="AJ77" s="20">
        <v>0</v>
      </c>
      <c r="AL77" s="19">
        <v>0</v>
      </c>
      <c r="AM77" s="19">
        <v>0</v>
      </c>
      <c r="AN77" s="19">
        <v>0</v>
      </c>
      <c r="AO77" s="20">
        <v>0</v>
      </c>
      <c r="AP77" s="20">
        <v>0</v>
      </c>
      <c r="AQ77" s="20">
        <v>0</v>
      </c>
    </row>
    <row r="78" spans="1:43" x14ac:dyDescent="0.25">
      <c r="A78" s="18" t="s">
        <v>43</v>
      </c>
      <c r="B78" s="19">
        <v>1568</v>
      </c>
      <c r="C78" s="19">
        <v>1634</v>
      </c>
      <c r="D78" s="19">
        <v>1660</v>
      </c>
      <c r="E78" s="20">
        <v>3.2424764413821056E-3</v>
      </c>
      <c r="F78" s="20">
        <v>3.3729040621407001E-3</v>
      </c>
      <c r="G78" s="20">
        <v>3.4426120715399674E-3</v>
      </c>
      <c r="I78" s="19">
        <v>583</v>
      </c>
      <c r="J78" s="19">
        <v>624</v>
      </c>
      <c r="K78" s="19">
        <v>608</v>
      </c>
      <c r="L78" s="20">
        <v>1.7164223046575989E-2</v>
      </c>
      <c r="M78" s="20">
        <v>1.8624641833810889E-2</v>
      </c>
      <c r="N78" s="20">
        <v>1.8317666907688601E-2</v>
      </c>
      <c r="P78" s="19">
        <v>2</v>
      </c>
      <c r="Q78" s="19">
        <v>1</v>
      </c>
      <c r="R78" s="19">
        <v>5</v>
      </c>
      <c r="S78" s="20">
        <v>4.1999160016799666E-4</v>
      </c>
      <c r="T78" s="20">
        <v>2.0024028834601522E-4</v>
      </c>
      <c r="U78" s="20">
        <v>9.8990298950702837E-4</v>
      </c>
      <c r="X78" s="19">
        <v>2506</v>
      </c>
      <c r="Y78" s="19">
        <v>2105</v>
      </c>
      <c r="Z78" s="19">
        <v>1876</v>
      </c>
      <c r="AA78" s="20">
        <v>3.1583192599500917E-2</v>
      </c>
      <c r="AB78" s="20">
        <v>2.6352357941386347E-2</v>
      </c>
      <c r="AC78" s="20">
        <v>2.3419846947055664E-2</v>
      </c>
      <c r="AE78" s="19">
        <v>579</v>
      </c>
      <c r="AF78" s="19">
        <v>530</v>
      </c>
      <c r="AG78" s="19">
        <v>552</v>
      </c>
      <c r="AH78" s="20">
        <v>5.7566116524159876E-2</v>
      </c>
      <c r="AI78" s="20">
        <v>5.1015497160458174E-2</v>
      </c>
      <c r="AJ78" s="20">
        <v>5.2481460353679406E-2</v>
      </c>
      <c r="AL78" s="19">
        <v>9</v>
      </c>
      <c r="AM78" s="19">
        <v>10</v>
      </c>
      <c r="AN78" s="19">
        <v>9</v>
      </c>
      <c r="AO78" s="20">
        <v>2.9605263157894735E-2</v>
      </c>
      <c r="AP78" s="20">
        <v>3.3898305084745763E-2</v>
      </c>
      <c r="AQ78" s="20">
        <v>2.9801324503311258E-2</v>
      </c>
    </row>
    <row r="79" spans="1:43" x14ac:dyDescent="0.25">
      <c r="A79" s="18" t="s">
        <v>126</v>
      </c>
      <c r="B79" s="19">
        <v>23</v>
      </c>
      <c r="C79" s="19">
        <v>23</v>
      </c>
      <c r="D79" s="19">
        <v>23</v>
      </c>
      <c r="E79" s="20">
        <v>2.8269419862340214E-3</v>
      </c>
      <c r="F79" s="20">
        <v>2.7791203479942002E-3</v>
      </c>
      <c r="G79" s="20">
        <v>2.5411556734062533E-3</v>
      </c>
      <c r="I79" s="19">
        <v>74</v>
      </c>
      <c r="J79" s="19">
        <v>74</v>
      </c>
      <c r="K79" s="19">
        <v>62</v>
      </c>
      <c r="L79" s="20">
        <v>1.5542953161100609E-2</v>
      </c>
      <c r="M79" s="20">
        <v>1.624231782265145E-2</v>
      </c>
      <c r="N79" s="20">
        <v>1.4187643020594966E-2</v>
      </c>
      <c r="P79" s="19">
        <v>0</v>
      </c>
      <c r="Q79" s="19">
        <v>0</v>
      </c>
      <c r="R79" s="19">
        <v>0</v>
      </c>
      <c r="S79" s="20">
        <v>0</v>
      </c>
      <c r="T79" s="20">
        <v>0</v>
      </c>
      <c r="U79" s="20">
        <v>0</v>
      </c>
      <c r="X79" s="19">
        <v>0</v>
      </c>
      <c r="Y79" s="19">
        <v>0</v>
      </c>
      <c r="Z79" s="19">
        <v>0</v>
      </c>
      <c r="AA79" s="20">
        <v>0</v>
      </c>
      <c r="AB79" s="20">
        <v>0</v>
      </c>
      <c r="AC79" s="20">
        <v>0</v>
      </c>
      <c r="AE79" s="19">
        <v>0</v>
      </c>
      <c r="AF79" s="19">
        <v>0</v>
      </c>
      <c r="AG79" s="19">
        <v>0</v>
      </c>
      <c r="AH79" s="20">
        <v>0</v>
      </c>
      <c r="AI79" s="20">
        <v>0</v>
      </c>
      <c r="AJ79" s="20">
        <v>0</v>
      </c>
      <c r="AL79" s="19">
        <v>0</v>
      </c>
      <c r="AM79" s="19">
        <v>0</v>
      </c>
      <c r="AN79" s="19">
        <v>0</v>
      </c>
      <c r="AO79" s="20">
        <v>0</v>
      </c>
      <c r="AP79" s="20">
        <v>0</v>
      </c>
      <c r="AQ79" s="20">
        <v>0</v>
      </c>
    </row>
    <row r="80" spans="1:43" x14ac:dyDescent="0.25">
      <c r="A80" s="18" t="s">
        <v>47</v>
      </c>
      <c r="B80" s="19">
        <v>0</v>
      </c>
      <c r="C80" s="19">
        <v>0</v>
      </c>
      <c r="D80" s="19">
        <v>4</v>
      </c>
      <c r="E80" s="20">
        <v>0</v>
      </c>
      <c r="F80" s="20">
        <v>0</v>
      </c>
      <c r="G80" s="20">
        <v>4.8192771084337352E-2</v>
      </c>
      <c r="I80" s="19">
        <v>0</v>
      </c>
      <c r="J80" s="19">
        <v>0</v>
      </c>
      <c r="K80" s="19">
        <v>0</v>
      </c>
      <c r="L80" s="20">
        <v>0</v>
      </c>
      <c r="M80" s="20">
        <v>0</v>
      </c>
      <c r="N80" s="20">
        <v>0</v>
      </c>
      <c r="P80" s="19">
        <v>0</v>
      </c>
      <c r="Q80" s="19">
        <v>0</v>
      </c>
      <c r="R80" s="19">
        <v>0</v>
      </c>
      <c r="S80" s="20">
        <v>0</v>
      </c>
      <c r="T80" s="20">
        <v>0</v>
      </c>
      <c r="U80" s="20">
        <v>0</v>
      </c>
      <c r="X80" s="19">
        <v>0</v>
      </c>
      <c r="Y80" s="19">
        <v>0</v>
      </c>
      <c r="Z80" s="19">
        <v>0</v>
      </c>
      <c r="AA80" s="20">
        <v>0</v>
      </c>
      <c r="AB80" s="20">
        <v>0</v>
      </c>
      <c r="AC80" s="20">
        <v>0</v>
      </c>
      <c r="AE80" s="19">
        <v>0</v>
      </c>
      <c r="AF80" s="19">
        <v>0</v>
      </c>
      <c r="AG80" s="19">
        <v>0</v>
      </c>
      <c r="AH80" s="20">
        <v>0</v>
      </c>
      <c r="AI80" s="20">
        <v>0</v>
      </c>
      <c r="AJ80" s="20">
        <v>0</v>
      </c>
      <c r="AL80" s="19">
        <v>0</v>
      </c>
      <c r="AM80" s="19">
        <v>0</v>
      </c>
      <c r="AN80" s="19">
        <v>0</v>
      </c>
      <c r="AO80" s="20">
        <v>0</v>
      </c>
      <c r="AP80" s="20">
        <v>0</v>
      </c>
      <c r="AQ80" s="20">
        <v>0</v>
      </c>
    </row>
    <row r="81" spans="1:43" x14ac:dyDescent="0.25">
      <c r="A81" s="18" t="s">
        <v>48</v>
      </c>
      <c r="B81" s="19">
        <v>15</v>
      </c>
      <c r="C81" s="19">
        <v>6</v>
      </c>
      <c r="D81" s="19">
        <v>72</v>
      </c>
      <c r="E81" s="20">
        <v>2.0013342228152103E-3</v>
      </c>
      <c r="F81" s="20">
        <v>6.8454078722190526E-4</v>
      </c>
      <c r="G81" s="20">
        <v>8.0690350778886023E-3</v>
      </c>
      <c r="I81" s="19">
        <v>2</v>
      </c>
      <c r="J81" s="19">
        <v>1</v>
      </c>
      <c r="K81" s="19">
        <v>24</v>
      </c>
      <c r="L81" s="20">
        <v>3.3613445378151263E-3</v>
      </c>
      <c r="M81" s="20">
        <v>1.8083182640144665E-3</v>
      </c>
      <c r="N81" s="20">
        <v>0.31168831168831168</v>
      </c>
      <c r="P81" s="19">
        <v>0</v>
      </c>
      <c r="Q81" s="19">
        <v>0</v>
      </c>
      <c r="R81" s="19">
        <v>0</v>
      </c>
      <c r="S81" s="20">
        <v>0</v>
      </c>
      <c r="T81" s="20">
        <v>0</v>
      </c>
      <c r="U81" s="20">
        <v>0</v>
      </c>
      <c r="X81" s="19">
        <v>0</v>
      </c>
      <c r="Y81" s="19">
        <v>0</v>
      </c>
      <c r="Z81" s="19">
        <v>0</v>
      </c>
      <c r="AA81" s="20">
        <v>0</v>
      </c>
      <c r="AB81" s="20">
        <v>0</v>
      </c>
      <c r="AC81" s="20">
        <v>0</v>
      </c>
      <c r="AE81" s="19">
        <v>0</v>
      </c>
      <c r="AF81" s="19">
        <v>0</v>
      </c>
      <c r="AG81" s="19">
        <v>0</v>
      </c>
      <c r="AH81" s="20">
        <v>0</v>
      </c>
      <c r="AI81" s="20">
        <v>0</v>
      </c>
      <c r="AJ81" s="20">
        <v>0</v>
      </c>
      <c r="AL81" s="19">
        <v>0</v>
      </c>
      <c r="AM81" s="19">
        <v>0</v>
      </c>
      <c r="AN81" s="19">
        <v>0</v>
      </c>
      <c r="AO81" s="20">
        <v>0</v>
      </c>
      <c r="AP81" s="20">
        <v>0</v>
      </c>
      <c r="AQ81" s="20">
        <v>0</v>
      </c>
    </row>
    <row r="82" spans="1:43" x14ac:dyDescent="0.25">
      <c r="A82" s="18" t="s">
        <v>49</v>
      </c>
      <c r="B82" s="19">
        <v>0</v>
      </c>
      <c r="C82" s="19">
        <v>0</v>
      </c>
      <c r="D82" s="19">
        <v>0</v>
      </c>
      <c r="E82" s="20">
        <v>0</v>
      </c>
      <c r="F82" s="20">
        <v>0</v>
      </c>
      <c r="G82" s="20">
        <v>0</v>
      </c>
      <c r="I82" s="19">
        <v>3</v>
      </c>
      <c r="J82" s="19">
        <v>5</v>
      </c>
      <c r="K82" s="19">
        <v>6</v>
      </c>
      <c r="L82" s="20">
        <v>1.2106537530266344E-3</v>
      </c>
      <c r="M82" s="20">
        <v>1.9857029388403494E-3</v>
      </c>
      <c r="N82" s="20">
        <v>2.34192037470726E-3</v>
      </c>
      <c r="P82" s="19">
        <v>0</v>
      </c>
      <c r="Q82" s="19">
        <v>0</v>
      </c>
      <c r="R82" s="19">
        <v>0</v>
      </c>
      <c r="S82" s="20">
        <v>0</v>
      </c>
      <c r="T82" s="20">
        <v>0</v>
      </c>
      <c r="U82" s="20">
        <v>0</v>
      </c>
      <c r="X82" s="19">
        <v>0</v>
      </c>
      <c r="Y82" s="19">
        <v>0</v>
      </c>
      <c r="Z82" s="19">
        <v>0</v>
      </c>
      <c r="AA82" s="20">
        <v>0</v>
      </c>
      <c r="AB82" s="20">
        <v>0</v>
      </c>
      <c r="AC82" s="20">
        <v>0</v>
      </c>
      <c r="AE82" s="19">
        <v>0</v>
      </c>
      <c r="AF82" s="19">
        <v>0</v>
      </c>
      <c r="AG82" s="19">
        <v>0</v>
      </c>
      <c r="AH82" s="20">
        <v>0</v>
      </c>
      <c r="AI82" s="20">
        <v>0</v>
      </c>
      <c r="AJ82" s="20">
        <v>0</v>
      </c>
      <c r="AL82" s="19">
        <v>0</v>
      </c>
      <c r="AM82" s="19">
        <v>0</v>
      </c>
      <c r="AN82" s="19">
        <v>0</v>
      </c>
      <c r="AO82" s="20">
        <v>0</v>
      </c>
      <c r="AP82" s="20">
        <v>0</v>
      </c>
      <c r="AQ82" s="20">
        <v>0</v>
      </c>
    </row>
    <row r="83" spans="1:43" x14ac:dyDescent="0.25">
      <c r="A83" s="18" t="s">
        <v>54</v>
      </c>
      <c r="B83" s="19">
        <v>73</v>
      </c>
      <c r="C83" s="19">
        <v>25</v>
      </c>
      <c r="D83" s="19">
        <v>27</v>
      </c>
      <c r="E83" s="20">
        <v>0.13568773234200743</v>
      </c>
      <c r="F83" s="20">
        <v>3.3875338753387531E-2</v>
      </c>
      <c r="G83" s="20">
        <v>3.6585365853658534E-2</v>
      </c>
      <c r="I83" s="19">
        <v>8</v>
      </c>
      <c r="J83" s="19">
        <v>1</v>
      </c>
      <c r="K83" s="19">
        <v>13</v>
      </c>
      <c r="L83" s="20">
        <v>6.2992125984251968E-2</v>
      </c>
      <c r="M83" s="20">
        <v>7.8125E-3</v>
      </c>
      <c r="N83" s="20">
        <v>0.1015625</v>
      </c>
      <c r="P83" s="19">
        <v>0</v>
      </c>
      <c r="Q83" s="19">
        <v>0</v>
      </c>
      <c r="R83" s="19">
        <v>0</v>
      </c>
      <c r="S83" s="20">
        <v>0</v>
      </c>
      <c r="T83" s="20">
        <v>0</v>
      </c>
      <c r="U83" s="20">
        <v>0</v>
      </c>
      <c r="X83" s="19">
        <v>5</v>
      </c>
      <c r="Y83" s="19">
        <v>1</v>
      </c>
      <c r="Z83" s="19">
        <v>4</v>
      </c>
      <c r="AA83" s="20">
        <v>5.6179775280898875E-2</v>
      </c>
      <c r="AB83" s="20">
        <v>1.1235955056179775E-2</v>
      </c>
      <c r="AC83" s="20">
        <v>0</v>
      </c>
      <c r="AE83" s="19">
        <v>0</v>
      </c>
      <c r="AF83" s="19">
        <v>0</v>
      </c>
      <c r="AG83" s="19">
        <v>0</v>
      </c>
      <c r="AH83" s="20">
        <v>0</v>
      </c>
      <c r="AI83" s="20">
        <v>0</v>
      </c>
      <c r="AJ83" s="20">
        <v>0</v>
      </c>
      <c r="AL83" s="19">
        <v>0</v>
      </c>
      <c r="AM83" s="19">
        <v>0</v>
      </c>
      <c r="AN83" s="19">
        <v>0</v>
      </c>
      <c r="AO83" s="20">
        <v>0</v>
      </c>
      <c r="AP83" s="20">
        <v>0</v>
      </c>
      <c r="AQ83" s="20">
        <v>0</v>
      </c>
    </row>
    <row r="84" spans="1:43" x14ac:dyDescent="0.25">
      <c r="A84" s="18" t="s">
        <v>55</v>
      </c>
      <c r="B84" s="19">
        <v>11</v>
      </c>
      <c r="C84" s="19">
        <v>34</v>
      </c>
      <c r="D84" s="19">
        <v>40</v>
      </c>
      <c r="E84" s="20">
        <v>7.2871811858231199E-4</v>
      </c>
      <c r="F84" s="20">
        <v>2.3252633018738885E-3</v>
      </c>
      <c r="G84" s="20">
        <v>2.8698522026115655E-3</v>
      </c>
      <c r="I84" s="19">
        <v>0</v>
      </c>
      <c r="J84" s="19">
        <v>0</v>
      </c>
      <c r="K84" s="19">
        <v>1</v>
      </c>
      <c r="L84" s="20">
        <v>0</v>
      </c>
      <c r="M84" s="20">
        <v>0</v>
      </c>
      <c r="N84" s="20">
        <v>9.2592592592592587E-3</v>
      </c>
      <c r="P84" s="19">
        <v>0</v>
      </c>
      <c r="Q84" s="19">
        <v>0</v>
      </c>
      <c r="R84" s="19">
        <v>0</v>
      </c>
      <c r="S84" s="20">
        <v>0</v>
      </c>
      <c r="T84" s="20">
        <v>0</v>
      </c>
      <c r="U84" s="20">
        <v>0</v>
      </c>
      <c r="X84" s="19">
        <v>0</v>
      </c>
      <c r="Y84" s="19">
        <v>0</v>
      </c>
      <c r="Z84" s="19">
        <v>0</v>
      </c>
      <c r="AA84" s="20">
        <v>0</v>
      </c>
      <c r="AB84" s="20">
        <v>0</v>
      </c>
      <c r="AC84" s="20">
        <v>0</v>
      </c>
      <c r="AE84" s="19">
        <v>0</v>
      </c>
      <c r="AF84" s="19">
        <v>0</v>
      </c>
      <c r="AG84" s="19">
        <v>0</v>
      </c>
      <c r="AH84" s="20">
        <v>0</v>
      </c>
      <c r="AI84" s="20">
        <v>0</v>
      </c>
      <c r="AJ84" s="20">
        <v>0</v>
      </c>
      <c r="AL84" s="19">
        <v>0</v>
      </c>
      <c r="AM84" s="19">
        <v>0</v>
      </c>
      <c r="AN84" s="19">
        <v>0</v>
      </c>
      <c r="AO84" s="20">
        <v>0</v>
      </c>
      <c r="AP84" s="20">
        <v>0</v>
      </c>
      <c r="AQ84" s="20">
        <v>0</v>
      </c>
    </row>
    <row r="85" spans="1:43" s="43" customFormat="1" x14ac:dyDescent="0.25">
      <c r="A85" s="29" t="s">
        <v>69</v>
      </c>
      <c r="B85" s="27">
        <v>2688</v>
      </c>
      <c r="C85" s="27">
        <v>2686</v>
      </c>
      <c r="D85" s="27">
        <v>2851</v>
      </c>
      <c r="E85" s="22">
        <v>2.2256703921253664E-3</v>
      </c>
      <c r="F85" s="22">
        <v>2.2090487109222077E-3</v>
      </c>
      <c r="G85" s="22">
        <v>2.3030939494304869E-3</v>
      </c>
      <c r="I85" s="27">
        <v>1088</v>
      </c>
      <c r="J85" s="27">
        <v>1074</v>
      </c>
      <c r="K85" s="27">
        <v>1120</v>
      </c>
      <c r="L85" s="22">
        <v>1.3555098735438859E-2</v>
      </c>
      <c r="M85" s="22">
        <v>1.3433731925751738E-2</v>
      </c>
      <c r="N85" s="22">
        <v>1.3758030636186077E-2</v>
      </c>
      <c r="P85" s="27">
        <v>7</v>
      </c>
      <c r="Q85" s="27">
        <v>5</v>
      </c>
      <c r="R85" s="27">
        <v>6</v>
      </c>
      <c r="S85" s="22">
        <v>5.2234907842698308E-4</v>
      </c>
      <c r="T85" s="22">
        <v>3.720514919264826E-4</v>
      </c>
      <c r="U85" s="22">
        <v>4.546832373446499E-4</v>
      </c>
      <c r="X85" s="27">
        <v>3177</v>
      </c>
      <c r="Y85" s="27">
        <v>2895</v>
      </c>
      <c r="Z85" s="27">
        <v>2385</v>
      </c>
      <c r="AA85" s="22">
        <v>2.145621298178552E-2</v>
      </c>
      <c r="AB85" s="22">
        <v>1.9306306726864109E-2</v>
      </c>
      <c r="AC85" s="22">
        <v>1.5706495969653865E-2</v>
      </c>
      <c r="AE85" s="27">
        <v>654</v>
      </c>
      <c r="AF85" s="27">
        <v>598</v>
      </c>
      <c r="AG85" s="27">
        <v>600</v>
      </c>
      <c r="AH85" s="22">
        <v>5.5583885772565018E-2</v>
      </c>
      <c r="AI85" s="22">
        <v>4.9283006428218229E-2</v>
      </c>
      <c r="AJ85" s="22">
        <v>4.8305289429192495E-2</v>
      </c>
      <c r="AL85" s="27">
        <v>11</v>
      </c>
      <c r="AM85" s="27">
        <v>11</v>
      </c>
      <c r="AN85" s="27">
        <v>11</v>
      </c>
      <c r="AO85" s="22">
        <v>2.0072992700729927E-2</v>
      </c>
      <c r="AP85" s="22">
        <v>1.9264448336252189E-2</v>
      </c>
      <c r="AQ85" s="22">
        <v>1.8932874354561102E-2</v>
      </c>
    </row>
    <row r="86" spans="1:43" x14ac:dyDescent="0.25">
      <c r="A86" s="18"/>
      <c r="B86" s="19"/>
      <c r="C86" s="19"/>
      <c r="D86" s="19"/>
      <c r="E86" s="19"/>
      <c r="F86" s="19"/>
      <c r="G86" s="19"/>
      <c r="I86" s="19"/>
      <c r="J86" s="19"/>
      <c r="K86" s="19"/>
      <c r="L86" s="19"/>
      <c r="M86" s="19"/>
      <c r="N86" s="19"/>
      <c r="P86" s="19"/>
      <c r="Q86" s="19"/>
      <c r="R86" s="19"/>
      <c r="S86" s="19"/>
      <c r="T86" s="19"/>
      <c r="U86" s="19"/>
      <c r="X86" s="19"/>
      <c r="Y86" s="19"/>
      <c r="Z86" s="19"/>
      <c r="AA86" s="19"/>
      <c r="AB86" s="19"/>
      <c r="AC86" s="19"/>
      <c r="AE86" s="19"/>
      <c r="AF86" s="19"/>
      <c r="AG86" s="19"/>
      <c r="AH86" s="19"/>
      <c r="AI86" s="19"/>
      <c r="AJ86" s="19"/>
      <c r="AL86" s="19"/>
      <c r="AM86" s="19"/>
      <c r="AN86" s="19"/>
      <c r="AO86" s="19"/>
      <c r="AP86" s="19"/>
      <c r="AQ86" s="19"/>
    </row>
    <row r="87" spans="1:43" x14ac:dyDescent="0.25">
      <c r="A87" s="28" t="s">
        <v>70</v>
      </c>
      <c r="B87" s="25" t="s">
        <v>12</v>
      </c>
      <c r="C87" s="25" t="s">
        <v>164</v>
      </c>
      <c r="D87" s="25" t="s">
        <v>195</v>
      </c>
      <c r="E87" s="25" t="s">
        <v>12</v>
      </c>
      <c r="F87" s="25" t="s">
        <v>164</v>
      </c>
      <c r="G87" s="25" t="s">
        <v>195</v>
      </c>
      <c r="I87" s="25" t="s">
        <v>12</v>
      </c>
      <c r="J87" s="25" t="s">
        <v>164</v>
      </c>
      <c r="K87" s="25" t="s">
        <v>195</v>
      </c>
      <c r="L87" s="25" t="s">
        <v>12</v>
      </c>
      <c r="M87" s="25" t="s">
        <v>164</v>
      </c>
      <c r="N87" s="25" t="s">
        <v>195</v>
      </c>
      <c r="P87" s="25" t="s">
        <v>12</v>
      </c>
      <c r="Q87" s="25" t="s">
        <v>164</v>
      </c>
      <c r="R87" s="25" t="s">
        <v>195</v>
      </c>
      <c r="S87" s="25" t="s">
        <v>12</v>
      </c>
      <c r="T87" s="25" t="s">
        <v>164</v>
      </c>
      <c r="U87" s="25" t="s">
        <v>195</v>
      </c>
      <c r="X87" s="25" t="s">
        <v>12</v>
      </c>
      <c r="Y87" s="25" t="s">
        <v>164</v>
      </c>
      <c r="Z87" s="25" t="s">
        <v>195</v>
      </c>
      <c r="AA87" s="25" t="s">
        <v>12</v>
      </c>
      <c r="AB87" s="25" t="s">
        <v>164</v>
      </c>
      <c r="AC87" s="25" t="s">
        <v>195</v>
      </c>
      <c r="AE87" s="25" t="s">
        <v>12</v>
      </c>
      <c r="AF87" s="25" t="s">
        <v>164</v>
      </c>
      <c r="AG87" s="25" t="s">
        <v>195</v>
      </c>
      <c r="AH87" s="25" t="s">
        <v>12</v>
      </c>
      <c r="AI87" s="25" t="s">
        <v>164</v>
      </c>
      <c r="AJ87" s="25" t="s">
        <v>195</v>
      </c>
      <c r="AL87" s="25" t="s">
        <v>12</v>
      </c>
      <c r="AM87" s="25" t="s">
        <v>164</v>
      </c>
      <c r="AN87" s="25" t="s">
        <v>195</v>
      </c>
      <c r="AO87" s="25" t="s">
        <v>12</v>
      </c>
      <c r="AP87" s="25" t="s">
        <v>164</v>
      </c>
      <c r="AQ87" s="25" t="s">
        <v>195</v>
      </c>
    </row>
    <row r="88" spans="1:43" x14ac:dyDescent="0.25">
      <c r="A88" s="18" t="s">
        <v>19</v>
      </c>
      <c r="B88" s="19">
        <v>532</v>
      </c>
      <c r="C88" s="19">
        <v>520</v>
      </c>
      <c r="D88" s="19">
        <v>498</v>
      </c>
      <c r="E88" s="20">
        <v>2.1976660125994012E-3</v>
      </c>
      <c r="F88" s="20">
        <v>2.1550830950308759E-3</v>
      </c>
      <c r="G88" s="20">
        <v>2.0642487046632126E-3</v>
      </c>
      <c r="I88" s="19">
        <v>443</v>
      </c>
      <c r="J88" s="19">
        <v>435</v>
      </c>
      <c r="K88" s="19">
        <v>413</v>
      </c>
      <c r="L88" s="20">
        <v>1.6406192133916007E-2</v>
      </c>
      <c r="M88" s="20">
        <v>1.6060550119992616E-2</v>
      </c>
      <c r="N88" s="20">
        <v>1.5124327095616509E-2</v>
      </c>
      <c r="P88" s="19">
        <v>0</v>
      </c>
      <c r="Q88" s="19">
        <v>0</v>
      </c>
      <c r="R88" s="19">
        <v>0</v>
      </c>
      <c r="S88" s="20">
        <v>0</v>
      </c>
      <c r="T88" s="20">
        <v>0</v>
      </c>
      <c r="U88" s="20">
        <v>0</v>
      </c>
      <c r="X88" s="19">
        <v>365</v>
      </c>
      <c r="Y88" s="19">
        <v>440</v>
      </c>
      <c r="Z88" s="19">
        <v>303</v>
      </c>
      <c r="AA88" s="20">
        <v>3.1177661419138814E-3</v>
      </c>
      <c r="AB88" s="20">
        <v>3.7646414606808867E-3</v>
      </c>
      <c r="AC88" s="20">
        <v>2.5948445662413292E-3</v>
      </c>
      <c r="AE88" s="19">
        <v>42</v>
      </c>
      <c r="AF88" s="19">
        <v>47</v>
      </c>
      <c r="AG88" s="19">
        <v>35</v>
      </c>
      <c r="AH88" s="20">
        <v>1.9952494061757718E-2</v>
      </c>
      <c r="AI88" s="20">
        <v>2.2412970910824989E-2</v>
      </c>
      <c r="AJ88" s="20">
        <v>1.6851227732306212E-2</v>
      </c>
      <c r="AL88" s="19">
        <v>0</v>
      </c>
      <c r="AM88" s="19">
        <v>0</v>
      </c>
      <c r="AN88" s="19">
        <v>0</v>
      </c>
      <c r="AO88" s="20">
        <v>0</v>
      </c>
      <c r="AP88" s="20">
        <v>0</v>
      </c>
      <c r="AQ88" s="20">
        <v>0</v>
      </c>
    </row>
    <row r="89" spans="1:43" x14ac:dyDescent="0.25">
      <c r="A89" s="18" t="s">
        <v>20</v>
      </c>
      <c r="B89" s="19">
        <v>322</v>
      </c>
      <c r="C89" s="19">
        <v>84</v>
      </c>
      <c r="D89" s="19">
        <v>106</v>
      </c>
      <c r="E89" s="20">
        <v>6.5089953507176069E-3</v>
      </c>
      <c r="F89" s="20">
        <v>1.708914839077186E-3</v>
      </c>
      <c r="G89" s="20">
        <v>2.0674052114214385E-3</v>
      </c>
      <c r="I89" s="19">
        <v>79</v>
      </c>
      <c r="J89" s="19">
        <v>45</v>
      </c>
      <c r="K89" s="19">
        <v>54</v>
      </c>
      <c r="L89" s="20">
        <v>9.5583787053841497E-3</v>
      </c>
      <c r="M89" s="20">
        <v>5.5187637969094927E-3</v>
      </c>
      <c r="N89" s="20">
        <v>6.337284356296209E-3</v>
      </c>
      <c r="P89" s="19">
        <v>1</v>
      </c>
      <c r="Q89" s="19">
        <v>0</v>
      </c>
      <c r="R89" s="19">
        <v>0</v>
      </c>
      <c r="S89" s="20">
        <v>6.5789473684210523E-3</v>
      </c>
      <c r="T89" s="20">
        <v>0</v>
      </c>
      <c r="U89" s="20">
        <v>0</v>
      </c>
      <c r="X89" s="19">
        <v>292</v>
      </c>
      <c r="Y89" s="19">
        <v>117</v>
      </c>
      <c r="Z89" s="19">
        <v>165</v>
      </c>
      <c r="AA89" s="20">
        <v>1.2996839809498376E-2</v>
      </c>
      <c r="AB89" s="20">
        <v>5.1147540983606556E-3</v>
      </c>
      <c r="AC89" s="20">
        <v>6.8807339449541288E-3</v>
      </c>
      <c r="AE89" s="19">
        <v>1</v>
      </c>
      <c r="AF89" s="19">
        <v>0</v>
      </c>
      <c r="AG89" s="19">
        <v>0</v>
      </c>
      <c r="AH89" s="20">
        <v>0.33333333333333331</v>
      </c>
      <c r="AI89" s="20">
        <v>0</v>
      </c>
      <c r="AJ89" s="20">
        <v>0</v>
      </c>
      <c r="AL89" s="19">
        <v>0</v>
      </c>
      <c r="AM89" s="19">
        <v>0</v>
      </c>
      <c r="AN89" s="19">
        <v>0</v>
      </c>
      <c r="AO89" s="20">
        <v>0</v>
      </c>
      <c r="AP89" s="20">
        <v>0</v>
      </c>
      <c r="AQ89" s="20">
        <v>0</v>
      </c>
    </row>
    <row r="90" spans="1:43" x14ac:dyDescent="0.25">
      <c r="A90" s="18" t="s">
        <v>21</v>
      </c>
      <c r="B90" s="19">
        <v>36</v>
      </c>
      <c r="C90" s="19">
        <v>32</v>
      </c>
      <c r="D90" s="19">
        <v>26</v>
      </c>
      <c r="E90" s="20">
        <v>5.8252427184466021E-3</v>
      </c>
      <c r="F90" s="20">
        <v>5.1746442432082798E-3</v>
      </c>
      <c r="G90" s="20">
        <v>4.4804411511287267E-3</v>
      </c>
      <c r="I90" s="19">
        <v>8</v>
      </c>
      <c r="J90" s="19">
        <v>4</v>
      </c>
      <c r="K90" s="19">
        <v>5</v>
      </c>
      <c r="L90" s="20">
        <v>3.864734299516908E-2</v>
      </c>
      <c r="M90" s="20">
        <v>1.9704433497536946E-2</v>
      </c>
      <c r="N90" s="20">
        <v>3.3112582781456956E-2</v>
      </c>
      <c r="P90" s="19">
        <v>0</v>
      </c>
      <c r="Q90" s="19">
        <v>0</v>
      </c>
      <c r="R90" s="19">
        <v>0</v>
      </c>
      <c r="S90" s="20">
        <v>0</v>
      </c>
      <c r="T90" s="20">
        <v>0</v>
      </c>
      <c r="U90" s="20">
        <v>0</v>
      </c>
      <c r="X90" s="19">
        <v>0</v>
      </c>
      <c r="Y90" s="19">
        <v>0</v>
      </c>
      <c r="Z90" s="19">
        <v>0</v>
      </c>
      <c r="AA90" s="20">
        <v>0</v>
      </c>
      <c r="AB90" s="20">
        <v>0</v>
      </c>
      <c r="AC90" s="20">
        <v>0</v>
      </c>
      <c r="AE90" s="19">
        <v>0</v>
      </c>
      <c r="AF90" s="19">
        <v>0</v>
      </c>
      <c r="AG90" s="19">
        <v>0</v>
      </c>
      <c r="AH90" s="20">
        <v>0</v>
      </c>
      <c r="AI90" s="20">
        <v>0</v>
      </c>
      <c r="AJ90" s="20">
        <v>0</v>
      </c>
      <c r="AL90" s="19">
        <v>0</v>
      </c>
      <c r="AM90" s="19">
        <v>0</v>
      </c>
      <c r="AN90" s="19">
        <v>0</v>
      </c>
      <c r="AO90" s="20">
        <v>0</v>
      </c>
      <c r="AP90" s="20">
        <v>0</v>
      </c>
      <c r="AQ90" s="20">
        <v>0</v>
      </c>
    </row>
    <row r="91" spans="1:43" x14ac:dyDescent="0.25">
      <c r="A91" s="18" t="s">
        <v>26</v>
      </c>
      <c r="B91" s="19">
        <v>4</v>
      </c>
      <c r="C91" s="19">
        <v>2</v>
      </c>
      <c r="D91" s="19">
        <v>1</v>
      </c>
      <c r="E91" s="20">
        <v>2.0335536349771225E-3</v>
      </c>
      <c r="F91" s="20">
        <v>1.006036217303823E-3</v>
      </c>
      <c r="G91" s="20">
        <v>5.1387461459403907E-4</v>
      </c>
      <c r="I91" s="19">
        <v>0</v>
      </c>
      <c r="J91" s="19">
        <v>1</v>
      </c>
      <c r="K91" s="19">
        <v>1</v>
      </c>
      <c r="L91" s="20">
        <v>0</v>
      </c>
      <c r="M91" s="20">
        <v>1.1235955056179775E-2</v>
      </c>
      <c r="N91" s="20">
        <v>1.1764705882352941E-2</v>
      </c>
      <c r="P91" s="19">
        <v>0</v>
      </c>
      <c r="Q91" s="19">
        <v>0</v>
      </c>
      <c r="R91" s="19">
        <v>0</v>
      </c>
      <c r="S91" s="20">
        <v>0</v>
      </c>
      <c r="T91" s="20">
        <v>0</v>
      </c>
      <c r="U91" s="20">
        <v>0</v>
      </c>
      <c r="X91" s="19">
        <v>0</v>
      </c>
      <c r="Y91" s="19">
        <v>0</v>
      </c>
      <c r="Z91" s="19">
        <v>0</v>
      </c>
      <c r="AA91" s="20">
        <v>0</v>
      </c>
      <c r="AB91" s="20">
        <v>0</v>
      </c>
      <c r="AC91" s="20">
        <v>0</v>
      </c>
      <c r="AE91" s="19">
        <v>0</v>
      </c>
      <c r="AF91" s="19">
        <v>0</v>
      </c>
      <c r="AG91" s="19">
        <v>0</v>
      </c>
      <c r="AH91" s="20">
        <v>0</v>
      </c>
      <c r="AI91" s="20">
        <v>0</v>
      </c>
      <c r="AJ91" s="20">
        <v>0</v>
      </c>
      <c r="AL91" s="19">
        <v>0</v>
      </c>
      <c r="AM91" s="19">
        <v>0</v>
      </c>
      <c r="AN91" s="19">
        <v>0</v>
      </c>
      <c r="AO91" s="20">
        <v>0</v>
      </c>
      <c r="AP91" s="20">
        <v>0</v>
      </c>
      <c r="AQ91" s="20">
        <v>0</v>
      </c>
    </row>
    <row r="92" spans="1:43" x14ac:dyDescent="0.25">
      <c r="A92" s="18" t="s">
        <v>29</v>
      </c>
      <c r="B92" s="19">
        <v>1</v>
      </c>
      <c r="C92" s="19">
        <v>13</v>
      </c>
      <c r="D92" s="19">
        <v>0</v>
      </c>
      <c r="E92" s="20">
        <v>8.0128205128205125E-4</v>
      </c>
      <c r="F92" s="20">
        <v>8.3708950418544745E-3</v>
      </c>
      <c r="G92" s="20">
        <v>0</v>
      </c>
      <c r="I92" s="19">
        <v>0</v>
      </c>
      <c r="J92" s="19">
        <v>0</v>
      </c>
      <c r="K92" s="19">
        <v>0</v>
      </c>
      <c r="L92" s="20">
        <v>0</v>
      </c>
      <c r="M92" s="20">
        <v>0</v>
      </c>
      <c r="N92" s="20">
        <v>0</v>
      </c>
      <c r="P92" s="19">
        <v>0</v>
      </c>
      <c r="Q92" s="19">
        <v>0</v>
      </c>
      <c r="R92" s="19">
        <v>0</v>
      </c>
      <c r="S92" s="20">
        <v>0</v>
      </c>
      <c r="T92" s="20">
        <v>0</v>
      </c>
      <c r="U92" s="20">
        <v>0</v>
      </c>
      <c r="X92" s="19">
        <v>0</v>
      </c>
      <c r="Y92" s="19">
        <v>0</v>
      </c>
      <c r="Z92" s="19">
        <v>0</v>
      </c>
      <c r="AA92" s="20">
        <v>0</v>
      </c>
      <c r="AB92" s="20">
        <v>0</v>
      </c>
      <c r="AC92" s="20">
        <v>0</v>
      </c>
      <c r="AE92" s="19">
        <v>0</v>
      </c>
      <c r="AF92" s="19">
        <v>0</v>
      </c>
      <c r="AG92" s="19">
        <v>0</v>
      </c>
      <c r="AH92" s="20">
        <v>0</v>
      </c>
      <c r="AI92" s="20">
        <v>0</v>
      </c>
      <c r="AJ92" s="20">
        <v>0</v>
      </c>
      <c r="AL92" s="19">
        <v>0</v>
      </c>
      <c r="AM92" s="19">
        <v>0</v>
      </c>
      <c r="AN92" s="19">
        <v>0</v>
      </c>
      <c r="AO92" s="20">
        <v>0</v>
      </c>
      <c r="AP92" s="20">
        <v>0</v>
      </c>
      <c r="AQ92" s="20">
        <v>0</v>
      </c>
    </row>
    <row r="93" spans="1:43" x14ac:dyDescent="0.25">
      <c r="A93" s="18" t="s">
        <v>80</v>
      </c>
      <c r="B93" s="19">
        <v>0</v>
      </c>
      <c r="C93" s="19">
        <v>0</v>
      </c>
      <c r="D93" s="19">
        <v>0</v>
      </c>
      <c r="E93" s="20">
        <v>0</v>
      </c>
      <c r="F93" s="20">
        <v>0</v>
      </c>
      <c r="G93" s="20">
        <v>0</v>
      </c>
      <c r="I93" s="19">
        <v>13</v>
      </c>
      <c r="J93" s="19">
        <v>8</v>
      </c>
      <c r="K93" s="19">
        <v>9</v>
      </c>
      <c r="L93" s="20">
        <v>0.44827586206896552</v>
      </c>
      <c r="M93" s="20">
        <v>0.26666666666666666</v>
      </c>
      <c r="N93" s="20">
        <v>0.26470588235294118</v>
      </c>
      <c r="P93" s="19">
        <v>1</v>
      </c>
      <c r="Q93" s="19">
        <v>1</v>
      </c>
      <c r="R93" s="19">
        <v>0</v>
      </c>
      <c r="S93" s="20">
        <v>1.6393442622950821E-2</v>
      </c>
      <c r="T93" s="20">
        <v>1.6129032258064516E-2</v>
      </c>
      <c r="U93" s="20">
        <v>0</v>
      </c>
      <c r="X93" s="19">
        <v>0</v>
      </c>
      <c r="Y93" s="19">
        <v>0</v>
      </c>
      <c r="Z93" s="19">
        <v>0</v>
      </c>
      <c r="AA93" s="20">
        <v>0</v>
      </c>
      <c r="AB93" s="20">
        <v>0</v>
      </c>
      <c r="AC93" s="20">
        <v>0</v>
      </c>
      <c r="AE93" s="19">
        <v>0</v>
      </c>
      <c r="AF93" s="19">
        <v>0</v>
      </c>
      <c r="AG93" s="19">
        <v>0</v>
      </c>
      <c r="AH93" s="20">
        <v>0</v>
      </c>
      <c r="AI93" s="20">
        <v>0</v>
      </c>
      <c r="AJ93" s="20">
        <v>0</v>
      </c>
      <c r="AL93" s="19">
        <v>0</v>
      </c>
      <c r="AM93" s="19">
        <v>0</v>
      </c>
      <c r="AN93" s="19">
        <v>0</v>
      </c>
      <c r="AO93" s="20">
        <v>0</v>
      </c>
      <c r="AP93" s="20">
        <v>0</v>
      </c>
      <c r="AQ93" s="20">
        <v>0</v>
      </c>
    </row>
    <row r="94" spans="1:43" x14ac:dyDescent="0.25">
      <c r="A94" s="18" t="s">
        <v>37</v>
      </c>
      <c r="B94" s="19">
        <v>10</v>
      </c>
      <c r="C94" s="19">
        <v>0</v>
      </c>
      <c r="D94" s="19">
        <v>0</v>
      </c>
      <c r="E94" s="20">
        <v>2.8397796331004716E-4</v>
      </c>
      <c r="F94" s="20">
        <v>0</v>
      </c>
      <c r="G94" s="20">
        <v>0</v>
      </c>
      <c r="I94" s="19">
        <v>11</v>
      </c>
      <c r="J94" s="19">
        <v>0</v>
      </c>
      <c r="K94" s="19">
        <v>0</v>
      </c>
      <c r="L94" s="20">
        <v>4.2553191489361703E-3</v>
      </c>
      <c r="M94" s="20">
        <v>0</v>
      </c>
      <c r="N94" s="20">
        <v>0</v>
      </c>
      <c r="P94" s="19">
        <v>0</v>
      </c>
      <c r="Q94" s="19">
        <v>0</v>
      </c>
      <c r="R94" s="19">
        <v>0</v>
      </c>
      <c r="S94" s="20">
        <v>0</v>
      </c>
      <c r="T94" s="20">
        <v>0</v>
      </c>
      <c r="U94" s="20">
        <v>0</v>
      </c>
      <c r="X94" s="19">
        <v>0</v>
      </c>
      <c r="Y94" s="19">
        <v>0</v>
      </c>
      <c r="Z94" s="19">
        <v>0</v>
      </c>
      <c r="AA94" s="20">
        <v>0</v>
      </c>
      <c r="AB94" s="20">
        <v>0</v>
      </c>
      <c r="AC94" s="20">
        <v>0</v>
      </c>
      <c r="AE94" s="19">
        <v>0</v>
      </c>
      <c r="AF94" s="19">
        <v>0</v>
      </c>
      <c r="AG94" s="19">
        <v>0</v>
      </c>
      <c r="AH94" s="20">
        <v>0</v>
      </c>
      <c r="AI94" s="20">
        <v>0</v>
      </c>
      <c r="AJ94" s="20">
        <v>0</v>
      </c>
      <c r="AL94" s="19">
        <v>0</v>
      </c>
      <c r="AM94" s="19">
        <v>0</v>
      </c>
      <c r="AN94" s="19">
        <v>0</v>
      </c>
      <c r="AO94" s="20">
        <v>0</v>
      </c>
      <c r="AP94" s="20">
        <v>0</v>
      </c>
      <c r="AQ94" s="20">
        <v>0</v>
      </c>
    </row>
    <row r="95" spans="1:43" x14ac:dyDescent="0.25">
      <c r="A95" s="18" t="s">
        <v>40</v>
      </c>
      <c r="B95" s="19">
        <v>11</v>
      </c>
      <c r="C95" s="19">
        <v>10</v>
      </c>
      <c r="D95" s="19">
        <v>11</v>
      </c>
      <c r="E95" s="20">
        <v>2.9834553837808516E-3</v>
      </c>
      <c r="F95" s="20">
        <v>2.7085590465872156E-3</v>
      </c>
      <c r="G95" s="20">
        <v>2.8335909325090162E-3</v>
      </c>
      <c r="I95" s="19">
        <v>36</v>
      </c>
      <c r="J95" s="19">
        <v>40</v>
      </c>
      <c r="K95" s="19">
        <v>42</v>
      </c>
      <c r="L95" s="20">
        <v>1.238390092879257E-2</v>
      </c>
      <c r="M95" s="20">
        <v>1.4099400775467043E-2</v>
      </c>
      <c r="N95" s="20">
        <v>1.5069967707212056E-2</v>
      </c>
      <c r="P95" s="19">
        <v>0</v>
      </c>
      <c r="Q95" s="19">
        <v>0</v>
      </c>
      <c r="R95" s="19">
        <v>0</v>
      </c>
      <c r="S95" s="20">
        <v>0</v>
      </c>
      <c r="T95" s="20">
        <v>0</v>
      </c>
      <c r="U95" s="20">
        <v>0</v>
      </c>
      <c r="X95" s="19">
        <v>0</v>
      </c>
      <c r="Y95" s="19">
        <v>0</v>
      </c>
      <c r="Z95" s="19">
        <v>0</v>
      </c>
      <c r="AA95" s="20">
        <v>0</v>
      </c>
      <c r="AB95" s="20">
        <v>0</v>
      </c>
      <c r="AC95" s="20">
        <v>0</v>
      </c>
      <c r="AE95" s="19">
        <v>0</v>
      </c>
      <c r="AF95" s="19">
        <v>0</v>
      </c>
      <c r="AG95" s="19">
        <v>0</v>
      </c>
      <c r="AH95" s="20">
        <v>0</v>
      </c>
      <c r="AI95" s="20">
        <v>0</v>
      </c>
      <c r="AJ95" s="20">
        <v>0</v>
      </c>
      <c r="AL95" s="19">
        <v>0</v>
      </c>
      <c r="AM95" s="19">
        <v>0</v>
      </c>
      <c r="AN95" s="19">
        <v>0</v>
      </c>
      <c r="AO95" s="20">
        <v>0</v>
      </c>
      <c r="AP95" s="20">
        <v>0</v>
      </c>
      <c r="AQ95" s="20">
        <v>0</v>
      </c>
    </row>
    <row r="96" spans="1:43" x14ac:dyDescent="0.25">
      <c r="A96" s="18" t="s">
        <v>41</v>
      </c>
      <c r="B96" s="19">
        <v>0</v>
      </c>
      <c r="C96" s="19">
        <v>0</v>
      </c>
      <c r="D96" s="19">
        <v>0</v>
      </c>
      <c r="E96" s="20">
        <v>0</v>
      </c>
      <c r="F96" s="20">
        <v>0</v>
      </c>
      <c r="G96" s="20">
        <v>0</v>
      </c>
      <c r="I96" s="19">
        <v>6</v>
      </c>
      <c r="J96" s="19">
        <v>0</v>
      </c>
      <c r="K96" s="19">
        <v>3</v>
      </c>
      <c r="L96" s="20">
        <v>2.5000000000000001E-2</v>
      </c>
      <c r="M96" s="20">
        <v>0</v>
      </c>
      <c r="N96" s="20">
        <v>1.3392857142857142E-2</v>
      </c>
      <c r="P96" s="19">
        <v>0</v>
      </c>
      <c r="Q96" s="19">
        <v>0</v>
      </c>
      <c r="R96" s="19">
        <v>0</v>
      </c>
      <c r="S96" s="20">
        <v>0</v>
      </c>
      <c r="T96" s="20">
        <v>0</v>
      </c>
      <c r="U96" s="20">
        <v>0</v>
      </c>
      <c r="X96" s="19">
        <v>0</v>
      </c>
      <c r="Y96" s="19">
        <v>0</v>
      </c>
      <c r="Z96" s="19">
        <v>0</v>
      </c>
      <c r="AA96" s="20">
        <v>0</v>
      </c>
      <c r="AB96" s="20">
        <v>0</v>
      </c>
      <c r="AC96" s="20">
        <v>0</v>
      </c>
      <c r="AE96" s="19">
        <v>0</v>
      </c>
      <c r="AF96" s="19">
        <v>0</v>
      </c>
      <c r="AG96" s="19">
        <v>0</v>
      </c>
      <c r="AH96" s="20">
        <v>0</v>
      </c>
      <c r="AI96" s="20">
        <v>0</v>
      </c>
      <c r="AJ96" s="20">
        <v>0</v>
      </c>
      <c r="AL96" s="19">
        <v>0</v>
      </c>
      <c r="AM96" s="19">
        <v>0</v>
      </c>
      <c r="AN96" s="19">
        <v>0</v>
      </c>
      <c r="AO96" s="20">
        <v>0</v>
      </c>
      <c r="AP96" s="20">
        <v>0</v>
      </c>
      <c r="AQ96" s="20">
        <v>0</v>
      </c>
    </row>
    <row r="97" spans="1:43" x14ac:dyDescent="0.25">
      <c r="A97" s="18" t="s">
        <v>43</v>
      </c>
      <c r="B97" s="19">
        <v>276</v>
      </c>
      <c r="C97" s="19">
        <v>286</v>
      </c>
      <c r="D97" s="19">
        <v>248</v>
      </c>
      <c r="E97" s="20">
        <v>1.4156822716571177E-3</v>
      </c>
      <c r="F97" s="20">
        <v>1.4585213856973108E-3</v>
      </c>
      <c r="G97" s="20">
        <v>1.2360200155499292E-3</v>
      </c>
      <c r="I97" s="19">
        <v>159</v>
      </c>
      <c r="J97" s="19">
        <v>149</v>
      </c>
      <c r="K97" s="19">
        <v>147</v>
      </c>
      <c r="L97" s="20">
        <v>7.3761365745036184E-3</v>
      </c>
      <c r="M97" s="20">
        <v>6.9467108023684087E-3</v>
      </c>
      <c r="N97" s="20">
        <v>6.855064353665361E-3</v>
      </c>
      <c r="P97" s="19">
        <v>1</v>
      </c>
      <c r="Q97" s="19">
        <v>1</v>
      </c>
      <c r="R97" s="19">
        <v>1</v>
      </c>
      <c r="S97" s="20">
        <v>5.737234652897303E-4</v>
      </c>
      <c r="T97" s="20">
        <v>5.5493895671476139E-4</v>
      </c>
      <c r="U97" s="20">
        <v>5.7142857142857147E-4</v>
      </c>
      <c r="X97" s="19">
        <v>1720</v>
      </c>
      <c r="Y97" s="19">
        <v>1576</v>
      </c>
      <c r="Z97" s="19">
        <v>1447</v>
      </c>
      <c r="AA97" s="20">
        <v>1.1587875848037135E-2</v>
      </c>
      <c r="AB97" s="20">
        <v>1.0564206377402251E-2</v>
      </c>
      <c r="AC97" s="20">
        <v>9.5846856991455252E-3</v>
      </c>
      <c r="AE97" s="19">
        <v>271</v>
      </c>
      <c r="AF97" s="19">
        <v>252</v>
      </c>
      <c r="AG97" s="19">
        <v>236</v>
      </c>
      <c r="AH97" s="20">
        <v>6.5348444658789487E-2</v>
      </c>
      <c r="AI97" s="20">
        <v>5.9602649006622516E-2</v>
      </c>
      <c r="AJ97" s="20">
        <v>5.5673507902807264E-2</v>
      </c>
      <c r="AL97" s="19">
        <v>10</v>
      </c>
      <c r="AM97" s="19">
        <v>5</v>
      </c>
      <c r="AN97" s="19">
        <v>3</v>
      </c>
      <c r="AO97" s="20">
        <v>2.7100271002710029E-2</v>
      </c>
      <c r="AP97" s="20">
        <v>1.4044943820224719E-2</v>
      </c>
      <c r="AQ97" s="20">
        <v>8.4269662921348312E-3</v>
      </c>
    </row>
    <row r="98" spans="1:43" x14ac:dyDescent="0.25">
      <c r="A98" s="18" t="s">
        <v>126</v>
      </c>
      <c r="B98" s="19">
        <v>33</v>
      </c>
      <c r="C98" s="19">
        <v>37</v>
      </c>
      <c r="D98" s="19">
        <v>30</v>
      </c>
      <c r="E98" s="20">
        <v>1.5949734171097148E-3</v>
      </c>
      <c r="F98" s="20">
        <v>1.8008371459164801E-3</v>
      </c>
      <c r="G98" s="20">
        <v>1.4736221632773356E-3</v>
      </c>
      <c r="I98" s="19">
        <v>62</v>
      </c>
      <c r="J98" s="19">
        <v>58</v>
      </c>
      <c r="K98" s="19">
        <v>50</v>
      </c>
      <c r="L98" s="20">
        <v>1.8954448180984407E-2</v>
      </c>
      <c r="M98" s="20">
        <v>1.8176120338451895E-2</v>
      </c>
      <c r="N98" s="20">
        <v>1.6010246557796991E-2</v>
      </c>
      <c r="P98" s="19">
        <v>0</v>
      </c>
      <c r="Q98" s="19">
        <v>0</v>
      </c>
      <c r="R98" s="19">
        <v>0</v>
      </c>
      <c r="S98" s="20">
        <v>0</v>
      </c>
      <c r="T98" s="20">
        <v>0</v>
      </c>
      <c r="U98" s="20">
        <v>0</v>
      </c>
      <c r="X98" s="19">
        <v>0</v>
      </c>
      <c r="Y98" s="19">
        <v>0</v>
      </c>
      <c r="Z98" s="19">
        <v>0</v>
      </c>
      <c r="AA98" s="20">
        <v>0</v>
      </c>
      <c r="AB98" s="20">
        <v>0</v>
      </c>
      <c r="AC98" s="20">
        <v>0</v>
      </c>
      <c r="AE98" s="19">
        <v>0</v>
      </c>
      <c r="AF98" s="19">
        <v>0</v>
      </c>
      <c r="AG98" s="19">
        <v>0</v>
      </c>
      <c r="AH98" s="20">
        <v>0</v>
      </c>
      <c r="AI98" s="20">
        <v>0</v>
      </c>
      <c r="AJ98" s="20">
        <v>0</v>
      </c>
      <c r="AL98" s="19">
        <v>0</v>
      </c>
      <c r="AM98" s="19">
        <v>0</v>
      </c>
      <c r="AN98" s="19">
        <v>0</v>
      </c>
      <c r="AO98" s="20">
        <v>0</v>
      </c>
      <c r="AP98" s="20">
        <v>0</v>
      </c>
      <c r="AQ98" s="20">
        <v>0</v>
      </c>
    </row>
    <row r="99" spans="1:43" x14ac:dyDescent="0.25">
      <c r="A99" s="18" t="s">
        <v>48</v>
      </c>
      <c r="B99" s="19">
        <v>0</v>
      </c>
      <c r="C99" s="19">
        <v>0</v>
      </c>
      <c r="D99" s="19">
        <v>1</v>
      </c>
      <c r="E99" s="20">
        <v>0</v>
      </c>
      <c r="F99" s="20">
        <v>0</v>
      </c>
      <c r="G99" s="20">
        <v>3.6231884057971015E-3</v>
      </c>
      <c r="I99" s="19">
        <v>0</v>
      </c>
      <c r="J99" s="19">
        <v>0</v>
      </c>
      <c r="K99" s="19">
        <v>0</v>
      </c>
      <c r="L99" s="20">
        <v>0</v>
      </c>
      <c r="M99" s="20">
        <v>0</v>
      </c>
      <c r="N99" s="20">
        <v>0</v>
      </c>
      <c r="P99" s="19">
        <v>0</v>
      </c>
      <c r="Q99" s="19">
        <v>0</v>
      </c>
      <c r="R99" s="19">
        <v>0</v>
      </c>
      <c r="S99" s="20">
        <v>0</v>
      </c>
      <c r="T99" s="20">
        <v>0</v>
      </c>
      <c r="U99" s="20">
        <v>0</v>
      </c>
      <c r="X99" s="19">
        <v>0</v>
      </c>
      <c r="Y99" s="19">
        <v>0</v>
      </c>
      <c r="Z99" s="19">
        <v>0</v>
      </c>
      <c r="AA99" s="20">
        <v>0</v>
      </c>
      <c r="AB99" s="20">
        <v>0</v>
      </c>
      <c r="AC99" s="20">
        <v>0</v>
      </c>
      <c r="AE99" s="19">
        <v>0</v>
      </c>
      <c r="AF99" s="19">
        <v>0</v>
      </c>
      <c r="AG99" s="19">
        <v>0</v>
      </c>
      <c r="AH99" s="20">
        <v>0</v>
      </c>
      <c r="AI99" s="20">
        <v>0</v>
      </c>
      <c r="AJ99" s="20">
        <v>0</v>
      </c>
      <c r="AL99" s="19">
        <v>0</v>
      </c>
      <c r="AM99" s="19">
        <v>0</v>
      </c>
      <c r="AN99" s="19">
        <v>0</v>
      </c>
      <c r="AO99" s="20">
        <v>0</v>
      </c>
      <c r="AP99" s="20">
        <v>0</v>
      </c>
      <c r="AQ99" s="20">
        <v>0</v>
      </c>
    </row>
    <row r="100" spans="1:43" x14ac:dyDescent="0.25">
      <c r="A100" s="18" t="s">
        <v>49</v>
      </c>
      <c r="B100" s="19">
        <v>0</v>
      </c>
      <c r="C100" s="19">
        <v>0</v>
      </c>
      <c r="D100" s="19">
        <v>0</v>
      </c>
      <c r="E100" s="20">
        <v>0</v>
      </c>
      <c r="F100" s="20">
        <v>0</v>
      </c>
      <c r="G100" s="20">
        <v>0</v>
      </c>
      <c r="I100" s="19">
        <v>0</v>
      </c>
      <c r="J100" s="19">
        <v>1</v>
      </c>
      <c r="K100" s="19">
        <v>0</v>
      </c>
      <c r="L100" s="20">
        <v>0</v>
      </c>
      <c r="M100" s="20">
        <v>8.3333333333333332E-3</v>
      </c>
      <c r="N100" s="20">
        <v>0</v>
      </c>
      <c r="P100" s="19">
        <v>0</v>
      </c>
      <c r="Q100" s="19">
        <v>0</v>
      </c>
      <c r="R100" s="19">
        <v>0</v>
      </c>
      <c r="S100" s="20">
        <v>0</v>
      </c>
      <c r="T100" s="20">
        <v>0</v>
      </c>
      <c r="U100" s="20">
        <v>0</v>
      </c>
      <c r="X100" s="19">
        <v>0</v>
      </c>
      <c r="Y100" s="19">
        <v>0</v>
      </c>
      <c r="Z100" s="19">
        <v>0</v>
      </c>
      <c r="AA100" s="20">
        <v>0</v>
      </c>
      <c r="AB100" s="20">
        <v>0</v>
      </c>
      <c r="AC100" s="20">
        <v>0</v>
      </c>
      <c r="AE100" s="19">
        <v>0</v>
      </c>
      <c r="AF100" s="19">
        <v>0</v>
      </c>
      <c r="AG100" s="19">
        <v>0</v>
      </c>
      <c r="AH100" s="20">
        <v>0</v>
      </c>
      <c r="AI100" s="20">
        <v>0</v>
      </c>
      <c r="AJ100" s="20">
        <v>0</v>
      </c>
      <c r="AL100" s="19">
        <v>0</v>
      </c>
      <c r="AM100" s="19">
        <v>0</v>
      </c>
      <c r="AN100" s="19">
        <v>0</v>
      </c>
      <c r="AO100" s="20">
        <v>0</v>
      </c>
      <c r="AP100" s="20">
        <v>0</v>
      </c>
      <c r="AQ100" s="20">
        <v>0</v>
      </c>
    </row>
    <row r="101" spans="1:43" x14ac:dyDescent="0.25">
      <c r="A101" s="18" t="s">
        <v>54</v>
      </c>
      <c r="B101" s="19">
        <v>31</v>
      </c>
      <c r="C101" s="19">
        <v>6</v>
      </c>
      <c r="D101" s="19">
        <v>7</v>
      </c>
      <c r="E101" s="20">
        <v>1.8289085545722714E-2</v>
      </c>
      <c r="F101" s="20">
        <v>3.5419126328217238E-3</v>
      </c>
      <c r="G101" s="20">
        <v>3.5879036391594054E-3</v>
      </c>
      <c r="I101" s="19">
        <v>0</v>
      </c>
      <c r="J101" s="19">
        <v>0</v>
      </c>
      <c r="K101" s="19">
        <v>0</v>
      </c>
      <c r="L101" s="20">
        <v>0</v>
      </c>
      <c r="M101" s="20">
        <v>0</v>
      </c>
      <c r="N101" s="20">
        <v>0</v>
      </c>
      <c r="P101" s="19">
        <v>0</v>
      </c>
      <c r="Q101" s="19">
        <v>0</v>
      </c>
      <c r="R101" s="19">
        <v>0</v>
      </c>
      <c r="S101" s="20">
        <v>0</v>
      </c>
      <c r="T101" s="20">
        <v>0</v>
      </c>
      <c r="U101" s="20">
        <v>0</v>
      </c>
      <c r="X101" s="19">
        <v>34</v>
      </c>
      <c r="Y101" s="19">
        <v>8</v>
      </c>
      <c r="Z101" s="19">
        <v>8</v>
      </c>
      <c r="AA101" s="20">
        <v>3.6836403033586131E-2</v>
      </c>
      <c r="AB101" s="20">
        <v>8.658008658008658E-3</v>
      </c>
      <c r="AC101" s="20">
        <v>1.3333333333333333</v>
      </c>
      <c r="AE101" s="19">
        <v>0</v>
      </c>
      <c r="AF101" s="19">
        <v>0</v>
      </c>
      <c r="AG101" s="19">
        <v>0</v>
      </c>
      <c r="AH101" s="20">
        <v>0</v>
      </c>
      <c r="AI101" s="20">
        <v>0</v>
      </c>
      <c r="AJ101" s="20">
        <v>0</v>
      </c>
      <c r="AL101" s="19">
        <v>0</v>
      </c>
      <c r="AM101" s="19">
        <v>0</v>
      </c>
      <c r="AN101" s="19">
        <v>0</v>
      </c>
      <c r="AO101" s="20">
        <v>0</v>
      </c>
      <c r="AP101" s="20">
        <v>0</v>
      </c>
      <c r="AQ101" s="20">
        <v>0</v>
      </c>
    </row>
    <row r="102" spans="1:43" x14ac:dyDescent="0.25">
      <c r="A102" s="18" t="s">
        <v>55</v>
      </c>
      <c r="B102" s="19">
        <v>44</v>
      </c>
      <c r="C102" s="19">
        <v>110</v>
      </c>
      <c r="D102" s="19">
        <v>149</v>
      </c>
      <c r="E102" s="20">
        <v>5.5625790139064474E-4</v>
      </c>
      <c r="F102" s="20">
        <v>1.3270599589817831E-3</v>
      </c>
      <c r="G102" s="20">
        <v>1.7821900604030859E-3</v>
      </c>
      <c r="I102" s="19">
        <v>17</v>
      </c>
      <c r="J102" s="19">
        <v>33</v>
      </c>
      <c r="K102" s="19">
        <v>37</v>
      </c>
      <c r="L102" s="20">
        <v>4.4902271526677234E-3</v>
      </c>
      <c r="M102" s="20">
        <v>8.5603112840466934E-3</v>
      </c>
      <c r="N102" s="20">
        <v>9.3576125442589777E-3</v>
      </c>
      <c r="P102" s="19">
        <v>0</v>
      </c>
      <c r="Q102" s="19">
        <v>0</v>
      </c>
      <c r="R102" s="19">
        <v>0</v>
      </c>
      <c r="S102" s="20">
        <v>0</v>
      </c>
      <c r="T102" s="20">
        <v>0</v>
      </c>
      <c r="U102" s="20">
        <v>0</v>
      </c>
      <c r="X102" s="19">
        <v>42</v>
      </c>
      <c r="Y102" s="19">
        <v>116</v>
      </c>
      <c r="Z102" s="19">
        <v>110</v>
      </c>
      <c r="AA102" s="20">
        <v>1.0121701409808411E-3</v>
      </c>
      <c r="AB102" s="20">
        <v>2.6662376169352057E-3</v>
      </c>
      <c r="AC102" s="20">
        <v>2.44173140954495E-3</v>
      </c>
      <c r="AE102" s="19">
        <v>0</v>
      </c>
      <c r="AF102" s="19">
        <v>1</v>
      </c>
      <c r="AG102" s="19">
        <v>2</v>
      </c>
      <c r="AH102" s="20">
        <v>0</v>
      </c>
      <c r="AI102" s="20">
        <v>5.235602094240838E-3</v>
      </c>
      <c r="AJ102" s="20">
        <v>9.2592592592592587E-3</v>
      </c>
      <c r="AL102" s="19">
        <v>0</v>
      </c>
      <c r="AM102" s="19">
        <v>0</v>
      </c>
      <c r="AN102" s="19">
        <v>0</v>
      </c>
      <c r="AO102" s="20">
        <v>0</v>
      </c>
      <c r="AP102" s="20">
        <v>0</v>
      </c>
      <c r="AQ102" s="20">
        <v>0</v>
      </c>
    </row>
    <row r="103" spans="1:43" x14ac:dyDescent="0.25">
      <c r="A103" s="18" t="s">
        <v>58</v>
      </c>
      <c r="B103" s="19">
        <v>0</v>
      </c>
      <c r="C103" s="19">
        <v>0</v>
      </c>
      <c r="D103" s="19">
        <v>1</v>
      </c>
      <c r="E103" s="20">
        <v>0</v>
      </c>
      <c r="F103" s="20">
        <v>0</v>
      </c>
      <c r="G103" s="20">
        <v>0.14285714285714285</v>
      </c>
      <c r="I103" s="19">
        <v>0</v>
      </c>
      <c r="J103" s="19">
        <v>0</v>
      </c>
      <c r="K103" s="19">
        <v>0</v>
      </c>
      <c r="L103" s="20">
        <v>0</v>
      </c>
      <c r="M103" s="20">
        <v>0</v>
      </c>
      <c r="N103" s="20">
        <v>0</v>
      </c>
      <c r="P103" s="19">
        <v>0</v>
      </c>
      <c r="Q103" s="19">
        <v>0</v>
      </c>
      <c r="R103" s="19">
        <v>2</v>
      </c>
      <c r="S103" s="20">
        <v>0</v>
      </c>
      <c r="T103" s="20">
        <v>0</v>
      </c>
      <c r="U103" s="20">
        <v>5.7142857142857141E-2</v>
      </c>
      <c r="X103" s="19">
        <v>0</v>
      </c>
      <c r="Y103" s="19">
        <v>0</v>
      </c>
      <c r="Z103" s="19">
        <v>0</v>
      </c>
      <c r="AA103" s="20">
        <v>0</v>
      </c>
      <c r="AB103" s="20">
        <v>0</v>
      </c>
      <c r="AC103" s="20">
        <v>0</v>
      </c>
      <c r="AE103" s="19">
        <v>0</v>
      </c>
      <c r="AF103" s="19">
        <v>0</v>
      </c>
      <c r="AG103" s="19">
        <v>0</v>
      </c>
      <c r="AH103" s="20">
        <v>0</v>
      </c>
      <c r="AI103" s="20">
        <v>0</v>
      </c>
      <c r="AJ103" s="20">
        <v>0</v>
      </c>
      <c r="AL103" s="19">
        <v>0</v>
      </c>
      <c r="AM103" s="19">
        <v>0</v>
      </c>
      <c r="AN103" s="19">
        <v>0</v>
      </c>
      <c r="AO103" s="20">
        <v>0</v>
      </c>
      <c r="AP103" s="20">
        <v>0</v>
      </c>
      <c r="AQ103" s="20">
        <v>0</v>
      </c>
    </row>
    <row r="104" spans="1:43" s="43" customFormat="1" x14ac:dyDescent="0.25">
      <c r="A104" s="29" t="s">
        <v>71</v>
      </c>
      <c r="B104" s="27">
        <v>1300</v>
      </c>
      <c r="C104" s="27">
        <v>1100</v>
      </c>
      <c r="D104" s="27">
        <v>1078</v>
      </c>
      <c r="E104" s="22">
        <v>1.8255504034466392E-3</v>
      </c>
      <c r="F104" s="22">
        <v>1.5450718528642121E-3</v>
      </c>
      <c r="G104" s="22">
        <v>1.4974905226075228E-3</v>
      </c>
      <c r="I104" s="27">
        <v>834</v>
      </c>
      <c r="J104" s="27">
        <v>774</v>
      </c>
      <c r="K104" s="27">
        <v>761</v>
      </c>
      <c r="L104" s="22">
        <v>1.1151074327124921E-2</v>
      </c>
      <c r="M104" s="22">
        <v>1.0352022255510379E-2</v>
      </c>
      <c r="N104" s="22">
        <v>1.0121699807142382E-2</v>
      </c>
      <c r="P104" s="27">
        <v>3</v>
      </c>
      <c r="Q104" s="27">
        <v>2</v>
      </c>
      <c r="R104" s="27">
        <v>3</v>
      </c>
      <c r="S104" s="22">
        <v>2.8192839018889202E-4</v>
      </c>
      <c r="T104" s="22">
        <v>1.8578727357176033E-4</v>
      </c>
      <c r="U104" s="22">
        <v>5.8263740532142161E-4</v>
      </c>
      <c r="X104" s="27">
        <v>2453</v>
      </c>
      <c r="Y104" s="27">
        <v>2257</v>
      </c>
      <c r="Z104" s="27">
        <v>2033</v>
      </c>
      <c r="AA104" s="22">
        <v>6.336782010048953E-3</v>
      </c>
      <c r="AB104" s="22">
        <v>5.8105258821984744E-3</v>
      </c>
      <c r="AC104" s="22">
        <v>5.1893221974341824E-3</v>
      </c>
      <c r="AE104" s="27">
        <v>314</v>
      </c>
      <c r="AF104" s="27">
        <v>300</v>
      </c>
      <c r="AG104" s="27">
        <v>273</v>
      </c>
      <c r="AH104" s="22">
        <v>4.4837926602884479E-2</v>
      </c>
      <c r="AI104" s="22">
        <v>4.2577348850411582E-2</v>
      </c>
      <c r="AJ104" s="22">
        <v>3.3288623338617242E-2</v>
      </c>
      <c r="AL104" s="27">
        <v>10</v>
      </c>
      <c r="AM104" s="27">
        <v>5</v>
      </c>
      <c r="AN104" s="27">
        <v>3</v>
      </c>
      <c r="AO104" s="22">
        <v>1.5552099533437015E-2</v>
      </c>
      <c r="AP104" s="22">
        <v>7.7760497667185074E-3</v>
      </c>
      <c r="AQ104" s="22">
        <v>4.559270516717325E-3</v>
      </c>
    </row>
    <row r="105" spans="1:43" x14ac:dyDescent="0.25">
      <c r="A105" s="18"/>
      <c r="B105" s="19"/>
      <c r="C105" s="19"/>
      <c r="D105" s="19"/>
      <c r="E105" s="19"/>
      <c r="F105" s="19"/>
      <c r="G105" s="19"/>
      <c r="I105" s="19"/>
      <c r="J105" s="19"/>
      <c r="K105" s="19"/>
      <c r="L105" s="19"/>
      <c r="M105" s="19"/>
      <c r="N105" s="19"/>
      <c r="P105" s="19"/>
      <c r="Q105" s="19"/>
      <c r="R105" s="19"/>
      <c r="S105" s="19"/>
      <c r="T105" s="19"/>
      <c r="U105" s="19"/>
    </row>
    <row r="106" spans="1:43" x14ac:dyDescent="0.25">
      <c r="A106" s="28" t="s">
        <v>72</v>
      </c>
      <c r="B106" s="25" t="s">
        <v>12</v>
      </c>
      <c r="C106" s="25" t="s">
        <v>164</v>
      </c>
      <c r="D106" s="25" t="s">
        <v>195</v>
      </c>
      <c r="E106" s="25" t="s">
        <v>12</v>
      </c>
      <c r="F106" s="25" t="s">
        <v>164</v>
      </c>
      <c r="G106" s="25" t="s">
        <v>195</v>
      </c>
      <c r="I106" s="25" t="s">
        <v>12</v>
      </c>
      <c r="J106" s="25" t="s">
        <v>164</v>
      </c>
      <c r="K106" s="25" t="s">
        <v>195</v>
      </c>
      <c r="L106" s="25" t="s">
        <v>12</v>
      </c>
      <c r="M106" s="25" t="s">
        <v>164</v>
      </c>
      <c r="N106" s="25" t="s">
        <v>195</v>
      </c>
      <c r="P106" s="25" t="s">
        <v>12</v>
      </c>
      <c r="Q106" s="25" t="s">
        <v>164</v>
      </c>
      <c r="R106" s="25" t="s">
        <v>195</v>
      </c>
      <c r="S106" s="25" t="s">
        <v>12</v>
      </c>
      <c r="T106" s="25" t="s">
        <v>164</v>
      </c>
      <c r="U106" s="25" t="s">
        <v>195</v>
      </c>
    </row>
    <row r="107" spans="1:43" x14ac:dyDescent="0.25">
      <c r="A107" s="18" t="s">
        <v>22</v>
      </c>
      <c r="B107" s="19">
        <v>648</v>
      </c>
      <c r="C107" s="19">
        <v>620</v>
      </c>
      <c r="D107" s="19">
        <v>542</v>
      </c>
      <c r="E107" s="20">
        <v>4.453914358375146E-2</v>
      </c>
      <c r="F107" s="20">
        <v>8.8710831306338528E-2</v>
      </c>
      <c r="G107" s="20">
        <v>0.1516083916083916</v>
      </c>
      <c r="I107" s="19">
        <v>283</v>
      </c>
      <c r="J107" s="19">
        <v>258</v>
      </c>
      <c r="K107" s="19">
        <v>238</v>
      </c>
      <c r="L107" s="20">
        <v>7.8654808226792661E-2</v>
      </c>
      <c r="M107" s="20">
        <v>7.2676056338028164E-2</v>
      </c>
      <c r="N107" s="20">
        <v>6.8136272545090179E-2</v>
      </c>
      <c r="P107" s="19">
        <v>5</v>
      </c>
      <c r="Q107" s="19">
        <v>6</v>
      </c>
      <c r="R107" s="19">
        <v>4</v>
      </c>
      <c r="S107" s="20">
        <v>2.5075225677031092E-3</v>
      </c>
      <c r="T107" s="20">
        <v>3.1364349189754314E-3</v>
      </c>
      <c r="U107" s="20">
        <v>2.1834061135371178E-3</v>
      </c>
    </row>
    <row r="108" spans="1:43" x14ac:dyDescent="0.25">
      <c r="A108" s="18" t="s">
        <v>80</v>
      </c>
      <c r="B108" s="19">
        <v>0</v>
      </c>
      <c r="C108" s="19">
        <v>0</v>
      </c>
      <c r="D108" s="19">
        <v>0</v>
      </c>
      <c r="E108" s="20">
        <v>0</v>
      </c>
      <c r="F108" s="20">
        <v>0</v>
      </c>
      <c r="G108" s="20">
        <v>0</v>
      </c>
      <c r="I108" s="19">
        <v>30</v>
      </c>
      <c r="J108" s="19">
        <v>19</v>
      </c>
      <c r="K108" s="19">
        <v>14</v>
      </c>
      <c r="L108" s="20">
        <v>0.19230769230769232</v>
      </c>
      <c r="M108" s="20">
        <v>0.1144578313253012</v>
      </c>
      <c r="N108" s="20">
        <v>0.1891891891891892</v>
      </c>
      <c r="P108" s="19">
        <v>1</v>
      </c>
      <c r="Q108" s="19">
        <v>1</v>
      </c>
      <c r="R108" s="19">
        <v>0</v>
      </c>
      <c r="S108" s="20">
        <v>3.787878787878788E-3</v>
      </c>
      <c r="T108" s="20">
        <v>3.7037037037037038E-3</v>
      </c>
      <c r="U108" s="20">
        <v>0</v>
      </c>
    </row>
    <row r="109" spans="1:43" s="43" customFormat="1" x14ac:dyDescent="0.25">
      <c r="A109" s="29" t="s">
        <v>73</v>
      </c>
      <c r="B109" s="27">
        <v>648</v>
      </c>
      <c r="C109" s="27">
        <v>620</v>
      </c>
      <c r="D109" s="27">
        <v>542</v>
      </c>
      <c r="E109" s="22">
        <v>4.4328909563551788E-2</v>
      </c>
      <c r="F109" s="22">
        <v>7.9660799177694974E-2</v>
      </c>
      <c r="G109" s="22">
        <v>0.10505911998449312</v>
      </c>
      <c r="I109" s="27">
        <v>313</v>
      </c>
      <c r="J109" s="27">
        <v>277</v>
      </c>
      <c r="K109" s="27">
        <v>252</v>
      </c>
      <c r="L109" s="22">
        <v>8.3222547194894969E-2</v>
      </c>
      <c r="M109" s="22">
        <v>7.2627163083377036E-2</v>
      </c>
      <c r="N109" s="22">
        <v>6.32688927943761E-2</v>
      </c>
      <c r="P109" s="27">
        <v>6</v>
      </c>
      <c r="Q109" s="27">
        <v>7</v>
      </c>
      <c r="R109" s="27">
        <v>4</v>
      </c>
      <c r="S109" s="22">
        <v>2.6501766784452299E-3</v>
      </c>
      <c r="T109" s="22">
        <v>3.1376064545047063E-3</v>
      </c>
      <c r="U109" s="22">
        <v>1.8859028760018859E-3</v>
      </c>
    </row>
  </sheetData>
  <mergeCells count="20">
    <mergeCell ref="AL5:AN5"/>
    <mergeCell ref="AO5:AQ5"/>
    <mergeCell ref="AL4:AQ4"/>
    <mergeCell ref="AE4:AJ4"/>
    <mergeCell ref="X4:AC4"/>
    <mergeCell ref="S5:U5"/>
    <mergeCell ref="X5:Z5"/>
    <mergeCell ref="AA5:AC5"/>
    <mergeCell ref="AE5:AG5"/>
    <mergeCell ref="AH5:AJ5"/>
    <mergeCell ref="B5:D5"/>
    <mergeCell ref="E5:G5"/>
    <mergeCell ref="I5:K5"/>
    <mergeCell ref="L5:N5"/>
    <mergeCell ref="P5:R5"/>
    <mergeCell ref="B3:S3"/>
    <mergeCell ref="X3:AO3"/>
    <mergeCell ref="P4:U4"/>
    <mergeCell ref="I4:N4"/>
    <mergeCell ref="B4:G4"/>
  </mergeCells>
  <conditionalFormatting sqref="A5">
    <cfRule type="duplicateValues" dxfId="8" priority="3"/>
  </conditionalFormatting>
  <conditionalFormatting sqref="W5">
    <cfRule type="duplicateValues" dxfId="7" priority="2"/>
  </conditionalFormatting>
  <conditionalFormatting sqref="A6">
    <cfRule type="duplicateValues" dxfId="6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6"/>
  <sheetViews>
    <sheetView zoomScale="99" zoomScaleNormal="99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" sqref="D1"/>
    </sheetView>
  </sheetViews>
  <sheetFormatPr defaultColWidth="8.7109375" defaultRowHeight="12.75" x14ac:dyDescent="0.2"/>
  <cols>
    <col min="1" max="1" width="29.140625" style="19" customWidth="1"/>
    <col min="2" max="2" width="11.85546875" style="19" customWidth="1"/>
    <col min="3" max="3" width="11.85546875" style="20" customWidth="1"/>
    <col min="4" max="4" width="11.85546875" style="19" customWidth="1"/>
    <col min="5" max="7" width="11.85546875" style="20" customWidth="1"/>
    <col min="8" max="9" width="11.85546875" style="19" customWidth="1"/>
    <col min="10" max="10" width="11.85546875" style="20" customWidth="1"/>
    <col min="11" max="11" width="11.85546875" style="19" customWidth="1"/>
    <col min="12" max="14" width="11.85546875" style="20" customWidth="1"/>
    <col min="15" max="16" width="11.85546875" style="19" customWidth="1"/>
    <col min="17" max="17" width="11.85546875" style="20" customWidth="1"/>
    <col min="18" max="18" width="11.85546875" style="19" customWidth="1"/>
    <col min="19" max="21" width="11.85546875" style="20" customWidth="1"/>
    <col min="22" max="23" width="11.85546875" style="19" customWidth="1"/>
    <col min="24" max="24" width="11.85546875" style="20" customWidth="1"/>
    <col min="25" max="25" width="11.85546875" style="19" customWidth="1"/>
    <col min="26" max="28" width="11.85546875" style="20" customWidth="1"/>
    <col min="29" max="29" width="8.7109375" style="19"/>
    <col min="30" max="31" width="12.140625" style="19" customWidth="1"/>
    <col min="32" max="16384" width="8.7109375" style="19"/>
  </cols>
  <sheetData>
    <row r="1" spans="1:32" x14ac:dyDescent="0.2">
      <c r="A1" s="1" t="s">
        <v>0</v>
      </c>
      <c r="B1" s="58" t="s">
        <v>153</v>
      </c>
      <c r="C1" s="105"/>
      <c r="K1" s="20"/>
      <c r="O1" s="20"/>
      <c r="P1" s="20"/>
    </row>
    <row r="2" spans="1:32" x14ac:dyDescent="0.2">
      <c r="A2" s="35" t="s">
        <v>139</v>
      </c>
      <c r="B2" s="12"/>
      <c r="C2" s="105"/>
      <c r="K2" s="20"/>
      <c r="O2" s="20"/>
      <c r="P2" s="20"/>
    </row>
    <row r="3" spans="1:32" x14ac:dyDescent="0.2">
      <c r="A3" s="40" t="s">
        <v>199</v>
      </c>
      <c r="B3" s="172" t="s">
        <v>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</row>
    <row r="4" spans="1:32" s="137" customFormat="1" ht="19.5" customHeight="1" x14ac:dyDescent="0.25">
      <c r="A4" s="158" t="s">
        <v>4</v>
      </c>
      <c r="B4" s="159" t="s">
        <v>179</v>
      </c>
      <c r="C4" s="160"/>
      <c r="D4" s="159"/>
      <c r="E4" s="160"/>
      <c r="F4" s="160"/>
      <c r="G4" s="160"/>
      <c r="H4" s="159"/>
      <c r="I4" s="159"/>
      <c r="J4" s="160"/>
      <c r="K4" s="160"/>
      <c r="L4" s="160"/>
      <c r="M4" s="160"/>
      <c r="N4" s="160"/>
      <c r="O4" s="160"/>
      <c r="P4" s="160"/>
      <c r="Q4" s="161"/>
      <c r="S4" s="161"/>
      <c r="T4" s="161"/>
      <c r="U4" s="161"/>
      <c r="X4" s="161"/>
      <c r="Z4" s="161"/>
      <c r="AA4" s="161"/>
      <c r="AB4" s="161"/>
    </row>
    <row r="5" spans="1:32" s="97" customFormat="1" ht="32.1" customHeight="1" x14ac:dyDescent="0.25">
      <c r="A5" s="44"/>
      <c r="B5" s="174" t="s">
        <v>100</v>
      </c>
      <c r="C5" s="174"/>
      <c r="D5" s="174"/>
      <c r="E5" s="174"/>
      <c r="F5" s="174"/>
      <c r="G5" s="174"/>
      <c r="H5" s="41"/>
      <c r="I5" s="174" t="s">
        <v>101</v>
      </c>
      <c r="J5" s="174"/>
      <c r="K5" s="174"/>
      <c r="L5" s="174"/>
      <c r="M5" s="174"/>
      <c r="N5" s="174"/>
      <c r="O5" s="41"/>
      <c r="P5" s="174" t="s">
        <v>102</v>
      </c>
      <c r="Q5" s="174"/>
      <c r="R5" s="174"/>
      <c r="S5" s="174"/>
      <c r="T5" s="174"/>
      <c r="U5" s="174"/>
      <c r="V5" s="41"/>
      <c r="W5" s="174" t="s">
        <v>103</v>
      </c>
      <c r="X5" s="174"/>
      <c r="Y5" s="174"/>
      <c r="Z5" s="174"/>
      <c r="AA5" s="174"/>
      <c r="AB5" s="174"/>
      <c r="AC5" s="41"/>
      <c r="AD5" s="177" t="s">
        <v>180</v>
      </c>
      <c r="AE5" s="177"/>
      <c r="AF5" s="177"/>
    </row>
    <row r="6" spans="1:32" customFormat="1" ht="15" x14ac:dyDescent="0.25">
      <c r="A6" s="9" t="s">
        <v>9</v>
      </c>
      <c r="B6" s="10" t="s">
        <v>12</v>
      </c>
      <c r="C6" s="10" t="s">
        <v>164</v>
      </c>
      <c r="D6" s="10" t="s">
        <v>195</v>
      </c>
      <c r="E6" s="10" t="s">
        <v>12</v>
      </c>
      <c r="F6" s="10" t="s">
        <v>164</v>
      </c>
      <c r="G6" s="10" t="s">
        <v>195</v>
      </c>
      <c r="I6" s="10" t="s">
        <v>12</v>
      </c>
      <c r="J6" s="10" t="s">
        <v>164</v>
      </c>
      <c r="K6" s="10" t="s">
        <v>195</v>
      </c>
      <c r="L6" s="10" t="s">
        <v>12</v>
      </c>
      <c r="M6" s="10" t="s">
        <v>164</v>
      </c>
      <c r="N6" s="10" t="s">
        <v>195</v>
      </c>
      <c r="P6" s="10" t="s">
        <v>12</v>
      </c>
      <c r="Q6" s="10" t="s">
        <v>164</v>
      </c>
      <c r="R6" s="10" t="s">
        <v>195</v>
      </c>
      <c r="S6" s="10" t="s">
        <v>12</v>
      </c>
      <c r="T6" s="10" t="s">
        <v>164</v>
      </c>
      <c r="U6" s="10" t="s">
        <v>195</v>
      </c>
      <c r="W6" s="10" t="s">
        <v>12</v>
      </c>
      <c r="X6" s="10" t="s">
        <v>164</v>
      </c>
      <c r="Y6" s="10" t="s">
        <v>195</v>
      </c>
      <c r="Z6" s="10" t="s">
        <v>12</v>
      </c>
      <c r="AA6" s="10" t="s">
        <v>164</v>
      </c>
      <c r="AB6" s="10" t="s">
        <v>195</v>
      </c>
      <c r="AD6" s="10" t="s">
        <v>12</v>
      </c>
      <c r="AE6" s="10" t="s">
        <v>164</v>
      </c>
      <c r="AF6" s="10" t="s">
        <v>195</v>
      </c>
    </row>
    <row r="7" spans="1:32" customFormat="1" ht="15" x14ac:dyDescent="0.25">
      <c r="A7" s="18" t="s">
        <v>17</v>
      </c>
      <c r="B7" s="19">
        <v>0</v>
      </c>
      <c r="C7" s="19">
        <v>0</v>
      </c>
      <c r="D7" s="19">
        <v>0</v>
      </c>
      <c r="E7" s="20">
        <v>0</v>
      </c>
      <c r="F7" s="20">
        <v>0</v>
      </c>
      <c r="G7" s="20">
        <v>0</v>
      </c>
      <c r="I7" s="19">
        <v>26</v>
      </c>
      <c r="J7" s="19">
        <v>13</v>
      </c>
      <c r="K7" s="19">
        <v>162</v>
      </c>
      <c r="L7" s="20">
        <v>1.7167381974248926E-3</v>
      </c>
      <c r="M7" s="20">
        <v>8.3579786550083582E-4</v>
      </c>
      <c r="N7" s="20">
        <v>9.9478047282775556E-3</v>
      </c>
      <c r="P7" s="19">
        <v>1</v>
      </c>
      <c r="Q7" s="19">
        <v>2</v>
      </c>
      <c r="R7" s="19">
        <v>1</v>
      </c>
      <c r="S7" s="20">
        <v>6.6028392208649725E-5</v>
      </c>
      <c r="T7" s="20">
        <v>1.2858428700012858E-4</v>
      </c>
      <c r="U7" s="20">
        <v>6.1406202026404667E-5</v>
      </c>
      <c r="W7" s="19">
        <v>63</v>
      </c>
      <c r="X7" s="19">
        <v>87</v>
      </c>
      <c r="Y7" s="19">
        <v>82</v>
      </c>
      <c r="Z7" s="20">
        <v>4.1597887091449322E-3</v>
      </c>
      <c r="AA7" s="20">
        <v>5.5934164845055931E-3</v>
      </c>
      <c r="AB7" s="20">
        <v>5.0353085661651829E-3</v>
      </c>
      <c r="AD7" s="19">
        <v>90</v>
      </c>
      <c r="AE7" s="19">
        <v>102</v>
      </c>
      <c r="AF7" s="19">
        <v>245</v>
      </c>
    </row>
    <row r="8" spans="1:32" customFormat="1" ht="15" x14ac:dyDescent="0.25">
      <c r="A8" s="18" t="s">
        <v>18</v>
      </c>
      <c r="B8" s="19">
        <v>0</v>
      </c>
      <c r="C8" s="19">
        <v>0</v>
      </c>
      <c r="D8" s="19">
        <v>0</v>
      </c>
      <c r="E8" s="20">
        <v>0</v>
      </c>
      <c r="F8" s="20">
        <v>0</v>
      </c>
      <c r="G8" s="20">
        <v>0</v>
      </c>
      <c r="I8" s="19">
        <v>460</v>
      </c>
      <c r="J8" s="19">
        <v>1258</v>
      </c>
      <c r="K8" s="19">
        <v>60</v>
      </c>
      <c r="L8" s="20">
        <v>2.4594984761802919E-3</v>
      </c>
      <c r="M8" s="20">
        <v>6.8129630431957022E-3</v>
      </c>
      <c r="N8" s="20">
        <v>3.2646842778246321E-4</v>
      </c>
      <c r="P8" s="19">
        <v>895</v>
      </c>
      <c r="Q8" s="19">
        <v>1052</v>
      </c>
      <c r="R8" s="19">
        <v>1495</v>
      </c>
      <c r="S8" s="20">
        <v>4.785328556916003E-3</v>
      </c>
      <c r="T8" s="20">
        <v>5.6973268055976779E-3</v>
      </c>
      <c r="U8" s="20">
        <v>8.1345049922463743E-3</v>
      </c>
      <c r="W8" s="19">
        <v>776</v>
      </c>
      <c r="X8" s="19">
        <v>718</v>
      </c>
      <c r="Y8" s="19">
        <v>1093</v>
      </c>
      <c r="Z8" s="20">
        <v>4.1490669945997965E-3</v>
      </c>
      <c r="AA8" s="20">
        <v>3.8884797019193276E-3</v>
      </c>
      <c r="AB8" s="20">
        <v>5.9471665261038717E-3</v>
      </c>
      <c r="AD8" s="19">
        <v>2131</v>
      </c>
      <c r="AE8" s="19">
        <v>3028</v>
      </c>
      <c r="AF8" s="19">
        <v>2648</v>
      </c>
    </row>
    <row r="9" spans="1:32" customFormat="1" ht="15" x14ac:dyDescent="0.25">
      <c r="A9" s="18" t="s">
        <v>19</v>
      </c>
      <c r="B9" s="19">
        <v>0</v>
      </c>
      <c r="C9" s="19">
        <v>0</v>
      </c>
      <c r="D9" s="19">
        <v>2088</v>
      </c>
      <c r="E9" s="20">
        <v>0</v>
      </c>
      <c r="F9" s="20">
        <v>0</v>
      </c>
      <c r="G9" s="20">
        <v>1.3825342488429221E-3</v>
      </c>
      <c r="I9" s="19">
        <v>5325</v>
      </c>
      <c r="J9" s="19">
        <v>4401</v>
      </c>
      <c r="K9" s="19">
        <v>3148</v>
      </c>
      <c r="L9" s="20">
        <v>3.519953675426559E-3</v>
      </c>
      <c r="M9" s="20">
        <v>2.917715258570167E-3</v>
      </c>
      <c r="N9" s="20">
        <v>2.0843955054394249E-3</v>
      </c>
      <c r="P9" s="19">
        <v>10156</v>
      </c>
      <c r="Q9" s="19">
        <v>11345</v>
      </c>
      <c r="R9" s="19">
        <v>10526</v>
      </c>
      <c r="S9" s="20">
        <v>6.7133614136398369E-3</v>
      </c>
      <c r="T9" s="20">
        <v>7.5213541487113254E-3</v>
      </c>
      <c r="U9" s="20">
        <v>6.9696147046554588E-3</v>
      </c>
      <c r="W9" s="19">
        <v>6975</v>
      </c>
      <c r="X9" s="19">
        <v>6550</v>
      </c>
      <c r="Y9" s="19">
        <v>6963</v>
      </c>
      <c r="Z9" s="20">
        <v>4.6106435466854922E-3</v>
      </c>
      <c r="AA9" s="20">
        <v>4.3424301167086102E-3</v>
      </c>
      <c r="AB9" s="20">
        <v>4.610433895925894E-3</v>
      </c>
      <c r="AD9" s="19">
        <v>22456</v>
      </c>
      <c r="AE9" s="19">
        <v>22296</v>
      </c>
      <c r="AF9" s="19">
        <v>22725</v>
      </c>
    </row>
    <row r="10" spans="1:32" customFormat="1" ht="15" x14ac:dyDescent="0.25">
      <c r="A10" s="18" t="s">
        <v>20</v>
      </c>
      <c r="B10" s="19">
        <v>0</v>
      </c>
      <c r="C10" s="19">
        <v>0</v>
      </c>
      <c r="D10" s="19">
        <v>0</v>
      </c>
      <c r="E10" s="20">
        <v>0</v>
      </c>
      <c r="F10" s="20">
        <v>0</v>
      </c>
      <c r="G10" s="20">
        <v>0</v>
      </c>
      <c r="I10" s="19">
        <v>883</v>
      </c>
      <c r="J10" s="19">
        <v>998</v>
      </c>
      <c r="K10" s="19">
        <v>543</v>
      </c>
      <c r="L10" s="20">
        <v>2.6878038238042621E-3</v>
      </c>
      <c r="M10" s="20">
        <v>2.8963888010169283E-3</v>
      </c>
      <c r="N10" s="20">
        <v>1.4394172348344272E-3</v>
      </c>
      <c r="P10" s="19">
        <v>153</v>
      </c>
      <c r="Q10" s="19">
        <v>218</v>
      </c>
      <c r="R10" s="19">
        <v>265</v>
      </c>
      <c r="S10" s="20">
        <v>4.6572365236925494E-4</v>
      </c>
      <c r="T10" s="20">
        <v>6.3267811485139317E-4</v>
      </c>
      <c r="U10" s="20">
        <v>7.0247802436670947E-4</v>
      </c>
      <c r="W10" s="19">
        <v>2239</v>
      </c>
      <c r="X10" s="19">
        <v>1871</v>
      </c>
      <c r="Y10" s="19">
        <v>2312</v>
      </c>
      <c r="Z10" s="20">
        <v>6.8153938408807959E-3</v>
      </c>
      <c r="AA10" s="20">
        <v>5.4300034536098928E-3</v>
      </c>
      <c r="AB10" s="20">
        <v>6.1287894050408766E-3</v>
      </c>
      <c r="AD10" s="19">
        <v>3275</v>
      </c>
      <c r="AE10" s="19">
        <v>3087</v>
      </c>
      <c r="AF10" s="19">
        <v>3120</v>
      </c>
    </row>
    <row r="11" spans="1:32" customFormat="1" ht="15" x14ac:dyDescent="0.25">
      <c r="A11" s="18" t="s">
        <v>21</v>
      </c>
      <c r="B11" s="19">
        <v>0</v>
      </c>
      <c r="C11" s="19">
        <v>0</v>
      </c>
      <c r="D11" s="19">
        <v>0</v>
      </c>
      <c r="E11" s="20">
        <v>0</v>
      </c>
      <c r="F11" s="20">
        <v>0</v>
      </c>
      <c r="G11" s="20">
        <v>0</v>
      </c>
      <c r="I11" s="19">
        <v>756</v>
      </c>
      <c r="J11" s="19">
        <v>590</v>
      </c>
      <c r="K11" s="19">
        <v>602</v>
      </c>
      <c r="L11" s="20">
        <v>7.588837582814696E-3</v>
      </c>
      <c r="M11" s="20">
        <v>5.9154392965640318E-3</v>
      </c>
      <c r="N11" s="20">
        <v>6.1600802243005955E-3</v>
      </c>
      <c r="P11" s="19">
        <v>423</v>
      </c>
      <c r="Q11" s="19">
        <v>9</v>
      </c>
      <c r="R11" s="19">
        <v>17</v>
      </c>
      <c r="S11" s="20">
        <v>4.2461353141939372E-3</v>
      </c>
      <c r="T11" s="20">
        <v>9.0235514693349646E-5</v>
      </c>
      <c r="U11" s="20">
        <v>1.7395575384237562E-4</v>
      </c>
      <c r="W11" s="19">
        <v>105</v>
      </c>
      <c r="X11" s="19">
        <v>12</v>
      </c>
      <c r="Y11" s="19">
        <v>18</v>
      </c>
      <c r="Z11" s="20">
        <v>1.0540052198353745E-3</v>
      </c>
      <c r="AA11" s="20">
        <v>1.2031401959113286E-4</v>
      </c>
      <c r="AB11" s="20">
        <v>1.841884452448683E-4</v>
      </c>
      <c r="AD11" s="19">
        <v>1284</v>
      </c>
      <c r="AE11" s="19">
        <v>611</v>
      </c>
      <c r="AF11" s="19">
        <v>637</v>
      </c>
    </row>
    <row r="12" spans="1:32" customFormat="1" ht="15" x14ac:dyDescent="0.25">
      <c r="A12" s="18" t="s">
        <v>22</v>
      </c>
      <c r="B12" s="19">
        <v>2290</v>
      </c>
      <c r="C12" s="19">
        <v>5702</v>
      </c>
      <c r="D12" s="19">
        <v>5863</v>
      </c>
      <c r="E12" s="20">
        <v>8.1274555385592757E-3</v>
      </c>
      <c r="F12" s="20">
        <v>2.0207532994060362E-2</v>
      </c>
      <c r="G12" s="20">
        <v>2.0636445871126927E-2</v>
      </c>
      <c r="I12" s="19">
        <v>87</v>
      </c>
      <c r="J12" s="19">
        <v>110</v>
      </c>
      <c r="K12" s="19">
        <v>258</v>
      </c>
      <c r="L12" s="20">
        <v>3.0877232832081088E-4</v>
      </c>
      <c r="M12" s="20">
        <v>3.8983315141119599E-4</v>
      </c>
      <c r="N12" s="20">
        <v>9.0810217205368362E-4</v>
      </c>
      <c r="P12" s="19">
        <v>777</v>
      </c>
      <c r="Q12" s="19">
        <v>969</v>
      </c>
      <c r="R12" s="19">
        <v>1017</v>
      </c>
      <c r="S12" s="20">
        <v>2.7576563115548282E-3</v>
      </c>
      <c r="T12" s="20">
        <v>3.4340756701586265E-3</v>
      </c>
      <c r="U12" s="20">
        <v>3.5796120503046366E-3</v>
      </c>
      <c r="W12" s="19">
        <v>2929</v>
      </c>
      <c r="X12" s="19">
        <v>2239</v>
      </c>
      <c r="Y12" s="19">
        <v>3622</v>
      </c>
      <c r="Z12" s="20">
        <v>1.03953350534673E-2</v>
      </c>
      <c r="AA12" s="20">
        <v>7.9348766000878895E-3</v>
      </c>
      <c r="AB12" s="20">
        <v>1.2748628167358302E-2</v>
      </c>
      <c r="AD12" s="19">
        <v>6083</v>
      </c>
      <c r="AE12" s="19">
        <v>9020</v>
      </c>
      <c r="AF12" s="19">
        <v>10760</v>
      </c>
    </row>
    <row r="13" spans="1:32" customFormat="1" ht="15" x14ac:dyDescent="0.25">
      <c r="A13" s="18" t="s">
        <v>24</v>
      </c>
      <c r="B13" s="19">
        <v>0</v>
      </c>
      <c r="C13" s="19">
        <v>0</v>
      </c>
      <c r="D13" s="19">
        <v>0</v>
      </c>
      <c r="E13" s="20">
        <v>0</v>
      </c>
      <c r="F13" s="20">
        <v>0</v>
      </c>
      <c r="G13" s="20">
        <v>0</v>
      </c>
      <c r="I13" s="19">
        <v>1</v>
      </c>
      <c r="J13" s="19">
        <v>0</v>
      </c>
      <c r="K13" s="19">
        <v>20</v>
      </c>
      <c r="L13" s="20">
        <v>1.8191740949608878E-4</v>
      </c>
      <c r="M13" s="20">
        <v>0</v>
      </c>
      <c r="N13" s="20">
        <v>3.9439952672056791E-3</v>
      </c>
      <c r="P13" s="19">
        <v>0</v>
      </c>
      <c r="Q13" s="19">
        <v>0</v>
      </c>
      <c r="R13" s="19">
        <v>0</v>
      </c>
      <c r="S13" s="20">
        <v>0</v>
      </c>
      <c r="T13" s="20">
        <v>0</v>
      </c>
      <c r="U13" s="20">
        <v>0</v>
      </c>
      <c r="W13" s="19">
        <v>23</v>
      </c>
      <c r="X13" s="19">
        <v>25</v>
      </c>
      <c r="Y13" s="19">
        <v>0</v>
      </c>
      <c r="Z13" s="20">
        <v>4.1841004184100415E-3</v>
      </c>
      <c r="AA13" s="20">
        <v>4.735745406326956E-3</v>
      </c>
      <c r="AB13" s="20">
        <v>0</v>
      </c>
      <c r="AD13" s="19">
        <v>24</v>
      </c>
      <c r="AE13" s="19">
        <v>25</v>
      </c>
      <c r="AF13" s="19">
        <v>20</v>
      </c>
    </row>
    <row r="14" spans="1:32" customFormat="1" ht="15" x14ac:dyDescent="0.25">
      <c r="A14" s="18" t="s">
        <v>25</v>
      </c>
      <c r="B14" s="19">
        <v>0</v>
      </c>
      <c r="C14" s="19">
        <v>0</v>
      </c>
      <c r="D14" s="19">
        <v>0</v>
      </c>
      <c r="E14" s="20">
        <v>0</v>
      </c>
      <c r="F14" s="20">
        <v>0</v>
      </c>
      <c r="G14" s="20">
        <v>0</v>
      </c>
      <c r="I14" s="19">
        <v>4</v>
      </c>
      <c r="J14" s="19">
        <v>129</v>
      </c>
      <c r="K14" s="19">
        <v>21</v>
      </c>
      <c r="L14" s="20">
        <v>4.5787545787545788E-4</v>
      </c>
      <c r="M14" s="20">
        <v>1.4605978260869566E-2</v>
      </c>
      <c r="N14" s="20">
        <v>2.4085330886569559E-3</v>
      </c>
      <c r="P14" s="19">
        <v>5</v>
      </c>
      <c r="Q14" s="19">
        <v>35</v>
      </c>
      <c r="R14" s="19">
        <v>9</v>
      </c>
      <c r="S14" s="20">
        <v>5.7234432234432237E-4</v>
      </c>
      <c r="T14" s="20">
        <v>3.96286231884058E-3</v>
      </c>
      <c r="U14" s="20">
        <v>1.0322284665672669E-3</v>
      </c>
      <c r="W14" s="19">
        <v>74</v>
      </c>
      <c r="X14" s="19">
        <v>122</v>
      </c>
      <c r="Y14" s="19">
        <v>231</v>
      </c>
      <c r="Z14" s="20">
        <v>8.4706959706959701E-3</v>
      </c>
      <c r="AA14" s="20">
        <v>1.381340579710145E-2</v>
      </c>
      <c r="AB14" s="20">
        <v>2.6493863975226517E-2</v>
      </c>
      <c r="AD14" s="19">
        <v>83</v>
      </c>
      <c r="AE14" s="19">
        <v>286</v>
      </c>
      <c r="AF14" s="19">
        <v>261</v>
      </c>
    </row>
    <row r="15" spans="1:32" customFormat="1" ht="15" x14ac:dyDescent="0.25">
      <c r="A15" s="18" t="s">
        <v>26</v>
      </c>
      <c r="B15" s="19">
        <v>0</v>
      </c>
      <c r="C15" s="19">
        <v>0</v>
      </c>
      <c r="D15" s="19">
        <v>0</v>
      </c>
      <c r="E15" s="20">
        <v>0</v>
      </c>
      <c r="F15" s="20">
        <v>0</v>
      </c>
      <c r="G15" s="20">
        <v>0</v>
      </c>
      <c r="I15" s="19">
        <v>13</v>
      </c>
      <c r="J15" s="19">
        <v>23</v>
      </c>
      <c r="K15" s="19">
        <v>7</v>
      </c>
      <c r="L15" s="20">
        <v>1.1905852184265959E-3</v>
      </c>
      <c r="M15" s="20">
        <v>2.1867275147366421E-3</v>
      </c>
      <c r="N15" s="20">
        <v>6.6692073170731712E-4</v>
      </c>
      <c r="P15" s="19">
        <v>10</v>
      </c>
      <c r="Q15" s="19">
        <v>4</v>
      </c>
      <c r="R15" s="19">
        <v>9</v>
      </c>
      <c r="S15" s="20">
        <v>9.158347834050737E-4</v>
      </c>
      <c r="T15" s="20">
        <v>3.8030043734550294E-4</v>
      </c>
      <c r="U15" s="20">
        <v>8.5746951219512195E-4</v>
      </c>
      <c r="W15" s="19">
        <v>79</v>
      </c>
      <c r="X15" s="19">
        <v>102</v>
      </c>
      <c r="Y15" s="19">
        <v>106</v>
      </c>
      <c r="Z15" s="20">
        <v>7.2350947889000825E-3</v>
      </c>
      <c r="AA15" s="20">
        <v>9.6976611523103256E-3</v>
      </c>
      <c r="AB15" s="20">
        <v>1.0099085365853659E-2</v>
      </c>
      <c r="AD15" s="19">
        <v>102</v>
      </c>
      <c r="AE15" s="19">
        <v>129</v>
      </c>
      <c r="AF15" s="19">
        <v>122</v>
      </c>
    </row>
    <row r="16" spans="1:32" customFormat="1" ht="15" x14ac:dyDescent="0.25">
      <c r="A16" s="18" t="s">
        <v>28</v>
      </c>
      <c r="B16" s="19">
        <v>0</v>
      </c>
      <c r="C16" s="19">
        <v>0</v>
      </c>
      <c r="D16" s="19">
        <v>0</v>
      </c>
      <c r="E16" s="20">
        <v>0</v>
      </c>
      <c r="F16" s="20">
        <v>0</v>
      </c>
      <c r="G16" s="20">
        <v>0</v>
      </c>
      <c r="I16" s="19">
        <v>31</v>
      </c>
      <c r="J16" s="19">
        <v>408</v>
      </c>
      <c r="K16" s="19">
        <v>188</v>
      </c>
      <c r="L16" s="20">
        <v>6.1470127500941882E-4</v>
      </c>
      <c r="M16" s="20">
        <v>8.3156693298548842E-3</v>
      </c>
      <c r="N16" s="20">
        <v>3.8961308105195532E-3</v>
      </c>
      <c r="P16" s="19">
        <v>0</v>
      </c>
      <c r="Q16" s="19">
        <v>0</v>
      </c>
      <c r="R16" s="19">
        <v>0</v>
      </c>
      <c r="S16" s="20">
        <v>0</v>
      </c>
      <c r="T16" s="20">
        <v>0</v>
      </c>
      <c r="U16" s="20">
        <v>0</v>
      </c>
      <c r="W16" s="19">
        <v>140</v>
      </c>
      <c r="X16" s="19">
        <v>0</v>
      </c>
      <c r="Y16" s="19">
        <v>0</v>
      </c>
      <c r="Z16" s="20">
        <v>2.7760702742360851E-3</v>
      </c>
      <c r="AA16" s="20">
        <v>0</v>
      </c>
      <c r="AB16" s="20">
        <v>0</v>
      </c>
      <c r="AD16" s="19">
        <v>171</v>
      </c>
      <c r="AE16" s="19">
        <v>408</v>
      </c>
      <c r="AF16" s="19">
        <v>188</v>
      </c>
    </row>
    <row r="17" spans="1:32" customFormat="1" ht="15" x14ac:dyDescent="0.25">
      <c r="A17" s="18" t="s">
        <v>29</v>
      </c>
      <c r="B17" s="19">
        <v>0</v>
      </c>
      <c r="C17" s="19">
        <v>6341</v>
      </c>
      <c r="D17" s="19">
        <v>1207</v>
      </c>
      <c r="E17" s="20">
        <v>0</v>
      </c>
      <c r="F17" s="20">
        <v>0.40375676536134991</v>
      </c>
      <c r="G17" s="20">
        <v>6.4521302186347357E-2</v>
      </c>
      <c r="I17" s="19">
        <v>1</v>
      </c>
      <c r="J17" s="19">
        <v>5</v>
      </c>
      <c r="K17" s="19">
        <v>4</v>
      </c>
      <c r="L17" s="20">
        <v>1.2285012285012285E-4</v>
      </c>
      <c r="M17" s="20">
        <v>3.1836994587710921E-4</v>
      </c>
      <c r="N17" s="20">
        <v>2.1382370235740631E-4</v>
      </c>
      <c r="P17" s="19">
        <v>9</v>
      </c>
      <c r="Q17" s="19">
        <v>1</v>
      </c>
      <c r="R17" s="19">
        <v>737</v>
      </c>
      <c r="S17" s="20">
        <v>1.1056511056511057E-3</v>
      </c>
      <c r="T17" s="20">
        <v>6.3673989175421842E-5</v>
      </c>
      <c r="U17" s="20">
        <v>3.9397017159352114E-2</v>
      </c>
      <c r="W17" s="19">
        <v>352</v>
      </c>
      <c r="X17" s="19">
        <v>90</v>
      </c>
      <c r="Y17" s="19">
        <v>117</v>
      </c>
      <c r="Z17" s="20">
        <v>4.3243243243243246E-2</v>
      </c>
      <c r="AA17" s="20">
        <v>5.7306590257879654E-3</v>
      </c>
      <c r="AB17" s="20">
        <v>6.2543432939541352E-3</v>
      </c>
      <c r="AD17" s="19">
        <v>362</v>
      </c>
      <c r="AE17" s="19">
        <v>6437</v>
      </c>
      <c r="AF17" s="19">
        <v>2065</v>
      </c>
    </row>
    <row r="18" spans="1:32" customFormat="1" ht="15" x14ac:dyDescent="0.25">
      <c r="A18" s="18" t="s">
        <v>30</v>
      </c>
      <c r="B18" s="19">
        <v>1652</v>
      </c>
      <c r="C18" s="19">
        <v>3034</v>
      </c>
      <c r="D18" s="19">
        <v>3754</v>
      </c>
      <c r="E18" s="20">
        <v>1.3446976017660146E-3</v>
      </c>
      <c r="F18" s="20">
        <v>2.6155014581808558E-3</v>
      </c>
      <c r="G18" s="20">
        <v>3.217123254213583E-3</v>
      </c>
      <c r="I18" s="19">
        <v>1205</v>
      </c>
      <c r="J18" s="19">
        <v>1158</v>
      </c>
      <c r="K18" s="19">
        <v>1019</v>
      </c>
      <c r="L18" s="20">
        <v>9.8084782695402389E-4</v>
      </c>
      <c r="M18" s="20">
        <v>9.9826983802683953E-4</v>
      </c>
      <c r="N18" s="20">
        <v>8.732681395960685E-4</v>
      </c>
      <c r="P18" s="19">
        <v>3142</v>
      </c>
      <c r="Q18" s="19">
        <v>2967</v>
      </c>
      <c r="R18" s="19">
        <v>3030</v>
      </c>
      <c r="S18" s="20">
        <v>2.55753018447265E-3</v>
      </c>
      <c r="T18" s="20">
        <v>2.5577431860324979E-3</v>
      </c>
      <c r="U18" s="20">
        <v>2.5966658125378679E-3</v>
      </c>
      <c r="W18" s="19">
        <v>5427</v>
      </c>
      <c r="X18" s="19">
        <v>4997</v>
      </c>
      <c r="Y18" s="19">
        <v>5015</v>
      </c>
      <c r="Z18" s="20">
        <v>4.4174781384892017E-3</v>
      </c>
      <c r="AA18" s="20">
        <v>4.3077326257513968E-3</v>
      </c>
      <c r="AB18" s="20">
        <v>4.297781864646009E-3</v>
      </c>
      <c r="AD18" s="19">
        <v>11426</v>
      </c>
      <c r="AE18" s="19">
        <v>12156</v>
      </c>
      <c r="AF18" s="19">
        <v>12818</v>
      </c>
    </row>
    <row r="19" spans="1:32" customFormat="1" ht="15" x14ac:dyDescent="0.25">
      <c r="A19" s="18" t="s">
        <v>31</v>
      </c>
      <c r="B19" s="19">
        <v>107</v>
      </c>
      <c r="C19" s="19">
        <v>90</v>
      </c>
      <c r="D19" s="19">
        <v>116</v>
      </c>
      <c r="E19" s="20">
        <v>1.9148174659985685E-2</v>
      </c>
      <c r="F19" s="20">
        <v>1.5400410677618069E-2</v>
      </c>
      <c r="G19" s="20">
        <v>1.8122168411185753E-2</v>
      </c>
      <c r="I19" s="19">
        <v>131</v>
      </c>
      <c r="J19" s="19">
        <v>9</v>
      </c>
      <c r="K19" s="19">
        <v>8</v>
      </c>
      <c r="L19" s="20">
        <v>2.3443092340730137E-2</v>
      </c>
      <c r="M19" s="20">
        <v>1.540041067761807E-3</v>
      </c>
      <c r="N19" s="20">
        <v>1.2498047180128104E-3</v>
      </c>
      <c r="P19" s="19">
        <v>12</v>
      </c>
      <c r="Q19" s="19">
        <v>15</v>
      </c>
      <c r="R19" s="19">
        <v>17</v>
      </c>
      <c r="S19" s="20">
        <v>2.1474588403722263E-3</v>
      </c>
      <c r="T19" s="20">
        <v>2.5667351129363448E-3</v>
      </c>
      <c r="U19" s="20">
        <v>2.6558350257772224E-3</v>
      </c>
      <c r="W19" s="19">
        <v>122</v>
      </c>
      <c r="X19" s="19">
        <v>81</v>
      </c>
      <c r="Y19" s="19">
        <v>108</v>
      </c>
      <c r="Z19" s="20">
        <v>2.1832498210450968E-2</v>
      </c>
      <c r="AA19" s="20">
        <v>1.3860369609856264E-2</v>
      </c>
      <c r="AB19" s="20">
        <v>1.6872363693172941E-2</v>
      </c>
      <c r="AD19" s="19">
        <v>372</v>
      </c>
      <c r="AE19" s="19">
        <v>195</v>
      </c>
      <c r="AF19" s="19">
        <v>249</v>
      </c>
    </row>
    <row r="20" spans="1:32" customFormat="1" ht="15" x14ac:dyDescent="0.25">
      <c r="A20" s="18" t="s">
        <v>32</v>
      </c>
      <c r="B20" s="19">
        <v>0</v>
      </c>
      <c r="C20" s="19">
        <v>0</v>
      </c>
      <c r="D20" s="19">
        <v>801</v>
      </c>
      <c r="E20" s="20">
        <v>0</v>
      </c>
      <c r="F20" s="20">
        <v>0</v>
      </c>
      <c r="G20" s="20">
        <v>1.1237137265629933E-3</v>
      </c>
      <c r="I20" s="19">
        <v>2374</v>
      </c>
      <c r="J20" s="19">
        <v>8560</v>
      </c>
      <c r="K20" s="19">
        <v>9130</v>
      </c>
      <c r="L20" s="20">
        <v>3.3581398112142633E-3</v>
      </c>
      <c r="M20" s="20">
        <v>1.2054351606847886E-2</v>
      </c>
      <c r="N20" s="20">
        <v>1.2808372438851596E-2</v>
      </c>
      <c r="P20" s="19">
        <v>1210</v>
      </c>
      <c r="Q20" s="19">
        <v>1563</v>
      </c>
      <c r="R20" s="19">
        <v>1496</v>
      </c>
      <c r="S20" s="20">
        <v>1.711604537308028E-3</v>
      </c>
      <c r="T20" s="20">
        <v>2.2010457431662668E-3</v>
      </c>
      <c r="U20" s="20">
        <v>2.098721267088936E-3</v>
      </c>
      <c r="W20" s="19">
        <v>4504</v>
      </c>
      <c r="X20" s="19">
        <v>4913</v>
      </c>
      <c r="Y20" s="19">
        <v>3857</v>
      </c>
      <c r="Z20" s="20">
        <v>6.3711296165581471E-3</v>
      </c>
      <c r="AA20" s="20">
        <v>6.9185782061265957E-3</v>
      </c>
      <c r="AB20" s="20">
        <v>5.4109411277821033E-3</v>
      </c>
      <c r="AD20" s="19">
        <v>8088</v>
      </c>
      <c r="AE20" s="19">
        <v>15036</v>
      </c>
      <c r="AF20" s="19">
        <v>15284</v>
      </c>
    </row>
    <row r="21" spans="1:32" customFormat="1" ht="15" x14ac:dyDescent="0.25">
      <c r="A21" s="18" t="s">
        <v>80</v>
      </c>
      <c r="B21" s="19">
        <v>0</v>
      </c>
      <c r="C21" s="19">
        <v>0</v>
      </c>
      <c r="D21" s="19">
        <v>0</v>
      </c>
      <c r="E21" s="20">
        <v>0</v>
      </c>
      <c r="F21" s="20">
        <v>0</v>
      </c>
      <c r="G21" s="20">
        <v>0</v>
      </c>
      <c r="I21" s="19">
        <v>3</v>
      </c>
      <c r="J21" s="19">
        <v>3</v>
      </c>
      <c r="K21" s="19">
        <v>4</v>
      </c>
      <c r="L21" s="20">
        <v>5.1608463788061247E-4</v>
      </c>
      <c r="M21" s="20">
        <v>5.7714505579068874E-4</v>
      </c>
      <c r="N21" s="20">
        <v>8.0048028817290373E-4</v>
      </c>
      <c r="P21" s="19">
        <v>0</v>
      </c>
      <c r="Q21" s="19">
        <v>1</v>
      </c>
      <c r="R21" s="19">
        <v>0</v>
      </c>
      <c r="S21" s="20">
        <v>0</v>
      </c>
      <c r="T21" s="20">
        <v>1.9238168526356292E-4</v>
      </c>
      <c r="U21" s="20">
        <v>0</v>
      </c>
      <c r="W21" s="19">
        <v>0</v>
      </c>
      <c r="X21" s="19">
        <v>0</v>
      </c>
      <c r="Y21" s="19">
        <v>2</v>
      </c>
      <c r="Z21" s="20">
        <v>0</v>
      </c>
      <c r="AA21" s="20">
        <v>0</v>
      </c>
      <c r="AB21" s="20">
        <v>4.0024014408645187E-4</v>
      </c>
      <c r="AD21" s="19">
        <v>3</v>
      </c>
      <c r="AE21" s="19">
        <v>4</v>
      </c>
      <c r="AF21" s="19">
        <v>6</v>
      </c>
    </row>
    <row r="22" spans="1:32" customFormat="1" ht="15" x14ac:dyDescent="0.25">
      <c r="A22" s="18" t="s">
        <v>166</v>
      </c>
      <c r="B22" s="19">
        <v>0</v>
      </c>
      <c r="C22" s="19">
        <v>0</v>
      </c>
      <c r="D22" s="19">
        <v>0</v>
      </c>
      <c r="E22" s="20">
        <v>0</v>
      </c>
      <c r="F22" s="20">
        <v>0</v>
      </c>
      <c r="G22" s="20">
        <v>0</v>
      </c>
      <c r="I22" s="19">
        <v>0</v>
      </c>
      <c r="J22" s="19">
        <v>2</v>
      </c>
      <c r="K22" s="19">
        <v>3</v>
      </c>
      <c r="L22" s="20">
        <v>0</v>
      </c>
      <c r="M22" s="20">
        <v>7.6923076923076927E-2</v>
      </c>
      <c r="N22" s="20">
        <v>1.3392857142857142E-2</v>
      </c>
      <c r="P22" s="19">
        <v>0</v>
      </c>
      <c r="Q22" s="19">
        <v>0</v>
      </c>
      <c r="R22" s="19">
        <v>0</v>
      </c>
      <c r="S22" s="20">
        <v>0</v>
      </c>
      <c r="T22" s="20">
        <v>0</v>
      </c>
      <c r="U22" s="20">
        <v>0</v>
      </c>
      <c r="W22" s="19">
        <v>0</v>
      </c>
      <c r="X22" s="19">
        <v>0</v>
      </c>
      <c r="Y22" s="19">
        <v>0</v>
      </c>
      <c r="Z22" s="20">
        <v>0</v>
      </c>
      <c r="AA22" s="20">
        <v>0</v>
      </c>
      <c r="AB22" s="20">
        <v>0</v>
      </c>
      <c r="AD22" s="19">
        <v>0</v>
      </c>
      <c r="AE22" s="19">
        <v>2</v>
      </c>
      <c r="AF22" s="19">
        <v>3</v>
      </c>
    </row>
    <row r="23" spans="1:32" customFormat="1" ht="15" x14ac:dyDescent="0.25">
      <c r="A23" s="18" t="s">
        <v>36</v>
      </c>
      <c r="B23" s="19">
        <v>103</v>
      </c>
      <c r="C23" s="19">
        <v>16</v>
      </c>
      <c r="D23" s="19">
        <v>80</v>
      </c>
      <c r="E23" s="20">
        <v>5.312290473980092E-3</v>
      </c>
      <c r="F23" s="20">
        <v>7.4115249212525474E-4</v>
      </c>
      <c r="G23" s="20">
        <v>3.301010934598721E-3</v>
      </c>
      <c r="I23" s="19">
        <v>5</v>
      </c>
      <c r="J23" s="19">
        <v>2</v>
      </c>
      <c r="K23" s="19">
        <v>166</v>
      </c>
      <c r="L23" s="20">
        <v>2.5787817834854813E-4</v>
      </c>
      <c r="M23" s="20">
        <v>9.2644061515656843E-5</v>
      </c>
      <c r="N23" s="20">
        <v>6.8495976892923461E-3</v>
      </c>
      <c r="P23" s="19">
        <v>27</v>
      </c>
      <c r="Q23" s="19">
        <v>7</v>
      </c>
      <c r="R23" s="19">
        <v>11</v>
      </c>
      <c r="S23" s="20">
        <v>1.3925421630821601E-3</v>
      </c>
      <c r="T23" s="20">
        <v>3.2425421530479895E-4</v>
      </c>
      <c r="U23" s="20">
        <v>4.5388900350732411E-4</v>
      </c>
      <c r="W23" s="19">
        <v>0</v>
      </c>
      <c r="X23" s="19">
        <v>0</v>
      </c>
      <c r="Y23" s="19">
        <v>0</v>
      </c>
      <c r="Z23" s="20">
        <v>0</v>
      </c>
      <c r="AA23" s="20">
        <v>0</v>
      </c>
      <c r="AB23" s="20">
        <v>0</v>
      </c>
      <c r="AD23" s="19">
        <v>135</v>
      </c>
      <c r="AE23" s="19">
        <v>25</v>
      </c>
      <c r="AF23" s="19">
        <v>257</v>
      </c>
    </row>
    <row r="24" spans="1:32" customFormat="1" ht="15" x14ac:dyDescent="0.25">
      <c r="A24" s="18" t="s">
        <v>37</v>
      </c>
      <c r="B24" s="19">
        <v>2</v>
      </c>
      <c r="C24" s="19">
        <v>39</v>
      </c>
      <c r="D24" s="19">
        <v>0</v>
      </c>
      <c r="E24" s="20">
        <v>5.016177171377693E-5</v>
      </c>
      <c r="F24" s="20">
        <v>9.854457246816252E-4</v>
      </c>
      <c r="G24" s="20">
        <v>0</v>
      </c>
      <c r="I24" s="19">
        <v>22</v>
      </c>
      <c r="J24" s="19">
        <v>64</v>
      </c>
      <c r="K24" s="19">
        <v>75</v>
      </c>
      <c r="L24" s="20">
        <v>5.5177948885154623E-4</v>
      </c>
      <c r="M24" s="20">
        <v>1.6171417020416413E-3</v>
      </c>
      <c r="N24" s="20">
        <v>1.8347726105144703E-3</v>
      </c>
      <c r="P24" s="19">
        <v>8</v>
      </c>
      <c r="Q24" s="19">
        <v>6</v>
      </c>
      <c r="R24" s="19">
        <v>18</v>
      </c>
      <c r="S24" s="20">
        <v>2.0064708685510772E-4</v>
      </c>
      <c r="T24" s="20">
        <v>1.5160703456640388E-4</v>
      </c>
      <c r="U24" s="20">
        <v>4.4034542652347287E-4</v>
      </c>
      <c r="W24" s="19">
        <v>297</v>
      </c>
      <c r="X24" s="19">
        <v>179</v>
      </c>
      <c r="Y24" s="19">
        <v>261</v>
      </c>
      <c r="Z24" s="20">
        <v>7.4490230994958741E-3</v>
      </c>
      <c r="AA24" s="20">
        <v>4.5229431978977162E-3</v>
      </c>
      <c r="AB24" s="20">
        <v>6.3850086845903568E-3</v>
      </c>
      <c r="AD24" s="19">
        <v>329</v>
      </c>
      <c r="AE24" s="19">
        <v>288</v>
      </c>
      <c r="AF24" s="19">
        <v>354</v>
      </c>
    </row>
    <row r="25" spans="1:32" customFormat="1" ht="15" x14ac:dyDescent="0.25">
      <c r="A25" s="18" t="s">
        <v>38</v>
      </c>
      <c r="B25" s="19">
        <v>1361</v>
      </c>
      <c r="C25" s="19">
        <v>1536</v>
      </c>
      <c r="D25" s="19">
        <v>1767</v>
      </c>
      <c r="E25" s="20">
        <v>0.10483746726236327</v>
      </c>
      <c r="F25" s="20">
        <v>0.11699291644451215</v>
      </c>
      <c r="G25" s="20">
        <v>0.13180665373713263</v>
      </c>
      <c r="I25" s="19">
        <v>0</v>
      </c>
      <c r="J25" s="19">
        <v>0</v>
      </c>
      <c r="K25" s="19">
        <v>0</v>
      </c>
      <c r="L25" s="20">
        <v>0</v>
      </c>
      <c r="M25" s="20">
        <v>0</v>
      </c>
      <c r="N25" s="20">
        <v>0</v>
      </c>
      <c r="P25" s="19">
        <v>0</v>
      </c>
      <c r="Q25" s="19">
        <v>0</v>
      </c>
      <c r="R25" s="19">
        <v>0</v>
      </c>
      <c r="S25" s="20">
        <v>0</v>
      </c>
      <c r="T25" s="20">
        <v>0</v>
      </c>
      <c r="U25" s="20">
        <v>0</v>
      </c>
      <c r="W25" s="19">
        <v>0</v>
      </c>
      <c r="X25" s="19">
        <v>0</v>
      </c>
      <c r="Y25" s="19">
        <v>0</v>
      </c>
      <c r="Z25" s="20">
        <v>0</v>
      </c>
      <c r="AA25" s="20">
        <v>0</v>
      </c>
      <c r="AB25" s="20">
        <v>0</v>
      </c>
      <c r="AD25" s="19">
        <v>1361</v>
      </c>
      <c r="AE25" s="19">
        <v>1536</v>
      </c>
      <c r="AF25" s="19">
        <v>1767</v>
      </c>
    </row>
    <row r="26" spans="1:32" customFormat="1" ht="15" x14ac:dyDescent="0.25">
      <c r="A26" s="18" t="s">
        <v>39</v>
      </c>
      <c r="B26" s="19">
        <v>529</v>
      </c>
      <c r="C26" s="19">
        <v>201</v>
      </c>
      <c r="D26" s="19">
        <v>20</v>
      </c>
      <c r="E26" s="20">
        <v>0.18940207662012173</v>
      </c>
      <c r="F26" s="20">
        <v>7.7876791941108095E-2</v>
      </c>
      <c r="G26" s="20">
        <v>5.411255411255411E-3</v>
      </c>
      <c r="I26" s="19">
        <v>8</v>
      </c>
      <c r="J26" s="19">
        <v>4</v>
      </c>
      <c r="K26" s="19">
        <v>0</v>
      </c>
      <c r="L26" s="20">
        <v>2.8643036161833156E-3</v>
      </c>
      <c r="M26" s="20">
        <v>1.5497869043006587E-3</v>
      </c>
      <c r="N26" s="20">
        <v>0</v>
      </c>
      <c r="P26" s="19">
        <v>0</v>
      </c>
      <c r="Q26" s="19">
        <v>0</v>
      </c>
      <c r="R26" s="19">
        <v>0</v>
      </c>
      <c r="S26" s="20">
        <v>0</v>
      </c>
      <c r="T26" s="20">
        <v>0</v>
      </c>
      <c r="U26" s="20">
        <v>0</v>
      </c>
      <c r="W26" s="19">
        <v>0</v>
      </c>
      <c r="X26" s="19">
        <v>0</v>
      </c>
      <c r="Y26" s="19">
        <v>0</v>
      </c>
      <c r="Z26" s="20">
        <v>0</v>
      </c>
      <c r="AA26" s="20">
        <v>0</v>
      </c>
      <c r="AB26" s="20">
        <v>0</v>
      </c>
      <c r="AD26" s="19">
        <v>537</v>
      </c>
      <c r="AE26" s="19">
        <v>205</v>
      </c>
      <c r="AF26" s="19">
        <v>20</v>
      </c>
    </row>
    <row r="27" spans="1:32" customFormat="1" ht="15" x14ac:dyDescent="0.25">
      <c r="A27" s="18" t="s">
        <v>40</v>
      </c>
      <c r="B27" s="19">
        <v>0</v>
      </c>
      <c r="C27" s="19">
        <v>0</v>
      </c>
      <c r="D27" s="19">
        <v>0</v>
      </c>
      <c r="E27" s="20">
        <v>0</v>
      </c>
      <c r="F27" s="20">
        <v>0</v>
      </c>
      <c r="G27" s="20">
        <v>0</v>
      </c>
      <c r="I27" s="19">
        <v>93</v>
      </c>
      <c r="J27" s="19">
        <v>464</v>
      </c>
      <c r="K27" s="19">
        <v>142</v>
      </c>
      <c r="L27" s="20">
        <v>3.5622629945991496E-3</v>
      </c>
      <c r="M27" s="20">
        <v>1.504685929240847E-2</v>
      </c>
      <c r="N27" s="20">
        <v>4.0739040624282767E-3</v>
      </c>
      <c r="P27" s="19">
        <v>20</v>
      </c>
      <c r="Q27" s="19">
        <v>44</v>
      </c>
      <c r="R27" s="19">
        <v>29</v>
      </c>
      <c r="S27" s="20">
        <v>7.6607806335465584E-4</v>
      </c>
      <c r="T27" s="20">
        <v>1.4268573466939066E-3</v>
      </c>
      <c r="U27" s="20">
        <v>8.3199449162267613E-4</v>
      </c>
      <c r="W27" s="19">
        <v>91</v>
      </c>
      <c r="X27" s="19">
        <v>163</v>
      </c>
      <c r="Y27" s="19">
        <v>200</v>
      </c>
      <c r="Z27" s="20">
        <v>3.485655188263684E-3</v>
      </c>
      <c r="AA27" s="20">
        <v>5.2858578979796999E-3</v>
      </c>
      <c r="AB27" s="20">
        <v>5.7378930456736289E-3</v>
      </c>
      <c r="AD27" s="19">
        <v>204</v>
      </c>
      <c r="AE27" s="19">
        <v>671</v>
      </c>
      <c r="AF27" s="19">
        <v>371</v>
      </c>
    </row>
    <row r="28" spans="1:32" customFormat="1" ht="15" x14ac:dyDescent="0.25">
      <c r="A28" s="18" t="s">
        <v>41</v>
      </c>
      <c r="B28" s="19">
        <v>0</v>
      </c>
      <c r="C28" s="19">
        <v>2</v>
      </c>
      <c r="D28" s="19">
        <v>0</v>
      </c>
      <c r="E28" s="20">
        <v>0</v>
      </c>
      <c r="F28" s="20">
        <v>2.4810817516437165E-4</v>
      </c>
      <c r="G28" s="20">
        <v>0</v>
      </c>
      <c r="I28" s="19">
        <v>75</v>
      </c>
      <c r="J28" s="19">
        <v>5</v>
      </c>
      <c r="K28" s="19">
        <v>0</v>
      </c>
      <c r="L28" s="20">
        <v>9.4446543256516812E-3</v>
      </c>
      <c r="M28" s="20">
        <v>6.2027043791092911E-4</v>
      </c>
      <c r="N28" s="20">
        <v>0</v>
      </c>
      <c r="P28" s="19">
        <v>31</v>
      </c>
      <c r="Q28" s="19">
        <v>13</v>
      </c>
      <c r="R28" s="19">
        <v>16</v>
      </c>
      <c r="S28" s="20">
        <v>3.9037904546026948E-3</v>
      </c>
      <c r="T28" s="20">
        <v>1.6127031385684159E-3</v>
      </c>
      <c r="U28" s="20">
        <v>2.0307145576849853E-3</v>
      </c>
      <c r="W28" s="19">
        <v>106</v>
      </c>
      <c r="X28" s="19">
        <v>20</v>
      </c>
      <c r="Y28" s="19">
        <v>16</v>
      </c>
      <c r="Z28" s="20">
        <v>1.3348444780254376E-2</v>
      </c>
      <c r="AA28" s="20">
        <v>2.4810817516437165E-3</v>
      </c>
      <c r="AB28" s="20">
        <v>2.0307145576849853E-3</v>
      </c>
      <c r="AD28" s="19">
        <v>212</v>
      </c>
      <c r="AE28" s="19">
        <v>40</v>
      </c>
      <c r="AF28" s="19">
        <v>32</v>
      </c>
    </row>
    <row r="29" spans="1:32" customFormat="1" ht="15" x14ac:dyDescent="0.25">
      <c r="A29" s="18" t="s">
        <v>43</v>
      </c>
      <c r="B29" s="19">
        <v>0</v>
      </c>
      <c r="C29" s="19">
        <v>0</v>
      </c>
      <c r="D29" s="19">
        <v>0</v>
      </c>
      <c r="E29" s="20">
        <v>0</v>
      </c>
      <c r="F29" s="20">
        <v>0</v>
      </c>
      <c r="G29" s="20">
        <v>0</v>
      </c>
      <c r="I29" s="19">
        <v>3174</v>
      </c>
      <c r="J29" s="19">
        <v>3936</v>
      </c>
      <c r="K29" s="19">
        <v>10536</v>
      </c>
      <c r="L29" s="20">
        <v>1.5451029873938288E-3</v>
      </c>
      <c r="M29" s="20">
        <v>1.9223274227625838E-3</v>
      </c>
      <c r="N29" s="20">
        <v>5.166455892657758E-3</v>
      </c>
      <c r="P29" s="19">
        <v>5942</v>
      </c>
      <c r="Q29" s="19">
        <v>6855</v>
      </c>
      <c r="R29" s="19">
        <v>7499</v>
      </c>
      <c r="S29" s="20">
        <v>2.8925652019830281E-3</v>
      </c>
      <c r="T29" s="20">
        <v>3.3479559154058719E-3</v>
      </c>
      <c r="U29" s="20">
        <v>3.6772259623235127E-3</v>
      </c>
      <c r="W29" s="19">
        <v>9010</v>
      </c>
      <c r="X29" s="19">
        <v>8843</v>
      </c>
      <c r="Y29" s="19">
        <v>9969</v>
      </c>
      <c r="Z29" s="20">
        <v>4.3860673964771259E-3</v>
      </c>
      <c r="AA29" s="20">
        <v>4.3188875506833153E-3</v>
      </c>
      <c r="AB29" s="20">
        <v>4.8884205385255498E-3</v>
      </c>
      <c r="AD29" s="19">
        <v>18126</v>
      </c>
      <c r="AE29" s="19">
        <v>19634</v>
      </c>
      <c r="AF29" s="19">
        <v>28004</v>
      </c>
    </row>
    <row r="30" spans="1:32" customFormat="1" ht="15" x14ac:dyDescent="0.25">
      <c r="A30" s="18" t="s">
        <v>44</v>
      </c>
      <c r="B30" s="19">
        <v>0</v>
      </c>
      <c r="C30" s="19">
        <v>0</v>
      </c>
      <c r="D30" s="19">
        <v>0</v>
      </c>
      <c r="E30" s="20">
        <v>0</v>
      </c>
      <c r="F30" s="20">
        <v>0</v>
      </c>
      <c r="G30" s="20">
        <v>0</v>
      </c>
      <c r="I30" s="19">
        <v>0</v>
      </c>
      <c r="J30" s="19">
        <v>0</v>
      </c>
      <c r="K30" s="19">
        <v>0</v>
      </c>
      <c r="L30" s="20">
        <v>0</v>
      </c>
      <c r="M30" s="20">
        <v>0</v>
      </c>
      <c r="N30" s="20">
        <v>0</v>
      </c>
      <c r="P30" s="19">
        <v>0</v>
      </c>
      <c r="Q30" s="19">
        <v>0</v>
      </c>
      <c r="R30" s="19">
        <v>0</v>
      </c>
      <c r="S30" s="20">
        <v>0</v>
      </c>
      <c r="T30" s="20">
        <v>0</v>
      </c>
      <c r="U30" s="20">
        <v>0</v>
      </c>
      <c r="W30" s="19">
        <v>0</v>
      </c>
      <c r="X30" s="19">
        <v>2</v>
      </c>
      <c r="Y30" s="19">
        <v>0</v>
      </c>
      <c r="Z30" s="20">
        <v>0</v>
      </c>
      <c r="AA30" s="20">
        <v>3.8834951456310678E-3</v>
      </c>
      <c r="AB30" s="20">
        <v>0</v>
      </c>
      <c r="AD30" s="19">
        <v>0</v>
      </c>
      <c r="AE30" s="19">
        <v>2</v>
      </c>
      <c r="AF30" s="19">
        <v>0</v>
      </c>
    </row>
    <row r="31" spans="1:32" customFormat="1" ht="15" x14ac:dyDescent="0.25">
      <c r="A31" s="18" t="s">
        <v>45</v>
      </c>
      <c r="B31" s="19">
        <v>0</v>
      </c>
      <c r="C31" s="19">
        <v>0</v>
      </c>
      <c r="D31" s="19">
        <v>0</v>
      </c>
      <c r="E31" s="20">
        <v>0</v>
      </c>
      <c r="F31" s="20">
        <v>0</v>
      </c>
      <c r="G31" s="20">
        <v>0</v>
      </c>
      <c r="I31" s="19">
        <v>0</v>
      </c>
      <c r="J31" s="19">
        <v>0</v>
      </c>
      <c r="K31" s="19">
        <v>0</v>
      </c>
      <c r="L31" s="20">
        <v>0</v>
      </c>
      <c r="M31" s="20">
        <v>0</v>
      </c>
      <c r="N31" s="20">
        <v>0</v>
      </c>
      <c r="P31" s="19">
        <v>0</v>
      </c>
      <c r="Q31" s="19">
        <v>0</v>
      </c>
      <c r="R31" s="19">
        <v>0</v>
      </c>
      <c r="S31" s="20">
        <v>0</v>
      </c>
      <c r="T31" s="20">
        <v>0</v>
      </c>
      <c r="U31" s="20">
        <v>0</v>
      </c>
      <c r="W31" s="19">
        <v>134</v>
      </c>
      <c r="X31" s="19">
        <v>152</v>
      </c>
      <c r="Y31" s="19">
        <v>77</v>
      </c>
      <c r="Z31" s="20">
        <v>0.11953612845673506</v>
      </c>
      <c r="AA31" s="20">
        <v>0.12656119900083265</v>
      </c>
      <c r="AB31" s="20">
        <v>5.6000000000000001E-2</v>
      </c>
      <c r="AD31" s="19">
        <v>134</v>
      </c>
      <c r="AE31" s="19">
        <v>152</v>
      </c>
      <c r="AF31" s="19">
        <v>77</v>
      </c>
    </row>
    <row r="32" spans="1:32" customFormat="1" ht="15" x14ac:dyDescent="0.25">
      <c r="A32" s="18" t="s">
        <v>46</v>
      </c>
      <c r="B32" s="19">
        <v>0</v>
      </c>
      <c r="C32" s="19">
        <v>0</v>
      </c>
      <c r="D32" s="19">
        <v>0</v>
      </c>
      <c r="E32" s="20">
        <v>0</v>
      </c>
      <c r="F32" s="20">
        <v>0</v>
      </c>
      <c r="G32" s="20">
        <v>0</v>
      </c>
      <c r="I32" s="19">
        <v>0</v>
      </c>
      <c r="J32" s="19">
        <v>0</v>
      </c>
      <c r="K32" s="19">
        <v>0</v>
      </c>
      <c r="L32" s="20">
        <v>0</v>
      </c>
      <c r="M32" s="20">
        <v>0</v>
      </c>
      <c r="N32" s="20">
        <v>0</v>
      </c>
      <c r="P32" s="19">
        <v>0</v>
      </c>
      <c r="Q32" s="19">
        <v>0</v>
      </c>
      <c r="R32" s="19">
        <v>0</v>
      </c>
      <c r="S32" s="20">
        <v>0</v>
      </c>
      <c r="T32" s="20">
        <v>0</v>
      </c>
      <c r="U32" s="20">
        <v>0</v>
      </c>
      <c r="W32" s="19">
        <v>0</v>
      </c>
      <c r="X32" s="19">
        <v>0</v>
      </c>
      <c r="Y32" s="19">
        <v>10</v>
      </c>
      <c r="Z32" s="20">
        <v>0</v>
      </c>
      <c r="AA32" s="20">
        <v>0</v>
      </c>
      <c r="AB32" s="20">
        <v>2.4096385542168676E-2</v>
      </c>
      <c r="AD32" s="19">
        <v>0</v>
      </c>
      <c r="AE32" s="19">
        <v>0</v>
      </c>
      <c r="AF32" s="19">
        <v>10</v>
      </c>
    </row>
    <row r="33" spans="1:32" customFormat="1" ht="15" x14ac:dyDescent="0.25">
      <c r="A33" s="18" t="s">
        <v>126</v>
      </c>
      <c r="B33" s="19">
        <v>0</v>
      </c>
      <c r="C33" s="19">
        <v>0</v>
      </c>
      <c r="D33" s="19">
        <v>1</v>
      </c>
      <c r="E33" s="20">
        <v>0</v>
      </c>
      <c r="F33" s="20">
        <v>0</v>
      </c>
      <c r="G33" s="20">
        <v>1.6471479633015435E-5</v>
      </c>
      <c r="I33" s="19">
        <v>173</v>
      </c>
      <c r="J33" s="19">
        <v>134</v>
      </c>
      <c r="K33" s="19">
        <v>219</v>
      </c>
      <c r="L33" s="20">
        <v>2.8401628578933543E-3</v>
      </c>
      <c r="M33" s="20">
        <v>2.2043099193946375E-3</v>
      </c>
      <c r="N33" s="20">
        <v>3.60725403963038E-3</v>
      </c>
      <c r="P33" s="19">
        <v>23</v>
      </c>
      <c r="Q33" s="19">
        <v>20</v>
      </c>
      <c r="R33" s="19">
        <v>17</v>
      </c>
      <c r="S33" s="20">
        <v>3.7759390596270027E-4</v>
      </c>
      <c r="T33" s="20">
        <v>3.2900148050666228E-4</v>
      </c>
      <c r="U33" s="20">
        <v>2.800151537612624E-4</v>
      </c>
      <c r="W33" s="19">
        <v>320</v>
      </c>
      <c r="X33" s="19">
        <v>329</v>
      </c>
      <c r="Y33" s="19">
        <v>382</v>
      </c>
      <c r="Z33" s="20">
        <v>5.2534804307853957E-3</v>
      </c>
      <c r="AA33" s="20">
        <v>5.4120743543345949E-3</v>
      </c>
      <c r="AB33" s="20">
        <v>6.2921052198118953E-3</v>
      </c>
      <c r="AD33" s="19">
        <v>516</v>
      </c>
      <c r="AE33" s="19">
        <v>483</v>
      </c>
      <c r="AF33" s="19">
        <v>619</v>
      </c>
    </row>
    <row r="34" spans="1:32" customFormat="1" ht="15" x14ac:dyDescent="0.25">
      <c r="A34" s="18" t="s">
        <v>48</v>
      </c>
      <c r="B34" s="19">
        <v>0</v>
      </c>
      <c r="C34" s="19">
        <v>0</v>
      </c>
      <c r="D34" s="19">
        <v>0</v>
      </c>
      <c r="E34" s="20">
        <v>0</v>
      </c>
      <c r="F34" s="20">
        <v>0</v>
      </c>
      <c r="G34" s="20">
        <v>0</v>
      </c>
      <c r="I34" s="19">
        <v>368</v>
      </c>
      <c r="J34" s="19">
        <v>230</v>
      </c>
      <c r="K34" s="19">
        <v>89</v>
      </c>
      <c r="L34" s="20">
        <v>9.192416256588315E-3</v>
      </c>
      <c r="M34" s="20">
        <v>5.4235049990567817E-3</v>
      </c>
      <c r="N34" s="20">
        <v>2.0113448891500374E-3</v>
      </c>
      <c r="P34" s="19">
        <v>81</v>
      </c>
      <c r="Q34" s="19">
        <v>141</v>
      </c>
      <c r="R34" s="19">
        <v>176</v>
      </c>
      <c r="S34" s="20">
        <v>2.0233307521294931E-3</v>
      </c>
      <c r="T34" s="20">
        <v>3.3248443689869837E-3</v>
      </c>
      <c r="U34" s="20">
        <v>3.9774910167461415E-3</v>
      </c>
      <c r="W34" s="19">
        <v>635</v>
      </c>
      <c r="X34" s="19">
        <v>743</v>
      </c>
      <c r="Y34" s="19">
        <v>737</v>
      </c>
      <c r="Z34" s="20">
        <v>1.5861913921015162E-2</v>
      </c>
      <c r="AA34" s="20">
        <v>1.7520279192605168E-2</v>
      </c>
      <c r="AB34" s="20">
        <v>1.6655743632624467E-2</v>
      </c>
      <c r="AD34" s="19">
        <v>1084</v>
      </c>
      <c r="AE34" s="19">
        <v>1114</v>
      </c>
      <c r="AF34" s="19">
        <v>1002</v>
      </c>
    </row>
    <row r="35" spans="1:32" customFormat="1" ht="15" x14ac:dyDescent="0.25">
      <c r="A35" s="18" t="s">
        <v>49</v>
      </c>
      <c r="B35" s="19">
        <v>0</v>
      </c>
      <c r="C35" s="19">
        <v>0</v>
      </c>
      <c r="D35" s="19">
        <v>0</v>
      </c>
      <c r="E35" s="20">
        <v>0</v>
      </c>
      <c r="F35" s="20">
        <v>0</v>
      </c>
      <c r="G35" s="20">
        <v>0</v>
      </c>
      <c r="I35" s="19">
        <v>67</v>
      </c>
      <c r="J35" s="19">
        <v>115</v>
      </c>
      <c r="K35" s="19">
        <v>57</v>
      </c>
      <c r="L35" s="20">
        <v>5.3867181218845471E-3</v>
      </c>
      <c r="M35" s="20">
        <v>9.0181932245922206E-3</v>
      </c>
      <c r="N35" s="20">
        <v>4.5578122501199426E-3</v>
      </c>
      <c r="P35" s="19">
        <v>55</v>
      </c>
      <c r="Q35" s="19">
        <v>6</v>
      </c>
      <c r="R35" s="19">
        <v>6</v>
      </c>
      <c r="S35" s="20">
        <v>4.4219327866216436E-3</v>
      </c>
      <c r="T35" s="20">
        <v>4.7051442910915934E-4</v>
      </c>
      <c r="U35" s="20">
        <v>4.7976971053894133E-4</v>
      </c>
      <c r="W35" s="19">
        <v>89</v>
      </c>
      <c r="X35" s="19">
        <v>20</v>
      </c>
      <c r="Y35" s="19">
        <v>72</v>
      </c>
      <c r="Z35" s="20">
        <v>7.1554912365332044E-3</v>
      </c>
      <c r="AA35" s="20">
        <v>1.5683814303638645E-3</v>
      </c>
      <c r="AB35" s="20">
        <v>5.7572365264672958E-3</v>
      </c>
      <c r="AD35" s="19">
        <v>211</v>
      </c>
      <c r="AE35" s="19">
        <v>141</v>
      </c>
      <c r="AF35" s="19">
        <v>135</v>
      </c>
    </row>
    <row r="36" spans="1:32" customFormat="1" ht="15" x14ac:dyDescent="0.25">
      <c r="A36" s="18" t="s">
        <v>50</v>
      </c>
      <c r="B36" s="19">
        <v>0</v>
      </c>
      <c r="C36" s="19">
        <v>1</v>
      </c>
      <c r="D36" s="19">
        <v>0</v>
      </c>
      <c r="E36" s="20">
        <v>0</v>
      </c>
      <c r="F36" s="20">
        <v>1.6129032258064516E-3</v>
      </c>
      <c r="G36" s="20">
        <v>0</v>
      </c>
      <c r="I36" s="19">
        <v>0</v>
      </c>
      <c r="J36" s="19">
        <v>1</v>
      </c>
      <c r="K36" s="19">
        <v>0</v>
      </c>
      <c r="L36" s="20">
        <v>0</v>
      </c>
      <c r="M36" s="20">
        <v>1.6129032258064516E-3</v>
      </c>
      <c r="N36" s="20">
        <v>0</v>
      </c>
      <c r="P36" s="19">
        <v>0</v>
      </c>
      <c r="Q36" s="19">
        <v>0</v>
      </c>
      <c r="R36" s="19">
        <v>0</v>
      </c>
      <c r="S36" s="20">
        <v>0</v>
      </c>
      <c r="T36" s="20">
        <v>0</v>
      </c>
      <c r="U36" s="20">
        <v>0</v>
      </c>
      <c r="W36" s="19">
        <v>0</v>
      </c>
      <c r="X36" s="19">
        <v>0</v>
      </c>
      <c r="Y36" s="19">
        <v>0</v>
      </c>
      <c r="Z36" s="20">
        <v>0</v>
      </c>
      <c r="AA36" s="20">
        <v>0</v>
      </c>
      <c r="AB36" s="20">
        <v>0</v>
      </c>
      <c r="AD36" s="19">
        <v>0</v>
      </c>
      <c r="AE36" s="19">
        <v>2</v>
      </c>
      <c r="AF36" s="19">
        <v>0</v>
      </c>
    </row>
    <row r="37" spans="1:32" customFormat="1" ht="15" x14ac:dyDescent="0.25">
      <c r="A37" s="18" t="s">
        <v>51</v>
      </c>
      <c r="B37" s="19">
        <v>0</v>
      </c>
      <c r="C37" s="19">
        <v>0</v>
      </c>
      <c r="D37" s="19">
        <v>0</v>
      </c>
      <c r="E37" s="20">
        <v>0</v>
      </c>
      <c r="F37" s="20">
        <v>0</v>
      </c>
      <c r="G37" s="20">
        <v>0</v>
      </c>
      <c r="I37" s="19">
        <v>2</v>
      </c>
      <c r="J37" s="19">
        <v>6</v>
      </c>
      <c r="K37" s="19">
        <v>0</v>
      </c>
      <c r="L37" s="20">
        <v>5.0377833753148613E-3</v>
      </c>
      <c r="M37" s="20">
        <v>6.4516129032258064E-3</v>
      </c>
      <c r="N37" s="20">
        <v>0</v>
      </c>
      <c r="P37" s="19">
        <v>0</v>
      </c>
      <c r="Q37" s="19">
        <v>0</v>
      </c>
      <c r="R37" s="19">
        <v>0</v>
      </c>
      <c r="S37" s="20">
        <v>0</v>
      </c>
      <c r="T37" s="20">
        <v>0</v>
      </c>
      <c r="U37" s="20">
        <v>0</v>
      </c>
      <c r="W37" s="19">
        <v>4</v>
      </c>
      <c r="X37" s="19">
        <v>15</v>
      </c>
      <c r="Y37" s="19">
        <v>45</v>
      </c>
      <c r="Z37" s="20">
        <v>1.0075566750629723E-2</v>
      </c>
      <c r="AA37" s="20">
        <v>1.6129032258064516E-2</v>
      </c>
      <c r="AB37" s="20">
        <v>1.4792899408284023E-2</v>
      </c>
      <c r="AD37" s="19">
        <v>6</v>
      </c>
      <c r="AE37" s="19">
        <v>21</v>
      </c>
      <c r="AF37" s="19">
        <v>45</v>
      </c>
    </row>
    <row r="38" spans="1:32" customFormat="1" ht="15" x14ac:dyDescent="0.25">
      <c r="A38" s="18" t="s">
        <v>52</v>
      </c>
      <c r="B38" s="19">
        <v>308</v>
      </c>
      <c r="C38" s="19">
        <v>529</v>
      </c>
      <c r="D38" s="19">
        <v>0</v>
      </c>
      <c r="E38" s="20">
        <v>1.1010145062235917E-3</v>
      </c>
      <c r="F38" s="20">
        <v>1.8353334651720322E-3</v>
      </c>
      <c r="G38" s="20">
        <v>0</v>
      </c>
      <c r="I38" s="19">
        <v>196</v>
      </c>
      <c r="J38" s="19">
        <v>288</v>
      </c>
      <c r="K38" s="19">
        <v>965</v>
      </c>
      <c r="L38" s="20">
        <v>7.0064559486955841E-4</v>
      </c>
      <c r="M38" s="20">
        <v>9.991985594887435E-4</v>
      </c>
      <c r="N38" s="20">
        <v>3.2352369266254971E-3</v>
      </c>
      <c r="P38" s="19">
        <v>93</v>
      </c>
      <c r="Q38" s="19">
        <v>172</v>
      </c>
      <c r="R38" s="19">
        <v>704</v>
      </c>
      <c r="S38" s="20">
        <v>3.3244918532075984E-4</v>
      </c>
      <c r="T38" s="20">
        <v>5.9674358413911062E-4</v>
      </c>
      <c r="U38" s="20">
        <v>2.3602142967298961E-3</v>
      </c>
      <c r="W38" s="19">
        <v>2276</v>
      </c>
      <c r="X38" s="19">
        <v>3304</v>
      </c>
      <c r="Y38" s="19">
        <v>2336</v>
      </c>
      <c r="Z38" s="20">
        <v>8.1360682343016057E-3</v>
      </c>
      <c r="AA38" s="20">
        <v>1.1463027918579196E-2</v>
      </c>
      <c r="AB38" s="20">
        <v>7.8316201664219293E-3</v>
      </c>
      <c r="AD38" s="19">
        <v>2873</v>
      </c>
      <c r="AE38" s="19">
        <v>4293</v>
      </c>
      <c r="AF38" s="19">
        <v>4005</v>
      </c>
    </row>
    <row r="39" spans="1:32" customFormat="1" ht="15" x14ac:dyDescent="0.25">
      <c r="A39" s="18" t="s">
        <v>53</v>
      </c>
      <c r="B39" s="19">
        <v>23</v>
      </c>
      <c r="C39" s="19">
        <v>3</v>
      </c>
      <c r="D39" s="19">
        <v>0</v>
      </c>
      <c r="E39" s="20">
        <v>9.6355257645580235E-3</v>
      </c>
      <c r="F39" s="20">
        <v>1.3568521031207597E-3</v>
      </c>
      <c r="G39" s="20">
        <v>0</v>
      </c>
      <c r="I39" s="19">
        <v>0</v>
      </c>
      <c r="J39" s="19">
        <v>0</v>
      </c>
      <c r="K39" s="19">
        <v>0</v>
      </c>
      <c r="L39" s="20">
        <v>0</v>
      </c>
      <c r="M39" s="20">
        <v>0</v>
      </c>
      <c r="N39" s="20">
        <v>0</v>
      </c>
      <c r="P39" s="19">
        <v>0</v>
      </c>
      <c r="Q39" s="19">
        <v>0</v>
      </c>
      <c r="R39" s="19">
        <v>0</v>
      </c>
      <c r="S39" s="20">
        <v>0</v>
      </c>
      <c r="T39" s="20">
        <v>0</v>
      </c>
      <c r="U39" s="20">
        <v>0</v>
      </c>
      <c r="W39" s="19">
        <v>0</v>
      </c>
      <c r="X39" s="19">
        <v>0</v>
      </c>
      <c r="Y39" s="19">
        <v>0</v>
      </c>
      <c r="Z39" s="20">
        <v>0</v>
      </c>
      <c r="AA39" s="20">
        <v>0</v>
      </c>
      <c r="AB39" s="20">
        <v>0</v>
      </c>
      <c r="AD39" s="19">
        <v>23</v>
      </c>
      <c r="AE39" s="19">
        <v>3</v>
      </c>
      <c r="AF39" s="19">
        <v>0</v>
      </c>
    </row>
    <row r="40" spans="1:32" customFormat="1" ht="15" x14ac:dyDescent="0.25">
      <c r="A40" s="18" t="s">
        <v>54</v>
      </c>
      <c r="B40" s="19">
        <v>0</v>
      </c>
      <c r="C40" s="19">
        <v>0</v>
      </c>
      <c r="D40" s="19">
        <v>0</v>
      </c>
      <c r="E40" s="20">
        <v>0</v>
      </c>
      <c r="F40" s="20">
        <v>0</v>
      </c>
      <c r="G40" s="20">
        <v>0</v>
      </c>
      <c r="I40" s="19">
        <v>0</v>
      </c>
      <c r="J40" s="19">
        <v>0</v>
      </c>
      <c r="K40" s="19">
        <v>0</v>
      </c>
      <c r="L40" s="20">
        <v>0</v>
      </c>
      <c r="M40" s="20">
        <v>0</v>
      </c>
      <c r="N40" s="20">
        <v>0</v>
      </c>
      <c r="P40" s="19">
        <v>19</v>
      </c>
      <c r="Q40" s="19">
        <v>0</v>
      </c>
      <c r="R40" s="19">
        <v>0</v>
      </c>
      <c r="S40" s="20">
        <v>7.1915215745647241E-3</v>
      </c>
      <c r="T40" s="20">
        <v>0</v>
      </c>
      <c r="U40" s="20">
        <v>0</v>
      </c>
      <c r="W40" s="19">
        <v>0</v>
      </c>
      <c r="X40" s="19">
        <v>0</v>
      </c>
      <c r="Y40" s="19">
        <v>0</v>
      </c>
      <c r="Z40" s="20">
        <v>0</v>
      </c>
      <c r="AA40" s="20">
        <v>0</v>
      </c>
      <c r="AB40" s="20">
        <v>0</v>
      </c>
      <c r="AD40" s="19">
        <v>19</v>
      </c>
      <c r="AE40" s="19">
        <v>0</v>
      </c>
      <c r="AF40" s="19">
        <v>0</v>
      </c>
    </row>
    <row r="41" spans="1:32" customFormat="1" ht="15" x14ac:dyDescent="0.25">
      <c r="A41" s="18" t="s">
        <v>55</v>
      </c>
      <c r="B41" s="19">
        <v>890</v>
      </c>
      <c r="C41" s="19">
        <v>925</v>
      </c>
      <c r="D41" s="19">
        <v>1298</v>
      </c>
      <c r="E41" s="20">
        <v>6.7244414558037978E-3</v>
      </c>
      <c r="F41" s="20">
        <v>6.7729842134551738E-3</v>
      </c>
      <c r="G41" s="20">
        <v>9.4505846548133907E-3</v>
      </c>
      <c r="I41" s="19">
        <v>181</v>
      </c>
      <c r="J41" s="19">
        <v>207</v>
      </c>
      <c r="K41" s="19">
        <v>256</v>
      </c>
      <c r="L41" s="20">
        <v>1.3675549477533565E-3</v>
      </c>
      <c r="M41" s="20">
        <v>1.5156840347948335E-3</v>
      </c>
      <c r="N41" s="20">
        <v>1.8639057562651988E-3</v>
      </c>
      <c r="P41" s="19">
        <v>66</v>
      </c>
      <c r="Q41" s="19">
        <v>60</v>
      </c>
      <c r="R41" s="19">
        <v>36</v>
      </c>
      <c r="S41" s="20">
        <v>4.9866644503713555E-4</v>
      </c>
      <c r="T41" s="20">
        <v>4.3932870573763289E-4</v>
      </c>
      <c r="U41" s="20">
        <v>2.6211174697479358E-4</v>
      </c>
      <c r="W41" s="19">
        <v>709</v>
      </c>
      <c r="X41" s="19">
        <v>718</v>
      </c>
      <c r="Y41" s="19">
        <v>1042</v>
      </c>
      <c r="Z41" s="20">
        <v>5.3568865080504411E-3</v>
      </c>
      <c r="AA41" s="20">
        <v>5.2573001786603403E-3</v>
      </c>
      <c r="AB41" s="20">
        <v>7.5866788985481919E-3</v>
      </c>
      <c r="AD41" s="19">
        <v>1846</v>
      </c>
      <c r="AE41" s="19">
        <v>1910</v>
      </c>
      <c r="AF41" s="19">
        <v>2632</v>
      </c>
    </row>
    <row r="42" spans="1:32" customFormat="1" ht="15" x14ac:dyDescent="0.25">
      <c r="A42" s="18" t="s">
        <v>56</v>
      </c>
      <c r="B42" s="19">
        <v>0</v>
      </c>
      <c r="C42" s="19">
        <v>0</v>
      </c>
      <c r="D42" s="19">
        <v>0</v>
      </c>
      <c r="E42" s="20">
        <v>0</v>
      </c>
      <c r="F42" s="20">
        <v>0</v>
      </c>
      <c r="G42" s="20">
        <v>0</v>
      </c>
      <c r="I42" s="19">
        <v>0</v>
      </c>
      <c r="J42" s="19">
        <v>1</v>
      </c>
      <c r="K42" s="19">
        <v>0</v>
      </c>
      <c r="L42" s="20">
        <v>0</v>
      </c>
      <c r="M42" s="20">
        <v>2.0189783969311529E-4</v>
      </c>
      <c r="N42" s="20">
        <v>0</v>
      </c>
      <c r="P42" s="19">
        <v>0</v>
      </c>
      <c r="Q42" s="19">
        <v>1</v>
      </c>
      <c r="R42" s="19">
        <v>0</v>
      </c>
      <c r="S42" s="20">
        <v>0</v>
      </c>
      <c r="T42" s="20">
        <v>2.0189783969311529E-4</v>
      </c>
      <c r="U42" s="20">
        <v>0</v>
      </c>
      <c r="W42" s="19">
        <v>19</v>
      </c>
      <c r="X42" s="19">
        <v>52</v>
      </c>
      <c r="Y42" s="19">
        <v>15</v>
      </c>
      <c r="Z42" s="20">
        <v>3.6094224924012159E-3</v>
      </c>
      <c r="AA42" s="20">
        <v>1.0498687664041995E-2</v>
      </c>
      <c r="AB42" s="20">
        <v>2.7124773960216998E-3</v>
      </c>
      <c r="AD42" s="19">
        <v>19</v>
      </c>
      <c r="AE42" s="19">
        <v>54</v>
      </c>
      <c r="AF42" s="19">
        <v>15</v>
      </c>
    </row>
    <row r="43" spans="1:32" customFormat="1" ht="15" x14ac:dyDescent="0.25">
      <c r="A43" s="18" t="s">
        <v>58</v>
      </c>
      <c r="B43" s="19">
        <v>0</v>
      </c>
      <c r="C43" s="19">
        <v>0</v>
      </c>
      <c r="D43" s="19">
        <v>0</v>
      </c>
      <c r="E43" s="20">
        <v>0</v>
      </c>
      <c r="F43" s="20">
        <v>0</v>
      </c>
      <c r="G43" s="20">
        <v>0</v>
      </c>
      <c r="I43" s="19">
        <v>0</v>
      </c>
      <c r="J43" s="19">
        <v>0</v>
      </c>
      <c r="K43" s="19">
        <v>0</v>
      </c>
      <c r="L43" s="20">
        <v>0</v>
      </c>
      <c r="M43" s="20">
        <v>0</v>
      </c>
      <c r="N43" s="20">
        <v>0</v>
      </c>
      <c r="P43" s="19">
        <v>1</v>
      </c>
      <c r="Q43" s="19">
        <v>0</v>
      </c>
      <c r="R43" s="19">
        <v>0</v>
      </c>
      <c r="S43" s="20">
        <v>1.6474464579901153E-3</v>
      </c>
      <c r="T43" s="20">
        <v>0</v>
      </c>
      <c r="U43" s="20">
        <v>0</v>
      </c>
      <c r="W43" s="19">
        <v>0</v>
      </c>
      <c r="X43" s="19">
        <v>0</v>
      </c>
      <c r="Y43" s="19">
        <v>0</v>
      </c>
      <c r="Z43" s="20">
        <v>0</v>
      </c>
      <c r="AA43" s="20">
        <v>0</v>
      </c>
      <c r="AB43" s="20">
        <v>0</v>
      </c>
      <c r="AD43" s="19">
        <v>1</v>
      </c>
      <c r="AE43" s="19">
        <v>0</v>
      </c>
      <c r="AF43" s="19">
        <v>0</v>
      </c>
    </row>
    <row r="44" spans="1:32" s="43" customFormat="1" ht="15" x14ac:dyDescent="0.25">
      <c r="A44" s="1" t="s">
        <v>62</v>
      </c>
      <c r="B44" s="21">
        <v>7265</v>
      </c>
      <c r="C44" s="21">
        <v>18419</v>
      </c>
      <c r="D44" s="21">
        <v>16995</v>
      </c>
      <c r="E44" s="22">
        <v>1.0121869256379077E-3</v>
      </c>
      <c r="F44" s="22">
        <v>2.5778245786105638E-3</v>
      </c>
      <c r="G44" s="22">
        <v>2.3565630315093068E-3</v>
      </c>
      <c r="I44" s="21">
        <v>15664</v>
      </c>
      <c r="J44" s="21">
        <v>23124</v>
      </c>
      <c r="K44" s="21">
        <v>27682</v>
      </c>
      <c r="L44" s="22">
        <v>2.1823669653395989E-3</v>
      </c>
      <c r="M44" s="22">
        <v>3.2363111762739932E-3</v>
      </c>
      <c r="N44" s="22">
        <v>3.8384452979253092E-3</v>
      </c>
      <c r="P44" s="21">
        <v>23159</v>
      </c>
      <c r="Q44" s="21">
        <v>25506</v>
      </c>
      <c r="R44" s="21">
        <v>27131</v>
      </c>
      <c r="S44" s="22">
        <v>3.2265983497382386E-3</v>
      </c>
      <c r="T44" s="22">
        <v>3.5696831370889324E-3</v>
      </c>
      <c r="U44" s="22">
        <v>3.7620424600105329E-3</v>
      </c>
      <c r="W44" s="21">
        <v>37498</v>
      </c>
      <c r="X44" s="21">
        <v>36347</v>
      </c>
      <c r="Y44" s="21">
        <v>38688</v>
      </c>
      <c r="Z44" s="22">
        <v>5.2243613678692718E-3</v>
      </c>
      <c r="AA44" s="22">
        <v>5.0869314272630525E-3</v>
      </c>
      <c r="AB44" s="22">
        <v>5.3645607862919716E-3</v>
      </c>
      <c r="AD44" s="21">
        <v>83586</v>
      </c>
      <c r="AE44" s="21">
        <v>103396</v>
      </c>
      <c r="AF44" s="21">
        <v>110496</v>
      </c>
    </row>
    <row r="45" spans="1:32" customFormat="1" ht="15" x14ac:dyDescent="0.25">
      <c r="A45" s="23"/>
      <c r="B45" s="19"/>
      <c r="C45" s="19"/>
      <c r="D45" s="19"/>
      <c r="E45" s="19"/>
      <c r="F45" s="19"/>
      <c r="G45" s="19"/>
      <c r="I45" s="19"/>
      <c r="J45" s="19"/>
      <c r="K45" s="19"/>
      <c r="L45" s="19"/>
      <c r="M45" s="19"/>
      <c r="N45" s="19"/>
      <c r="P45" s="19"/>
      <c r="Q45" s="19"/>
      <c r="R45" s="19"/>
      <c r="S45" s="19"/>
      <c r="T45" s="19"/>
      <c r="U45" s="19"/>
      <c r="W45" s="19"/>
      <c r="X45" s="19"/>
      <c r="Y45" s="19"/>
      <c r="Z45" s="19"/>
      <c r="AA45" s="19"/>
      <c r="AB45" s="19"/>
      <c r="AD45" s="19"/>
      <c r="AE45" s="19"/>
      <c r="AF45" s="19"/>
    </row>
    <row r="46" spans="1:32" customFormat="1" ht="15" x14ac:dyDescent="0.25">
      <c r="A46" s="1" t="s">
        <v>63</v>
      </c>
      <c r="B46" s="19"/>
      <c r="C46" s="19"/>
      <c r="D46" s="19"/>
      <c r="E46" s="19"/>
      <c r="F46" s="19"/>
      <c r="G46" s="19"/>
      <c r="I46" s="19"/>
      <c r="J46" s="19"/>
      <c r="K46" s="19"/>
      <c r="L46" s="19"/>
      <c r="M46" s="19"/>
      <c r="N46" s="19"/>
      <c r="P46" s="19"/>
      <c r="Q46" s="19"/>
      <c r="R46" s="19"/>
      <c r="S46" s="19"/>
      <c r="T46" s="19"/>
      <c r="U46" s="19"/>
      <c r="W46" s="19"/>
      <c r="X46" s="19"/>
      <c r="Y46" s="19"/>
      <c r="Z46" s="19"/>
      <c r="AA46" s="19"/>
      <c r="AB46" s="19"/>
      <c r="AD46" s="19"/>
      <c r="AE46" s="19"/>
      <c r="AF46" s="19"/>
    </row>
    <row r="47" spans="1:32" customFormat="1" ht="15" x14ac:dyDescent="0.25">
      <c r="A47" s="24" t="s">
        <v>64</v>
      </c>
      <c r="B47" s="25"/>
      <c r="C47" s="25"/>
      <c r="D47" s="25"/>
      <c r="E47" s="25"/>
      <c r="F47" s="25"/>
      <c r="G47" s="25"/>
      <c r="I47" s="25"/>
      <c r="J47" s="25"/>
      <c r="K47" s="25"/>
      <c r="L47" s="25"/>
      <c r="M47" s="25"/>
      <c r="N47" s="25"/>
      <c r="P47" s="25"/>
      <c r="Q47" s="25"/>
      <c r="R47" s="25"/>
      <c r="S47" s="25"/>
      <c r="T47" s="25"/>
      <c r="U47" s="25"/>
      <c r="W47" s="25"/>
      <c r="X47" s="25"/>
      <c r="Y47" s="25"/>
      <c r="Z47" s="25"/>
      <c r="AA47" s="25"/>
      <c r="AB47" s="25"/>
      <c r="AD47" s="19"/>
      <c r="AE47" s="19"/>
      <c r="AF47" s="19"/>
    </row>
    <row r="48" spans="1:32" customFormat="1" ht="15" x14ac:dyDescent="0.25">
      <c r="A48" s="18" t="s">
        <v>18</v>
      </c>
      <c r="B48" s="19">
        <v>0</v>
      </c>
      <c r="C48" s="19">
        <v>0</v>
      </c>
      <c r="D48" s="19">
        <v>0</v>
      </c>
      <c r="E48" s="20">
        <v>0</v>
      </c>
      <c r="F48" s="20">
        <v>0</v>
      </c>
      <c r="G48" s="20">
        <v>0</v>
      </c>
      <c r="I48" s="19">
        <v>348</v>
      </c>
      <c r="J48" s="19">
        <v>132</v>
      </c>
      <c r="K48" s="19">
        <v>30</v>
      </c>
      <c r="L48" s="20">
        <v>2.2039404936066726E-3</v>
      </c>
      <c r="M48" s="20">
        <v>8.465445590272433E-4</v>
      </c>
      <c r="N48" s="20">
        <v>1.9284047593029461E-4</v>
      </c>
      <c r="P48" s="19">
        <v>633</v>
      </c>
      <c r="Q48" s="19">
        <v>749</v>
      </c>
      <c r="R48" s="19">
        <v>1173</v>
      </c>
      <c r="S48" s="20">
        <v>4.0088917599224822E-3</v>
      </c>
      <c r="T48" s="20">
        <v>4.8034990508439793E-3</v>
      </c>
      <c r="U48" s="20">
        <v>7.5400626088745187E-3</v>
      </c>
      <c r="W48" s="19">
        <v>631</v>
      </c>
      <c r="X48" s="19">
        <v>541</v>
      </c>
      <c r="Y48" s="19">
        <v>886</v>
      </c>
      <c r="Z48" s="20">
        <v>3.9962254352465818E-3</v>
      </c>
      <c r="AA48" s="20">
        <v>3.4695500487404445E-3</v>
      </c>
      <c r="AB48" s="20">
        <v>5.6952220558080333E-3</v>
      </c>
      <c r="AD48" s="19">
        <v>1612</v>
      </c>
      <c r="AE48" s="19">
        <v>1422</v>
      </c>
      <c r="AF48" s="19">
        <v>2089</v>
      </c>
    </row>
    <row r="49" spans="1:32" customFormat="1" ht="15" x14ac:dyDescent="0.25">
      <c r="A49" s="18" t="s">
        <v>29</v>
      </c>
      <c r="B49" s="19">
        <v>0</v>
      </c>
      <c r="C49" s="19">
        <v>0</v>
      </c>
      <c r="D49" s="19">
        <v>0</v>
      </c>
      <c r="E49" s="20">
        <v>0</v>
      </c>
      <c r="F49" s="20">
        <v>0</v>
      </c>
      <c r="G49" s="20">
        <v>0</v>
      </c>
      <c r="I49" s="19">
        <v>0</v>
      </c>
      <c r="J49" s="19">
        <v>0</v>
      </c>
      <c r="K49" s="19">
        <v>0</v>
      </c>
      <c r="L49" s="20">
        <v>0</v>
      </c>
      <c r="M49" s="20">
        <v>0</v>
      </c>
      <c r="N49" s="20">
        <v>0</v>
      </c>
      <c r="P49" s="19">
        <v>0</v>
      </c>
      <c r="Q49" s="19">
        <v>0</v>
      </c>
      <c r="R49" s="19">
        <v>0</v>
      </c>
      <c r="S49" s="20">
        <v>0</v>
      </c>
      <c r="T49" s="20">
        <v>0</v>
      </c>
      <c r="U49" s="20">
        <v>0</v>
      </c>
      <c r="W49" s="19">
        <v>1</v>
      </c>
      <c r="X49" s="19">
        <v>1</v>
      </c>
      <c r="Y49" s="19">
        <v>2</v>
      </c>
      <c r="Z49" s="20">
        <v>3.8461538461538464E-3</v>
      </c>
      <c r="AA49" s="20">
        <v>3.2258064516129032E-3</v>
      </c>
      <c r="AB49" s="20">
        <v>4.2643923240938165E-3</v>
      </c>
      <c r="AD49" s="19">
        <v>1</v>
      </c>
      <c r="AE49" s="19">
        <v>1</v>
      </c>
      <c r="AF49" s="19">
        <v>2</v>
      </c>
    </row>
    <row r="50" spans="1:32" customFormat="1" ht="15" x14ac:dyDescent="0.25">
      <c r="A50" s="18" t="s">
        <v>30</v>
      </c>
      <c r="B50" s="19">
        <v>0</v>
      </c>
      <c r="C50" s="19">
        <v>0</v>
      </c>
      <c r="D50" s="19">
        <v>0</v>
      </c>
      <c r="E50" s="20">
        <v>0</v>
      </c>
      <c r="F50" s="20">
        <v>0</v>
      </c>
      <c r="G50" s="20">
        <v>0</v>
      </c>
      <c r="I50" s="19">
        <v>2</v>
      </c>
      <c r="J50" s="19">
        <v>7</v>
      </c>
      <c r="K50" s="19">
        <v>2</v>
      </c>
      <c r="L50" s="20">
        <v>2.3607176581680832E-4</v>
      </c>
      <c r="M50" s="20">
        <v>8.5668828784726467E-4</v>
      </c>
      <c r="N50" s="20">
        <v>2.4950099800399199E-4</v>
      </c>
      <c r="P50" s="19">
        <v>2</v>
      </c>
      <c r="Q50" s="19">
        <v>4</v>
      </c>
      <c r="R50" s="19">
        <v>4</v>
      </c>
      <c r="S50" s="20">
        <v>2.3607176581680832E-4</v>
      </c>
      <c r="T50" s="20">
        <v>4.8953616448415129E-4</v>
      </c>
      <c r="U50" s="20">
        <v>4.9900199600798399E-4</v>
      </c>
      <c r="W50" s="19">
        <v>21</v>
      </c>
      <c r="X50" s="19">
        <v>33</v>
      </c>
      <c r="Y50" s="19">
        <v>32</v>
      </c>
      <c r="Z50" s="20">
        <v>2.4787535410764872E-3</v>
      </c>
      <c r="AA50" s="20">
        <v>4.038673356994248E-3</v>
      </c>
      <c r="AB50" s="20">
        <v>3.9920159680638719E-3</v>
      </c>
      <c r="AD50" s="19">
        <v>25</v>
      </c>
      <c r="AE50" s="19">
        <v>44</v>
      </c>
      <c r="AF50" s="19">
        <v>38</v>
      </c>
    </row>
    <row r="51" spans="1:32" customFormat="1" ht="15" x14ac:dyDescent="0.25">
      <c r="A51" s="18" t="s">
        <v>43</v>
      </c>
      <c r="B51" s="19">
        <v>0</v>
      </c>
      <c r="C51" s="19">
        <v>0</v>
      </c>
      <c r="D51" s="19">
        <v>0</v>
      </c>
      <c r="E51" s="20">
        <v>0</v>
      </c>
      <c r="F51" s="20">
        <v>0</v>
      </c>
      <c r="G51" s="20">
        <v>0</v>
      </c>
      <c r="I51" s="19">
        <v>20</v>
      </c>
      <c r="J51" s="19">
        <v>9</v>
      </c>
      <c r="K51" s="19">
        <v>16</v>
      </c>
      <c r="L51" s="20">
        <v>8.4853627492575306E-4</v>
      </c>
      <c r="M51" s="20">
        <v>3.4570177460244297E-4</v>
      </c>
      <c r="N51" s="20">
        <v>5.780138000794769E-4</v>
      </c>
      <c r="P51" s="19">
        <v>55</v>
      </c>
      <c r="Q51" s="19">
        <v>45</v>
      </c>
      <c r="R51" s="19">
        <v>242</v>
      </c>
      <c r="S51" s="20">
        <v>2.3334747560458209E-3</v>
      </c>
      <c r="T51" s="20">
        <v>1.7285088730122147E-3</v>
      </c>
      <c r="U51" s="20">
        <v>8.7424587262020879E-3</v>
      </c>
      <c r="W51" s="19">
        <v>95</v>
      </c>
      <c r="X51" s="19">
        <v>77</v>
      </c>
      <c r="Y51" s="19">
        <v>152</v>
      </c>
      <c r="Z51" s="20">
        <v>4.0305473058973272E-3</v>
      </c>
      <c r="AA51" s="20">
        <v>2.9576707382653455E-3</v>
      </c>
      <c r="AB51" s="20">
        <v>5.4911311007550308E-3</v>
      </c>
      <c r="AD51" s="19">
        <v>170</v>
      </c>
      <c r="AE51" s="19">
        <v>131</v>
      </c>
      <c r="AF51" s="19">
        <v>410</v>
      </c>
    </row>
    <row r="52" spans="1:32" s="43" customFormat="1" ht="15" x14ac:dyDescent="0.25">
      <c r="A52" s="26" t="s">
        <v>65</v>
      </c>
      <c r="B52" s="27">
        <v>0</v>
      </c>
      <c r="C52" s="27">
        <v>0</v>
      </c>
      <c r="D52" s="27">
        <v>0</v>
      </c>
      <c r="E52" s="22">
        <v>0</v>
      </c>
      <c r="F52" s="22">
        <v>0</v>
      </c>
      <c r="G52" s="22">
        <v>0</v>
      </c>
      <c r="I52" s="27">
        <v>370</v>
      </c>
      <c r="J52" s="27">
        <v>148</v>
      </c>
      <c r="K52" s="27">
        <v>48</v>
      </c>
      <c r="L52" s="22">
        <v>1.9411465355780682E-3</v>
      </c>
      <c r="M52" s="22">
        <v>7.7542530506174588E-4</v>
      </c>
      <c r="N52" s="22">
        <v>2.4975024975024975E-4</v>
      </c>
      <c r="P52" s="27">
        <v>690</v>
      </c>
      <c r="Q52" s="27">
        <v>798</v>
      </c>
      <c r="R52" s="27">
        <v>1419</v>
      </c>
      <c r="S52" s="22">
        <v>3.6199759717536945E-3</v>
      </c>
      <c r="T52" s="22">
        <v>4.1810094151302239E-3</v>
      </c>
      <c r="U52" s="22">
        <v>7.383241758241758E-3</v>
      </c>
      <c r="W52" s="27">
        <v>748</v>
      </c>
      <c r="X52" s="27">
        <v>652</v>
      </c>
      <c r="Y52" s="27">
        <v>1072</v>
      </c>
      <c r="Z52" s="22">
        <v>3.9242638070605268E-3</v>
      </c>
      <c r="AA52" s="22">
        <v>3.4160628304071507E-3</v>
      </c>
      <c r="AB52" s="22">
        <v>5.577755577755578E-3</v>
      </c>
      <c r="AD52" s="21">
        <v>1808</v>
      </c>
      <c r="AE52" s="21">
        <v>1598</v>
      </c>
      <c r="AF52" s="21">
        <v>2539</v>
      </c>
    </row>
    <row r="53" spans="1:32" customFormat="1" ht="15" x14ac:dyDescent="0.25">
      <c r="A53" s="18"/>
      <c r="B53" s="19"/>
      <c r="C53" s="19"/>
      <c r="D53" s="19"/>
      <c r="E53" s="19"/>
      <c r="F53" s="19"/>
      <c r="G53" s="19"/>
      <c r="I53" s="19"/>
      <c r="J53" s="19"/>
      <c r="K53" s="19"/>
      <c r="L53" s="19"/>
      <c r="M53" s="19"/>
      <c r="N53" s="19"/>
      <c r="P53" s="19"/>
      <c r="Q53" s="19"/>
      <c r="R53" s="19"/>
      <c r="S53" s="19"/>
      <c r="T53" s="19"/>
      <c r="U53" s="19"/>
      <c r="W53" s="19"/>
      <c r="X53" s="19"/>
      <c r="Y53" s="19"/>
      <c r="Z53" s="19"/>
      <c r="AA53" s="19"/>
      <c r="AB53" s="19"/>
      <c r="AD53" s="19"/>
      <c r="AE53" s="19"/>
      <c r="AF53" s="19"/>
    </row>
    <row r="54" spans="1:32" customFormat="1" ht="15" x14ac:dyDescent="0.25">
      <c r="A54" s="28" t="s">
        <v>66</v>
      </c>
      <c r="B54" s="25"/>
      <c r="C54" s="25"/>
      <c r="D54" s="25"/>
      <c r="E54" s="25"/>
      <c r="F54" s="25"/>
      <c r="G54" s="25"/>
      <c r="I54" s="25"/>
      <c r="J54" s="25"/>
      <c r="K54" s="25"/>
      <c r="L54" s="25"/>
      <c r="M54" s="25"/>
      <c r="N54" s="25"/>
      <c r="P54" s="25"/>
      <c r="Q54" s="25"/>
      <c r="R54" s="25"/>
      <c r="S54" s="25"/>
      <c r="T54" s="25"/>
      <c r="U54" s="25"/>
      <c r="W54" s="25"/>
      <c r="X54" s="25"/>
      <c r="Y54" s="25"/>
      <c r="Z54" s="25"/>
      <c r="AA54" s="25"/>
      <c r="AB54" s="25"/>
      <c r="AD54" s="19"/>
      <c r="AE54" s="19"/>
      <c r="AF54" s="19"/>
    </row>
    <row r="55" spans="1:32" customFormat="1" ht="15" x14ac:dyDescent="0.25">
      <c r="A55" s="18" t="s">
        <v>17</v>
      </c>
      <c r="B55" s="19">
        <v>0</v>
      </c>
      <c r="C55" s="19">
        <v>0</v>
      </c>
      <c r="D55" s="19">
        <v>0</v>
      </c>
      <c r="E55" s="20">
        <v>0</v>
      </c>
      <c r="F55" s="20">
        <v>0</v>
      </c>
      <c r="G55" s="20">
        <v>0</v>
      </c>
      <c r="I55" s="19">
        <v>19</v>
      </c>
      <c r="J55" s="19">
        <v>12</v>
      </c>
      <c r="K55" s="19">
        <v>152</v>
      </c>
      <c r="L55" s="20">
        <v>1.8695267145527896E-3</v>
      </c>
      <c r="M55" s="20">
        <v>1.1964107676969093E-3</v>
      </c>
      <c r="N55" s="20">
        <v>1.5319492037895585E-2</v>
      </c>
      <c r="P55" s="19">
        <v>1</v>
      </c>
      <c r="Q55" s="19">
        <v>0</v>
      </c>
      <c r="R55" s="19">
        <v>0</v>
      </c>
      <c r="S55" s="20">
        <v>9.8396142871199447E-5</v>
      </c>
      <c r="T55" s="20">
        <v>0</v>
      </c>
      <c r="U55" s="20">
        <v>0</v>
      </c>
      <c r="W55" s="19">
        <v>41</v>
      </c>
      <c r="X55" s="19">
        <v>56</v>
      </c>
      <c r="Y55" s="19">
        <v>43</v>
      </c>
      <c r="Z55" s="20">
        <v>4.034241857719177E-3</v>
      </c>
      <c r="AA55" s="20">
        <v>5.5832502492522435E-3</v>
      </c>
      <c r="AB55" s="20">
        <v>4.3338036686151986E-3</v>
      </c>
      <c r="AD55" s="19">
        <v>61</v>
      </c>
      <c r="AE55" s="19">
        <v>68</v>
      </c>
      <c r="AF55" s="19">
        <v>195</v>
      </c>
    </row>
    <row r="56" spans="1:32" customFormat="1" ht="15" x14ac:dyDescent="0.25">
      <c r="A56" s="18" t="s">
        <v>18</v>
      </c>
      <c r="B56" s="19">
        <v>0</v>
      </c>
      <c r="C56" s="19">
        <v>0</v>
      </c>
      <c r="D56" s="19">
        <v>0</v>
      </c>
      <c r="E56" s="20">
        <v>0</v>
      </c>
      <c r="F56" s="20">
        <v>0</v>
      </c>
      <c r="G56" s="20">
        <v>0</v>
      </c>
      <c r="I56" s="19">
        <v>112</v>
      </c>
      <c r="J56" s="19">
        <v>1126</v>
      </c>
      <c r="K56" s="19">
        <v>30</v>
      </c>
      <c r="L56" s="20">
        <v>3.8447015207167621E-3</v>
      </c>
      <c r="M56" s="20">
        <v>3.9206128133704735E-2</v>
      </c>
      <c r="N56" s="20">
        <v>1.0632265381343919E-3</v>
      </c>
      <c r="P56" s="19">
        <v>262</v>
      </c>
      <c r="Q56" s="19">
        <v>303</v>
      </c>
      <c r="R56" s="19">
        <v>322</v>
      </c>
      <c r="S56" s="20">
        <v>8.9938553431052823E-3</v>
      </c>
      <c r="T56" s="20">
        <v>1.0550139275766016E-2</v>
      </c>
      <c r="U56" s="20">
        <v>1.1411964842642472E-2</v>
      </c>
      <c r="W56" s="19">
        <v>145</v>
      </c>
      <c r="X56" s="19">
        <v>177</v>
      </c>
      <c r="Y56" s="19">
        <v>207</v>
      </c>
      <c r="Z56" s="20">
        <v>4.9775153616422371E-3</v>
      </c>
      <c r="AA56" s="20">
        <v>6.1629526462395542E-3</v>
      </c>
      <c r="AB56" s="20">
        <v>7.3362631131273035E-3</v>
      </c>
      <c r="AD56" s="19">
        <v>519</v>
      </c>
      <c r="AE56" s="19">
        <v>1606</v>
      </c>
      <c r="AF56" s="19">
        <v>559</v>
      </c>
    </row>
    <row r="57" spans="1:32" customFormat="1" ht="15" x14ac:dyDescent="0.25">
      <c r="A57" s="18" t="s">
        <v>19</v>
      </c>
      <c r="B57" s="19">
        <v>0</v>
      </c>
      <c r="C57" s="19">
        <v>0</v>
      </c>
      <c r="D57" s="19">
        <v>2088</v>
      </c>
      <c r="E57" s="20">
        <v>0</v>
      </c>
      <c r="F57" s="20">
        <v>0</v>
      </c>
      <c r="G57" s="20">
        <v>2.554712821159091E-3</v>
      </c>
      <c r="I57" s="19">
        <v>4391</v>
      </c>
      <c r="J57" s="19">
        <v>3261</v>
      </c>
      <c r="K57" s="19">
        <v>1901</v>
      </c>
      <c r="L57" s="20">
        <v>5.3935074011794227E-3</v>
      </c>
      <c r="M57" s="20">
        <v>4.0134347296869868E-3</v>
      </c>
      <c r="N57" s="20">
        <v>2.3259143070035594E-3</v>
      </c>
      <c r="P57" s="19">
        <v>6789</v>
      </c>
      <c r="Q57" s="19">
        <v>7239</v>
      </c>
      <c r="R57" s="19">
        <v>6644</v>
      </c>
      <c r="S57" s="20">
        <v>8.3389937933516511E-3</v>
      </c>
      <c r="T57" s="20">
        <v>8.9093081901883159E-3</v>
      </c>
      <c r="U57" s="20">
        <v>8.12907662058477E-3</v>
      </c>
      <c r="W57" s="19">
        <v>3376</v>
      </c>
      <c r="X57" s="19">
        <v>3155</v>
      </c>
      <c r="Y57" s="19">
        <v>3296</v>
      </c>
      <c r="Z57" s="20">
        <v>4.146773169296682E-3</v>
      </c>
      <c r="AA57" s="20">
        <v>3.8829765630672931E-3</v>
      </c>
      <c r="AB57" s="20">
        <v>4.0327267521745036E-3</v>
      </c>
      <c r="AD57" s="19">
        <v>14556</v>
      </c>
      <c r="AE57" s="19">
        <v>13655</v>
      </c>
      <c r="AF57" s="19">
        <v>13929</v>
      </c>
    </row>
    <row r="58" spans="1:32" customFormat="1" ht="15" x14ac:dyDescent="0.25">
      <c r="A58" s="18" t="s">
        <v>20</v>
      </c>
      <c r="B58" s="19">
        <v>0</v>
      </c>
      <c r="C58" s="19">
        <v>0</v>
      </c>
      <c r="D58" s="19">
        <v>0</v>
      </c>
      <c r="E58" s="20">
        <v>0</v>
      </c>
      <c r="F58" s="20">
        <v>0</v>
      </c>
      <c r="G58" s="20">
        <v>0</v>
      </c>
      <c r="I58" s="19">
        <v>517</v>
      </c>
      <c r="J58" s="19">
        <v>290</v>
      </c>
      <c r="K58" s="19">
        <v>115</v>
      </c>
      <c r="L58" s="20">
        <v>5.6424416383816997E-3</v>
      </c>
      <c r="M58" s="20">
        <v>3.0141143700500965E-3</v>
      </c>
      <c r="N58" s="20">
        <v>1.0822816379156197E-3</v>
      </c>
      <c r="P58" s="19">
        <v>35</v>
      </c>
      <c r="Q58" s="19">
        <v>80</v>
      </c>
      <c r="R58" s="19">
        <v>115</v>
      </c>
      <c r="S58" s="20">
        <v>3.8198347648618858E-4</v>
      </c>
      <c r="T58" s="20">
        <v>8.3147982622071629E-4</v>
      </c>
      <c r="U58" s="20">
        <v>1.0822816379156197E-3</v>
      </c>
      <c r="W58" s="19">
        <v>529</v>
      </c>
      <c r="X58" s="19">
        <v>401</v>
      </c>
      <c r="Y58" s="19">
        <v>524</v>
      </c>
      <c r="Z58" s="20">
        <v>5.7734074017483927E-3</v>
      </c>
      <c r="AA58" s="20">
        <v>4.1677926289313402E-3</v>
      </c>
      <c r="AB58" s="20">
        <v>4.9314398110242149E-3</v>
      </c>
      <c r="AD58" s="19">
        <v>1081</v>
      </c>
      <c r="AE58" s="19">
        <v>771</v>
      </c>
      <c r="AF58" s="19">
        <v>754</v>
      </c>
    </row>
    <row r="59" spans="1:32" customFormat="1" ht="15" x14ac:dyDescent="0.25">
      <c r="A59" s="18" t="s">
        <v>21</v>
      </c>
      <c r="B59" s="19">
        <v>0</v>
      </c>
      <c r="C59" s="19">
        <v>0</v>
      </c>
      <c r="D59" s="19">
        <v>0</v>
      </c>
      <c r="E59" s="20">
        <v>0</v>
      </c>
      <c r="F59" s="20">
        <v>0</v>
      </c>
      <c r="G59" s="20">
        <v>0</v>
      </c>
      <c r="I59" s="19">
        <v>469</v>
      </c>
      <c r="J59" s="19">
        <v>304</v>
      </c>
      <c r="K59" s="19">
        <v>331</v>
      </c>
      <c r="L59" s="20">
        <v>8.9592725605562775E-3</v>
      </c>
      <c r="M59" s="20">
        <v>5.6455207250037144E-3</v>
      </c>
      <c r="N59" s="20">
        <v>6.1985018726591762E-3</v>
      </c>
      <c r="P59" s="19">
        <v>262</v>
      </c>
      <c r="Q59" s="19">
        <v>4</v>
      </c>
      <c r="R59" s="19">
        <v>4</v>
      </c>
      <c r="S59" s="20">
        <v>5.0049667609077713E-3</v>
      </c>
      <c r="T59" s="20">
        <v>7.4283167434259403E-5</v>
      </c>
      <c r="U59" s="20">
        <v>7.4906367041198505E-5</v>
      </c>
      <c r="W59" s="19">
        <v>65</v>
      </c>
      <c r="X59" s="19">
        <v>7</v>
      </c>
      <c r="Y59" s="19">
        <v>4</v>
      </c>
      <c r="Z59" s="20">
        <v>1.2416902269427677E-3</v>
      </c>
      <c r="AA59" s="20">
        <v>1.2999554300995394E-4</v>
      </c>
      <c r="AB59" s="20">
        <v>7.4906367041198505E-5</v>
      </c>
      <c r="AD59" s="19">
        <v>796</v>
      </c>
      <c r="AE59" s="19">
        <v>315</v>
      </c>
      <c r="AF59" s="19">
        <v>339</v>
      </c>
    </row>
    <row r="60" spans="1:32" customFormat="1" ht="15" x14ac:dyDescent="0.25">
      <c r="A60" s="18" t="s">
        <v>24</v>
      </c>
      <c r="B60" s="19">
        <v>0</v>
      </c>
      <c r="C60" s="19">
        <v>0</v>
      </c>
      <c r="D60" s="19">
        <v>0</v>
      </c>
      <c r="E60" s="20">
        <v>0</v>
      </c>
      <c r="F60" s="20">
        <v>0</v>
      </c>
      <c r="G60" s="20">
        <v>0</v>
      </c>
      <c r="I60" s="19">
        <v>1</v>
      </c>
      <c r="J60" s="19">
        <v>0</v>
      </c>
      <c r="K60" s="19">
        <v>18</v>
      </c>
      <c r="L60" s="20">
        <v>1.864975755315181E-4</v>
      </c>
      <c r="M60" s="20">
        <v>0</v>
      </c>
      <c r="N60" s="20">
        <v>3.6644951140065146E-3</v>
      </c>
      <c r="P60" s="19">
        <v>0</v>
      </c>
      <c r="Q60" s="19">
        <v>0</v>
      </c>
      <c r="R60" s="19">
        <v>0</v>
      </c>
      <c r="S60" s="20">
        <v>0</v>
      </c>
      <c r="T60" s="20">
        <v>0</v>
      </c>
      <c r="U60" s="20">
        <v>0</v>
      </c>
      <c r="W60" s="19">
        <v>20</v>
      </c>
      <c r="X60" s="19">
        <v>22</v>
      </c>
      <c r="Y60" s="19">
        <v>0</v>
      </c>
      <c r="Z60" s="20">
        <v>3.7299515106303618E-3</v>
      </c>
      <c r="AA60" s="20">
        <v>4.2234593971971586E-3</v>
      </c>
      <c r="AB60" s="20">
        <v>0</v>
      </c>
      <c r="AD60" s="19">
        <v>21</v>
      </c>
      <c r="AE60" s="19">
        <v>22</v>
      </c>
      <c r="AF60" s="19">
        <v>18</v>
      </c>
    </row>
    <row r="61" spans="1:32" customFormat="1" ht="15" x14ac:dyDescent="0.25">
      <c r="A61" s="18" t="s">
        <v>25</v>
      </c>
      <c r="B61" s="19">
        <v>0</v>
      </c>
      <c r="C61" s="19">
        <v>0</v>
      </c>
      <c r="D61" s="19">
        <v>0</v>
      </c>
      <c r="E61" s="20">
        <v>0</v>
      </c>
      <c r="F61" s="20">
        <v>0</v>
      </c>
      <c r="G61" s="20">
        <v>0</v>
      </c>
      <c r="I61" s="19">
        <v>4</v>
      </c>
      <c r="J61" s="19">
        <v>129</v>
      </c>
      <c r="K61" s="19">
        <v>21</v>
      </c>
      <c r="L61" s="20">
        <v>4.5787545787545788E-4</v>
      </c>
      <c r="M61" s="20">
        <v>1.4605978260869566E-2</v>
      </c>
      <c r="N61" s="20">
        <v>2.4085330886569559E-3</v>
      </c>
      <c r="P61" s="19">
        <v>5</v>
      </c>
      <c r="Q61" s="19">
        <v>35</v>
      </c>
      <c r="R61" s="19">
        <v>9</v>
      </c>
      <c r="S61" s="20">
        <v>5.7234432234432237E-4</v>
      </c>
      <c r="T61" s="20">
        <v>3.96286231884058E-3</v>
      </c>
      <c r="U61" s="20">
        <v>1.0322284665672669E-3</v>
      </c>
      <c r="W61" s="19">
        <v>74</v>
      </c>
      <c r="X61" s="19">
        <v>122</v>
      </c>
      <c r="Y61" s="19">
        <v>231</v>
      </c>
      <c r="Z61" s="20">
        <v>8.4706959706959701E-3</v>
      </c>
      <c r="AA61" s="20">
        <v>1.381340579710145E-2</v>
      </c>
      <c r="AB61" s="20">
        <v>2.6493863975226517E-2</v>
      </c>
      <c r="AD61" s="19">
        <v>83</v>
      </c>
      <c r="AE61" s="19">
        <v>286</v>
      </c>
      <c r="AF61" s="19">
        <v>261</v>
      </c>
    </row>
    <row r="62" spans="1:32" customFormat="1" ht="15" x14ac:dyDescent="0.25">
      <c r="A62" s="18" t="s">
        <v>26</v>
      </c>
      <c r="B62" s="19">
        <v>0</v>
      </c>
      <c r="C62" s="19">
        <v>0</v>
      </c>
      <c r="D62" s="19">
        <v>0</v>
      </c>
      <c r="E62" s="20">
        <v>0</v>
      </c>
      <c r="F62" s="20">
        <v>0</v>
      </c>
      <c r="G62" s="20">
        <v>0</v>
      </c>
      <c r="I62" s="19">
        <v>5</v>
      </c>
      <c r="J62" s="19">
        <v>13</v>
      </c>
      <c r="K62" s="19">
        <v>3</v>
      </c>
      <c r="L62" s="20">
        <v>1.3740038472107722E-3</v>
      </c>
      <c r="M62" s="20">
        <v>3.7528868360277136E-3</v>
      </c>
      <c r="N62" s="20">
        <v>8.4578517056667607E-4</v>
      </c>
      <c r="P62" s="19">
        <v>2</v>
      </c>
      <c r="Q62" s="19">
        <v>0</v>
      </c>
      <c r="R62" s="19">
        <v>1</v>
      </c>
      <c r="S62" s="20">
        <v>5.4960153888430885E-4</v>
      </c>
      <c r="T62" s="20">
        <v>0</v>
      </c>
      <c r="U62" s="20">
        <v>2.8192839018889202E-4</v>
      </c>
      <c r="W62" s="19">
        <v>16</v>
      </c>
      <c r="X62" s="19">
        <v>22</v>
      </c>
      <c r="Y62" s="19">
        <v>57</v>
      </c>
      <c r="Z62" s="20">
        <v>4.3968123110744708E-3</v>
      </c>
      <c r="AA62" s="20">
        <v>6.3510392609699767E-3</v>
      </c>
      <c r="AB62" s="20">
        <v>1.6069918240766846E-2</v>
      </c>
      <c r="AD62" s="19">
        <v>23</v>
      </c>
      <c r="AE62" s="19">
        <v>35</v>
      </c>
      <c r="AF62" s="19">
        <v>61</v>
      </c>
    </row>
    <row r="63" spans="1:32" customFormat="1" ht="15" x14ac:dyDescent="0.25">
      <c r="A63" s="18" t="s">
        <v>28</v>
      </c>
      <c r="B63" s="19">
        <v>0</v>
      </c>
      <c r="C63" s="19">
        <v>0</v>
      </c>
      <c r="D63" s="19">
        <v>0</v>
      </c>
      <c r="E63" s="20">
        <v>0</v>
      </c>
      <c r="F63" s="20">
        <v>0</v>
      </c>
      <c r="G63" s="20">
        <v>0</v>
      </c>
      <c r="I63" s="19">
        <v>22</v>
      </c>
      <c r="J63" s="19">
        <v>308</v>
      </c>
      <c r="K63" s="19">
        <v>123</v>
      </c>
      <c r="L63" s="20">
        <v>6.5534703604408701E-4</v>
      </c>
      <c r="M63" s="20">
        <v>9.3896713615023476E-3</v>
      </c>
      <c r="N63" s="20">
        <v>3.8071065989847717E-3</v>
      </c>
      <c r="P63" s="19">
        <v>0</v>
      </c>
      <c r="Q63" s="19">
        <v>0</v>
      </c>
      <c r="R63" s="19">
        <v>0</v>
      </c>
      <c r="S63" s="20">
        <v>0</v>
      </c>
      <c r="T63" s="20">
        <v>0</v>
      </c>
      <c r="U63" s="20">
        <v>0</v>
      </c>
      <c r="W63" s="19">
        <v>89</v>
      </c>
      <c r="X63" s="19">
        <v>0</v>
      </c>
      <c r="Y63" s="19">
        <v>0</v>
      </c>
      <c r="Z63" s="20">
        <v>2.6511766458147154E-3</v>
      </c>
      <c r="AA63" s="20">
        <v>0</v>
      </c>
      <c r="AB63" s="20">
        <v>0</v>
      </c>
      <c r="AD63" s="19">
        <v>111</v>
      </c>
      <c r="AE63" s="19">
        <v>308</v>
      </c>
      <c r="AF63" s="19">
        <v>123</v>
      </c>
    </row>
    <row r="64" spans="1:32" customFormat="1" ht="15" x14ac:dyDescent="0.25">
      <c r="A64" s="18" t="s">
        <v>29</v>
      </c>
      <c r="B64" s="19">
        <v>0</v>
      </c>
      <c r="C64" s="19">
        <v>6079</v>
      </c>
      <c r="D64" s="19">
        <v>766</v>
      </c>
      <c r="E64" s="20">
        <v>0</v>
      </c>
      <c r="F64" s="20">
        <v>0.51477686510288767</v>
      </c>
      <c r="G64" s="20">
        <v>5.373553139249386E-2</v>
      </c>
      <c r="I64" s="19">
        <v>1</v>
      </c>
      <c r="J64" s="19">
        <v>1</v>
      </c>
      <c r="K64" s="19">
        <v>4</v>
      </c>
      <c r="L64" s="20">
        <v>2.0610057708161583E-4</v>
      </c>
      <c r="M64" s="20">
        <v>8.4681175374714206E-5</v>
      </c>
      <c r="N64" s="20">
        <v>2.806032970887408E-4</v>
      </c>
      <c r="P64" s="19">
        <v>7</v>
      </c>
      <c r="Q64" s="19">
        <v>1</v>
      </c>
      <c r="R64" s="19">
        <v>736</v>
      </c>
      <c r="S64" s="20">
        <v>1.4427040395713108E-3</v>
      </c>
      <c r="T64" s="20">
        <v>8.4681175374714206E-5</v>
      </c>
      <c r="U64" s="20">
        <v>5.1631006664328308E-2</v>
      </c>
      <c r="W64" s="19">
        <v>85</v>
      </c>
      <c r="X64" s="19">
        <v>72</v>
      </c>
      <c r="Y64" s="19">
        <v>71</v>
      </c>
      <c r="Z64" s="20">
        <v>1.7518549051937345E-2</v>
      </c>
      <c r="AA64" s="20">
        <v>6.0970446269794226E-3</v>
      </c>
      <c r="AB64" s="20">
        <v>4.9807085233251492E-3</v>
      </c>
      <c r="AD64" s="19">
        <v>93</v>
      </c>
      <c r="AE64" s="19">
        <v>6153</v>
      </c>
      <c r="AF64" s="19">
        <v>1577</v>
      </c>
    </row>
    <row r="65" spans="1:32" customFormat="1" ht="15" x14ac:dyDescent="0.25">
      <c r="A65" s="18" t="s">
        <v>30</v>
      </c>
      <c r="B65" s="19">
        <v>1401</v>
      </c>
      <c r="C65" s="19">
        <v>2903</v>
      </c>
      <c r="D65" s="19">
        <v>3749</v>
      </c>
      <c r="E65" s="20">
        <v>1.3619845894505983E-3</v>
      </c>
      <c r="F65" s="20">
        <v>2.9802755651282095E-3</v>
      </c>
      <c r="G65" s="20">
        <v>3.8258615587145758E-3</v>
      </c>
      <c r="I65" s="19">
        <v>990</v>
      </c>
      <c r="J65" s="19">
        <v>960</v>
      </c>
      <c r="K65" s="19">
        <v>848</v>
      </c>
      <c r="L65" s="20">
        <v>9.6243022380877383E-4</v>
      </c>
      <c r="M65" s="20">
        <v>9.8555444110336936E-4</v>
      </c>
      <c r="N65" s="20">
        <v>8.6538559663642579E-4</v>
      </c>
      <c r="P65" s="19">
        <v>2659</v>
      </c>
      <c r="Q65" s="19">
        <v>2482</v>
      </c>
      <c r="R65" s="19">
        <v>2586</v>
      </c>
      <c r="S65" s="20">
        <v>2.5849514799065956E-3</v>
      </c>
      <c r="T65" s="20">
        <v>2.5480688779360027E-3</v>
      </c>
      <c r="U65" s="20">
        <v>2.6390178689879684E-3</v>
      </c>
      <c r="W65" s="19">
        <v>3889</v>
      </c>
      <c r="X65" s="19">
        <v>3512</v>
      </c>
      <c r="Y65" s="19">
        <v>3577</v>
      </c>
      <c r="Z65" s="20">
        <v>3.7806981216084055E-3</v>
      </c>
      <c r="AA65" s="20">
        <v>3.605486663703159E-3</v>
      </c>
      <c r="AB65" s="20">
        <v>3.6503352348685085E-3</v>
      </c>
      <c r="AD65" s="19">
        <v>8939</v>
      </c>
      <c r="AE65" s="19">
        <v>9857</v>
      </c>
      <c r="AF65" s="19">
        <v>10760</v>
      </c>
    </row>
    <row r="66" spans="1:32" customFormat="1" ht="15" x14ac:dyDescent="0.25">
      <c r="A66" s="18" t="s">
        <v>31</v>
      </c>
      <c r="B66" s="19">
        <v>107</v>
      </c>
      <c r="C66" s="19">
        <v>90</v>
      </c>
      <c r="D66" s="19">
        <v>116</v>
      </c>
      <c r="E66" s="20">
        <v>1.9148174659985685E-2</v>
      </c>
      <c r="F66" s="20">
        <v>1.5400410677618069E-2</v>
      </c>
      <c r="G66" s="20">
        <v>1.8122168411185753E-2</v>
      </c>
      <c r="I66" s="19">
        <v>131</v>
      </c>
      <c r="J66" s="19">
        <v>9</v>
      </c>
      <c r="K66" s="19">
        <v>8</v>
      </c>
      <c r="L66" s="20">
        <v>2.3443092340730137E-2</v>
      </c>
      <c r="M66" s="20">
        <v>1.540041067761807E-3</v>
      </c>
      <c r="N66" s="20">
        <v>1.2498047180128104E-3</v>
      </c>
      <c r="P66" s="19">
        <v>12</v>
      </c>
      <c r="Q66" s="19">
        <v>15</v>
      </c>
      <c r="R66" s="19">
        <v>17</v>
      </c>
      <c r="S66" s="20">
        <v>2.1474588403722263E-3</v>
      </c>
      <c r="T66" s="20">
        <v>2.5667351129363448E-3</v>
      </c>
      <c r="U66" s="20">
        <v>2.6558350257772224E-3</v>
      </c>
      <c r="W66" s="19">
        <v>122</v>
      </c>
      <c r="X66" s="19">
        <v>81</v>
      </c>
      <c r="Y66" s="19">
        <v>108</v>
      </c>
      <c r="Z66" s="20">
        <v>2.1832498210450968E-2</v>
      </c>
      <c r="AA66" s="20">
        <v>1.3860369609856264E-2</v>
      </c>
      <c r="AB66" s="20">
        <v>1.6872363693172941E-2</v>
      </c>
      <c r="AD66" s="19">
        <v>372</v>
      </c>
      <c r="AE66" s="19">
        <v>195</v>
      </c>
      <c r="AF66" s="19">
        <v>249</v>
      </c>
    </row>
    <row r="67" spans="1:32" customFormat="1" ht="15" x14ac:dyDescent="0.25">
      <c r="A67" s="18" t="s">
        <v>80</v>
      </c>
      <c r="B67" s="19">
        <v>0</v>
      </c>
      <c r="C67" s="19">
        <v>0</v>
      </c>
      <c r="D67" s="19">
        <v>0</v>
      </c>
      <c r="E67" s="20">
        <v>0</v>
      </c>
      <c r="F67" s="20">
        <v>0</v>
      </c>
      <c r="G67" s="20">
        <v>0</v>
      </c>
      <c r="I67" s="19">
        <v>2</v>
      </c>
      <c r="J67" s="19">
        <v>2</v>
      </c>
      <c r="K67" s="19">
        <v>3</v>
      </c>
      <c r="L67" s="20">
        <v>4.8673643222195179E-4</v>
      </c>
      <c r="M67" s="20">
        <v>5.7537399309551208E-4</v>
      </c>
      <c r="N67" s="20">
        <v>9.0388671286532093E-4</v>
      </c>
      <c r="P67" s="19">
        <v>0</v>
      </c>
      <c r="Q67" s="19">
        <v>1</v>
      </c>
      <c r="R67" s="19">
        <v>0</v>
      </c>
      <c r="S67" s="20">
        <v>0</v>
      </c>
      <c r="T67" s="20">
        <v>2.8768699654775604E-4</v>
      </c>
      <c r="U67" s="20">
        <v>0</v>
      </c>
      <c r="W67" s="19">
        <v>0</v>
      </c>
      <c r="X67" s="19">
        <v>0</v>
      </c>
      <c r="Y67" s="19">
        <v>2</v>
      </c>
      <c r="Z67" s="20">
        <v>0</v>
      </c>
      <c r="AA67" s="20">
        <v>0</v>
      </c>
      <c r="AB67" s="20">
        <v>6.0259114191021392E-4</v>
      </c>
      <c r="AD67" s="19">
        <v>2</v>
      </c>
      <c r="AE67" s="19">
        <v>3</v>
      </c>
      <c r="AF67" s="19">
        <v>5</v>
      </c>
    </row>
    <row r="68" spans="1:32" customFormat="1" ht="15" x14ac:dyDescent="0.25">
      <c r="A68" s="18" t="s">
        <v>36</v>
      </c>
      <c r="B68" s="19">
        <v>0</v>
      </c>
      <c r="C68" s="19">
        <v>0</v>
      </c>
      <c r="D68" s="19">
        <v>0</v>
      </c>
      <c r="E68" s="20">
        <v>0</v>
      </c>
      <c r="F68" s="20">
        <v>0</v>
      </c>
      <c r="G68" s="20">
        <v>0</v>
      </c>
      <c r="I68" s="19">
        <v>0</v>
      </c>
      <c r="J68" s="19">
        <v>0</v>
      </c>
      <c r="K68" s="19">
        <v>6</v>
      </c>
      <c r="L68" s="20">
        <v>0</v>
      </c>
      <c r="M68" s="20">
        <v>0</v>
      </c>
      <c r="N68" s="20">
        <v>9.852216748768473E-3</v>
      </c>
      <c r="P68" s="19">
        <v>0</v>
      </c>
      <c r="Q68" s="19">
        <v>0</v>
      </c>
      <c r="R68" s="19">
        <v>3</v>
      </c>
      <c r="S68" s="20">
        <v>0</v>
      </c>
      <c r="T68" s="20">
        <v>0</v>
      </c>
      <c r="U68" s="20">
        <v>4.9261083743842365E-3</v>
      </c>
      <c r="W68" s="19">
        <v>0</v>
      </c>
      <c r="X68" s="19">
        <v>0</v>
      </c>
      <c r="Y68" s="19">
        <v>0</v>
      </c>
      <c r="Z68" s="20">
        <v>0</v>
      </c>
      <c r="AA68" s="20">
        <v>0</v>
      </c>
      <c r="AB68" s="20">
        <v>0</v>
      </c>
      <c r="AD68" s="19">
        <v>0</v>
      </c>
      <c r="AE68" s="19">
        <v>0</v>
      </c>
      <c r="AF68" s="19">
        <v>9</v>
      </c>
    </row>
    <row r="69" spans="1:32" customFormat="1" ht="15" x14ac:dyDescent="0.25">
      <c r="A69" s="18" t="s">
        <v>37</v>
      </c>
      <c r="B69" s="19">
        <v>0</v>
      </c>
      <c r="C69" s="19">
        <v>0</v>
      </c>
      <c r="D69" s="19">
        <v>0</v>
      </c>
      <c r="E69" s="20">
        <v>0</v>
      </c>
      <c r="F69" s="20">
        <v>0</v>
      </c>
      <c r="G69" s="20">
        <v>0</v>
      </c>
      <c r="I69" s="19">
        <v>1</v>
      </c>
      <c r="J69" s="19">
        <v>0</v>
      </c>
      <c r="K69" s="19">
        <v>0</v>
      </c>
      <c r="L69" s="20">
        <v>1.3368983957219251E-3</v>
      </c>
      <c r="M69" s="20">
        <v>0</v>
      </c>
      <c r="N69" s="20">
        <v>0</v>
      </c>
      <c r="P69" s="19">
        <v>0</v>
      </c>
      <c r="Q69" s="19">
        <v>0</v>
      </c>
      <c r="R69" s="19">
        <v>0</v>
      </c>
      <c r="S69" s="20">
        <v>0</v>
      </c>
      <c r="T69" s="20">
        <v>0</v>
      </c>
      <c r="U69" s="20">
        <v>0</v>
      </c>
      <c r="W69" s="19">
        <v>5</v>
      </c>
      <c r="X69" s="19">
        <v>0</v>
      </c>
      <c r="Y69" s="19">
        <v>0</v>
      </c>
      <c r="Z69" s="20">
        <v>6.6844919786096255E-3</v>
      </c>
      <c r="AA69" s="20">
        <v>0</v>
      </c>
      <c r="AB69" s="20">
        <v>0</v>
      </c>
      <c r="AD69" s="19">
        <v>6</v>
      </c>
      <c r="AE69" s="19">
        <v>0</v>
      </c>
      <c r="AF69" s="19">
        <v>0</v>
      </c>
    </row>
    <row r="70" spans="1:32" customFormat="1" ht="15" x14ac:dyDescent="0.25">
      <c r="A70" s="18" t="s">
        <v>39</v>
      </c>
      <c r="B70" s="19">
        <v>428</v>
      </c>
      <c r="C70" s="19">
        <v>148</v>
      </c>
      <c r="D70" s="19">
        <v>15</v>
      </c>
      <c r="E70" s="20">
        <v>0.19098616688978134</v>
      </c>
      <c r="F70" s="20">
        <v>7.0949185043144777E-2</v>
      </c>
      <c r="G70" s="20">
        <v>5.6264066016504122E-3</v>
      </c>
      <c r="I70" s="19">
        <v>6</v>
      </c>
      <c r="J70" s="19">
        <v>2</v>
      </c>
      <c r="K70" s="19">
        <v>0</v>
      </c>
      <c r="L70" s="20">
        <v>2.6773761713520749E-3</v>
      </c>
      <c r="M70" s="20">
        <v>9.5877277085330771E-4</v>
      </c>
      <c r="N70" s="20">
        <v>0</v>
      </c>
      <c r="P70" s="19">
        <v>0</v>
      </c>
      <c r="Q70" s="19">
        <v>0</v>
      </c>
      <c r="R70" s="19">
        <v>0</v>
      </c>
      <c r="S70" s="20">
        <v>0</v>
      </c>
      <c r="T70" s="20">
        <v>0</v>
      </c>
      <c r="U70" s="20">
        <v>0</v>
      </c>
      <c r="W70" s="19">
        <v>0</v>
      </c>
      <c r="X70" s="19">
        <v>0</v>
      </c>
      <c r="Y70" s="19">
        <v>0</v>
      </c>
      <c r="Z70" s="20">
        <v>0</v>
      </c>
      <c r="AA70" s="20">
        <v>0</v>
      </c>
      <c r="AB70" s="20">
        <v>0</v>
      </c>
      <c r="AD70" s="19">
        <v>434</v>
      </c>
      <c r="AE70" s="19">
        <v>150</v>
      </c>
      <c r="AF70" s="19">
        <v>15</v>
      </c>
    </row>
    <row r="71" spans="1:32" customFormat="1" ht="15" x14ac:dyDescent="0.25">
      <c r="A71" s="18" t="s">
        <v>40</v>
      </c>
      <c r="B71" s="19">
        <v>0</v>
      </c>
      <c r="C71" s="19">
        <v>0</v>
      </c>
      <c r="D71" s="19">
        <v>0</v>
      </c>
      <c r="E71" s="20">
        <v>0</v>
      </c>
      <c r="F71" s="20">
        <v>0</v>
      </c>
      <c r="G71" s="20">
        <v>0</v>
      </c>
      <c r="I71" s="19">
        <v>73</v>
      </c>
      <c r="J71" s="19">
        <v>403</v>
      </c>
      <c r="K71" s="19">
        <v>117</v>
      </c>
      <c r="L71" s="20">
        <v>3.8842183675641163E-3</v>
      </c>
      <c r="M71" s="20">
        <v>1.7077718450716161E-2</v>
      </c>
      <c r="N71" s="20">
        <v>4.2730360468938317E-3</v>
      </c>
      <c r="P71" s="19">
        <v>14</v>
      </c>
      <c r="Q71" s="19">
        <v>30</v>
      </c>
      <c r="R71" s="19">
        <v>16</v>
      </c>
      <c r="S71" s="20">
        <v>7.4491859103969355E-4</v>
      </c>
      <c r="T71" s="20">
        <v>1.2712941774726673E-3</v>
      </c>
      <c r="U71" s="20">
        <v>5.8434680983163504E-4</v>
      </c>
      <c r="W71" s="19">
        <v>54</v>
      </c>
      <c r="X71" s="19">
        <v>105</v>
      </c>
      <c r="Y71" s="19">
        <v>150</v>
      </c>
      <c r="Z71" s="20">
        <v>2.8732574225816751E-3</v>
      </c>
      <c r="AA71" s="20">
        <v>4.4495296211543352E-3</v>
      </c>
      <c r="AB71" s="20">
        <v>5.4782513421715792E-3</v>
      </c>
      <c r="AD71" s="19">
        <v>141</v>
      </c>
      <c r="AE71" s="19">
        <v>538</v>
      </c>
      <c r="AF71" s="19">
        <v>283</v>
      </c>
    </row>
    <row r="72" spans="1:32" customFormat="1" ht="15" x14ac:dyDescent="0.25">
      <c r="A72" s="18" t="s">
        <v>41</v>
      </c>
      <c r="B72" s="19">
        <v>0</v>
      </c>
      <c r="C72" s="19">
        <v>0</v>
      </c>
      <c r="D72" s="19">
        <v>0</v>
      </c>
      <c r="E72" s="20">
        <v>0</v>
      </c>
      <c r="F72" s="20">
        <v>0</v>
      </c>
      <c r="G72" s="20">
        <v>0</v>
      </c>
      <c r="I72" s="19">
        <v>62</v>
      </c>
      <c r="J72" s="19">
        <v>4</v>
      </c>
      <c r="K72" s="19">
        <v>0</v>
      </c>
      <c r="L72" s="20">
        <v>9.0989140005870266E-3</v>
      </c>
      <c r="M72" s="20">
        <v>5.8651026392961877E-4</v>
      </c>
      <c r="N72" s="20">
        <v>0</v>
      </c>
      <c r="P72" s="19">
        <v>31</v>
      </c>
      <c r="Q72" s="19">
        <v>5</v>
      </c>
      <c r="R72" s="19">
        <v>11</v>
      </c>
      <c r="S72" s="20">
        <v>4.5494570002935133E-3</v>
      </c>
      <c r="T72" s="20">
        <v>7.3313782991202346E-4</v>
      </c>
      <c r="U72" s="20">
        <v>1.6801588513823125E-3</v>
      </c>
      <c r="W72" s="19">
        <v>93</v>
      </c>
      <c r="X72" s="19">
        <v>9</v>
      </c>
      <c r="Y72" s="19">
        <v>11</v>
      </c>
      <c r="Z72" s="20">
        <v>1.364837100088054E-2</v>
      </c>
      <c r="AA72" s="20">
        <v>1.3196480938416422E-3</v>
      </c>
      <c r="AB72" s="20">
        <v>1.6801588513823125E-3</v>
      </c>
      <c r="AD72" s="19">
        <v>186</v>
      </c>
      <c r="AE72" s="19">
        <v>18</v>
      </c>
      <c r="AF72" s="19">
        <v>22</v>
      </c>
    </row>
    <row r="73" spans="1:32" customFormat="1" ht="15" x14ac:dyDescent="0.25">
      <c r="A73" s="18" t="s">
        <v>43</v>
      </c>
      <c r="B73" s="19">
        <v>0</v>
      </c>
      <c r="C73" s="19">
        <v>0</v>
      </c>
      <c r="D73" s="19">
        <v>0</v>
      </c>
      <c r="E73" s="20">
        <v>0</v>
      </c>
      <c r="F73" s="20">
        <v>0</v>
      </c>
      <c r="G73" s="20">
        <v>0</v>
      </c>
      <c r="I73" s="19">
        <v>2091</v>
      </c>
      <c r="J73" s="19">
        <v>2830</v>
      </c>
      <c r="K73" s="19">
        <v>8420</v>
      </c>
      <c r="L73" s="20">
        <v>1.8328599978962869E-3</v>
      </c>
      <c r="M73" s="20">
        <v>2.4871205822850221E-3</v>
      </c>
      <c r="N73" s="20">
        <v>7.4394243546608615E-3</v>
      </c>
      <c r="P73" s="19">
        <v>2508</v>
      </c>
      <c r="Q73" s="19">
        <v>2893</v>
      </c>
      <c r="R73" s="19">
        <v>3384</v>
      </c>
      <c r="S73" s="20">
        <v>2.1983801409487746E-3</v>
      </c>
      <c r="T73" s="20">
        <v>2.5424875775797067E-3</v>
      </c>
      <c r="U73" s="20">
        <v>2.98990641522237E-3</v>
      </c>
      <c r="W73" s="19">
        <v>4370</v>
      </c>
      <c r="X73" s="19">
        <v>4341</v>
      </c>
      <c r="Y73" s="19">
        <v>5008</v>
      </c>
      <c r="Z73" s="20">
        <v>3.8305108516531678E-3</v>
      </c>
      <c r="AA73" s="20">
        <v>3.8150496281622905E-3</v>
      </c>
      <c r="AB73" s="20">
        <v>4.4247787610619468E-3</v>
      </c>
      <c r="AD73" s="19">
        <v>8969</v>
      </c>
      <c r="AE73" s="19">
        <v>10064</v>
      </c>
      <c r="AF73" s="19">
        <v>16812</v>
      </c>
    </row>
    <row r="74" spans="1:32" customFormat="1" ht="15" x14ac:dyDescent="0.25">
      <c r="A74" s="18" t="s">
        <v>44</v>
      </c>
      <c r="B74" s="19">
        <v>0</v>
      </c>
      <c r="C74" s="19">
        <v>0</v>
      </c>
      <c r="D74" s="19">
        <v>0</v>
      </c>
      <c r="E74" s="20">
        <v>0</v>
      </c>
      <c r="F74" s="20">
        <v>0</v>
      </c>
      <c r="G74" s="20">
        <v>0</v>
      </c>
      <c r="I74" s="19">
        <v>0</v>
      </c>
      <c r="J74" s="19">
        <v>0</v>
      </c>
      <c r="K74" s="19">
        <v>0</v>
      </c>
      <c r="L74" s="20">
        <v>0</v>
      </c>
      <c r="M74" s="20">
        <v>0</v>
      </c>
      <c r="N74" s="20">
        <v>0</v>
      </c>
      <c r="P74" s="19">
        <v>0</v>
      </c>
      <c r="Q74" s="19">
        <v>0</v>
      </c>
      <c r="R74" s="19">
        <v>0</v>
      </c>
      <c r="S74" s="20">
        <v>0</v>
      </c>
      <c r="T74" s="20">
        <v>0</v>
      </c>
      <c r="U74" s="20">
        <v>0</v>
      </c>
      <c r="W74" s="19">
        <v>0</v>
      </c>
      <c r="X74" s="19">
        <v>2</v>
      </c>
      <c r="Y74" s="19">
        <v>0</v>
      </c>
      <c r="Z74" s="20">
        <v>0</v>
      </c>
      <c r="AA74" s="20">
        <v>5.0890585241730284E-3</v>
      </c>
      <c r="AB74" s="20">
        <v>0</v>
      </c>
      <c r="AD74" s="19">
        <v>0</v>
      </c>
      <c r="AE74" s="19">
        <v>2</v>
      </c>
      <c r="AF74" s="19">
        <v>0</v>
      </c>
    </row>
    <row r="75" spans="1:32" customFormat="1" ht="15" x14ac:dyDescent="0.25">
      <c r="A75" s="18" t="s">
        <v>45</v>
      </c>
      <c r="B75" s="19">
        <v>0</v>
      </c>
      <c r="C75" s="19">
        <v>0</v>
      </c>
      <c r="D75" s="19">
        <v>0</v>
      </c>
      <c r="E75" s="20">
        <v>0</v>
      </c>
      <c r="F75" s="20">
        <v>0</v>
      </c>
      <c r="G75" s="20">
        <v>0</v>
      </c>
      <c r="I75" s="19">
        <v>0</v>
      </c>
      <c r="J75" s="19">
        <v>0</v>
      </c>
      <c r="K75" s="19">
        <v>0</v>
      </c>
      <c r="L75" s="20">
        <v>0</v>
      </c>
      <c r="M75" s="20">
        <v>0</v>
      </c>
      <c r="N75" s="20">
        <v>0</v>
      </c>
      <c r="P75" s="19">
        <v>0</v>
      </c>
      <c r="Q75" s="19">
        <v>0</v>
      </c>
      <c r="R75" s="19">
        <v>0</v>
      </c>
      <c r="S75" s="20">
        <v>0</v>
      </c>
      <c r="T75" s="20">
        <v>0</v>
      </c>
      <c r="U75" s="20">
        <v>0</v>
      </c>
      <c r="W75" s="19">
        <v>134</v>
      </c>
      <c r="X75" s="19">
        <v>152</v>
      </c>
      <c r="Y75" s="19">
        <v>77</v>
      </c>
      <c r="Z75" s="20">
        <v>0.11953612845673506</v>
      </c>
      <c r="AA75" s="20">
        <v>0.12656119900083265</v>
      </c>
      <c r="AB75" s="20">
        <v>5.6000000000000001E-2</v>
      </c>
      <c r="AD75" s="19">
        <v>134</v>
      </c>
      <c r="AE75" s="19">
        <v>152</v>
      </c>
      <c r="AF75" s="19">
        <v>77</v>
      </c>
    </row>
    <row r="76" spans="1:32" customFormat="1" ht="15" x14ac:dyDescent="0.25">
      <c r="A76" s="18" t="s">
        <v>46</v>
      </c>
      <c r="B76" s="19">
        <v>0</v>
      </c>
      <c r="C76" s="19">
        <v>0</v>
      </c>
      <c r="D76" s="19">
        <v>0</v>
      </c>
      <c r="E76" s="20">
        <v>0</v>
      </c>
      <c r="F76" s="20">
        <v>0</v>
      </c>
      <c r="G76" s="20">
        <v>0</v>
      </c>
      <c r="I76" s="19">
        <v>0</v>
      </c>
      <c r="J76" s="19">
        <v>0</v>
      </c>
      <c r="K76" s="19">
        <v>0</v>
      </c>
      <c r="L76" s="20">
        <v>0</v>
      </c>
      <c r="M76" s="20">
        <v>0</v>
      </c>
      <c r="N76" s="20">
        <v>0</v>
      </c>
      <c r="P76" s="19">
        <v>0</v>
      </c>
      <c r="Q76" s="19">
        <v>0</v>
      </c>
      <c r="R76" s="19">
        <v>0</v>
      </c>
      <c r="S76" s="20">
        <v>0</v>
      </c>
      <c r="T76" s="20">
        <v>0</v>
      </c>
      <c r="U76" s="20">
        <v>0</v>
      </c>
      <c r="W76" s="19">
        <v>0</v>
      </c>
      <c r="X76" s="19">
        <v>0</v>
      </c>
      <c r="Y76" s="19">
        <v>4</v>
      </c>
      <c r="Z76" s="20">
        <v>0</v>
      </c>
      <c r="AA76" s="20">
        <v>0</v>
      </c>
      <c r="AB76" s="20">
        <v>5.5555555555555552E-2</v>
      </c>
      <c r="AD76" s="19">
        <v>0</v>
      </c>
      <c r="AE76" s="19">
        <v>0</v>
      </c>
      <c r="AF76" s="19">
        <v>4</v>
      </c>
    </row>
    <row r="77" spans="1:32" customFormat="1" ht="15" x14ac:dyDescent="0.25">
      <c r="A77" s="18" t="s">
        <v>126</v>
      </c>
      <c r="B77" s="19">
        <v>0</v>
      </c>
      <c r="C77" s="19">
        <v>0</v>
      </c>
      <c r="D77" s="19">
        <v>1</v>
      </c>
      <c r="E77" s="20">
        <v>0</v>
      </c>
      <c r="F77" s="20">
        <v>0</v>
      </c>
      <c r="G77" s="20">
        <v>4.5915790440332433E-5</v>
      </c>
      <c r="I77" s="19">
        <v>102</v>
      </c>
      <c r="J77" s="19">
        <v>65</v>
      </c>
      <c r="K77" s="19">
        <v>75</v>
      </c>
      <c r="L77" s="20">
        <v>4.6887928656798748E-3</v>
      </c>
      <c r="M77" s="20">
        <v>2.9442406124020474E-3</v>
      </c>
      <c r="N77" s="20">
        <v>3.4436842830249323E-3</v>
      </c>
      <c r="P77" s="19">
        <v>1</v>
      </c>
      <c r="Q77" s="19">
        <v>2</v>
      </c>
      <c r="R77" s="19">
        <v>0</v>
      </c>
      <c r="S77" s="20">
        <v>4.5968557506665444E-5</v>
      </c>
      <c r="T77" s="20">
        <v>9.0592018843139915E-5</v>
      </c>
      <c r="U77" s="20">
        <v>0</v>
      </c>
      <c r="W77" s="19">
        <v>75</v>
      </c>
      <c r="X77" s="19">
        <v>113</v>
      </c>
      <c r="Y77" s="19">
        <v>122</v>
      </c>
      <c r="Z77" s="20">
        <v>3.4476418129999083E-3</v>
      </c>
      <c r="AA77" s="20">
        <v>5.1184490646374054E-3</v>
      </c>
      <c r="AB77" s="20">
        <v>5.6017264337205564E-3</v>
      </c>
      <c r="AD77" s="19">
        <v>178</v>
      </c>
      <c r="AE77" s="19">
        <v>180</v>
      </c>
      <c r="AF77" s="19">
        <v>198</v>
      </c>
    </row>
    <row r="78" spans="1:32" customFormat="1" ht="15" x14ac:dyDescent="0.25">
      <c r="A78" s="18" t="s">
        <v>48</v>
      </c>
      <c r="B78" s="19">
        <v>0</v>
      </c>
      <c r="C78" s="19">
        <v>0</v>
      </c>
      <c r="D78" s="19">
        <v>0</v>
      </c>
      <c r="E78" s="20">
        <v>0</v>
      </c>
      <c r="F78" s="20">
        <v>0</v>
      </c>
      <c r="G78" s="20">
        <v>0</v>
      </c>
      <c r="I78" s="19">
        <v>354</v>
      </c>
      <c r="J78" s="19">
        <v>199</v>
      </c>
      <c r="K78" s="19">
        <v>76</v>
      </c>
      <c r="L78" s="20">
        <v>1.1104140526976161E-2</v>
      </c>
      <c r="M78" s="20">
        <v>6.0602369278557723E-3</v>
      </c>
      <c r="N78" s="20">
        <v>2.1814633026206263E-3</v>
      </c>
      <c r="P78" s="19">
        <v>5</v>
      </c>
      <c r="Q78" s="19">
        <v>10</v>
      </c>
      <c r="R78" s="19">
        <v>12</v>
      </c>
      <c r="S78" s="20">
        <v>1.5683814303638644E-4</v>
      </c>
      <c r="T78" s="20">
        <v>3.0453451898772727E-4</v>
      </c>
      <c r="U78" s="20">
        <v>3.4444157409799361E-4</v>
      </c>
      <c r="W78" s="19">
        <v>408</v>
      </c>
      <c r="X78" s="19">
        <v>436</v>
      </c>
      <c r="Y78" s="19">
        <v>495</v>
      </c>
      <c r="Z78" s="20">
        <v>1.2797992471769134E-2</v>
      </c>
      <c r="AA78" s="20">
        <v>1.3277705027864909E-2</v>
      </c>
      <c r="AB78" s="20">
        <v>1.4208214931542238E-2</v>
      </c>
      <c r="AD78" s="19">
        <v>767</v>
      </c>
      <c r="AE78" s="19">
        <v>645</v>
      </c>
      <c r="AF78" s="19">
        <v>583</v>
      </c>
    </row>
    <row r="79" spans="1:32" customFormat="1" ht="15" x14ac:dyDescent="0.25">
      <c r="A79" s="18" t="s">
        <v>49</v>
      </c>
      <c r="B79" s="19">
        <v>0</v>
      </c>
      <c r="C79" s="19">
        <v>0</v>
      </c>
      <c r="D79" s="19">
        <v>0</v>
      </c>
      <c r="E79" s="20">
        <v>0</v>
      </c>
      <c r="F79" s="20">
        <v>0</v>
      </c>
      <c r="G79" s="20">
        <v>0</v>
      </c>
      <c r="I79" s="19">
        <v>16</v>
      </c>
      <c r="J79" s="19">
        <v>73</v>
      </c>
      <c r="K79" s="19">
        <v>9</v>
      </c>
      <c r="L79" s="20">
        <v>2.4194767881445638E-3</v>
      </c>
      <c r="M79" s="20">
        <v>1.1537853643116802E-2</v>
      </c>
      <c r="N79" s="20">
        <v>1.4701078079059132E-3</v>
      </c>
      <c r="P79" s="19">
        <v>5</v>
      </c>
      <c r="Q79" s="19">
        <v>2</v>
      </c>
      <c r="R79" s="19">
        <v>3</v>
      </c>
      <c r="S79" s="20">
        <v>7.5608649629517618E-4</v>
      </c>
      <c r="T79" s="20">
        <v>3.16105579263474E-4</v>
      </c>
      <c r="U79" s="20">
        <v>4.9003593596863766E-4</v>
      </c>
      <c r="W79" s="19">
        <v>35</v>
      </c>
      <c r="X79" s="19">
        <v>12</v>
      </c>
      <c r="Y79" s="19">
        <v>23</v>
      </c>
      <c r="Z79" s="20">
        <v>5.292605474066233E-3</v>
      </c>
      <c r="AA79" s="20">
        <v>1.896633475580844E-3</v>
      </c>
      <c r="AB79" s="20">
        <v>3.7569421757595559E-3</v>
      </c>
      <c r="AD79" s="19">
        <v>56</v>
      </c>
      <c r="AE79" s="19">
        <v>87</v>
      </c>
      <c r="AF79" s="19">
        <v>35</v>
      </c>
    </row>
    <row r="80" spans="1:32" customFormat="1" ht="15" x14ac:dyDescent="0.25">
      <c r="A80" s="18" t="s">
        <v>50</v>
      </c>
      <c r="B80" s="19">
        <v>0</v>
      </c>
      <c r="C80" s="19">
        <v>1</v>
      </c>
      <c r="D80" s="19">
        <v>0</v>
      </c>
      <c r="E80" s="20">
        <v>0</v>
      </c>
      <c r="F80" s="20">
        <v>1.6129032258064516E-3</v>
      </c>
      <c r="G80" s="20">
        <v>0</v>
      </c>
      <c r="I80" s="19">
        <v>0</v>
      </c>
      <c r="J80" s="19">
        <v>1</v>
      </c>
      <c r="K80" s="19">
        <v>0</v>
      </c>
      <c r="L80" s="20">
        <v>0</v>
      </c>
      <c r="M80" s="20">
        <v>1.6129032258064516E-3</v>
      </c>
      <c r="N80" s="20">
        <v>0</v>
      </c>
      <c r="P80" s="19">
        <v>0</v>
      </c>
      <c r="Q80" s="19">
        <v>0</v>
      </c>
      <c r="R80" s="19">
        <v>0</v>
      </c>
      <c r="S80" s="20">
        <v>0</v>
      </c>
      <c r="T80" s="20">
        <v>0</v>
      </c>
      <c r="U80" s="20">
        <v>0</v>
      </c>
      <c r="W80" s="19">
        <v>0</v>
      </c>
      <c r="X80" s="19">
        <v>0</v>
      </c>
      <c r="Y80" s="19">
        <v>0</v>
      </c>
      <c r="Z80" s="20">
        <v>0</v>
      </c>
      <c r="AA80" s="20">
        <v>0</v>
      </c>
      <c r="AB80" s="20">
        <v>0</v>
      </c>
      <c r="AD80" s="19">
        <v>0</v>
      </c>
      <c r="AE80" s="19">
        <v>2</v>
      </c>
      <c r="AF80" s="19">
        <v>0</v>
      </c>
    </row>
    <row r="81" spans="1:32" customFormat="1" ht="15" x14ac:dyDescent="0.25">
      <c r="A81" s="18" t="s">
        <v>51</v>
      </c>
      <c r="B81" s="19">
        <v>0</v>
      </c>
      <c r="C81" s="19">
        <v>0</v>
      </c>
      <c r="D81" s="19">
        <v>0</v>
      </c>
      <c r="E81" s="20">
        <v>0</v>
      </c>
      <c r="F81" s="20">
        <v>0</v>
      </c>
      <c r="G81" s="20">
        <v>0</v>
      </c>
      <c r="I81" s="19">
        <v>2</v>
      </c>
      <c r="J81" s="19">
        <v>6</v>
      </c>
      <c r="K81" s="19">
        <v>0</v>
      </c>
      <c r="L81" s="20">
        <v>1.1560693641618497E-2</v>
      </c>
      <c r="M81" s="20">
        <v>1.4705882352941176E-2</v>
      </c>
      <c r="N81" s="20">
        <v>0</v>
      </c>
      <c r="P81" s="19">
        <v>0</v>
      </c>
      <c r="Q81" s="19">
        <v>0</v>
      </c>
      <c r="R81" s="19">
        <v>0</v>
      </c>
      <c r="S81" s="20">
        <v>0</v>
      </c>
      <c r="T81" s="20">
        <v>0</v>
      </c>
      <c r="U81" s="20">
        <v>0</v>
      </c>
      <c r="W81" s="19">
        <v>3</v>
      </c>
      <c r="X81" s="19">
        <v>4</v>
      </c>
      <c r="Y81" s="19">
        <v>24</v>
      </c>
      <c r="Z81" s="20">
        <v>1.7341040462427744E-2</v>
      </c>
      <c r="AA81" s="20">
        <v>9.8039215686274508E-3</v>
      </c>
      <c r="AB81" s="20">
        <v>1.3816925734024179E-2</v>
      </c>
      <c r="AD81" s="19">
        <v>5</v>
      </c>
      <c r="AE81" s="19">
        <v>10</v>
      </c>
      <c r="AF81" s="19">
        <v>24</v>
      </c>
    </row>
    <row r="82" spans="1:32" customFormat="1" ht="15" x14ac:dyDescent="0.25">
      <c r="A82" s="18" t="s">
        <v>52</v>
      </c>
      <c r="B82" s="19">
        <v>255</v>
      </c>
      <c r="C82" s="19">
        <v>403</v>
      </c>
      <c r="D82" s="19">
        <v>0</v>
      </c>
      <c r="E82" s="20">
        <v>1.1268626376540046E-3</v>
      </c>
      <c r="F82" s="20">
        <v>1.715974315739274E-3</v>
      </c>
      <c r="G82" s="20">
        <v>0</v>
      </c>
      <c r="I82" s="19">
        <v>169</v>
      </c>
      <c r="J82" s="19">
        <v>254</v>
      </c>
      <c r="K82" s="19">
        <v>906</v>
      </c>
      <c r="L82" s="20">
        <v>7.4682268926873244E-4</v>
      </c>
      <c r="M82" s="20">
        <v>1.0815321990019246E-3</v>
      </c>
      <c r="N82" s="20">
        <v>3.7064158631326168E-3</v>
      </c>
      <c r="P82" s="19">
        <v>82</v>
      </c>
      <c r="Q82" s="19">
        <v>142</v>
      </c>
      <c r="R82" s="19">
        <v>667</v>
      </c>
      <c r="S82" s="20">
        <v>3.6236367171618971E-4</v>
      </c>
      <c r="T82" s="20">
        <v>6.0463611125304451E-4</v>
      </c>
      <c r="U82" s="20">
        <v>2.7286748131450942E-3</v>
      </c>
      <c r="W82" s="19">
        <v>1887</v>
      </c>
      <c r="X82" s="19">
        <v>2939</v>
      </c>
      <c r="Y82" s="19">
        <v>1970</v>
      </c>
      <c r="Z82" s="20">
        <v>8.3387835186396336E-3</v>
      </c>
      <c r="AA82" s="20">
        <v>1.2514264302624631E-2</v>
      </c>
      <c r="AB82" s="20">
        <v>8.0592044706084501E-3</v>
      </c>
      <c r="AD82" s="19">
        <v>2393</v>
      </c>
      <c r="AE82" s="19">
        <v>3738</v>
      </c>
      <c r="AF82" s="19">
        <v>3543</v>
      </c>
    </row>
    <row r="83" spans="1:32" customFormat="1" ht="15" x14ac:dyDescent="0.25">
      <c r="A83" s="18" t="s">
        <v>53</v>
      </c>
      <c r="B83" s="19">
        <v>22</v>
      </c>
      <c r="C83" s="19">
        <v>1</v>
      </c>
      <c r="D83" s="19">
        <v>0</v>
      </c>
      <c r="E83" s="20">
        <v>1.8077239112571898E-2</v>
      </c>
      <c r="F83" s="20">
        <v>8.8967971530249106E-4</v>
      </c>
      <c r="G83" s="20">
        <v>0</v>
      </c>
      <c r="I83" s="19">
        <v>0</v>
      </c>
      <c r="J83" s="19">
        <v>0</v>
      </c>
      <c r="K83" s="19">
        <v>0</v>
      </c>
      <c r="L83" s="20">
        <v>0</v>
      </c>
      <c r="M83" s="20">
        <v>0</v>
      </c>
      <c r="N83" s="20">
        <v>0</v>
      </c>
      <c r="P83" s="19">
        <v>0</v>
      </c>
      <c r="Q83" s="19">
        <v>0</v>
      </c>
      <c r="R83" s="19">
        <v>0</v>
      </c>
      <c r="S83" s="20">
        <v>0</v>
      </c>
      <c r="T83" s="20">
        <v>0</v>
      </c>
      <c r="U83" s="20">
        <v>0</v>
      </c>
      <c r="W83" s="19">
        <v>0</v>
      </c>
      <c r="X83" s="19">
        <v>0</v>
      </c>
      <c r="Y83" s="19">
        <v>0</v>
      </c>
      <c r="Z83" s="20">
        <v>0</v>
      </c>
      <c r="AA83" s="20">
        <v>0</v>
      </c>
      <c r="AB83" s="20">
        <v>0</v>
      </c>
      <c r="AD83" s="19">
        <v>22</v>
      </c>
      <c r="AE83" s="19">
        <v>1</v>
      </c>
      <c r="AF83" s="19">
        <v>0</v>
      </c>
    </row>
    <row r="84" spans="1:32" customFormat="1" ht="15" x14ac:dyDescent="0.25">
      <c r="A84" s="18" t="s">
        <v>55</v>
      </c>
      <c r="B84" s="19">
        <v>161</v>
      </c>
      <c r="C84" s="19">
        <v>229</v>
      </c>
      <c r="D84" s="19">
        <v>258</v>
      </c>
      <c r="E84" s="20">
        <v>4.8272967138402491E-3</v>
      </c>
      <c r="F84" s="20">
        <v>6.7076742823667249E-3</v>
      </c>
      <c r="G84" s="20">
        <v>7.4214704867103902E-3</v>
      </c>
      <c r="I84" s="19">
        <v>46</v>
      </c>
      <c r="J84" s="19">
        <v>97</v>
      </c>
      <c r="K84" s="19">
        <v>71</v>
      </c>
      <c r="L84" s="20">
        <v>1.3792276325257855E-3</v>
      </c>
      <c r="M84" s="20">
        <v>2.8412419449326304E-3</v>
      </c>
      <c r="N84" s="20">
        <v>2.042342653319526E-3</v>
      </c>
      <c r="P84" s="19">
        <v>2</v>
      </c>
      <c r="Q84" s="19">
        <v>10</v>
      </c>
      <c r="R84" s="19">
        <v>4</v>
      </c>
      <c r="S84" s="20">
        <v>5.9966418805468937E-5</v>
      </c>
      <c r="T84" s="20">
        <v>2.9291154071470416E-4</v>
      </c>
      <c r="U84" s="20">
        <v>1.1506155793349442E-4</v>
      </c>
      <c r="W84" s="19">
        <v>115</v>
      </c>
      <c r="X84" s="19">
        <v>132</v>
      </c>
      <c r="Y84" s="19">
        <v>187</v>
      </c>
      <c r="Z84" s="20">
        <v>3.4480690813144641E-3</v>
      </c>
      <c r="AA84" s="20">
        <v>3.8664323374340949E-3</v>
      </c>
      <c r="AB84" s="20">
        <v>5.3791278333908642E-3</v>
      </c>
      <c r="AD84" s="19">
        <v>324</v>
      </c>
      <c r="AE84" s="19">
        <v>468</v>
      </c>
      <c r="AF84" s="19">
        <v>520</v>
      </c>
    </row>
    <row r="85" spans="1:32" customFormat="1" ht="15" x14ac:dyDescent="0.25">
      <c r="A85" s="18" t="s">
        <v>56</v>
      </c>
      <c r="B85" s="19">
        <v>0</v>
      </c>
      <c r="C85" s="19">
        <v>0</v>
      </c>
      <c r="D85" s="19">
        <v>0</v>
      </c>
      <c r="E85" s="20">
        <v>0</v>
      </c>
      <c r="F85" s="20">
        <v>0</v>
      </c>
      <c r="G85" s="20">
        <v>0</v>
      </c>
      <c r="I85" s="19">
        <v>0</v>
      </c>
      <c r="J85" s="19">
        <v>1</v>
      </c>
      <c r="K85" s="19">
        <v>0</v>
      </c>
      <c r="L85" s="20">
        <v>0</v>
      </c>
      <c r="M85" s="20">
        <v>2.0189783969311529E-4</v>
      </c>
      <c r="N85" s="20">
        <v>0</v>
      </c>
      <c r="P85" s="19">
        <v>0</v>
      </c>
      <c r="Q85" s="19">
        <v>1</v>
      </c>
      <c r="R85" s="19">
        <v>0</v>
      </c>
      <c r="S85" s="20">
        <v>0</v>
      </c>
      <c r="T85" s="20">
        <v>2.0189783969311529E-4</v>
      </c>
      <c r="U85" s="20">
        <v>0</v>
      </c>
      <c r="W85" s="19">
        <v>19</v>
      </c>
      <c r="X85" s="19">
        <v>52</v>
      </c>
      <c r="Y85" s="19">
        <v>15</v>
      </c>
      <c r="Z85" s="20">
        <v>3.6094224924012159E-3</v>
      </c>
      <c r="AA85" s="20">
        <v>1.0498687664041995E-2</v>
      </c>
      <c r="AB85" s="20">
        <v>2.7124773960216998E-3</v>
      </c>
      <c r="AD85" s="19">
        <v>19</v>
      </c>
      <c r="AE85" s="19">
        <v>54</v>
      </c>
      <c r="AF85" s="19">
        <v>15</v>
      </c>
    </row>
    <row r="86" spans="1:32" s="43" customFormat="1" ht="15" x14ac:dyDescent="0.25">
      <c r="A86" s="29" t="s">
        <v>67</v>
      </c>
      <c r="B86" s="27">
        <v>2374</v>
      </c>
      <c r="C86" s="27">
        <v>9854</v>
      </c>
      <c r="D86" s="27">
        <v>6993</v>
      </c>
      <c r="E86" s="22">
        <v>6.5945928227829572E-4</v>
      </c>
      <c r="F86" s="22">
        <v>2.7621862477098576E-3</v>
      </c>
      <c r="G86" s="22">
        <v>1.9399193683735719E-3</v>
      </c>
      <c r="I86" s="27">
        <v>9586</v>
      </c>
      <c r="J86" s="27">
        <v>10350</v>
      </c>
      <c r="K86" s="27">
        <v>13237</v>
      </c>
      <c r="L86" s="22">
        <v>2.6628376916258394E-3</v>
      </c>
      <c r="M86" s="22">
        <v>2.9012205869491606E-3</v>
      </c>
      <c r="N86" s="22">
        <v>3.6720595851796041E-3</v>
      </c>
      <c r="P86" s="27">
        <v>12682</v>
      </c>
      <c r="Q86" s="27">
        <v>13255</v>
      </c>
      <c r="R86" s="27">
        <v>14534</v>
      </c>
      <c r="S86" s="22">
        <v>3.5228570420612242E-3</v>
      </c>
      <c r="T86" s="22">
        <v>3.7155245294696738E-3</v>
      </c>
      <c r="U86" s="22">
        <v>4.0318587301503639E-3</v>
      </c>
      <c r="W86" s="27">
        <v>15649</v>
      </c>
      <c r="X86" s="27">
        <v>15924</v>
      </c>
      <c r="Y86" s="27">
        <v>16206</v>
      </c>
      <c r="Z86" s="22">
        <v>4.3470422528951343E-3</v>
      </c>
      <c r="AA86" s="22">
        <v>4.4636750363843897E-3</v>
      </c>
      <c r="AB86" s="22">
        <v>4.4956861552784364E-3</v>
      </c>
      <c r="AD86" s="21">
        <v>40291</v>
      </c>
      <c r="AE86" s="21">
        <v>49383</v>
      </c>
      <c r="AF86" s="21">
        <v>50970</v>
      </c>
    </row>
    <row r="87" spans="1:32" customFormat="1" ht="15" x14ac:dyDescent="0.25">
      <c r="A87" s="18"/>
      <c r="B87" s="19"/>
      <c r="C87" s="19"/>
      <c r="D87" s="19"/>
      <c r="E87" s="19"/>
      <c r="F87" s="19"/>
      <c r="G87" s="19"/>
      <c r="I87" s="19"/>
      <c r="J87" s="19"/>
      <c r="K87" s="19"/>
      <c r="L87" s="19"/>
      <c r="M87" s="19"/>
      <c r="N87" s="19"/>
      <c r="P87" s="19"/>
      <c r="Q87" s="19"/>
      <c r="R87" s="19"/>
      <c r="S87" s="19"/>
      <c r="T87" s="19"/>
      <c r="U87" s="19"/>
      <c r="W87" s="19"/>
      <c r="X87" s="19"/>
      <c r="Y87" s="19"/>
      <c r="Z87" s="19"/>
      <c r="AA87" s="19"/>
      <c r="AB87" s="19"/>
      <c r="AD87" s="19"/>
      <c r="AE87" s="19"/>
      <c r="AF87" s="19"/>
    </row>
    <row r="88" spans="1:32" customFormat="1" ht="15" x14ac:dyDescent="0.25">
      <c r="A88" s="28" t="s">
        <v>68</v>
      </c>
      <c r="B88" s="25"/>
      <c r="C88" s="25"/>
      <c r="D88" s="25"/>
      <c r="E88" s="25"/>
      <c r="F88" s="25"/>
      <c r="G88" s="25"/>
      <c r="I88" s="25"/>
      <c r="J88" s="25"/>
      <c r="K88" s="25"/>
      <c r="L88" s="25"/>
      <c r="M88" s="25"/>
      <c r="N88" s="25"/>
      <c r="P88" s="25"/>
      <c r="Q88" s="25"/>
      <c r="R88" s="25"/>
      <c r="S88" s="25"/>
      <c r="T88" s="25"/>
      <c r="U88" s="25"/>
      <c r="W88" s="25"/>
      <c r="X88" s="25"/>
      <c r="Y88" s="25"/>
      <c r="Z88" s="25"/>
      <c r="AA88" s="25"/>
      <c r="AB88" s="25"/>
      <c r="AD88" s="19"/>
      <c r="AE88" s="19"/>
      <c r="AF88" s="19"/>
    </row>
    <row r="89" spans="1:32" customFormat="1" ht="15" x14ac:dyDescent="0.25">
      <c r="A89" s="18" t="s">
        <v>17</v>
      </c>
      <c r="B89" s="19">
        <v>0</v>
      </c>
      <c r="C89" s="19">
        <v>0</v>
      </c>
      <c r="D89" s="19">
        <v>0</v>
      </c>
      <c r="E89" s="20">
        <v>0</v>
      </c>
      <c r="F89" s="20">
        <v>0</v>
      </c>
      <c r="G89" s="20">
        <v>0</v>
      </c>
      <c r="I89" s="19">
        <v>7</v>
      </c>
      <c r="J89" s="19">
        <v>1</v>
      </c>
      <c r="K89" s="19">
        <v>6</v>
      </c>
      <c r="L89" s="20">
        <v>1.4271151885830785E-3</v>
      </c>
      <c r="M89" s="20">
        <v>2.1791239921551536E-4</v>
      </c>
      <c r="N89" s="20">
        <v>1.3780431786862655E-3</v>
      </c>
      <c r="P89" s="19">
        <v>0</v>
      </c>
      <c r="Q89" s="19">
        <v>1</v>
      </c>
      <c r="R89" s="19">
        <v>1</v>
      </c>
      <c r="S89" s="20">
        <v>0</v>
      </c>
      <c r="T89" s="20">
        <v>2.1791239921551536E-4</v>
      </c>
      <c r="U89" s="20">
        <v>2.2967386311437759E-4</v>
      </c>
      <c r="W89" s="19">
        <v>22</v>
      </c>
      <c r="X89" s="19">
        <v>29</v>
      </c>
      <c r="Y89" s="19">
        <v>26</v>
      </c>
      <c r="Z89" s="20">
        <v>4.4852191641182463E-3</v>
      </c>
      <c r="AA89" s="20">
        <v>6.3194595772499453E-3</v>
      </c>
      <c r="AB89" s="20">
        <v>5.9715204409738175E-3</v>
      </c>
      <c r="AD89" s="19">
        <v>29</v>
      </c>
      <c r="AE89" s="19">
        <v>31</v>
      </c>
      <c r="AF89" s="19">
        <v>33</v>
      </c>
    </row>
    <row r="90" spans="1:32" customFormat="1" ht="15" x14ac:dyDescent="0.25">
      <c r="A90" s="18" t="s">
        <v>19</v>
      </c>
      <c r="B90" s="19">
        <v>0</v>
      </c>
      <c r="C90" s="19">
        <v>0</v>
      </c>
      <c r="D90" s="19">
        <v>0</v>
      </c>
      <c r="E90" s="20">
        <v>0</v>
      </c>
      <c r="F90" s="20">
        <v>0</v>
      </c>
      <c r="G90" s="20">
        <v>0</v>
      </c>
      <c r="I90" s="19">
        <v>308</v>
      </c>
      <c r="J90" s="19">
        <v>388</v>
      </c>
      <c r="K90" s="19">
        <v>334</v>
      </c>
      <c r="L90" s="20">
        <v>8.5506626763574172E-4</v>
      </c>
      <c r="M90" s="20">
        <v>1.0776819838236602E-3</v>
      </c>
      <c r="N90" s="20">
        <v>9.2874263818522578E-4</v>
      </c>
      <c r="P90" s="19">
        <v>2106</v>
      </c>
      <c r="Q90" s="19">
        <v>2485</v>
      </c>
      <c r="R90" s="19">
        <v>2433</v>
      </c>
      <c r="S90" s="20">
        <v>5.846654414418416E-3</v>
      </c>
      <c r="T90" s="20">
        <v>6.9021642520664828E-3</v>
      </c>
      <c r="U90" s="20">
        <v>6.7653617925289046E-3</v>
      </c>
      <c r="W90" s="19">
        <v>1777</v>
      </c>
      <c r="X90" s="19">
        <v>1783</v>
      </c>
      <c r="Y90" s="19">
        <v>1957</v>
      </c>
      <c r="Z90" s="20">
        <v>4.9332881739893282E-3</v>
      </c>
      <c r="AA90" s="20">
        <v>4.9523375699937781E-3</v>
      </c>
      <c r="AB90" s="20">
        <v>5.4417644997858889E-3</v>
      </c>
      <c r="AD90" s="19">
        <v>4191</v>
      </c>
      <c r="AE90" s="19">
        <v>4656</v>
      </c>
      <c r="AF90" s="19">
        <v>4724</v>
      </c>
    </row>
    <row r="91" spans="1:32" customFormat="1" ht="15" x14ac:dyDescent="0.25">
      <c r="A91" s="18" t="s">
        <v>20</v>
      </c>
      <c r="B91" s="19">
        <v>0</v>
      </c>
      <c r="C91" s="19">
        <v>0</v>
      </c>
      <c r="D91" s="19">
        <v>0</v>
      </c>
      <c r="E91" s="20">
        <v>0</v>
      </c>
      <c r="F91" s="20">
        <v>0</v>
      </c>
      <c r="G91" s="20">
        <v>0</v>
      </c>
      <c r="I91" s="19">
        <v>176</v>
      </c>
      <c r="J91" s="19">
        <v>464</v>
      </c>
      <c r="K91" s="19">
        <v>316</v>
      </c>
      <c r="L91" s="20">
        <v>9.8997091960423668E-4</v>
      </c>
      <c r="M91" s="20">
        <v>2.4413471606185449E-3</v>
      </c>
      <c r="N91" s="20">
        <v>1.5043750654593581E-3</v>
      </c>
      <c r="P91" s="19">
        <v>101</v>
      </c>
      <c r="Q91" s="19">
        <v>112</v>
      </c>
      <c r="R91" s="19">
        <v>123</v>
      </c>
      <c r="S91" s="20">
        <v>5.6810831181834036E-4</v>
      </c>
      <c r="T91" s="20">
        <v>5.8929069394240735E-4</v>
      </c>
      <c r="U91" s="20">
        <v>5.8556371218829444E-4</v>
      </c>
      <c r="W91" s="19">
        <v>1219</v>
      </c>
      <c r="X91" s="19">
        <v>1093</v>
      </c>
      <c r="Y91" s="19">
        <v>1337</v>
      </c>
      <c r="Z91" s="20">
        <v>6.8566735852134348E-3</v>
      </c>
      <c r="AA91" s="20">
        <v>5.7508457899915289E-3</v>
      </c>
      <c r="AB91" s="20">
        <v>6.3650299446808912E-3</v>
      </c>
      <c r="AD91" s="19">
        <v>1496</v>
      </c>
      <c r="AE91" s="19">
        <v>1669</v>
      </c>
      <c r="AF91" s="19">
        <v>1776</v>
      </c>
    </row>
    <row r="92" spans="1:32" customFormat="1" ht="15" x14ac:dyDescent="0.25">
      <c r="A92" s="18" t="s">
        <v>21</v>
      </c>
      <c r="B92" s="19">
        <v>0</v>
      </c>
      <c r="C92" s="19">
        <v>0</v>
      </c>
      <c r="D92" s="19">
        <v>0</v>
      </c>
      <c r="E92" s="20">
        <v>0</v>
      </c>
      <c r="F92" s="20">
        <v>0</v>
      </c>
      <c r="G92" s="20">
        <v>0</v>
      </c>
      <c r="I92" s="19">
        <v>227</v>
      </c>
      <c r="J92" s="19">
        <v>227</v>
      </c>
      <c r="K92" s="19">
        <v>214</v>
      </c>
      <c r="L92" s="20">
        <v>5.5687756053283619E-3</v>
      </c>
      <c r="M92" s="20">
        <v>5.7627376811962127E-3</v>
      </c>
      <c r="N92" s="20">
        <v>5.5925780739579248E-3</v>
      </c>
      <c r="P92" s="19">
        <v>127</v>
      </c>
      <c r="Q92" s="19">
        <v>3</v>
      </c>
      <c r="R92" s="19">
        <v>11</v>
      </c>
      <c r="S92" s="20">
        <v>3.1155704928489069E-3</v>
      </c>
      <c r="T92" s="20">
        <v>7.6159528826381665E-5</v>
      </c>
      <c r="U92" s="20">
        <v>2.8746896641839803E-4</v>
      </c>
      <c r="W92" s="19">
        <v>32</v>
      </c>
      <c r="X92" s="19">
        <v>3</v>
      </c>
      <c r="Y92" s="19">
        <v>12</v>
      </c>
      <c r="Z92" s="20">
        <v>7.8502563599342542E-4</v>
      </c>
      <c r="AA92" s="20">
        <v>7.6159528826381665E-5</v>
      </c>
      <c r="AB92" s="20">
        <v>3.1360250882007056E-4</v>
      </c>
      <c r="AD92" s="19">
        <v>386</v>
      </c>
      <c r="AE92" s="19">
        <v>233</v>
      </c>
      <c r="AF92" s="19">
        <v>237</v>
      </c>
    </row>
    <row r="93" spans="1:32" customFormat="1" ht="15" x14ac:dyDescent="0.25">
      <c r="A93" s="18" t="s">
        <v>26</v>
      </c>
      <c r="B93" s="19">
        <v>0</v>
      </c>
      <c r="C93" s="19">
        <v>0</v>
      </c>
      <c r="D93" s="19">
        <v>0</v>
      </c>
      <c r="E93" s="20">
        <v>0</v>
      </c>
      <c r="F93" s="20">
        <v>0</v>
      </c>
      <c r="G93" s="20">
        <v>0</v>
      </c>
      <c r="I93" s="19">
        <v>8</v>
      </c>
      <c r="J93" s="19">
        <v>10</v>
      </c>
      <c r="K93" s="19">
        <v>2</v>
      </c>
      <c r="L93" s="20">
        <v>1.5488867376573089E-3</v>
      </c>
      <c r="M93" s="20">
        <v>2.012477359629704E-3</v>
      </c>
      <c r="N93" s="20">
        <v>4.0783034257748778E-4</v>
      </c>
      <c r="P93" s="19">
        <v>6</v>
      </c>
      <c r="Q93" s="19">
        <v>4</v>
      </c>
      <c r="R93" s="19">
        <v>8</v>
      </c>
      <c r="S93" s="20">
        <v>1.1616650532429815E-3</v>
      </c>
      <c r="T93" s="20">
        <v>8.0499094385188164E-4</v>
      </c>
      <c r="U93" s="20">
        <v>1.6313213703099511E-3</v>
      </c>
      <c r="W93" s="19">
        <v>42</v>
      </c>
      <c r="X93" s="19">
        <v>47</v>
      </c>
      <c r="Y93" s="19">
        <v>27</v>
      </c>
      <c r="Z93" s="20">
        <v>8.1316553727008717E-3</v>
      </c>
      <c r="AA93" s="20">
        <v>9.4586435902596095E-3</v>
      </c>
      <c r="AB93" s="20">
        <v>5.5057096247960848E-3</v>
      </c>
      <c r="AD93" s="19">
        <v>56</v>
      </c>
      <c r="AE93" s="19">
        <v>61</v>
      </c>
      <c r="AF93" s="19">
        <v>37</v>
      </c>
    </row>
    <row r="94" spans="1:32" customFormat="1" ht="15" x14ac:dyDescent="0.25">
      <c r="A94" s="18" t="s">
        <v>28</v>
      </c>
      <c r="B94" s="19">
        <v>0</v>
      </c>
      <c r="C94" s="19">
        <v>0</v>
      </c>
      <c r="D94" s="19">
        <v>0</v>
      </c>
      <c r="E94" s="20">
        <v>0</v>
      </c>
      <c r="F94" s="20">
        <v>0</v>
      </c>
      <c r="G94" s="20">
        <v>0</v>
      </c>
      <c r="I94" s="19">
        <v>6</v>
      </c>
      <c r="J94" s="19">
        <v>54</v>
      </c>
      <c r="K94" s="19">
        <v>42</v>
      </c>
      <c r="L94" s="20">
        <v>5.3215077605321508E-4</v>
      </c>
      <c r="M94" s="20">
        <v>4.955947136563877E-3</v>
      </c>
      <c r="N94" s="20">
        <v>3.9015327450069672E-3</v>
      </c>
      <c r="P94" s="19">
        <v>0</v>
      </c>
      <c r="Q94" s="19">
        <v>0</v>
      </c>
      <c r="R94" s="19">
        <v>0</v>
      </c>
      <c r="S94" s="20">
        <v>0</v>
      </c>
      <c r="T94" s="20">
        <v>0</v>
      </c>
      <c r="U94" s="20">
        <v>0</v>
      </c>
      <c r="W94" s="19">
        <v>36</v>
      </c>
      <c r="X94" s="19">
        <v>0</v>
      </c>
      <c r="Y94" s="19">
        <v>0</v>
      </c>
      <c r="Z94" s="20">
        <v>3.1929046563192905E-3</v>
      </c>
      <c r="AA94" s="20">
        <v>0</v>
      </c>
      <c r="AB94" s="20">
        <v>0</v>
      </c>
      <c r="AD94" s="19">
        <v>42</v>
      </c>
      <c r="AE94" s="19">
        <v>54</v>
      </c>
      <c r="AF94" s="19">
        <v>42</v>
      </c>
    </row>
    <row r="95" spans="1:32" customFormat="1" ht="15" x14ac:dyDescent="0.25">
      <c r="A95" s="18" t="s">
        <v>29</v>
      </c>
      <c r="B95" s="19">
        <v>0</v>
      </c>
      <c r="C95" s="19">
        <v>0</v>
      </c>
      <c r="D95" s="19">
        <v>0</v>
      </c>
      <c r="E95" s="20">
        <v>0</v>
      </c>
      <c r="F95" s="20">
        <v>0</v>
      </c>
      <c r="G95" s="20">
        <v>0</v>
      </c>
      <c r="I95" s="19">
        <v>0</v>
      </c>
      <c r="J95" s="19">
        <v>2</v>
      </c>
      <c r="K95" s="19">
        <v>0</v>
      </c>
      <c r="L95" s="20">
        <v>0</v>
      </c>
      <c r="M95" s="20">
        <v>1.1223344556677891E-3</v>
      </c>
      <c r="N95" s="20">
        <v>0</v>
      </c>
      <c r="P95" s="19">
        <v>1</v>
      </c>
      <c r="Q95" s="19">
        <v>0</v>
      </c>
      <c r="R95" s="19">
        <v>0</v>
      </c>
      <c r="S95" s="20">
        <v>5.6915196357427435E-4</v>
      </c>
      <c r="T95" s="20">
        <v>0</v>
      </c>
      <c r="U95" s="20">
        <v>0</v>
      </c>
      <c r="W95" s="19">
        <v>23</v>
      </c>
      <c r="X95" s="19">
        <v>15</v>
      </c>
      <c r="Y95" s="19">
        <v>22</v>
      </c>
      <c r="Z95" s="20">
        <v>1.309049516220831E-2</v>
      </c>
      <c r="AA95" s="20">
        <v>8.4175084175084174E-3</v>
      </c>
      <c r="AB95" s="20">
        <v>1.2408347433728144E-2</v>
      </c>
      <c r="AD95" s="19">
        <v>24</v>
      </c>
      <c r="AE95" s="19">
        <v>17</v>
      </c>
      <c r="AF95" s="19">
        <v>22</v>
      </c>
    </row>
    <row r="96" spans="1:32" customFormat="1" ht="15" x14ac:dyDescent="0.25">
      <c r="A96" s="18" t="s">
        <v>30</v>
      </c>
      <c r="B96" s="19">
        <v>0</v>
      </c>
      <c r="C96" s="19">
        <v>0</v>
      </c>
      <c r="D96" s="19">
        <v>0</v>
      </c>
      <c r="E96" s="20">
        <v>0</v>
      </c>
      <c r="F96" s="20">
        <v>0</v>
      </c>
      <c r="G96" s="20">
        <v>0</v>
      </c>
      <c r="I96" s="19">
        <v>126</v>
      </c>
      <c r="J96" s="19">
        <v>103</v>
      </c>
      <c r="K96" s="19">
        <v>104</v>
      </c>
      <c r="L96" s="20">
        <v>1.0462161847983127E-3</v>
      </c>
      <c r="M96" s="20">
        <v>9.1399566961274982E-4</v>
      </c>
      <c r="N96" s="20">
        <v>9.0475693356996205E-4</v>
      </c>
      <c r="P96" s="19">
        <v>252</v>
      </c>
      <c r="Q96" s="19">
        <v>215</v>
      </c>
      <c r="R96" s="19">
        <v>218</v>
      </c>
      <c r="S96" s="20">
        <v>2.0924323695966254E-3</v>
      </c>
      <c r="T96" s="20">
        <v>1.9078550385120505E-3</v>
      </c>
      <c r="U96" s="20">
        <v>1.8965097261370359E-3</v>
      </c>
      <c r="W96" s="19">
        <v>1040</v>
      </c>
      <c r="X96" s="19">
        <v>984</v>
      </c>
      <c r="Y96" s="19">
        <v>1002</v>
      </c>
      <c r="Z96" s="20">
        <v>8.6354351761130585E-3</v>
      </c>
      <c r="AA96" s="20">
        <v>8.7317644553295704E-3</v>
      </c>
      <c r="AB96" s="20">
        <v>8.7169850715105961E-3</v>
      </c>
      <c r="AD96" s="19">
        <v>1418</v>
      </c>
      <c r="AE96" s="19">
        <v>1302</v>
      </c>
      <c r="AF96" s="19">
        <v>1324</v>
      </c>
    </row>
    <row r="97" spans="1:32" customFormat="1" ht="15" x14ac:dyDescent="0.25">
      <c r="A97" s="18" t="s">
        <v>32</v>
      </c>
      <c r="B97" s="19">
        <v>0</v>
      </c>
      <c r="C97" s="19">
        <v>0</v>
      </c>
      <c r="D97" s="19">
        <v>801</v>
      </c>
      <c r="E97" s="20">
        <v>0</v>
      </c>
      <c r="F97" s="20">
        <v>0</v>
      </c>
      <c r="G97" s="20">
        <v>1.1237137265629933E-3</v>
      </c>
      <c r="I97" s="19">
        <v>2374</v>
      </c>
      <c r="J97" s="19">
        <v>8560</v>
      </c>
      <c r="K97" s="19">
        <v>9130</v>
      </c>
      <c r="L97" s="20">
        <v>3.3581398112142633E-3</v>
      </c>
      <c r="M97" s="20">
        <v>1.2054351606847886E-2</v>
      </c>
      <c r="N97" s="20">
        <v>1.2808372438851596E-2</v>
      </c>
      <c r="P97" s="19">
        <v>1210</v>
      </c>
      <c r="Q97" s="19">
        <v>1563</v>
      </c>
      <c r="R97" s="19">
        <v>1496</v>
      </c>
      <c r="S97" s="20">
        <v>1.711604537308028E-3</v>
      </c>
      <c r="T97" s="20">
        <v>2.2010457431662668E-3</v>
      </c>
      <c r="U97" s="20">
        <v>2.098721267088936E-3</v>
      </c>
      <c r="W97" s="19">
        <v>4504</v>
      </c>
      <c r="X97" s="19">
        <v>4913</v>
      </c>
      <c r="Y97" s="19">
        <v>3857</v>
      </c>
      <c r="Z97" s="20">
        <v>6.3711296165581471E-3</v>
      </c>
      <c r="AA97" s="20">
        <v>6.9185782061265957E-3</v>
      </c>
      <c r="AB97" s="20">
        <v>5.4109411277821033E-3</v>
      </c>
      <c r="AD97" s="19">
        <v>8088</v>
      </c>
      <c r="AE97" s="19">
        <v>15036</v>
      </c>
      <c r="AF97" s="19">
        <v>15284</v>
      </c>
    </row>
    <row r="98" spans="1:32" customFormat="1" ht="15" x14ac:dyDescent="0.25">
      <c r="A98" s="18" t="s">
        <v>80</v>
      </c>
      <c r="B98" s="19">
        <v>0</v>
      </c>
      <c r="C98" s="19">
        <v>0</v>
      </c>
      <c r="D98" s="19">
        <v>0</v>
      </c>
      <c r="E98" s="20">
        <v>0</v>
      </c>
      <c r="F98" s="20">
        <v>0</v>
      </c>
      <c r="G98" s="20">
        <v>0</v>
      </c>
      <c r="I98" s="19">
        <v>0</v>
      </c>
      <c r="J98" s="19">
        <v>0</v>
      </c>
      <c r="K98" s="19">
        <v>1</v>
      </c>
      <c r="L98" s="20">
        <v>0</v>
      </c>
      <c r="M98" s="20">
        <v>0</v>
      </c>
      <c r="N98" s="20">
        <v>9.3984962406015032E-4</v>
      </c>
      <c r="P98" s="19">
        <v>0</v>
      </c>
      <c r="Q98" s="19">
        <v>0</v>
      </c>
      <c r="R98" s="19">
        <v>0</v>
      </c>
      <c r="S98" s="20">
        <v>0</v>
      </c>
      <c r="T98" s="20">
        <v>0</v>
      </c>
      <c r="U98" s="20">
        <v>0</v>
      </c>
      <c r="W98" s="19">
        <v>0</v>
      </c>
      <c r="X98" s="19">
        <v>0</v>
      </c>
      <c r="Y98" s="19">
        <v>0</v>
      </c>
      <c r="Z98" s="20">
        <v>0</v>
      </c>
      <c r="AA98" s="20">
        <v>0</v>
      </c>
      <c r="AB98" s="20">
        <v>0</v>
      </c>
      <c r="AD98" s="19">
        <v>0</v>
      </c>
      <c r="AE98" s="19">
        <v>0</v>
      </c>
      <c r="AF98" s="19">
        <v>1</v>
      </c>
    </row>
    <row r="99" spans="1:32" customFormat="1" ht="15" x14ac:dyDescent="0.25">
      <c r="A99" s="18" t="s">
        <v>166</v>
      </c>
      <c r="B99" s="19">
        <v>0</v>
      </c>
      <c r="C99" s="19">
        <v>0</v>
      </c>
      <c r="D99" s="19">
        <v>0</v>
      </c>
      <c r="E99" s="20">
        <v>0</v>
      </c>
      <c r="F99" s="20">
        <v>0</v>
      </c>
      <c r="G99" s="20">
        <v>0</v>
      </c>
      <c r="I99" s="19">
        <v>0</v>
      </c>
      <c r="J99" s="19">
        <v>2</v>
      </c>
      <c r="K99" s="19">
        <v>3</v>
      </c>
      <c r="L99" s="20">
        <v>0</v>
      </c>
      <c r="M99" s="20">
        <v>7.6923076923076927E-2</v>
      </c>
      <c r="N99" s="20">
        <v>1.9108280254777069E-2</v>
      </c>
      <c r="P99" s="19">
        <v>0</v>
      </c>
      <c r="Q99" s="19">
        <v>0</v>
      </c>
      <c r="R99" s="19">
        <v>0</v>
      </c>
      <c r="S99" s="20">
        <v>0</v>
      </c>
      <c r="T99" s="20">
        <v>0</v>
      </c>
      <c r="U99" s="20">
        <v>0</v>
      </c>
      <c r="W99" s="19">
        <v>0</v>
      </c>
      <c r="X99" s="19">
        <v>0</v>
      </c>
      <c r="Y99" s="19">
        <v>0</v>
      </c>
      <c r="Z99" s="20">
        <v>0</v>
      </c>
      <c r="AA99" s="20">
        <v>0</v>
      </c>
      <c r="AB99" s="20">
        <v>0</v>
      </c>
      <c r="AD99" s="19">
        <v>0</v>
      </c>
      <c r="AE99" s="19">
        <v>2</v>
      </c>
      <c r="AF99" s="19">
        <v>3</v>
      </c>
    </row>
    <row r="100" spans="1:32" customFormat="1" ht="15" x14ac:dyDescent="0.25">
      <c r="A100" s="18" t="s">
        <v>36</v>
      </c>
      <c r="B100" s="19">
        <v>103</v>
      </c>
      <c r="C100" s="19">
        <v>16</v>
      </c>
      <c r="D100" s="19">
        <v>80</v>
      </c>
      <c r="E100" s="20">
        <v>5.4457015967008561E-3</v>
      </c>
      <c r="F100" s="20">
        <v>7.5926541071513309E-4</v>
      </c>
      <c r="G100" s="20">
        <v>3.3861000592567509E-3</v>
      </c>
      <c r="I100" s="19">
        <v>5</v>
      </c>
      <c r="J100" s="19">
        <v>2</v>
      </c>
      <c r="K100" s="19">
        <v>160</v>
      </c>
      <c r="L100" s="20">
        <v>2.6435444644178915E-4</v>
      </c>
      <c r="M100" s="20">
        <v>9.4908176339391636E-5</v>
      </c>
      <c r="N100" s="20">
        <v>6.7722001185135019E-3</v>
      </c>
      <c r="P100" s="19">
        <v>27</v>
      </c>
      <c r="Q100" s="19">
        <v>7</v>
      </c>
      <c r="R100" s="19">
        <v>8</v>
      </c>
      <c r="S100" s="20">
        <v>1.4275140107856614E-3</v>
      </c>
      <c r="T100" s="20">
        <v>3.3217861718787072E-4</v>
      </c>
      <c r="U100" s="20">
        <v>3.3861000592567508E-4</v>
      </c>
      <c r="W100" s="19">
        <v>0</v>
      </c>
      <c r="X100" s="19">
        <v>0</v>
      </c>
      <c r="Y100" s="19">
        <v>0</v>
      </c>
      <c r="Z100" s="20">
        <v>0</v>
      </c>
      <c r="AA100" s="20">
        <v>0</v>
      </c>
      <c r="AB100" s="20">
        <v>0</v>
      </c>
      <c r="AD100" s="19">
        <v>135</v>
      </c>
      <c r="AE100" s="19">
        <v>25</v>
      </c>
      <c r="AF100" s="19">
        <v>248</v>
      </c>
    </row>
    <row r="101" spans="1:32" customFormat="1" ht="15" x14ac:dyDescent="0.25">
      <c r="A101" s="18" t="s">
        <v>37</v>
      </c>
      <c r="B101" s="19">
        <v>0</v>
      </c>
      <c r="C101" s="19">
        <v>0</v>
      </c>
      <c r="D101" s="19">
        <v>0</v>
      </c>
      <c r="E101" s="20">
        <v>0</v>
      </c>
      <c r="F101" s="20">
        <v>0</v>
      </c>
      <c r="G101" s="20">
        <v>0</v>
      </c>
      <c r="I101" s="19">
        <v>2</v>
      </c>
      <c r="J101" s="19">
        <v>0</v>
      </c>
      <c r="K101" s="19">
        <v>0</v>
      </c>
      <c r="L101" s="20">
        <v>2.7397260273972603E-3</v>
      </c>
      <c r="M101" s="20">
        <v>0</v>
      </c>
      <c r="N101" s="20">
        <v>0</v>
      </c>
      <c r="P101" s="19">
        <v>0</v>
      </c>
      <c r="Q101" s="19">
        <v>0</v>
      </c>
      <c r="R101" s="19">
        <v>0</v>
      </c>
      <c r="S101" s="20">
        <v>0</v>
      </c>
      <c r="T101" s="20">
        <v>0</v>
      </c>
      <c r="U101" s="20">
        <v>0</v>
      </c>
      <c r="W101" s="19">
        <v>4</v>
      </c>
      <c r="X101" s="19">
        <v>0</v>
      </c>
      <c r="Y101" s="19">
        <v>0</v>
      </c>
      <c r="Z101" s="20">
        <v>5.4794520547945206E-3</v>
      </c>
      <c r="AA101" s="20">
        <v>0</v>
      </c>
      <c r="AB101" s="20">
        <v>0</v>
      </c>
      <c r="AD101" s="19">
        <v>6</v>
      </c>
      <c r="AE101" s="19">
        <v>0</v>
      </c>
      <c r="AF101" s="19">
        <v>0</v>
      </c>
    </row>
    <row r="102" spans="1:32" customFormat="1" ht="15" x14ac:dyDescent="0.25">
      <c r="A102" s="18" t="s">
        <v>38</v>
      </c>
      <c r="B102" s="19">
        <v>1361</v>
      </c>
      <c r="C102" s="19">
        <v>1536</v>
      </c>
      <c r="D102" s="19">
        <v>1767</v>
      </c>
      <c r="E102" s="20">
        <v>0.10483746726236327</v>
      </c>
      <c r="F102" s="20">
        <v>0.11699291644451215</v>
      </c>
      <c r="G102" s="20">
        <v>0.13180665373713263</v>
      </c>
      <c r="I102" s="19">
        <v>0</v>
      </c>
      <c r="J102" s="19">
        <v>0</v>
      </c>
      <c r="K102" s="19">
        <v>0</v>
      </c>
      <c r="L102" s="20">
        <v>0</v>
      </c>
      <c r="M102" s="20">
        <v>0</v>
      </c>
      <c r="N102" s="20">
        <v>0</v>
      </c>
      <c r="P102" s="19">
        <v>0</v>
      </c>
      <c r="Q102" s="19">
        <v>0</v>
      </c>
      <c r="R102" s="19">
        <v>0</v>
      </c>
      <c r="S102" s="20">
        <v>0</v>
      </c>
      <c r="T102" s="20">
        <v>0</v>
      </c>
      <c r="U102" s="20">
        <v>0</v>
      </c>
      <c r="W102" s="19">
        <v>0</v>
      </c>
      <c r="X102" s="19">
        <v>0</v>
      </c>
      <c r="Y102" s="19">
        <v>0</v>
      </c>
      <c r="Z102" s="20">
        <v>0</v>
      </c>
      <c r="AA102" s="20">
        <v>0</v>
      </c>
      <c r="AB102" s="20">
        <v>0</v>
      </c>
      <c r="AD102" s="19">
        <v>1361</v>
      </c>
      <c r="AE102" s="19">
        <v>1536</v>
      </c>
      <c r="AF102" s="19">
        <v>1767</v>
      </c>
    </row>
    <row r="103" spans="1:32" customFormat="1" ht="15" x14ac:dyDescent="0.25">
      <c r="A103" s="18" t="s">
        <v>39</v>
      </c>
      <c r="B103" s="19">
        <v>101</v>
      </c>
      <c r="C103" s="19">
        <v>53</v>
      </c>
      <c r="D103" s="19">
        <v>5</v>
      </c>
      <c r="E103" s="20">
        <v>0.18297101449275363</v>
      </c>
      <c r="F103" s="20">
        <v>0.10707070707070707</v>
      </c>
      <c r="G103" s="20">
        <v>5.0968399592252805E-3</v>
      </c>
      <c r="I103" s="19">
        <v>2</v>
      </c>
      <c r="J103" s="19">
        <v>2</v>
      </c>
      <c r="K103" s="19">
        <v>0</v>
      </c>
      <c r="L103" s="20">
        <v>3.6231884057971015E-3</v>
      </c>
      <c r="M103" s="20">
        <v>4.0404040404040404E-3</v>
      </c>
      <c r="N103" s="20">
        <v>0</v>
      </c>
      <c r="P103" s="19">
        <v>0</v>
      </c>
      <c r="Q103" s="19">
        <v>0</v>
      </c>
      <c r="R103" s="19">
        <v>0</v>
      </c>
      <c r="S103" s="20">
        <v>0</v>
      </c>
      <c r="T103" s="20">
        <v>0</v>
      </c>
      <c r="U103" s="20">
        <v>0</v>
      </c>
      <c r="W103" s="19">
        <v>0</v>
      </c>
      <c r="X103" s="19">
        <v>0</v>
      </c>
      <c r="Y103" s="19">
        <v>0</v>
      </c>
      <c r="Z103" s="20">
        <v>0</v>
      </c>
      <c r="AA103" s="20">
        <v>0</v>
      </c>
      <c r="AB103" s="20">
        <v>0</v>
      </c>
      <c r="AD103" s="19">
        <v>103</v>
      </c>
      <c r="AE103" s="19">
        <v>55</v>
      </c>
      <c r="AF103" s="19">
        <v>5</v>
      </c>
    </row>
    <row r="104" spans="1:32" customFormat="1" ht="15" x14ac:dyDescent="0.25">
      <c r="A104" s="18" t="s">
        <v>40</v>
      </c>
      <c r="B104" s="19">
        <v>0</v>
      </c>
      <c r="C104" s="19">
        <v>0</v>
      </c>
      <c r="D104" s="19">
        <v>0</v>
      </c>
      <c r="E104" s="20">
        <v>0</v>
      </c>
      <c r="F104" s="20">
        <v>0</v>
      </c>
      <c r="G104" s="20">
        <v>0</v>
      </c>
      <c r="I104" s="19">
        <v>4</v>
      </c>
      <c r="J104" s="19">
        <v>23</v>
      </c>
      <c r="K104" s="19">
        <v>5</v>
      </c>
      <c r="L104" s="20">
        <v>8.1967213114754103E-3</v>
      </c>
      <c r="M104" s="20">
        <v>4.7325102880658436E-2</v>
      </c>
      <c r="N104" s="20">
        <v>1.0183299389002037E-2</v>
      </c>
      <c r="P104" s="19">
        <v>1</v>
      </c>
      <c r="Q104" s="19">
        <v>2</v>
      </c>
      <c r="R104" s="19">
        <v>2</v>
      </c>
      <c r="S104" s="20">
        <v>2.0491803278688526E-3</v>
      </c>
      <c r="T104" s="20">
        <v>4.11522633744856E-3</v>
      </c>
      <c r="U104" s="20">
        <v>4.0733197556008143E-3</v>
      </c>
      <c r="W104" s="19">
        <v>1</v>
      </c>
      <c r="X104" s="19">
        <v>0</v>
      </c>
      <c r="Y104" s="19">
        <v>0</v>
      </c>
      <c r="Z104" s="20">
        <v>2.0491803278688526E-3</v>
      </c>
      <c r="AA104" s="20">
        <v>0</v>
      </c>
      <c r="AB104" s="20">
        <v>0</v>
      </c>
      <c r="AD104" s="19">
        <v>6</v>
      </c>
      <c r="AE104" s="19">
        <v>25</v>
      </c>
      <c r="AF104" s="19">
        <v>7</v>
      </c>
    </row>
    <row r="105" spans="1:32" customFormat="1" ht="15" x14ac:dyDescent="0.25">
      <c r="A105" s="18" t="s">
        <v>41</v>
      </c>
      <c r="B105" s="19">
        <v>0</v>
      </c>
      <c r="C105" s="19">
        <v>2</v>
      </c>
      <c r="D105" s="19">
        <v>0</v>
      </c>
      <c r="E105" s="20">
        <v>0</v>
      </c>
      <c r="F105" s="20">
        <v>2.2471910112359553E-3</v>
      </c>
      <c r="G105" s="20">
        <v>0</v>
      </c>
      <c r="I105" s="19">
        <v>12</v>
      </c>
      <c r="J105" s="19">
        <v>1</v>
      </c>
      <c r="K105" s="19">
        <v>0</v>
      </c>
      <c r="L105" s="20">
        <v>1.5706806282722512E-2</v>
      </c>
      <c r="M105" s="20">
        <v>1.1235955056179776E-3</v>
      </c>
      <c r="N105" s="20">
        <v>0</v>
      </c>
      <c r="P105" s="19">
        <v>0</v>
      </c>
      <c r="Q105" s="19">
        <v>7</v>
      </c>
      <c r="R105" s="19">
        <v>5</v>
      </c>
      <c r="S105" s="20">
        <v>0</v>
      </c>
      <c r="T105" s="20">
        <v>7.8651685393258432E-3</v>
      </c>
      <c r="U105" s="20">
        <v>4.9800796812749003E-3</v>
      </c>
      <c r="W105" s="19">
        <v>12</v>
      </c>
      <c r="X105" s="19">
        <v>10</v>
      </c>
      <c r="Y105" s="19">
        <v>5</v>
      </c>
      <c r="Z105" s="20">
        <v>1.5706806282722512E-2</v>
      </c>
      <c r="AA105" s="20">
        <v>1.1235955056179775E-2</v>
      </c>
      <c r="AB105" s="20">
        <v>4.9800796812749003E-3</v>
      </c>
      <c r="AD105" s="19">
        <v>24</v>
      </c>
      <c r="AE105" s="19">
        <v>20</v>
      </c>
      <c r="AF105" s="19">
        <v>10</v>
      </c>
    </row>
    <row r="106" spans="1:32" customFormat="1" ht="15" x14ac:dyDescent="0.25">
      <c r="A106" s="18" t="s">
        <v>43</v>
      </c>
      <c r="B106" s="19">
        <v>0</v>
      </c>
      <c r="C106" s="19">
        <v>0</v>
      </c>
      <c r="D106" s="19">
        <v>0</v>
      </c>
      <c r="E106" s="20">
        <v>0</v>
      </c>
      <c r="F106" s="20">
        <v>0</v>
      </c>
      <c r="G106" s="20">
        <v>0</v>
      </c>
      <c r="I106" s="19">
        <v>807</v>
      </c>
      <c r="J106" s="19">
        <v>778</v>
      </c>
      <c r="K106" s="19">
        <v>1558</v>
      </c>
      <c r="L106" s="20">
        <v>1.2169743032935216E-3</v>
      </c>
      <c r="M106" s="20">
        <v>1.1860750520241788E-3</v>
      </c>
      <c r="N106" s="20">
        <v>2.4041577423755179E-3</v>
      </c>
      <c r="P106" s="19">
        <v>2784</v>
      </c>
      <c r="Q106" s="19">
        <v>3171</v>
      </c>
      <c r="R106" s="19">
        <v>3153</v>
      </c>
      <c r="S106" s="20">
        <v>4.1983351429605497E-3</v>
      </c>
      <c r="T106" s="20">
        <v>4.8342467737386517E-3</v>
      </c>
      <c r="U106" s="20">
        <v>4.8654103733697098E-3</v>
      </c>
      <c r="W106" s="19">
        <v>3195</v>
      </c>
      <c r="X106" s="19">
        <v>3192</v>
      </c>
      <c r="Y106" s="19">
        <v>3337</v>
      </c>
      <c r="Z106" s="20">
        <v>4.8181324647122697E-3</v>
      </c>
      <c r="AA106" s="20">
        <v>4.8662616530349345E-3</v>
      </c>
      <c r="AB106" s="20">
        <v>5.1493417113652774E-3</v>
      </c>
      <c r="AD106" s="19">
        <v>6786</v>
      </c>
      <c r="AE106" s="19">
        <v>7141</v>
      </c>
      <c r="AF106" s="19">
        <v>8048</v>
      </c>
    </row>
    <row r="107" spans="1:32" customFormat="1" ht="15" x14ac:dyDescent="0.25">
      <c r="A107" s="18" t="s">
        <v>46</v>
      </c>
      <c r="B107" s="19">
        <v>0</v>
      </c>
      <c r="C107" s="19">
        <v>0</v>
      </c>
      <c r="D107" s="19">
        <v>0</v>
      </c>
      <c r="E107" s="20">
        <v>0</v>
      </c>
      <c r="F107" s="20">
        <v>0</v>
      </c>
      <c r="G107" s="20">
        <v>0</v>
      </c>
      <c r="I107" s="19">
        <v>0</v>
      </c>
      <c r="J107" s="19">
        <v>0</v>
      </c>
      <c r="K107" s="19">
        <v>0</v>
      </c>
      <c r="L107" s="20">
        <v>0</v>
      </c>
      <c r="M107" s="20">
        <v>0</v>
      </c>
      <c r="N107" s="20">
        <v>0</v>
      </c>
      <c r="P107" s="19">
        <v>0</v>
      </c>
      <c r="Q107" s="19">
        <v>0</v>
      </c>
      <c r="R107" s="19">
        <v>0</v>
      </c>
      <c r="S107" s="20">
        <v>0</v>
      </c>
      <c r="T107" s="20">
        <v>0</v>
      </c>
      <c r="U107" s="20">
        <v>0</v>
      </c>
      <c r="W107" s="19">
        <v>0</v>
      </c>
      <c r="X107" s="19">
        <v>0</v>
      </c>
      <c r="Y107" s="19">
        <v>2</v>
      </c>
      <c r="Z107" s="20">
        <v>0</v>
      </c>
      <c r="AA107" s="20">
        <v>0</v>
      </c>
      <c r="AB107" s="20">
        <v>1.098901098901099E-2</v>
      </c>
      <c r="AD107" s="19">
        <v>0</v>
      </c>
      <c r="AE107" s="19">
        <v>0</v>
      </c>
      <c r="AF107" s="19">
        <v>2</v>
      </c>
    </row>
    <row r="108" spans="1:32" customFormat="1" ht="15" x14ac:dyDescent="0.25">
      <c r="A108" s="18" t="s">
        <v>126</v>
      </c>
      <c r="B108" s="19">
        <v>0</v>
      </c>
      <c r="C108" s="19">
        <v>0</v>
      </c>
      <c r="D108" s="19">
        <v>0</v>
      </c>
      <c r="E108" s="20">
        <v>0</v>
      </c>
      <c r="F108" s="20">
        <v>0</v>
      </c>
      <c r="G108" s="20">
        <v>0</v>
      </c>
      <c r="I108" s="19">
        <v>17</v>
      </c>
      <c r="J108" s="19">
        <v>16</v>
      </c>
      <c r="K108" s="19">
        <v>13</v>
      </c>
      <c r="L108" s="20">
        <v>1.1839264572741834E-3</v>
      </c>
      <c r="M108" s="20">
        <v>1.1277135607555681E-3</v>
      </c>
      <c r="N108" s="20">
        <v>8.8345225959904859E-4</v>
      </c>
      <c r="P108" s="19">
        <v>10</v>
      </c>
      <c r="Q108" s="19">
        <v>10</v>
      </c>
      <c r="R108" s="19">
        <v>7</v>
      </c>
      <c r="S108" s="20">
        <v>6.9642732780834319E-4</v>
      </c>
      <c r="T108" s="20">
        <v>7.0482097547223E-4</v>
      </c>
      <c r="U108" s="20">
        <v>4.7570506286102616E-4</v>
      </c>
      <c r="W108" s="19">
        <v>60</v>
      </c>
      <c r="X108" s="19">
        <v>67</v>
      </c>
      <c r="Y108" s="19">
        <v>69</v>
      </c>
      <c r="Z108" s="20">
        <v>4.1785639668500589E-3</v>
      </c>
      <c r="AA108" s="20">
        <v>4.7223005356639416E-3</v>
      </c>
      <c r="AB108" s="20">
        <v>4.689092762487258E-3</v>
      </c>
      <c r="AD108" s="19">
        <v>87</v>
      </c>
      <c r="AE108" s="19">
        <v>93</v>
      </c>
      <c r="AF108" s="19">
        <v>89</v>
      </c>
    </row>
    <row r="109" spans="1:32" customFormat="1" ht="15" x14ac:dyDescent="0.25">
      <c r="A109" s="18" t="s">
        <v>48</v>
      </c>
      <c r="B109" s="19">
        <v>0</v>
      </c>
      <c r="C109" s="19">
        <v>0</v>
      </c>
      <c r="D109" s="19">
        <v>0</v>
      </c>
      <c r="E109" s="20">
        <v>0</v>
      </c>
      <c r="F109" s="20">
        <v>0</v>
      </c>
      <c r="G109" s="20">
        <v>0</v>
      </c>
      <c r="I109" s="19">
        <v>14</v>
      </c>
      <c r="J109" s="19">
        <v>30</v>
      </c>
      <c r="K109" s="19">
        <v>13</v>
      </c>
      <c r="L109" s="20">
        <v>1.7247751632376493E-3</v>
      </c>
      <c r="M109" s="20">
        <v>3.2154340836012861E-3</v>
      </c>
      <c r="N109" s="20">
        <v>1.4279437609841829E-3</v>
      </c>
      <c r="P109" s="19">
        <v>76</v>
      </c>
      <c r="Q109" s="19">
        <v>131</v>
      </c>
      <c r="R109" s="19">
        <v>163</v>
      </c>
      <c r="S109" s="20">
        <v>9.3630651718615253E-3</v>
      </c>
      <c r="T109" s="20">
        <v>1.4040728831725616E-2</v>
      </c>
      <c r="U109" s="20">
        <v>1.7904217926186291E-2</v>
      </c>
      <c r="W109" s="19">
        <v>226</v>
      </c>
      <c r="X109" s="19">
        <v>290</v>
      </c>
      <c r="Y109" s="19">
        <v>208</v>
      </c>
      <c r="Z109" s="20">
        <v>2.7842799063693482E-2</v>
      </c>
      <c r="AA109" s="20">
        <v>3.1082529474812434E-2</v>
      </c>
      <c r="AB109" s="20">
        <v>2.2847100175746926E-2</v>
      </c>
      <c r="AD109" s="19">
        <v>316</v>
      </c>
      <c r="AE109" s="19">
        <v>451</v>
      </c>
      <c r="AF109" s="19">
        <v>384</v>
      </c>
    </row>
    <row r="110" spans="1:32" customFormat="1" ht="15" x14ac:dyDescent="0.25">
      <c r="A110" s="18" t="s">
        <v>49</v>
      </c>
      <c r="B110" s="19">
        <v>0</v>
      </c>
      <c r="C110" s="19">
        <v>0</v>
      </c>
      <c r="D110" s="19">
        <v>0</v>
      </c>
      <c r="E110" s="20">
        <v>0</v>
      </c>
      <c r="F110" s="20">
        <v>0</v>
      </c>
      <c r="G110" s="20">
        <v>0</v>
      </c>
      <c r="I110" s="19">
        <v>49</v>
      </c>
      <c r="J110" s="19">
        <v>42</v>
      </c>
      <c r="K110" s="19">
        <v>48</v>
      </c>
      <c r="L110" s="20">
        <v>8.8304198954766624E-3</v>
      </c>
      <c r="M110" s="20">
        <v>6.8181818181818179E-3</v>
      </c>
      <c r="N110" s="20">
        <v>7.832898172323759E-3</v>
      </c>
      <c r="P110" s="19">
        <v>50</v>
      </c>
      <c r="Q110" s="19">
        <v>4</v>
      </c>
      <c r="R110" s="19">
        <v>3</v>
      </c>
      <c r="S110" s="20">
        <v>9.0106325464047576E-3</v>
      </c>
      <c r="T110" s="20">
        <v>6.4935064935064935E-4</v>
      </c>
      <c r="U110" s="20">
        <v>4.8955613577023494E-4</v>
      </c>
      <c r="W110" s="19">
        <v>45</v>
      </c>
      <c r="X110" s="19">
        <v>8</v>
      </c>
      <c r="Y110" s="19">
        <v>48</v>
      </c>
      <c r="Z110" s="20">
        <v>8.1095692917642816E-3</v>
      </c>
      <c r="AA110" s="20">
        <v>1.2987012987012987E-3</v>
      </c>
      <c r="AB110" s="20">
        <v>7.832898172323759E-3</v>
      </c>
      <c r="AD110" s="19">
        <v>144</v>
      </c>
      <c r="AE110" s="19">
        <v>54</v>
      </c>
      <c r="AF110" s="19">
        <v>99</v>
      </c>
    </row>
    <row r="111" spans="1:32" customFormat="1" ht="15" x14ac:dyDescent="0.25">
      <c r="A111" s="18" t="s">
        <v>51</v>
      </c>
      <c r="B111" s="19">
        <v>0</v>
      </c>
      <c r="C111" s="19">
        <v>0</v>
      </c>
      <c r="D111" s="19">
        <v>0</v>
      </c>
      <c r="E111" s="20">
        <v>0</v>
      </c>
      <c r="F111" s="20">
        <v>0</v>
      </c>
      <c r="G111" s="20">
        <v>0</v>
      </c>
      <c r="I111" s="19">
        <v>0</v>
      </c>
      <c r="J111" s="19">
        <v>0</v>
      </c>
      <c r="K111" s="19">
        <v>0</v>
      </c>
      <c r="L111" s="20">
        <v>0</v>
      </c>
      <c r="M111" s="20">
        <v>0</v>
      </c>
      <c r="N111" s="20">
        <v>0</v>
      </c>
      <c r="P111" s="19">
        <v>0</v>
      </c>
      <c r="Q111" s="19">
        <v>0</v>
      </c>
      <c r="R111" s="19">
        <v>0</v>
      </c>
      <c r="S111" s="20">
        <v>0</v>
      </c>
      <c r="T111" s="20">
        <v>0</v>
      </c>
      <c r="U111" s="20">
        <v>0</v>
      </c>
      <c r="W111" s="19">
        <v>1</v>
      </c>
      <c r="X111" s="19">
        <v>11</v>
      </c>
      <c r="Y111" s="19">
        <v>21</v>
      </c>
      <c r="Z111" s="20">
        <v>4.464285714285714E-3</v>
      </c>
      <c r="AA111" s="20">
        <v>2.1072796934865901E-2</v>
      </c>
      <c r="AB111" s="20">
        <v>1.6091954022988506E-2</v>
      </c>
      <c r="AD111" s="19">
        <v>1</v>
      </c>
      <c r="AE111" s="19">
        <v>11</v>
      </c>
      <c r="AF111" s="19">
        <v>21</v>
      </c>
    </row>
    <row r="112" spans="1:32" customFormat="1" ht="15" x14ac:dyDescent="0.25">
      <c r="A112" s="18" t="s">
        <v>52</v>
      </c>
      <c r="B112" s="19">
        <v>51</v>
      </c>
      <c r="C112" s="19">
        <v>117</v>
      </c>
      <c r="D112" s="19">
        <v>0</v>
      </c>
      <c r="E112" s="20">
        <v>1.0598063255891276E-3</v>
      </c>
      <c r="F112" s="20">
        <v>2.4343556239856852E-3</v>
      </c>
      <c r="G112" s="20">
        <v>0</v>
      </c>
      <c r="I112" s="19">
        <v>24</v>
      </c>
      <c r="J112" s="19">
        <v>20</v>
      </c>
      <c r="K112" s="19">
        <v>50</v>
      </c>
      <c r="L112" s="20">
        <v>4.9873238851253063E-4</v>
      </c>
      <c r="M112" s="20">
        <v>4.161291664932795E-4</v>
      </c>
      <c r="N112" s="20">
        <v>1.0348752975266481E-3</v>
      </c>
      <c r="P112" s="19">
        <v>9</v>
      </c>
      <c r="Q112" s="19">
        <v>25</v>
      </c>
      <c r="R112" s="19">
        <v>31</v>
      </c>
      <c r="S112" s="20">
        <v>1.87024645692199E-4</v>
      </c>
      <c r="T112" s="20">
        <v>5.2016145811659934E-4</v>
      </c>
      <c r="U112" s="20">
        <v>6.4162268446652177E-4</v>
      </c>
      <c r="W112" s="19">
        <v>336</v>
      </c>
      <c r="X112" s="19">
        <v>342</v>
      </c>
      <c r="Y112" s="19">
        <v>327</v>
      </c>
      <c r="Z112" s="20">
        <v>6.9822534391754294E-3</v>
      </c>
      <c r="AA112" s="20">
        <v>7.11580874703508E-3</v>
      </c>
      <c r="AB112" s="20">
        <v>6.7680844458242783E-3</v>
      </c>
      <c r="AD112" s="19">
        <v>420</v>
      </c>
      <c r="AE112" s="19">
        <v>504</v>
      </c>
      <c r="AF112" s="19">
        <v>408</v>
      </c>
    </row>
    <row r="113" spans="1:32" customFormat="1" ht="15" x14ac:dyDescent="0.25">
      <c r="A113" s="18" t="s">
        <v>53</v>
      </c>
      <c r="B113" s="19">
        <v>1</v>
      </c>
      <c r="C113" s="19">
        <v>2</v>
      </c>
      <c r="D113" s="19">
        <v>0</v>
      </c>
      <c r="E113" s="20">
        <v>1.0834236186348862E-3</v>
      </c>
      <c r="F113" s="20">
        <v>2.3201856148491878E-3</v>
      </c>
      <c r="G113" s="20">
        <v>0</v>
      </c>
      <c r="I113" s="19">
        <v>0</v>
      </c>
      <c r="J113" s="19">
        <v>0</v>
      </c>
      <c r="K113" s="19">
        <v>0</v>
      </c>
      <c r="L113" s="20">
        <v>0</v>
      </c>
      <c r="M113" s="20">
        <v>0</v>
      </c>
      <c r="N113" s="20">
        <v>0</v>
      </c>
      <c r="P113" s="19">
        <v>0</v>
      </c>
      <c r="Q113" s="19">
        <v>0</v>
      </c>
      <c r="R113" s="19">
        <v>0</v>
      </c>
      <c r="S113" s="20">
        <v>0</v>
      </c>
      <c r="T113" s="20">
        <v>0</v>
      </c>
      <c r="U113" s="20">
        <v>0</v>
      </c>
      <c r="W113" s="19">
        <v>0</v>
      </c>
      <c r="X113" s="19">
        <v>0</v>
      </c>
      <c r="Y113" s="19">
        <v>0</v>
      </c>
      <c r="Z113" s="20">
        <v>0</v>
      </c>
      <c r="AA113" s="20">
        <v>0</v>
      </c>
      <c r="AB113" s="20">
        <v>0</v>
      </c>
      <c r="AD113" s="19">
        <v>1</v>
      </c>
      <c r="AE113" s="19">
        <v>2</v>
      </c>
      <c r="AF113" s="19">
        <v>0</v>
      </c>
    </row>
    <row r="114" spans="1:32" customFormat="1" ht="15" x14ac:dyDescent="0.25">
      <c r="A114" s="18" t="s">
        <v>54</v>
      </c>
      <c r="B114" s="19">
        <v>0</v>
      </c>
      <c r="C114" s="19">
        <v>0</v>
      </c>
      <c r="D114" s="19">
        <v>0</v>
      </c>
      <c r="E114" s="20">
        <v>0</v>
      </c>
      <c r="F114" s="20">
        <v>0</v>
      </c>
      <c r="G114" s="20">
        <v>0</v>
      </c>
      <c r="I114" s="19">
        <v>0</v>
      </c>
      <c r="J114" s="19">
        <v>0</v>
      </c>
      <c r="K114" s="19">
        <v>0</v>
      </c>
      <c r="L114" s="20">
        <v>0</v>
      </c>
      <c r="M114" s="20">
        <v>0</v>
      </c>
      <c r="N114" s="20">
        <v>0</v>
      </c>
      <c r="P114" s="19">
        <v>2</v>
      </c>
      <c r="Q114" s="19">
        <v>0</v>
      </c>
      <c r="R114" s="19">
        <v>0</v>
      </c>
      <c r="S114" s="20">
        <v>2.6809651474530832E-3</v>
      </c>
      <c r="T114" s="20">
        <v>0</v>
      </c>
      <c r="U114" s="20">
        <v>0</v>
      </c>
      <c r="W114" s="19">
        <v>0</v>
      </c>
      <c r="X114" s="19">
        <v>0</v>
      </c>
      <c r="Y114" s="19">
        <v>0</v>
      </c>
      <c r="Z114" s="20">
        <v>0</v>
      </c>
      <c r="AA114" s="20">
        <v>0</v>
      </c>
      <c r="AB114" s="20">
        <v>0</v>
      </c>
      <c r="AD114" s="19">
        <v>2</v>
      </c>
      <c r="AE114" s="19">
        <v>0</v>
      </c>
      <c r="AF114" s="19">
        <v>0</v>
      </c>
    </row>
    <row r="115" spans="1:32" customFormat="1" ht="15" x14ac:dyDescent="0.25">
      <c r="A115" s="18" t="s">
        <v>55</v>
      </c>
      <c r="B115" s="19">
        <v>94</v>
      </c>
      <c r="C115" s="19">
        <v>84</v>
      </c>
      <c r="D115" s="19">
        <v>91</v>
      </c>
      <c r="E115" s="20">
        <v>6.1566675399528422E-3</v>
      </c>
      <c r="F115" s="20">
        <v>5.6683986773736423E-3</v>
      </c>
      <c r="G115" s="20">
        <v>6.4260998517053879E-3</v>
      </c>
      <c r="I115" s="19">
        <v>17</v>
      </c>
      <c r="J115" s="19">
        <v>30</v>
      </c>
      <c r="K115" s="19">
        <v>23</v>
      </c>
      <c r="L115" s="20">
        <v>1.1134398742467908E-3</v>
      </c>
      <c r="M115" s="20">
        <v>2.0244280990620151E-3</v>
      </c>
      <c r="N115" s="20">
        <v>1.624179083398065E-3</v>
      </c>
      <c r="P115" s="19">
        <v>4</v>
      </c>
      <c r="Q115" s="19">
        <v>2</v>
      </c>
      <c r="R115" s="19">
        <v>3</v>
      </c>
      <c r="S115" s="20">
        <v>2.6198585276395077E-4</v>
      </c>
      <c r="T115" s="20">
        <v>1.3496187327080101E-4</v>
      </c>
      <c r="U115" s="20">
        <v>2.118494456606172E-4</v>
      </c>
      <c r="W115" s="19">
        <v>77</v>
      </c>
      <c r="X115" s="19">
        <v>54</v>
      </c>
      <c r="Y115" s="19">
        <v>68</v>
      </c>
      <c r="Z115" s="20">
        <v>5.0432276657060519E-3</v>
      </c>
      <c r="AA115" s="20">
        <v>3.6439705783116272E-3</v>
      </c>
      <c r="AB115" s="20">
        <v>4.8019207683073226E-3</v>
      </c>
      <c r="AD115" s="19">
        <v>192</v>
      </c>
      <c r="AE115" s="19">
        <v>170</v>
      </c>
      <c r="AF115" s="19">
        <v>185</v>
      </c>
    </row>
    <row r="116" spans="1:32" s="43" customFormat="1" ht="15" x14ac:dyDescent="0.25">
      <c r="A116" s="29" t="s">
        <v>69</v>
      </c>
      <c r="B116" s="27">
        <v>1711</v>
      </c>
      <c r="C116" s="27">
        <v>1810</v>
      </c>
      <c r="D116" s="27">
        <v>2744</v>
      </c>
      <c r="E116" s="22">
        <v>7.6862983981861954E-4</v>
      </c>
      <c r="F116" s="22">
        <v>8.1248515867924926E-4</v>
      </c>
      <c r="G116" s="22">
        <v>1.2209745993677096E-3</v>
      </c>
      <c r="I116" s="27">
        <v>4185</v>
      </c>
      <c r="J116" s="27">
        <v>10755</v>
      </c>
      <c r="K116" s="27">
        <v>12022</v>
      </c>
      <c r="L116" s="22">
        <v>1.8800209699830056E-3</v>
      </c>
      <c r="M116" s="22">
        <v>4.827777835135539E-3</v>
      </c>
      <c r="N116" s="22">
        <v>5.3493282192414743E-3</v>
      </c>
      <c r="P116" s="27">
        <v>6766</v>
      </c>
      <c r="Q116" s="27">
        <v>7742</v>
      </c>
      <c r="R116" s="27">
        <v>7665</v>
      </c>
      <c r="S116" s="22">
        <v>3.0394795419127875E-3</v>
      </c>
      <c r="T116" s="22">
        <v>3.475281822372789E-3</v>
      </c>
      <c r="U116" s="22">
        <v>3.4106305773154134E-3</v>
      </c>
      <c r="W116" s="27">
        <v>12652</v>
      </c>
      <c r="X116" s="27">
        <v>12841</v>
      </c>
      <c r="Y116" s="27">
        <v>12325</v>
      </c>
      <c r="Z116" s="22">
        <v>5.6836380674372732E-3</v>
      </c>
      <c r="AA116" s="22">
        <v>5.7641557583426742E-3</v>
      </c>
      <c r="AB116" s="22">
        <v>5.4841515806148032E-3</v>
      </c>
      <c r="AD116" s="21">
        <v>25314</v>
      </c>
      <c r="AE116" s="21">
        <v>33148</v>
      </c>
      <c r="AF116" s="21">
        <v>34756</v>
      </c>
    </row>
    <row r="117" spans="1:32" customFormat="1" ht="15" x14ac:dyDescent="0.25">
      <c r="A117" s="18"/>
      <c r="B117" s="19"/>
      <c r="C117" s="19"/>
      <c r="D117" s="19"/>
      <c r="E117" s="19"/>
      <c r="F117" s="19"/>
      <c r="G117" s="19"/>
      <c r="I117" s="19"/>
      <c r="J117" s="19"/>
      <c r="K117" s="19"/>
      <c r="L117" s="19"/>
      <c r="M117" s="19"/>
      <c r="N117" s="19"/>
      <c r="P117" s="19"/>
      <c r="Q117" s="19"/>
      <c r="R117" s="19"/>
      <c r="S117" s="19"/>
      <c r="T117" s="19"/>
      <c r="U117" s="19"/>
      <c r="W117" s="19"/>
      <c r="X117" s="19"/>
      <c r="Y117" s="19"/>
      <c r="Z117" s="19"/>
      <c r="AA117" s="19"/>
      <c r="AB117" s="19"/>
      <c r="AD117" s="19"/>
      <c r="AE117" s="19"/>
      <c r="AF117" s="19"/>
    </row>
    <row r="118" spans="1:32" customFormat="1" ht="15" x14ac:dyDescent="0.25">
      <c r="A118" s="28" t="s">
        <v>70</v>
      </c>
      <c r="B118" s="25"/>
      <c r="C118" s="25"/>
      <c r="D118" s="25"/>
      <c r="E118" s="25"/>
      <c r="F118" s="25"/>
      <c r="G118" s="25"/>
      <c r="I118" s="25"/>
      <c r="J118" s="25"/>
      <c r="K118" s="25"/>
      <c r="L118" s="25"/>
      <c r="M118" s="25"/>
      <c r="N118" s="25"/>
      <c r="P118" s="25"/>
      <c r="Q118" s="25"/>
      <c r="R118" s="25"/>
      <c r="S118" s="25"/>
      <c r="T118" s="25"/>
      <c r="U118" s="25"/>
      <c r="W118" s="25"/>
      <c r="X118" s="25"/>
      <c r="Y118" s="25"/>
      <c r="Z118" s="25"/>
      <c r="AA118" s="25"/>
      <c r="AB118" s="25"/>
      <c r="AD118" s="19"/>
      <c r="AE118" s="19"/>
      <c r="AF118" s="19"/>
    </row>
    <row r="119" spans="1:32" customFormat="1" ht="15" x14ac:dyDescent="0.25">
      <c r="A119" s="18" t="s">
        <v>19</v>
      </c>
      <c r="B119" s="19">
        <v>0</v>
      </c>
      <c r="C119" s="19">
        <v>0</v>
      </c>
      <c r="D119" s="19">
        <v>0</v>
      </c>
      <c r="E119" s="20">
        <v>0</v>
      </c>
      <c r="F119" s="20">
        <v>0</v>
      </c>
      <c r="G119" s="20">
        <v>0</v>
      </c>
      <c r="I119" s="19">
        <v>626</v>
      </c>
      <c r="J119" s="19">
        <v>752</v>
      </c>
      <c r="K119" s="19">
        <v>913</v>
      </c>
      <c r="L119" s="20">
        <v>1.8495210744949272E-3</v>
      </c>
      <c r="M119" s="20">
        <v>2.2393348698982176E-3</v>
      </c>
      <c r="N119" s="20">
        <v>2.7390684767119177E-3</v>
      </c>
      <c r="P119" s="19">
        <v>1261</v>
      </c>
      <c r="Q119" s="19">
        <v>1621</v>
      </c>
      <c r="R119" s="19">
        <v>1449</v>
      </c>
      <c r="S119" s="20">
        <v>3.7256327075688546E-3</v>
      </c>
      <c r="T119" s="20">
        <v>4.8270768937566629E-3</v>
      </c>
      <c r="U119" s="20">
        <v>4.347108677716943E-3</v>
      </c>
      <c r="W119" s="19">
        <v>1822</v>
      </c>
      <c r="X119" s="19">
        <v>1612</v>
      </c>
      <c r="Y119" s="19">
        <v>1710</v>
      </c>
      <c r="Z119" s="20">
        <v>5.383110858993222E-3</v>
      </c>
      <c r="AA119" s="20">
        <v>4.8002763434520299E-3</v>
      </c>
      <c r="AB119" s="20">
        <v>5.1301282532063303E-3</v>
      </c>
      <c r="AD119" s="19">
        <v>3709</v>
      </c>
      <c r="AE119" s="19">
        <v>3985</v>
      </c>
      <c r="AF119" s="19">
        <v>4072</v>
      </c>
    </row>
    <row r="120" spans="1:32" customFormat="1" ht="15" x14ac:dyDescent="0.25">
      <c r="A120" s="18" t="s">
        <v>20</v>
      </c>
      <c r="B120" s="19">
        <v>0</v>
      </c>
      <c r="C120" s="19">
        <v>0</v>
      </c>
      <c r="D120" s="19">
        <v>0</v>
      </c>
      <c r="E120" s="20">
        <v>0</v>
      </c>
      <c r="F120" s="20">
        <v>0</v>
      </c>
      <c r="G120" s="20">
        <v>0</v>
      </c>
      <c r="I120" s="19">
        <v>190</v>
      </c>
      <c r="J120" s="19">
        <v>244</v>
      </c>
      <c r="K120" s="19">
        <v>112</v>
      </c>
      <c r="L120" s="20">
        <v>3.2142917561875117E-3</v>
      </c>
      <c r="M120" s="20">
        <v>4.1856794867396298E-3</v>
      </c>
      <c r="N120" s="20">
        <v>1.8383258104226509E-3</v>
      </c>
      <c r="P120" s="19">
        <v>17</v>
      </c>
      <c r="Q120" s="19">
        <v>26</v>
      </c>
      <c r="R120" s="19">
        <v>27</v>
      </c>
      <c r="S120" s="20">
        <v>2.8759452555361946E-4</v>
      </c>
      <c r="T120" s="20">
        <v>4.4601502727553433E-4</v>
      </c>
      <c r="U120" s="20">
        <v>4.4316782929831758E-4</v>
      </c>
      <c r="W120" s="19">
        <v>491</v>
      </c>
      <c r="X120" s="19">
        <v>377</v>
      </c>
      <c r="Y120" s="19">
        <v>451</v>
      </c>
      <c r="Z120" s="20">
        <v>8.3064065909898323E-3</v>
      </c>
      <c r="AA120" s="20">
        <v>6.4672178954952482E-3</v>
      </c>
      <c r="AB120" s="20">
        <v>7.4025441116126389E-3</v>
      </c>
      <c r="AD120" s="19">
        <v>698</v>
      </c>
      <c r="AE120" s="19">
        <v>647</v>
      </c>
      <c r="AF120" s="19">
        <v>590</v>
      </c>
    </row>
    <row r="121" spans="1:32" customFormat="1" ht="15" x14ac:dyDescent="0.25">
      <c r="A121" s="18" t="s">
        <v>21</v>
      </c>
      <c r="B121" s="19">
        <v>0</v>
      </c>
      <c r="C121" s="19">
        <v>0</v>
      </c>
      <c r="D121" s="19">
        <v>0</v>
      </c>
      <c r="E121" s="20">
        <v>0</v>
      </c>
      <c r="F121" s="20">
        <v>0</v>
      </c>
      <c r="G121" s="20">
        <v>0</v>
      </c>
      <c r="I121" s="19">
        <v>60</v>
      </c>
      <c r="J121" s="19">
        <v>59</v>
      </c>
      <c r="K121" s="19">
        <v>57</v>
      </c>
      <c r="L121" s="20">
        <v>9.2180058380703644E-3</v>
      </c>
      <c r="M121" s="20">
        <v>9.0769230769230762E-3</v>
      </c>
      <c r="N121" s="20">
        <v>9.4043887147335428E-3</v>
      </c>
      <c r="P121" s="19">
        <v>34</v>
      </c>
      <c r="Q121" s="19">
        <v>2</v>
      </c>
      <c r="R121" s="19">
        <v>2</v>
      </c>
      <c r="S121" s="20">
        <v>5.223536641573206E-3</v>
      </c>
      <c r="T121" s="20">
        <v>3.076923076923077E-4</v>
      </c>
      <c r="U121" s="20">
        <v>3.2997855139415937E-4</v>
      </c>
      <c r="W121" s="19">
        <v>8</v>
      </c>
      <c r="X121" s="19">
        <v>2</v>
      </c>
      <c r="Y121" s="19">
        <v>2</v>
      </c>
      <c r="Z121" s="20">
        <v>1.2290674450760486E-3</v>
      </c>
      <c r="AA121" s="20">
        <v>3.076923076923077E-4</v>
      </c>
      <c r="AB121" s="20">
        <v>3.2997855139415937E-4</v>
      </c>
      <c r="AD121" s="19">
        <v>102</v>
      </c>
      <c r="AE121" s="19">
        <v>63</v>
      </c>
      <c r="AF121" s="19">
        <v>61</v>
      </c>
    </row>
    <row r="122" spans="1:32" customFormat="1" ht="15" x14ac:dyDescent="0.25">
      <c r="A122" s="18" t="s">
        <v>24</v>
      </c>
      <c r="B122" s="19">
        <v>0</v>
      </c>
      <c r="C122" s="19">
        <v>0</v>
      </c>
      <c r="D122" s="19">
        <v>0</v>
      </c>
      <c r="E122" s="20">
        <v>0</v>
      </c>
      <c r="F122" s="20">
        <v>0</v>
      </c>
      <c r="G122" s="20">
        <v>0</v>
      </c>
      <c r="I122" s="19">
        <v>0</v>
      </c>
      <c r="J122" s="19">
        <v>0</v>
      </c>
      <c r="K122" s="19">
        <v>2</v>
      </c>
      <c r="L122" s="20">
        <v>0</v>
      </c>
      <c r="M122" s="20">
        <v>0</v>
      </c>
      <c r="N122" s="20">
        <v>1.2578616352201259E-2</v>
      </c>
      <c r="P122" s="19">
        <v>0</v>
      </c>
      <c r="Q122" s="19">
        <v>0</v>
      </c>
      <c r="R122" s="19">
        <v>0</v>
      </c>
      <c r="S122" s="20">
        <v>0</v>
      </c>
      <c r="T122" s="20">
        <v>0</v>
      </c>
      <c r="U122" s="20">
        <v>0</v>
      </c>
      <c r="W122" s="19">
        <v>3</v>
      </c>
      <c r="X122" s="19">
        <v>3</v>
      </c>
      <c r="Y122" s="19">
        <v>0</v>
      </c>
      <c r="Z122" s="20">
        <v>2.2222222222222223E-2</v>
      </c>
      <c r="AA122" s="20">
        <v>4.2857142857142858E-2</v>
      </c>
      <c r="AB122" s="20">
        <v>0</v>
      </c>
      <c r="AD122" s="19">
        <v>3</v>
      </c>
      <c r="AE122" s="19">
        <v>3</v>
      </c>
      <c r="AF122" s="19">
        <v>2</v>
      </c>
    </row>
    <row r="123" spans="1:32" customFormat="1" ht="15" x14ac:dyDescent="0.25">
      <c r="A123" s="18" t="s">
        <v>26</v>
      </c>
      <c r="B123" s="19">
        <v>0</v>
      </c>
      <c r="C123" s="19">
        <v>0</v>
      </c>
      <c r="D123" s="19">
        <v>0</v>
      </c>
      <c r="E123" s="20">
        <v>0</v>
      </c>
      <c r="F123" s="20">
        <v>0</v>
      </c>
      <c r="G123" s="20">
        <v>0</v>
      </c>
      <c r="I123" s="19">
        <v>0</v>
      </c>
      <c r="J123" s="19">
        <v>0</v>
      </c>
      <c r="K123" s="19">
        <v>2</v>
      </c>
      <c r="L123" s="20">
        <v>0</v>
      </c>
      <c r="M123" s="20">
        <v>0</v>
      </c>
      <c r="N123" s="20">
        <v>9.7799511002444979E-4</v>
      </c>
      <c r="P123" s="19">
        <v>2</v>
      </c>
      <c r="Q123" s="19">
        <v>0</v>
      </c>
      <c r="R123" s="19">
        <v>0</v>
      </c>
      <c r="S123" s="20">
        <v>9.4562647754137111E-4</v>
      </c>
      <c r="T123" s="20">
        <v>0</v>
      </c>
      <c r="U123" s="20">
        <v>0</v>
      </c>
      <c r="W123" s="19">
        <v>21</v>
      </c>
      <c r="X123" s="19">
        <v>33</v>
      </c>
      <c r="Y123" s="19">
        <v>22</v>
      </c>
      <c r="Z123" s="20">
        <v>9.9290780141843976E-3</v>
      </c>
      <c r="AA123" s="20">
        <v>1.5827338129496403E-2</v>
      </c>
      <c r="AB123" s="20">
        <v>1.0757946210268949E-2</v>
      </c>
      <c r="AD123" s="19">
        <v>23</v>
      </c>
      <c r="AE123" s="19">
        <v>33</v>
      </c>
      <c r="AF123" s="19">
        <v>24</v>
      </c>
    </row>
    <row r="124" spans="1:32" customFormat="1" ht="15" x14ac:dyDescent="0.25">
      <c r="A124" s="18" t="s">
        <v>28</v>
      </c>
      <c r="B124" s="19">
        <v>0</v>
      </c>
      <c r="C124" s="19">
        <v>0</v>
      </c>
      <c r="D124" s="19">
        <v>0</v>
      </c>
      <c r="E124" s="20">
        <v>0</v>
      </c>
      <c r="F124" s="20">
        <v>0</v>
      </c>
      <c r="G124" s="20">
        <v>0</v>
      </c>
      <c r="I124" s="19">
        <v>3</v>
      </c>
      <c r="J124" s="19">
        <v>46</v>
      </c>
      <c r="K124" s="19">
        <v>23</v>
      </c>
      <c r="L124" s="20">
        <v>5.3705692803437163E-4</v>
      </c>
      <c r="M124" s="20">
        <v>8.5724934774506142E-3</v>
      </c>
      <c r="N124" s="20">
        <v>4.4401544401544398E-3</v>
      </c>
      <c r="P124" s="19">
        <v>0</v>
      </c>
      <c r="Q124" s="19">
        <v>0</v>
      </c>
      <c r="R124" s="19">
        <v>0</v>
      </c>
      <c r="S124" s="20">
        <v>0</v>
      </c>
      <c r="T124" s="20">
        <v>0</v>
      </c>
      <c r="U124" s="20">
        <v>0</v>
      </c>
      <c r="W124" s="19">
        <v>15</v>
      </c>
      <c r="X124" s="19">
        <v>0</v>
      </c>
      <c r="Y124" s="19">
        <v>0</v>
      </c>
      <c r="Z124" s="20">
        <v>2.6852846401718583E-3</v>
      </c>
      <c r="AA124" s="20">
        <v>0</v>
      </c>
      <c r="AB124" s="20">
        <v>0</v>
      </c>
      <c r="AD124" s="19">
        <v>18</v>
      </c>
      <c r="AE124" s="19">
        <v>46</v>
      </c>
      <c r="AF124" s="19">
        <v>23</v>
      </c>
    </row>
    <row r="125" spans="1:32" customFormat="1" ht="15" x14ac:dyDescent="0.25">
      <c r="A125" s="18" t="s">
        <v>29</v>
      </c>
      <c r="B125" s="19">
        <v>0</v>
      </c>
      <c r="C125" s="19">
        <v>262</v>
      </c>
      <c r="D125" s="19">
        <v>441</v>
      </c>
      <c r="E125" s="20">
        <v>0</v>
      </c>
      <c r="F125" s="20">
        <v>0.14523281596452328</v>
      </c>
      <c r="G125" s="20">
        <v>0.2003634711494775</v>
      </c>
      <c r="I125" s="19">
        <v>0</v>
      </c>
      <c r="J125" s="19">
        <v>2</v>
      </c>
      <c r="K125" s="19">
        <v>0</v>
      </c>
      <c r="L125" s="20">
        <v>0</v>
      </c>
      <c r="M125" s="20">
        <v>1.1086474501108647E-3</v>
      </c>
      <c r="N125" s="20">
        <v>0</v>
      </c>
      <c r="P125" s="19">
        <v>1</v>
      </c>
      <c r="Q125" s="19">
        <v>0</v>
      </c>
      <c r="R125" s="19">
        <v>1</v>
      </c>
      <c r="S125" s="20">
        <v>7.8678206136900079E-4</v>
      </c>
      <c r="T125" s="20">
        <v>0</v>
      </c>
      <c r="U125" s="20">
        <v>4.5433893684688776E-4</v>
      </c>
      <c r="W125" s="19">
        <v>243</v>
      </c>
      <c r="X125" s="19">
        <v>2</v>
      </c>
      <c r="Y125" s="19">
        <v>22</v>
      </c>
      <c r="Z125" s="20">
        <v>0.1911880409126672</v>
      </c>
      <c r="AA125" s="20">
        <v>1.1086474501108647E-3</v>
      </c>
      <c r="AB125" s="20">
        <v>9.9954566106315312E-3</v>
      </c>
      <c r="AD125" s="19">
        <v>244</v>
      </c>
      <c r="AE125" s="19">
        <v>266</v>
      </c>
      <c r="AF125" s="19">
        <v>464</v>
      </c>
    </row>
    <row r="126" spans="1:32" customFormat="1" ht="15" x14ac:dyDescent="0.25">
      <c r="A126" s="18" t="s">
        <v>30</v>
      </c>
      <c r="B126" s="19">
        <v>251</v>
      </c>
      <c r="C126" s="19">
        <v>131</v>
      </c>
      <c r="D126" s="19">
        <v>5</v>
      </c>
      <c r="E126" s="20">
        <v>3.5363568479930118E-3</v>
      </c>
      <c r="F126" s="20">
        <v>2.0131237225884777E-3</v>
      </c>
      <c r="G126" s="20">
        <v>7.8116456012623613E-5</v>
      </c>
      <c r="I126" s="19">
        <v>87</v>
      </c>
      <c r="J126" s="19">
        <v>88</v>
      </c>
      <c r="K126" s="19">
        <v>65</v>
      </c>
      <c r="L126" s="20">
        <v>1.2257491863561436E-3</v>
      </c>
      <c r="M126" s="20">
        <v>1.3523273861663055E-3</v>
      </c>
      <c r="N126" s="20">
        <v>1.015513928164107E-3</v>
      </c>
      <c r="P126" s="19">
        <v>229</v>
      </c>
      <c r="Q126" s="19">
        <v>266</v>
      </c>
      <c r="R126" s="19">
        <v>222</v>
      </c>
      <c r="S126" s="20">
        <v>3.2263972836270903E-3</v>
      </c>
      <c r="T126" s="20">
        <v>4.0877168718208784E-3</v>
      </c>
      <c r="U126" s="20">
        <v>3.4683706469604888E-3</v>
      </c>
      <c r="W126" s="19">
        <v>477</v>
      </c>
      <c r="X126" s="19">
        <v>468</v>
      </c>
      <c r="Y126" s="19">
        <v>404</v>
      </c>
      <c r="Z126" s="20">
        <v>6.7204869182974766E-3</v>
      </c>
      <c r="AA126" s="20">
        <v>7.1919229173389885E-3</v>
      </c>
      <c r="AB126" s="20">
        <v>6.3118096458199885E-3</v>
      </c>
      <c r="AD126" s="19">
        <v>1044</v>
      </c>
      <c r="AE126" s="19">
        <v>953</v>
      </c>
      <c r="AF126" s="19">
        <v>696</v>
      </c>
    </row>
    <row r="127" spans="1:32" customFormat="1" ht="15" x14ac:dyDescent="0.25">
      <c r="A127" s="18" t="s">
        <v>80</v>
      </c>
      <c r="B127" s="19">
        <v>0</v>
      </c>
      <c r="C127" s="19">
        <v>0</v>
      </c>
      <c r="D127" s="19">
        <v>0</v>
      </c>
      <c r="E127" s="20">
        <v>0</v>
      </c>
      <c r="F127" s="20">
        <v>0</v>
      </c>
      <c r="G127" s="20">
        <v>0</v>
      </c>
      <c r="I127" s="19">
        <v>0</v>
      </c>
      <c r="J127" s="19">
        <v>1</v>
      </c>
      <c r="K127" s="19">
        <v>0</v>
      </c>
      <c r="L127" s="20">
        <v>0</v>
      </c>
      <c r="M127" s="20">
        <v>9.1743119266055051E-3</v>
      </c>
      <c r="N127" s="20">
        <v>0</v>
      </c>
      <c r="P127" s="19">
        <v>0</v>
      </c>
      <c r="Q127" s="19">
        <v>0</v>
      </c>
      <c r="R127" s="19">
        <v>0</v>
      </c>
      <c r="S127" s="20">
        <v>0</v>
      </c>
      <c r="T127" s="20">
        <v>0</v>
      </c>
      <c r="U127" s="20">
        <v>0</v>
      </c>
      <c r="W127" s="19">
        <v>0</v>
      </c>
      <c r="X127" s="19">
        <v>0</v>
      </c>
      <c r="Y127" s="19">
        <v>0</v>
      </c>
      <c r="Z127" s="20">
        <v>0</v>
      </c>
      <c r="AA127" s="20">
        <v>0</v>
      </c>
      <c r="AB127" s="20">
        <v>0</v>
      </c>
      <c r="AD127" s="19">
        <v>0</v>
      </c>
      <c r="AE127" s="19">
        <v>1</v>
      </c>
      <c r="AF127" s="19">
        <v>0</v>
      </c>
    </row>
    <row r="128" spans="1:32" customFormat="1" ht="15" x14ac:dyDescent="0.25">
      <c r="A128" s="18" t="s">
        <v>37</v>
      </c>
      <c r="B128" s="19">
        <v>2</v>
      </c>
      <c r="C128" s="19">
        <v>39</v>
      </c>
      <c r="D128" s="19">
        <v>0</v>
      </c>
      <c r="E128" s="20">
        <v>5.2092829422030056E-5</v>
      </c>
      <c r="F128" s="20">
        <v>9.854457246816252E-4</v>
      </c>
      <c r="G128" s="20">
        <v>0</v>
      </c>
      <c r="I128" s="19">
        <v>19</v>
      </c>
      <c r="J128" s="19">
        <v>64</v>
      </c>
      <c r="K128" s="19">
        <v>75</v>
      </c>
      <c r="L128" s="20">
        <v>4.9488187950928557E-4</v>
      </c>
      <c r="M128" s="20">
        <v>1.6171417020416413E-3</v>
      </c>
      <c r="N128" s="20">
        <v>1.8347726105144703E-3</v>
      </c>
      <c r="P128" s="19">
        <v>8</v>
      </c>
      <c r="Q128" s="19">
        <v>6</v>
      </c>
      <c r="R128" s="19">
        <v>18</v>
      </c>
      <c r="S128" s="20">
        <v>2.0837131768812022E-4</v>
      </c>
      <c r="T128" s="20">
        <v>1.5160703456640388E-4</v>
      </c>
      <c r="U128" s="20">
        <v>4.4034542652347287E-4</v>
      </c>
      <c r="W128" s="19">
        <v>288</v>
      </c>
      <c r="X128" s="19">
        <v>179</v>
      </c>
      <c r="Y128" s="19">
        <v>261</v>
      </c>
      <c r="Z128" s="20">
        <v>7.5013674367723285E-3</v>
      </c>
      <c r="AA128" s="20">
        <v>4.5229431978977162E-3</v>
      </c>
      <c r="AB128" s="20">
        <v>6.3850086845903568E-3</v>
      </c>
      <c r="AD128" s="19">
        <v>317</v>
      </c>
      <c r="AE128" s="19">
        <v>288</v>
      </c>
      <c r="AF128" s="19">
        <v>354</v>
      </c>
    </row>
    <row r="129" spans="1:32" customFormat="1" ht="15" x14ac:dyDescent="0.25">
      <c r="A129" s="18" t="s">
        <v>40</v>
      </c>
      <c r="B129" s="19">
        <v>0</v>
      </c>
      <c r="C129" s="19">
        <v>0</v>
      </c>
      <c r="D129" s="19">
        <v>0</v>
      </c>
      <c r="E129" s="20">
        <v>0</v>
      </c>
      <c r="F129" s="20">
        <v>0</v>
      </c>
      <c r="G129" s="20">
        <v>0</v>
      </c>
      <c r="I129" s="19">
        <v>16</v>
      </c>
      <c r="J129" s="19">
        <v>38</v>
      </c>
      <c r="K129" s="19">
        <v>20</v>
      </c>
      <c r="L129" s="20">
        <v>2.3661638568470865E-3</v>
      </c>
      <c r="M129" s="20">
        <v>5.6724884311091205E-3</v>
      </c>
      <c r="N129" s="20">
        <v>2.8855864954552015E-3</v>
      </c>
      <c r="P129" s="19">
        <v>5</v>
      </c>
      <c r="Q129" s="19">
        <v>12</v>
      </c>
      <c r="R129" s="19">
        <v>11</v>
      </c>
      <c r="S129" s="20">
        <v>7.3942620526471457E-4</v>
      </c>
      <c r="T129" s="20">
        <v>1.7913121361397223E-3</v>
      </c>
      <c r="U129" s="20">
        <v>1.5870725725003606E-3</v>
      </c>
      <c r="W129" s="19">
        <v>36</v>
      </c>
      <c r="X129" s="19">
        <v>58</v>
      </c>
      <c r="Y129" s="19">
        <v>50</v>
      </c>
      <c r="Z129" s="20">
        <v>5.3238686779059448E-3</v>
      </c>
      <c r="AA129" s="20">
        <v>8.658008658008658E-3</v>
      </c>
      <c r="AB129" s="20">
        <v>7.2139662386380031E-3</v>
      </c>
      <c r="AD129" s="19">
        <v>57</v>
      </c>
      <c r="AE129" s="19">
        <v>108</v>
      </c>
      <c r="AF129" s="19">
        <v>81</v>
      </c>
    </row>
    <row r="130" spans="1:32" customFormat="1" ht="15" x14ac:dyDescent="0.25">
      <c r="A130" s="18" t="s">
        <v>41</v>
      </c>
      <c r="B130" s="19">
        <v>0</v>
      </c>
      <c r="C130" s="19">
        <v>0</v>
      </c>
      <c r="D130" s="19">
        <v>0</v>
      </c>
      <c r="E130" s="20">
        <v>0</v>
      </c>
      <c r="F130" s="20">
        <v>0</v>
      </c>
      <c r="G130" s="20">
        <v>0</v>
      </c>
      <c r="I130" s="19">
        <v>1</v>
      </c>
      <c r="J130" s="19">
        <v>0</v>
      </c>
      <c r="K130" s="19">
        <v>0</v>
      </c>
      <c r="L130" s="20">
        <v>3.6900369003690036E-3</v>
      </c>
      <c r="M130" s="20">
        <v>0</v>
      </c>
      <c r="N130" s="20">
        <v>0</v>
      </c>
      <c r="P130" s="19">
        <v>0</v>
      </c>
      <c r="Q130" s="19">
        <v>1</v>
      </c>
      <c r="R130" s="19">
        <v>0</v>
      </c>
      <c r="S130" s="20">
        <v>0</v>
      </c>
      <c r="T130" s="20">
        <v>3.8610038610038611E-3</v>
      </c>
      <c r="U130" s="20">
        <v>0</v>
      </c>
      <c r="W130" s="19">
        <v>1</v>
      </c>
      <c r="X130" s="19">
        <v>1</v>
      </c>
      <c r="Y130" s="19">
        <v>0</v>
      </c>
      <c r="Z130" s="20">
        <v>3.6900369003690036E-3</v>
      </c>
      <c r="AA130" s="20">
        <v>3.8610038610038611E-3</v>
      </c>
      <c r="AB130" s="20">
        <v>0</v>
      </c>
      <c r="AD130" s="19">
        <v>2</v>
      </c>
      <c r="AE130" s="19">
        <v>2</v>
      </c>
      <c r="AF130" s="19">
        <v>0</v>
      </c>
    </row>
    <row r="131" spans="1:32" customFormat="1" ht="15" x14ac:dyDescent="0.25">
      <c r="A131" s="18" t="s">
        <v>43</v>
      </c>
      <c r="B131" s="19">
        <v>0</v>
      </c>
      <c r="C131" s="19">
        <v>0</v>
      </c>
      <c r="D131" s="19">
        <v>0</v>
      </c>
      <c r="E131" s="20">
        <v>0</v>
      </c>
      <c r="F131" s="20">
        <v>0</v>
      </c>
      <c r="G131" s="20">
        <v>0</v>
      </c>
      <c r="I131" s="19">
        <v>256</v>
      </c>
      <c r="J131" s="19">
        <v>319</v>
      </c>
      <c r="K131" s="19">
        <v>542</v>
      </c>
      <c r="L131" s="20">
        <v>1.1292357367822074E-3</v>
      </c>
      <c r="M131" s="20">
        <v>1.4011077096061527E-3</v>
      </c>
      <c r="N131" s="20">
        <v>2.3384647245616457E-3</v>
      </c>
      <c r="P131" s="19">
        <v>595</v>
      </c>
      <c r="Q131" s="19">
        <v>746</v>
      </c>
      <c r="R131" s="19">
        <v>720</v>
      </c>
      <c r="S131" s="20">
        <v>2.6245908725992715E-3</v>
      </c>
      <c r="T131" s="20">
        <v>3.2765716343767706E-3</v>
      </c>
      <c r="U131" s="20">
        <v>3.106447604583736E-3</v>
      </c>
      <c r="W131" s="19">
        <v>1350</v>
      </c>
      <c r="X131" s="19">
        <v>1233</v>
      </c>
      <c r="Y131" s="19">
        <v>1472</v>
      </c>
      <c r="Z131" s="20">
        <v>5.9549540806874222E-3</v>
      </c>
      <c r="AA131" s="20">
        <v>5.4155667897943143E-3</v>
      </c>
      <c r="AB131" s="20">
        <v>6.3509595471489717E-3</v>
      </c>
      <c r="AD131" s="19">
        <v>2201</v>
      </c>
      <c r="AE131" s="19">
        <v>2298</v>
      </c>
      <c r="AF131" s="19">
        <v>2734</v>
      </c>
    </row>
    <row r="132" spans="1:32" customFormat="1" ht="15" x14ac:dyDescent="0.25">
      <c r="A132" s="18" t="s">
        <v>46</v>
      </c>
      <c r="B132" s="19">
        <v>0</v>
      </c>
      <c r="C132" s="19">
        <v>0</v>
      </c>
      <c r="D132" s="19">
        <v>0</v>
      </c>
      <c r="E132" s="20">
        <v>0</v>
      </c>
      <c r="F132" s="20">
        <v>0</v>
      </c>
      <c r="G132" s="20">
        <v>0</v>
      </c>
      <c r="I132" s="19">
        <v>0</v>
      </c>
      <c r="J132" s="19">
        <v>0</v>
      </c>
      <c r="K132" s="19">
        <v>0</v>
      </c>
      <c r="L132" s="20">
        <v>0</v>
      </c>
      <c r="M132" s="20">
        <v>0</v>
      </c>
      <c r="N132" s="20">
        <v>0</v>
      </c>
      <c r="P132" s="19">
        <v>0</v>
      </c>
      <c r="Q132" s="19">
        <v>0</v>
      </c>
      <c r="R132" s="19">
        <v>0</v>
      </c>
      <c r="S132" s="20">
        <v>0</v>
      </c>
      <c r="T132" s="20">
        <v>0</v>
      </c>
      <c r="U132" s="20">
        <v>0</v>
      </c>
      <c r="W132" s="19">
        <v>0</v>
      </c>
      <c r="X132" s="19">
        <v>0</v>
      </c>
      <c r="Y132" s="19">
        <v>4</v>
      </c>
      <c r="Z132" s="20">
        <v>0</v>
      </c>
      <c r="AA132" s="20">
        <v>0</v>
      </c>
      <c r="AB132" s="20">
        <v>2.5477707006369428E-2</v>
      </c>
      <c r="AD132" s="19">
        <v>0</v>
      </c>
      <c r="AE132" s="19">
        <v>0</v>
      </c>
      <c r="AF132" s="19">
        <v>4</v>
      </c>
    </row>
    <row r="133" spans="1:32" customFormat="1" ht="15" x14ac:dyDescent="0.25">
      <c r="A133" s="18" t="s">
        <v>126</v>
      </c>
      <c r="B133" s="19">
        <v>0</v>
      </c>
      <c r="C133" s="19">
        <v>0</v>
      </c>
      <c r="D133" s="19">
        <v>0</v>
      </c>
      <c r="E133" s="20">
        <v>0</v>
      </c>
      <c r="F133" s="20">
        <v>0</v>
      </c>
      <c r="G133" s="20">
        <v>0</v>
      </c>
      <c r="I133" s="19">
        <v>54</v>
      </c>
      <c r="J133" s="19">
        <v>53</v>
      </c>
      <c r="K133" s="19">
        <v>131</v>
      </c>
      <c r="L133" s="20">
        <v>2.1825236440061436E-3</v>
      </c>
      <c r="M133" s="20">
        <v>2.1659174499387003E-3</v>
      </c>
      <c r="N133" s="20">
        <v>5.4224098679581112E-3</v>
      </c>
      <c r="P133" s="19">
        <v>12</v>
      </c>
      <c r="Q133" s="19">
        <v>8</v>
      </c>
      <c r="R133" s="19">
        <v>10</v>
      </c>
      <c r="S133" s="20">
        <v>4.8500525422358744E-4</v>
      </c>
      <c r="T133" s="20">
        <v>3.2693093583980383E-4</v>
      </c>
      <c r="U133" s="20">
        <v>4.1392441740138253E-4</v>
      </c>
      <c r="W133" s="19">
        <v>185</v>
      </c>
      <c r="X133" s="19">
        <v>149</v>
      </c>
      <c r="Y133" s="19">
        <v>191</v>
      </c>
      <c r="Z133" s="20">
        <v>7.4771643359469731E-3</v>
      </c>
      <c r="AA133" s="20">
        <v>6.0890886800163465E-3</v>
      </c>
      <c r="AB133" s="20">
        <v>7.9059563723664055E-3</v>
      </c>
      <c r="AD133" s="19">
        <v>251</v>
      </c>
      <c r="AE133" s="19">
        <v>210</v>
      </c>
      <c r="AF133" s="19">
        <v>332</v>
      </c>
    </row>
    <row r="134" spans="1:32" customFormat="1" ht="15" x14ac:dyDescent="0.25">
      <c r="A134" s="18" t="s">
        <v>48</v>
      </c>
      <c r="B134" s="19">
        <v>0</v>
      </c>
      <c r="C134" s="19">
        <v>0</v>
      </c>
      <c r="D134" s="19">
        <v>0</v>
      </c>
      <c r="E134" s="20">
        <v>0</v>
      </c>
      <c r="F134" s="20">
        <v>0</v>
      </c>
      <c r="G134" s="20">
        <v>0</v>
      </c>
      <c r="I134" s="19">
        <v>0</v>
      </c>
      <c r="J134" s="19">
        <v>1</v>
      </c>
      <c r="K134" s="19">
        <v>0</v>
      </c>
      <c r="L134" s="20">
        <v>0</v>
      </c>
      <c r="M134" s="20">
        <v>4.1493775933609959E-3</v>
      </c>
      <c r="N134" s="20">
        <v>0</v>
      </c>
      <c r="P134" s="19">
        <v>0</v>
      </c>
      <c r="Q134" s="19">
        <v>0</v>
      </c>
      <c r="R134" s="19">
        <v>1</v>
      </c>
      <c r="S134" s="20">
        <v>0</v>
      </c>
      <c r="T134" s="20">
        <v>0</v>
      </c>
      <c r="U134" s="20">
        <v>3.2679738562091504E-3</v>
      </c>
      <c r="W134" s="19">
        <v>1</v>
      </c>
      <c r="X134" s="19">
        <v>17</v>
      </c>
      <c r="Y134" s="19">
        <v>34</v>
      </c>
      <c r="Z134" s="20">
        <v>2.7777777777777776E-2</v>
      </c>
      <c r="AA134" s="20">
        <v>7.0539419087136929E-2</v>
      </c>
      <c r="AB134" s="20">
        <v>0.1111111111111111</v>
      </c>
      <c r="AD134" s="19">
        <v>1</v>
      </c>
      <c r="AE134" s="19">
        <v>18</v>
      </c>
      <c r="AF134" s="19">
        <v>35</v>
      </c>
    </row>
    <row r="135" spans="1:32" customFormat="1" ht="15" x14ac:dyDescent="0.25">
      <c r="A135" s="18" t="s">
        <v>49</v>
      </c>
      <c r="B135" s="19">
        <v>0</v>
      </c>
      <c r="C135" s="19">
        <v>0</v>
      </c>
      <c r="D135" s="19">
        <v>0</v>
      </c>
      <c r="E135" s="20">
        <v>0</v>
      </c>
      <c r="F135" s="20">
        <v>0</v>
      </c>
      <c r="G135" s="20">
        <v>0</v>
      </c>
      <c r="I135" s="19">
        <v>2</v>
      </c>
      <c r="J135" s="19">
        <v>0</v>
      </c>
      <c r="K135" s="19">
        <v>0</v>
      </c>
      <c r="L135" s="20">
        <v>7.246376811594203E-3</v>
      </c>
      <c r="M135" s="20">
        <v>0</v>
      </c>
      <c r="N135" s="20">
        <v>0</v>
      </c>
      <c r="P135" s="19">
        <v>0</v>
      </c>
      <c r="Q135" s="19">
        <v>0</v>
      </c>
      <c r="R135" s="19">
        <v>0</v>
      </c>
      <c r="S135" s="20">
        <v>0</v>
      </c>
      <c r="T135" s="20">
        <v>0</v>
      </c>
      <c r="U135" s="20">
        <v>0</v>
      </c>
      <c r="W135" s="19">
        <v>9</v>
      </c>
      <c r="X135" s="19">
        <v>0</v>
      </c>
      <c r="Y135" s="19">
        <v>1</v>
      </c>
      <c r="Z135" s="20">
        <v>3.2608695652173912E-2</v>
      </c>
      <c r="AA135" s="20">
        <v>0</v>
      </c>
      <c r="AB135" s="20">
        <v>3.90625E-3</v>
      </c>
      <c r="AD135" s="19">
        <v>11</v>
      </c>
      <c r="AE135" s="19">
        <v>0</v>
      </c>
      <c r="AF135" s="19">
        <v>1</v>
      </c>
    </row>
    <row r="136" spans="1:32" customFormat="1" ht="15" x14ac:dyDescent="0.25">
      <c r="A136" s="18" t="s">
        <v>52</v>
      </c>
      <c r="B136" s="19">
        <v>2</v>
      </c>
      <c r="C136" s="19">
        <v>9</v>
      </c>
      <c r="D136" s="19">
        <v>0</v>
      </c>
      <c r="E136" s="20">
        <v>3.7835792659856227E-4</v>
      </c>
      <c r="F136" s="20">
        <v>1.7136329017517135E-3</v>
      </c>
      <c r="G136" s="20">
        <v>0</v>
      </c>
      <c r="I136" s="19">
        <v>3</v>
      </c>
      <c r="J136" s="19">
        <v>14</v>
      </c>
      <c r="K136" s="19">
        <v>9</v>
      </c>
      <c r="L136" s="20">
        <v>5.6753688989784334E-4</v>
      </c>
      <c r="M136" s="20">
        <v>2.6656511805026656E-3</v>
      </c>
      <c r="N136" s="20">
        <v>1.658374792703151E-3</v>
      </c>
      <c r="P136" s="19">
        <v>2</v>
      </c>
      <c r="Q136" s="19">
        <v>5</v>
      </c>
      <c r="R136" s="19">
        <v>6</v>
      </c>
      <c r="S136" s="20">
        <v>3.7835792659856227E-4</v>
      </c>
      <c r="T136" s="20">
        <v>9.5201827875095201E-4</v>
      </c>
      <c r="U136" s="20">
        <v>1.1055831951354339E-3</v>
      </c>
      <c r="W136" s="19">
        <v>53</v>
      </c>
      <c r="X136" s="19">
        <v>23</v>
      </c>
      <c r="Y136" s="19">
        <v>39</v>
      </c>
      <c r="Z136" s="20">
        <v>1.00264850548619E-2</v>
      </c>
      <c r="AA136" s="20">
        <v>4.3792840822543793E-3</v>
      </c>
      <c r="AB136" s="20">
        <v>7.1862907683803209E-3</v>
      </c>
      <c r="AD136" s="19">
        <v>60</v>
      </c>
      <c r="AE136" s="19">
        <v>51</v>
      </c>
      <c r="AF136" s="19">
        <v>54</v>
      </c>
    </row>
    <row r="137" spans="1:32" customFormat="1" ht="15" x14ac:dyDescent="0.25">
      <c r="A137" s="18" t="s">
        <v>54</v>
      </c>
      <c r="B137" s="19">
        <v>0</v>
      </c>
      <c r="C137" s="19">
        <v>0</v>
      </c>
      <c r="D137" s="19">
        <v>0</v>
      </c>
      <c r="E137" s="20">
        <v>0</v>
      </c>
      <c r="F137" s="20">
        <v>0</v>
      </c>
      <c r="G137" s="20">
        <v>0</v>
      </c>
      <c r="I137" s="19">
        <v>0</v>
      </c>
      <c r="J137" s="19">
        <v>0</v>
      </c>
      <c r="K137" s="19">
        <v>0</v>
      </c>
      <c r="L137" s="20">
        <v>0</v>
      </c>
      <c r="M137" s="20">
        <v>0</v>
      </c>
      <c r="N137" s="20">
        <v>0</v>
      </c>
      <c r="P137" s="19">
        <v>17</v>
      </c>
      <c r="Q137" s="19">
        <v>0</v>
      </c>
      <c r="R137" s="19">
        <v>0</v>
      </c>
      <c r="S137" s="20">
        <v>9.6371882086167798E-3</v>
      </c>
      <c r="T137" s="20">
        <v>0</v>
      </c>
      <c r="U137" s="20">
        <v>0</v>
      </c>
      <c r="W137" s="19">
        <v>0</v>
      </c>
      <c r="X137" s="19">
        <v>0</v>
      </c>
      <c r="Y137" s="19">
        <v>0</v>
      </c>
      <c r="Z137" s="20">
        <v>0</v>
      </c>
      <c r="AA137" s="20">
        <v>0</v>
      </c>
      <c r="AB137" s="20">
        <v>0</v>
      </c>
      <c r="AD137" s="19">
        <v>17</v>
      </c>
      <c r="AE137" s="19">
        <v>0</v>
      </c>
      <c r="AF137" s="19">
        <v>0</v>
      </c>
    </row>
    <row r="138" spans="1:32" customFormat="1" ht="15" x14ac:dyDescent="0.25">
      <c r="A138" s="18" t="s">
        <v>55</v>
      </c>
      <c r="B138" s="19">
        <v>635</v>
      </c>
      <c r="C138" s="19">
        <v>612</v>
      </c>
      <c r="D138" s="19">
        <v>949</v>
      </c>
      <c r="E138" s="20">
        <v>7.5877973878858123E-3</v>
      </c>
      <c r="F138" s="20">
        <v>6.9888543760277724E-3</v>
      </c>
      <c r="G138" s="20">
        <v>1.0738452486025302E-2</v>
      </c>
      <c r="I138" s="19">
        <v>118</v>
      </c>
      <c r="J138" s="19">
        <v>80</v>
      </c>
      <c r="K138" s="19">
        <v>162</v>
      </c>
      <c r="L138" s="20">
        <v>1.4100158925520092E-3</v>
      </c>
      <c r="M138" s="20">
        <v>9.1357573542846706E-4</v>
      </c>
      <c r="N138" s="20">
        <v>1.833118337972707E-3</v>
      </c>
      <c r="P138" s="19">
        <v>60</v>
      </c>
      <c r="Q138" s="19">
        <v>48</v>
      </c>
      <c r="R138" s="19">
        <v>29</v>
      </c>
      <c r="S138" s="20">
        <v>7.1695723350102163E-4</v>
      </c>
      <c r="T138" s="20">
        <v>5.4814544125708024E-4</v>
      </c>
      <c r="U138" s="20">
        <v>3.2815081358770679E-4</v>
      </c>
      <c r="W138" s="19">
        <v>517</v>
      </c>
      <c r="X138" s="19">
        <v>532</v>
      </c>
      <c r="Y138" s="19">
        <v>787</v>
      </c>
      <c r="Z138" s="20">
        <v>6.1777814953338037E-3</v>
      </c>
      <c r="AA138" s="20">
        <v>6.0752786405993053E-3</v>
      </c>
      <c r="AB138" s="20">
        <v>8.9053341480525953E-3</v>
      </c>
      <c r="AD138" s="19">
        <v>1330</v>
      </c>
      <c r="AE138" s="19">
        <v>1272</v>
      </c>
      <c r="AF138" s="19">
        <v>1927</v>
      </c>
    </row>
    <row r="139" spans="1:32" customFormat="1" ht="15" x14ac:dyDescent="0.25">
      <c r="A139" s="18" t="s">
        <v>58</v>
      </c>
      <c r="B139" s="19">
        <v>0</v>
      </c>
      <c r="C139" s="19">
        <v>0</v>
      </c>
      <c r="D139" s="19">
        <v>0</v>
      </c>
      <c r="E139" s="20">
        <v>0</v>
      </c>
      <c r="F139" s="20">
        <v>0</v>
      </c>
      <c r="G139" s="20">
        <v>0</v>
      </c>
      <c r="I139" s="19">
        <v>0</v>
      </c>
      <c r="J139" s="19">
        <v>0</v>
      </c>
      <c r="K139" s="19">
        <v>0</v>
      </c>
      <c r="L139" s="20">
        <v>0</v>
      </c>
      <c r="M139" s="20">
        <v>0</v>
      </c>
      <c r="N139" s="20">
        <v>0</v>
      </c>
      <c r="P139" s="19">
        <v>1</v>
      </c>
      <c r="Q139" s="19">
        <v>0</v>
      </c>
      <c r="R139" s="19">
        <v>0</v>
      </c>
      <c r="S139" s="20">
        <v>2.6666666666666666E-3</v>
      </c>
      <c r="T139" s="20">
        <v>0</v>
      </c>
      <c r="U139" s="20">
        <v>0</v>
      </c>
      <c r="W139" s="19">
        <v>0</v>
      </c>
      <c r="X139" s="19">
        <v>0</v>
      </c>
      <c r="Y139" s="19">
        <v>0</v>
      </c>
      <c r="Z139" s="20">
        <v>0</v>
      </c>
      <c r="AA139" s="20">
        <v>0</v>
      </c>
      <c r="AB139" s="20">
        <v>0</v>
      </c>
      <c r="AD139" s="19">
        <v>1</v>
      </c>
      <c r="AE139" s="19">
        <v>0</v>
      </c>
      <c r="AF139" s="19">
        <v>0</v>
      </c>
    </row>
    <row r="140" spans="1:32" s="43" customFormat="1" ht="15" x14ac:dyDescent="0.25">
      <c r="A140" s="29" t="s">
        <v>71</v>
      </c>
      <c r="B140" s="27">
        <v>890</v>
      </c>
      <c r="C140" s="27">
        <v>1053</v>
      </c>
      <c r="D140" s="27">
        <v>1395</v>
      </c>
      <c r="E140" s="22">
        <v>1.0129544352608301E-3</v>
      </c>
      <c r="F140" s="22">
        <v>1.2027096946625045E-3</v>
      </c>
      <c r="G140" s="22">
        <v>1.5836418313029796E-3</v>
      </c>
      <c r="I140" s="27">
        <v>1435</v>
      </c>
      <c r="J140" s="27">
        <v>1761</v>
      </c>
      <c r="K140" s="27">
        <v>2113</v>
      </c>
      <c r="L140" s="22">
        <v>1.6332467579767316E-3</v>
      </c>
      <c r="M140" s="22">
        <v>2.0113692044640744E-3</v>
      </c>
      <c r="N140" s="22">
        <v>2.3987349028983486E-3</v>
      </c>
      <c r="P140" s="27">
        <v>2244</v>
      </c>
      <c r="Q140" s="27">
        <v>2741</v>
      </c>
      <c r="R140" s="27">
        <v>2496</v>
      </c>
      <c r="S140" s="22">
        <v>2.5540109581183175E-3</v>
      </c>
      <c r="T140" s="22">
        <v>3.1307001643589034E-3</v>
      </c>
      <c r="U140" s="22">
        <v>2.8335268895571591E-3</v>
      </c>
      <c r="W140" s="27">
        <v>5520</v>
      </c>
      <c r="X140" s="27">
        <v>4689</v>
      </c>
      <c r="Y140" s="27">
        <v>5450</v>
      </c>
      <c r="Z140" s="22">
        <v>6.2825938007188562E-3</v>
      </c>
      <c r="AA140" s="22">
        <v>5.355655990762093E-3</v>
      </c>
      <c r="AB140" s="22">
        <v>6.1869877997141496E-3</v>
      </c>
      <c r="AD140" s="21">
        <v>10089</v>
      </c>
      <c r="AE140" s="21">
        <v>10244</v>
      </c>
      <c r="AF140" s="21">
        <v>11454</v>
      </c>
    </row>
    <row r="141" spans="1:32" customFormat="1" ht="15" x14ac:dyDescent="0.25">
      <c r="A141" s="18"/>
      <c r="B141" s="19"/>
      <c r="C141" s="19"/>
      <c r="D141" s="19"/>
      <c r="E141" s="19"/>
      <c r="F141" s="19"/>
      <c r="G141" s="19"/>
      <c r="I141" s="19"/>
      <c r="J141" s="19"/>
      <c r="K141" s="19"/>
      <c r="L141" s="19"/>
      <c r="M141" s="19"/>
      <c r="N141" s="19"/>
      <c r="P141" s="19"/>
      <c r="Q141" s="19"/>
      <c r="R141" s="19"/>
      <c r="S141" s="19"/>
      <c r="T141" s="19"/>
      <c r="U141" s="19"/>
      <c r="W141" s="19"/>
      <c r="X141" s="19"/>
      <c r="Y141" s="19"/>
      <c r="Z141" s="19"/>
      <c r="AA141" s="19"/>
      <c r="AB141" s="19"/>
      <c r="AD141" s="19"/>
      <c r="AE141" s="19"/>
      <c r="AF141" s="19"/>
    </row>
    <row r="142" spans="1:32" customFormat="1" ht="15" x14ac:dyDescent="0.25">
      <c r="A142" s="28" t="s">
        <v>72</v>
      </c>
      <c r="B142" s="25"/>
      <c r="C142" s="25"/>
      <c r="D142" s="25"/>
      <c r="E142" s="25"/>
      <c r="F142" s="25"/>
      <c r="G142" s="25"/>
      <c r="I142" s="25"/>
      <c r="J142" s="25"/>
      <c r="K142" s="25"/>
      <c r="L142" s="25"/>
      <c r="M142" s="25"/>
      <c r="N142" s="25"/>
      <c r="P142" s="25"/>
      <c r="Q142" s="25"/>
      <c r="R142" s="25"/>
      <c r="S142" s="25"/>
      <c r="T142" s="25"/>
      <c r="U142" s="25"/>
      <c r="W142" s="25"/>
      <c r="X142" s="25"/>
      <c r="Y142" s="25"/>
      <c r="Z142" s="25"/>
      <c r="AA142" s="25"/>
      <c r="AB142" s="25"/>
      <c r="AD142" s="19"/>
      <c r="AE142" s="19"/>
      <c r="AF142" s="19"/>
    </row>
    <row r="143" spans="1:32" customFormat="1" ht="15" x14ac:dyDescent="0.25">
      <c r="A143" s="18" t="s">
        <v>17</v>
      </c>
      <c r="B143" s="19">
        <v>0</v>
      </c>
      <c r="C143" s="19">
        <v>0</v>
      </c>
      <c r="D143" s="19">
        <v>0</v>
      </c>
      <c r="E143" s="20">
        <v>0</v>
      </c>
      <c r="F143" s="20">
        <v>0</v>
      </c>
      <c r="G143" s="20">
        <v>0</v>
      </c>
      <c r="I143" s="19">
        <v>0</v>
      </c>
      <c r="J143" s="19">
        <v>0</v>
      </c>
      <c r="K143" s="19">
        <v>4</v>
      </c>
      <c r="L143" s="20">
        <v>0</v>
      </c>
      <c r="M143" s="20">
        <v>0</v>
      </c>
      <c r="N143" s="20">
        <v>1.9910403185664509E-3</v>
      </c>
      <c r="P143" s="19">
        <v>0</v>
      </c>
      <c r="Q143" s="19">
        <v>1</v>
      </c>
      <c r="R143" s="19">
        <v>0</v>
      </c>
      <c r="S143" s="20">
        <v>0</v>
      </c>
      <c r="T143" s="20">
        <v>1.0695187165775401E-3</v>
      </c>
      <c r="U143" s="20">
        <v>0</v>
      </c>
      <c r="W143" s="19">
        <v>0</v>
      </c>
      <c r="X143" s="19">
        <v>2</v>
      </c>
      <c r="Y143" s="19">
        <v>13</v>
      </c>
      <c r="Z143" s="20">
        <v>0</v>
      </c>
      <c r="AA143" s="20">
        <v>2.1390374331550803E-3</v>
      </c>
      <c r="AB143" s="20">
        <v>6.4708810353409658E-3</v>
      </c>
      <c r="AD143" s="19">
        <v>0</v>
      </c>
      <c r="AE143" s="19">
        <v>3</v>
      </c>
      <c r="AF143" s="19">
        <v>17</v>
      </c>
    </row>
    <row r="144" spans="1:32" customFormat="1" ht="15" x14ac:dyDescent="0.25">
      <c r="A144" s="18" t="s">
        <v>22</v>
      </c>
      <c r="B144" s="19">
        <v>2290</v>
      </c>
      <c r="C144" s="19">
        <v>5702</v>
      </c>
      <c r="D144" s="19">
        <v>5863</v>
      </c>
      <c r="E144" s="20">
        <v>8.1274555385592757E-3</v>
      </c>
      <c r="F144" s="20">
        <v>2.0207532994060362E-2</v>
      </c>
      <c r="G144" s="20">
        <v>2.0636445871126927E-2</v>
      </c>
      <c r="I144" s="19">
        <v>87</v>
      </c>
      <c r="J144" s="19">
        <v>110</v>
      </c>
      <c r="K144" s="19">
        <v>258</v>
      </c>
      <c r="L144" s="20">
        <v>3.0877232832081088E-4</v>
      </c>
      <c r="M144" s="20">
        <v>3.8983315141119599E-4</v>
      </c>
      <c r="N144" s="20">
        <v>9.0810217205368362E-4</v>
      </c>
      <c r="P144" s="19">
        <v>777</v>
      </c>
      <c r="Q144" s="19">
        <v>969</v>
      </c>
      <c r="R144" s="19">
        <v>1017</v>
      </c>
      <c r="S144" s="20">
        <v>2.7576563115548282E-3</v>
      </c>
      <c r="T144" s="20">
        <v>3.4340756701586265E-3</v>
      </c>
      <c r="U144" s="20">
        <v>3.5796120503046366E-3</v>
      </c>
      <c r="W144" s="19">
        <v>2929</v>
      </c>
      <c r="X144" s="19">
        <v>2239</v>
      </c>
      <c r="Y144" s="19">
        <v>3622</v>
      </c>
      <c r="Z144" s="20">
        <v>1.03953350534673E-2</v>
      </c>
      <c r="AA144" s="20">
        <v>7.9348766000878895E-3</v>
      </c>
      <c r="AB144" s="20">
        <v>1.2748628167358302E-2</v>
      </c>
      <c r="AD144" s="19">
        <v>6083</v>
      </c>
      <c r="AE144" s="19">
        <v>9020</v>
      </c>
      <c r="AF144" s="19">
        <v>10760</v>
      </c>
    </row>
    <row r="145" spans="1:32" customFormat="1" ht="15" x14ac:dyDescent="0.25">
      <c r="A145" s="18" t="s">
        <v>80</v>
      </c>
      <c r="B145" s="19">
        <v>0</v>
      </c>
      <c r="C145" s="19">
        <v>0</v>
      </c>
      <c r="D145" s="19">
        <v>0</v>
      </c>
      <c r="E145" s="20">
        <v>0</v>
      </c>
      <c r="F145" s="20">
        <v>0</v>
      </c>
      <c r="G145" s="20">
        <v>0</v>
      </c>
      <c r="I145" s="19">
        <v>1</v>
      </c>
      <c r="J145" s="19">
        <v>0</v>
      </c>
      <c r="K145" s="19">
        <v>0</v>
      </c>
      <c r="L145" s="20">
        <v>2E-3</v>
      </c>
      <c r="M145" s="20">
        <v>0</v>
      </c>
      <c r="N145" s="20">
        <v>0</v>
      </c>
      <c r="P145" s="19">
        <v>0</v>
      </c>
      <c r="Q145" s="19">
        <v>0</v>
      </c>
      <c r="R145" s="19">
        <v>0</v>
      </c>
      <c r="S145" s="20">
        <v>0</v>
      </c>
      <c r="T145" s="20">
        <v>0</v>
      </c>
      <c r="U145" s="20">
        <v>0</v>
      </c>
      <c r="W145" s="19">
        <v>0</v>
      </c>
      <c r="X145" s="19">
        <v>0</v>
      </c>
      <c r="Y145" s="19">
        <v>0</v>
      </c>
      <c r="Z145" s="20">
        <v>0</v>
      </c>
      <c r="AA145" s="20">
        <v>0</v>
      </c>
      <c r="AB145" s="20">
        <v>0</v>
      </c>
      <c r="AD145" s="19">
        <v>1</v>
      </c>
      <c r="AE145" s="19">
        <v>0</v>
      </c>
      <c r="AF145" s="19">
        <v>0</v>
      </c>
    </row>
    <row r="146" spans="1:32" s="43" customFormat="1" ht="15" x14ac:dyDescent="0.25">
      <c r="A146" s="29" t="s">
        <v>73</v>
      </c>
      <c r="B146" s="27">
        <v>2290</v>
      </c>
      <c r="C146" s="27">
        <v>5702</v>
      </c>
      <c r="D146" s="27">
        <v>5863</v>
      </c>
      <c r="E146" s="22">
        <v>8.1107022309743829E-3</v>
      </c>
      <c r="F146" s="22">
        <v>2.0106562666393973E-2</v>
      </c>
      <c r="G146" s="22">
        <v>2.0462295001867189E-2</v>
      </c>
      <c r="I146" s="27">
        <v>88</v>
      </c>
      <c r="J146" s="27">
        <v>110</v>
      </c>
      <c r="K146" s="27">
        <v>262</v>
      </c>
      <c r="L146" s="22">
        <v>3.116776403169195E-4</v>
      </c>
      <c r="M146" s="22">
        <v>3.8788528469016779E-4</v>
      </c>
      <c r="N146" s="22">
        <v>9.1439899206706518E-4</v>
      </c>
      <c r="P146" s="27">
        <v>777</v>
      </c>
      <c r="Q146" s="27">
        <v>970</v>
      </c>
      <c r="R146" s="27">
        <v>1017</v>
      </c>
      <c r="S146" s="22">
        <v>2.7519718923437095E-3</v>
      </c>
      <c r="T146" s="22">
        <v>3.420442964995116E-3</v>
      </c>
      <c r="U146" s="22">
        <v>3.5494037211152877E-3</v>
      </c>
      <c r="W146" s="27">
        <v>2929</v>
      </c>
      <c r="X146" s="27">
        <v>2241</v>
      </c>
      <c r="Y146" s="27">
        <v>3635</v>
      </c>
      <c r="Z146" s="22">
        <v>1.0373906914639287E-2</v>
      </c>
      <c r="AA146" s="22">
        <v>7.9022811180969651E-3</v>
      </c>
      <c r="AB146" s="22">
        <v>1.2686413496808329E-2</v>
      </c>
      <c r="AD146" s="21">
        <v>6084</v>
      </c>
      <c r="AE146" s="21">
        <v>9023</v>
      </c>
      <c r="AF146" s="21">
        <v>10777</v>
      </c>
    </row>
  </sheetData>
  <mergeCells count="6">
    <mergeCell ref="AD5:AF5"/>
    <mergeCell ref="B3:AF3"/>
    <mergeCell ref="B5:G5"/>
    <mergeCell ref="I5:N5"/>
    <mergeCell ref="P5:U5"/>
    <mergeCell ref="W5:AB5"/>
  </mergeCells>
  <conditionalFormatting sqref="A5">
    <cfRule type="duplicateValues" dxfId="5" priority="2"/>
  </conditionalFormatting>
  <conditionalFormatting sqref="A6">
    <cfRule type="duplicateValues" dxfId="4" priority="1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20" sqref="P20"/>
    </sheetView>
  </sheetViews>
  <sheetFormatPr defaultColWidth="8.7109375" defaultRowHeight="12.75" x14ac:dyDescent="0.2"/>
  <cols>
    <col min="1" max="1" width="25.85546875" style="19" customWidth="1"/>
    <col min="2" max="31" width="10.5703125" style="19" customWidth="1"/>
    <col min="32" max="16384" width="8.7109375" style="19"/>
  </cols>
  <sheetData>
    <row r="1" spans="1:32" x14ac:dyDescent="0.2">
      <c r="A1" s="1" t="s">
        <v>0</v>
      </c>
      <c r="B1" s="58" t="s">
        <v>153</v>
      </c>
      <c r="C1" s="4"/>
      <c r="I1" s="21"/>
      <c r="J1" s="21"/>
      <c r="K1" s="20"/>
      <c r="L1" s="20"/>
      <c r="M1" s="20"/>
      <c r="N1" s="20"/>
      <c r="O1" s="20"/>
      <c r="P1" s="20"/>
    </row>
    <row r="2" spans="1:32" x14ac:dyDescent="0.2">
      <c r="A2" s="35" t="s">
        <v>140</v>
      </c>
      <c r="B2" s="12"/>
      <c r="C2" s="4"/>
      <c r="I2" s="21"/>
      <c r="J2" s="21"/>
      <c r="K2" s="20"/>
      <c r="L2" s="20"/>
      <c r="M2" s="20"/>
      <c r="N2" s="20"/>
      <c r="O2" s="20"/>
      <c r="P2" s="20"/>
    </row>
    <row r="3" spans="1:32" x14ac:dyDescent="0.2">
      <c r="A3" s="40" t="s">
        <v>199</v>
      </c>
      <c r="B3" s="94" t="s">
        <v>2</v>
      </c>
      <c r="C3" s="91"/>
      <c r="D3" s="91"/>
      <c r="E3" s="91"/>
      <c r="F3" s="149"/>
      <c r="G3" s="149"/>
      <c r="H3" s="91"/>
      <c r="I3" s="21"/>
      <c r="J3" s="21"/>
      <c r="K3" s="20"/>
      <c r="L3" s="20"/>
      <c r="M3" s="20"/>
      <c r="N3" s="20"/>
      <c r="O3" s="20"/>
      <c r="P3" s="20"/>
    </row>
    <row r="4" spans="1:32" s="21" customFormat="1" x14ac:dyDescent="0.2">
      <c r="A4" s="1" t="s">
        <v>4</v>
      </c>
      <c r="B4" s="30" t="s">
        <v>187</v>
      </c>
      <c r="C4" s="30"/>
      <c r="D4" s="30"/>
      <c r="E4" s="30"/>
      <c r="F4" s="30"/>
      <c r="G4" s="30"/>
      <c r="H4" s="30"/>
      <c r="I4" s="30"/>
      <c r="K4" s="99"/>
      <c r="L4" s="99"/>
      <c r="M4" s="99"/>
      <c r="N4" s="99"/>
      <c r="O4" s="99"/>
      <c r="P4" s="99"/>
    </row>
    <row r="5" spans="1:32" ht="30" customHeight="1" x14ac:dyDescent="0.2">
      <c r="A5" s="44"/>
      <c r="B5" s="174" t="s">
        <v>110</v>
      </c>
      <c r="C5" s="174"/>
      <c r="D5" s="174"/>
      <c r="E5" s="174"/>
      <c r="F5" s="174"/>
      <c r="G5" s="174"/>
      <c r="H5" s="97"/>
      <c r="I5" s="174" t="s">
        <v>111</v>
      </c>
      <c r="J5" s="174"/>
      <c r="K5" s="174"/>
      <c r="L5" s="174"/>
      <c r="M5" s="174"/>
      <c r="N5" s="174"/>
      <c r="O5" s="54"/>
      <c r="P5" s="174" t="s">
        <v>132</v>
      </c>
      <c r="Q5" s="174"/>
      <c r="R5" s="174"/>
      <c r="S5" s="174"/>
      <c r="T5" s="174"/>
      <c r="U5" s="174"/>
      <c r="W5" s="174" t="s">
        <v>133</v>
      </c>
      <c r="X5" s="174"/>
      <c r="Y5" s="174"/>
      <c r="Z5" s="174"/>
      <c r="AA5" s="174"/>
      <c r="AB5" s="174"/>
      <c r="AD5" s="178" t="s">
        <v>77</v>
      </c>
      <c r="AE5" s="178"/>
      <c r="AF5" s="178"/>
    </row>
    <row r="6" spans="1:32" customFormat="1" ht="19.5" customHeight="1" x14ac:dyDescent="0.25">
      <c r="A6" s="9" t="s">
        <v>9</v>
      </c>
      <c r="B6" s="10" t="s">
        <v>12</v>
      </c>
      <c r="C6" s="10" t="s">
        <v>164</v>
      </c>
      <c r="D6" s="10" t="s">
        <v>195</v>
      </c>
      <c r="E6" s="10" t="s">
        <v>12</v>
      </c>
      <c r="F6" s="10" t="s">
        <v>164</v>
      </c>
      <c r="G6" s="10" t="s">
        <v>195</v>
      </c>
      <c r="I6" s="10" t="s">
        <v>12</v>
      </c>
      <c r="J6" s="10" t="s">
        <v>164</v>
      </c>
      <c r="K6" s="10" t="s">
        <v>195</v>
      </c>
      <c r="L6" s="10" t="s">
        <v>12</v>
      </c>
      <c r="M6" s="10" t="s">
        <v>164</v>
      </c>
      <c r="N6" s="10" t="s">
        <v>195</v>
      </c>
      <c r="P6" s="10" t="s">
        <v>12</v>
      </c>
      <c r="Q6" s="10" t="s">
        <v>164</v>
      </c>
      <c r="R6" s="10" t="s">
        <v>195</v>
      </c>
      <c r="S6" s="10" t="s">
        <v>12</v>
      </c>
      <c r="T6" s="10" t="s">
        <v>164</v>
      </c>
      <c r="U6" s="10" t="s">
        <v>195</v>
      </c>
      <c r="W6" s="10" t="s">
        <v>12</v>
      </c>
      <c r="X6" s="10" t="s">
        <v>164</v>
      </c>
      <c r="Y6" s="10" t="s">
        <v>195</v>
      </c>
      <c r="Z6" s="10" t="s">
        <v>12</v>
      </c>
      <c r="AA6" s="10" t="s">
        <v>164</v>
      </c>
      <c r="AB6" s="10" t="s">
        <v>195</v>
      </c>
      <c r="AD6" s="10" t="s">
        <v>12</v>
      </c>
      <c r="AE6" s="10" t="s">
        <v>164</v>
      </c>
      <c r="AF6" s="10" t="s">
        <v>195</v>
      </c>
    </row>
    <row r="7" spans="1:32" customFormat="1" ht="15" x14ac:dyDescent="0.25">
      <c r="A7" s="18" t="s">
        <v>17</v>
      </c>
      <c r="B7" s="19">
        <v>456</v>
      </c>
      <c r="C7" s="19">
        <v>455</v>
      </c>
      <c r="D7" s="19">
        <v>531</v>
      </c>
      <c r="E7" s="20">
        <v>3.0108946847144272E-2</v>
      </c>
      <c r="F7" s="20">
        <v>2.9252925292529253E-2</v>
      </c>
      <c r="G7" s="20">
        <v>3.2606693276020879E-2</v>
      </c>
      <c r="I7" s="19">
        <v>340</v>
      </c>
      <c r="J7" s="19">
        <v>415</v>
      </c>
      <c r="K7" s="19">
        <v>547</v>
      </c>
      <c r="L7" s="20">
        <v>2.2449653350940905E-2</v>
      </c>
      <c r="M7" s="20">
        <v>2.668123955252668E-2</v>
      </c>
      <c r="N7" s="20">
        <v>3.3589192508443354E-2</v>
      </c>
      <c r="P7" s="19">
        <v>1</v>
      </c>
      <c r="Q7" s="19">
        <v>2</v>
      </c>
      <c r="R7" s="19">
        <v>1</v>
      </c>
      <c r="S7" s="20">
        <v>6.6028392208649725E-5</v>
      </c>
      <c r="T7" s="20">
        <v>1.2858428700012858E-4</v>
      </c>
      <c r="U7" s="20">
        <v>6.1406202026404667E-5</v>
      </c>
      <c r="W7" s="19">
        <v>153</v>
      </c>
      <c r="X7" s="19">
        <v>236</v>
      </c>
      <c r="Y7" s="19">
        <v>393</v>
      </c>
      <c r="Z7" s="20">
        <v>1.0102344007923408E-2</v>
      </c>
      <c r="AA7" s="20">
        <v>1.5172945866015173E-2</v>
      </c>
      <c r="AB7" s="20">
        <v>2.4132637396377034E-2</v>
      </c>
      <c r="AD7" s="19">
        <v>950</v>
      </c>
      <c r="AE7" s="19">
        <v>1108</v>
      </c>
      <c r="AF7" s="19">
        <v>1472</v>
      </c>
    </row>
    <row r="8" spans="1:32" customFormat="1" ht="15" x14ac:dyDescent="0.25">
      <c r="A8" s="18" t="s">
        <v>18</v>
      </c>
      <c r="B8" s="19">
        <v>6465</v>
      </c>
      <c r="C8" s="19">
        <v>8913</v>
      </c>
      <c r="D8" s="19">
        <v>11348</v>
      </c>
      <c r="E8" s="20">
        <v>3.4566647061968665E-2</v>
      </c>
      <c r="F8" s="20">
        <v>4.8270222260733936E-2</v>
      </c>
      <c r="G8" s="20">
        <v>6.1746061974589872E-2</v>
      </c>
      <c r="I8" s="19">
        <v>1190</v>
      </c>
      <c r="J8" s="19">
        <v>1980</v>
      </c>
      <c r="K8" s="19">
        <v>2013</v>
      </c>
      <c r="L8" s="20">
        <v>6.3626156231620596E-3</v>
      </c>
      <c r="M8" s="20">
        <v>1.0723105584680041E-2</v>
      </c>
      <c r="N8" s="20">
        <v>1.0953015752101641E-2</v>
      </c>
      <c r="P8" s="19">
        <v>2611</v>
      </c>
      <c r="Q8" s="19">
        <v>3510</v>
      </c>
      <c r="R8" s="19">
        <v>4665</v>
      </c>
      <c r="S8" s="20">
        <v>1.3960327220232048E-2</v>
      </c>
      <c r="T8" s="20">
        <v>1.9009141718296433E-2</v>
      </c>
      <c r="U8" s="20">
        <v>2.5382920260086515E-2</v>
      </c>
      <c r="W8" s="19">
        <v>0</v>
      </c>
      <c r="X8" s="19">
        <v>0</v>
      </c>
      <c r="Y8" s="19">
        <v>0</v>
      </c>
      <c r="Z8" s="20">
        <v>0</v>
      </c>
      <c r="AA8" s="20">
        <v>0</v>
      </c>
      <c r="AB8" s="20">
        <v>0</v>
      </c>
      <c r="AD8" s="19">
        <v>10266</v>
      </c>
      <c r="AE8" s="19">
        <v>14403</v>
      </c>
      <c r="AF8" s="19">
        <v>18026</v>
      </c>
    </row>
    <row r="9" spans="1:32" customFormat="1" ht="15" x14ac:dyDescent="0.25">
      <c r="A9" s="18" t="s">
        <v>19</v>
      </c>
      <c r="B9" s="19">
        <v>192004</v>
      </c>
      <c r="C9" s="19">
        <v>203289</v>
      </c>
      <c r="D9" s="19">
        <v>212402</v>
      </c>
      <c r="E9" s="20">
        <v>0.12691928366133354</v>
      </c>
      <c r="F9" s="20">
        <v>0.13477378259474454</v>
      </c>
      <c r="G9" s="20">
        <v>0.14063842889019845</v>
      </c>
      <c r="I9" s="19">
        <v>65086</v>
      </c>
      <c r="J9" s="19">
        <v>67427</v>
      </c>
      <c r="K9" s="19">
        <v>70085</v>
      </c>
      <c r="L9" s="20">
        <v>4.3023418764096343E-2</v>
      </c>
      <c r="M9" s="20">
        <v>4.4701837477757474E-2</v>
      </c>
      <c r="N9" s="20">
        <v>4.6405609592986681E-2</v>
      </c>
      <c r="P9" s="19">
        <v>36</v>
      </c>
      <c r="Q9" s="19">
        <v>37</v>
      </c>
      <c r="R9" s="19">
        <v>34</v>
      </c>
      <c r="S9" s="20">
        <v>2.3796869918376738E-5</v>
      </c>
      <c r="T9" s="20">
        <v>2.4529757911178409E-5</v>
      </c>
      <c r="U9" s="20">
        <v>2.2512530871963292E-5</v>
      </c>
      <c r="W9" s="19">
        <v>37616</v>
      </c>
      <c r="X9" s="19">
        <v>39562</v>
      </c>
      <c r="Y9" s="19">
        <v>43710</v>
      </c>
      <c r="Z9" s="20">
        <v>2.486508496804609E-2</v>
      </c>
      <c r="AA9" s="20">
        <v>2.6228277904920005E-2</v>
      </c>
      <c r="AB9" s="20">
        <v>2.8941844835691632E-2</v>
      </c>
      <c r="AD9" s="19">
        <v>294742</v>
      </c>
      <c r="AE9" s="19">
        <v>310315</v>
      </c>
      <c r="AF9" s="19">
        <v>326231</v>
      </c>
    </row>
    <row r="10" spans="1:32" customFormat="1" ht="15" x14ac:dyDescent="0.25">
      <c r="A10" s="18" t="s">
        <v>20</v>
      </c>
      <c r="B10" s="19">
        <v>43652</v>
      </c>
      <c r="C10" s="19">
        <v>22216</v>
      </c>
      <c r="D10" s="19">
        <v>25095</v>
      </c>
      <c r="E10" s="20">
        <v>0.13287430636093278</v>
      </c>
      <c r="F10" s="20">
        <v>6.4475123851094274E-2</v>
      </c>
      <c r="G10" s="20">
        <v>6.6523343477292732E-2</v>
      </c>
      <c r="I10" s="19">
        <v>23228</v>
      </c>
      <c r="J10" s="19">
        <v>14065</v>
      </c>
      <c r="K10" s="19">
        <v>15631</v>
      </c>
      <c r="L10" s="20">
        <v>7.0704764687797739E-2</v>
      </c>
      <c r="M10" s="20">
        <v>4.0819347180664427E-2</v>
      </c>
      <c r="N10" s="20">
        <v>4.1435599995758625E-2</v>
      </c>
      <c r="P10" s="19">
        <v>0</v>
      </c>
      <c r="Q10" s="19">
        <v>0</v>
      </c>
      <c r="R10" s="19">
        <v>0</v>
      </c>
      <c r="S10" s="20">
        <v>0</v>
      </c>
      <c r="T10" s="20">
        <v>0</v>
      </c>
      <c r="U10" s="20">
        <v>0</v>
      </c>
      <c r="W10" s="19">
        <v>3387</v>
      </c>
      <c r="X10" s="19">
        <v>1957</v>
      </c>
      <c r="Y10" s="19">
        <v>2674</v>
      </c>
      <c r="Z10" s="20">
        <v>1.030984320637037E-2</v>
      </c>
      <c r="AA10" s="20">
        <v>5.6795920677255802E-3</v>
      </c>
      <c r="AB10" s="20">
        <v>7.0884008949304942E-3</v>
      </c>
      <c r="AD10" s="19">
        <v>70267</v>
      </c>
      <c r="AE10" s="19">
        <v>38238</v>
      </c>
      <c r="AF10" s="19">
        <v>43400</v>
      </c>
    </row>
    <row r="11" spans="1:32" customFormat="1" ht="15" x14ac:dyDescent="0.25">
      <c r="A11" s="18" t="s">
        <v>21</v>
      </c>
      <c r="B11" s="19">
        <v>6343</v>
      </c>
      <c r="C11" s="19">
        <v>7218</v>
      </c>
      <c r="D11" s="19">
        <v>7767</v>
      </c>
      <c r="E11" s="20">
        <v>6.3671953423007424E-2</v>
      </c>
      <c r="F11" s="20">
        <v>7.2368882784066418E-2</v>
      </c>
      <c r="G11" s="20">
        <v>7.9477314123160669E-2</v>
      </c>
      <c r="I11" s="19">
        <v>2471</v>
      </c>
      <c r="J11" s="19">
        <v>2830</v>
      </c>
      <c r="K11" s="19">
        <v>2982</v>
      </c>
      <c r="L11" s="20">
        <v>2.4804256173459143E-2</v>
      </c>
      <c r="M11" s="20">
        <v>2.8374056286908832E-2</v>
      </c>
      <c r="N11" s="20">
        <v>3.0513885762233184E-2</v>
      </c>
      <c r="P11" s="19">
        <v>0</v>
      </c>
      <c r="Q11" s="19">
        <v>0</v>
      </c>
      <c r="R11" s="19">
        <v>0</v>
      </c>
      <c r="S11" s="20">
        <v>0</v>
      </c>
      <c r="T11" s="20">
        <v>0</v>
      </c>
      <c r="U11" s="20">
        <v>0</v>
      </c>
      <c r="W11" s="19">
        <v>5709</v>
      </c>
      <c r="X11" s="19">
        <v>5926</v>
      </c>
      <c r="Y11" s="19">
        <v>5970</v>
      </c>
      <c r="Z11" s="20">
        <v>5.7307769524191927E-2</v>
      </c>
      <c r="AA11" s="20">
        <v>5.9415073341421112E-2</v>
      </c>
      <c r="AB11" s="20">
        <v>6.108916767288132E-2</v>
      </c>
      <c r="AD11" s="19">
        <v>14523</v>
      </c>
      <c r="AE11" s="19">
        <v>15974</v>
      </c>
      <c r="AF11" s="19">
        <v>16719</v>
      </c>
    </row>
    <row r="12" spans="1:32" customFormat="1" ht="15" x14ac:dyDescent="0.25">
      <c r="A12" s="18" t="s">
        <v>22</v>
      </c>
      <c r="B12" s="19">
        <v>9752</v>
      </c>
      <c r="C12" s="19">
        <v>12914</v>
      </c>
      <c r="D12" s="19">
        <v>17065</v>
      </c>
      <c r="E12" s="20">
        <v>3.461089362970745E-2</v>
      </c>
      <c r="F12" s="20">
        <v>4.5766411975674409E-2</v>
      </c>
      <c r="G12" s="20">
        <v>6.0064975062388025E-2</v>
      </c>
      <c r="I12" s="19">
        <v>231</v>
      </c>
      <c r="J12" s="19">
        <v>274</v>
      </c>
      <c r="K12" s="19">
        <v>430</v>
      </c>
      <c r="L12" s="20">
        <v>8.1984376830008415E-4</v>
      </c>
      <c r="M12" s="20">
        <v>9.7103894078788826E-4</v>
      </c>
      <c r="N12" s="20">
        <v>1.5135036200894726E-3</v>
      </c>
      <c r="P12" s="19">
        <v>0</v>
      </c>
      <c r="Q12" s="19">
        <v>0</v>
      </c>
      <c r="R12" s="19">
        <v>0</v>
      </c>
      <c r="S12" s="20">
        <v>0</v>
      </c>
      <c r="T12" s="20">
        <v>0</v>
      </c>
      <c r="U12" s="20">
        <v>0</v>
      </c>
      <c r="W12" s="19">
        <v>5320</v>
      </c>
      <c r="X12" s="19">
        <v>11293</v>
      </c>
      <c r="Y12" s="19">
        <v>17687</v>
      </c>
      <c r="Z12" s="20">
        <v>1.8881250421456483E-2</v>
      </c>
      <c r="AA12" s="20">
        <v>4.0021688898969419E-2</v>
      </c>
      <c r="AB12" s="20">
        <v>6.2254275647726752E-2</v>
      </c>
      <c r="AD12" s="19">
        <v>15303</v>
      </c>
      <c r="AE12" s="19">
        <v>24481</v>
      </c>
      <c r="AF12" s="19">
        <v>35182</v>
      </c>
    </row>
    <row r="13" spans="1:32" customFormat="1" ht="15" x14ac:dyDescent="0.25">
      <c r="A13" s="18" t="s">
        <v>24</v>
      </c>
      <c r="B13" s="19">
        <v>103</v>
      </c>
      <c r="C13" s="19">
        <v>117</v>
      </c>
      <c r="D13" s="19">
        <v>129</v>
      </c>
      <c r="E13" s="20">
        <v>1.8737493178097146E-2</v>
      </c>
      <c r="F13" s="20">
        <v>2.2163288501610152E-2</v>
      </c>
      <c r="G13" s="20">
        <v>2.5438769473476633E-2</v>
      </c>
      <c r="I13" s="19">
        <v>18</v>
      </c>
      <c r="J13" s="19">
        <v>20</v>
      </c>
      <c r="K13" s="19">
        <v>20</v>
      </c>
      <c r="L13" s="20">
        <v>3.274513370929598E-3</v>
      </c>
      <c r="M13" s="20">
        <v>3.7885963250615649E-3</v>
      </c>
      <c r="N13" s="20">
        <v>3.9439952672056791E-3</v>
      </c>
      <c r="P13" s="19">
        <v>326</v>
      </c>
      <c r="Q13" s="19">
        <v>338</v>
      </c>
      <c r="R13" s="19">
        <v>357</v>
      </c>
      <c r="S13" s="20">
        <v>5.9305075495724939E-2</v>
      </c>
      <c r="T13" s="20">
        <v>6.4027277893540444E-2</v>
      </c>
      <c r="U13" s="20">
        <v>7.0400315519621379E-2</v>
      </c>
      <c r="W13" s="19">
        <v>309</v>
      </c>
      <c r="X13" s="19">
        <v>319</v>
      </c>
      <c r="Y13" s="19">
        <v>339</v>
      </c>
      <c r="Z13" s="20">
        <v>5.6212479534291433E-2</v>
      </c>
      <c r="AA13" s="20">
        <v>6.0428111384731954E-2</v>
      </c>
      <c r="AB13" s="20">
        <v>6.6850719779136258E-2</v>
      </c>
      <c r="AD13" s="19">
        <v>756</v>
      </c>
      <c r="AE13" s="19">
        <v>794</v>
      </c>
      <c r="AF13" s="19">
        <v>845</v>
      </c>
    </row>
    <row r="14" spans="1:32" customFormat="1" ht="15" x14ac:dyDescent="0.25">
      <c r="A14" s="18" t="s">
        <v>198</v>
      </c>
      <c r="B14" s="19">
        <v>0</v>
      </c>
      <c r="C14" s="19">
        <v>0</v>
      </c>
      <c r="D14" s="19">
        <v>0</v>
      </c>
      <c r="E14" s="20">
        <v>0</v>
      </c>
      <c r="F14" s="20">
        <v>0</v>
      </c>
      <c r="G14" s="20">
        <v>0</v>
      </c>
      <c r="I14" s="19">
        <v>0</v>
      </c>
      <c r="J14" s="19">
        <v>0</v>
      </c>
      <c r="K14" s="19">
        <v>0</v>
      </c>
      <c r="L14" s="20">
        <v>0</v>
      </c>
      <c r="M14" s="20">
        <v>0</v>
      </c>
      <c r="N14" s="20">
        <v>0</v>
      </c>
      <c r="P14" s="19">
        <v>0</v>
      </c>
      <c r="Q14" s="19">
        <v>0</v>
      </c>
      <c r="R14" s="19">
        <v>0</v>
      </c>
      <c r="S14" s="20">
        <v>0</v>
      </c>
      <c r="T14" s="20">
        <v>0</v>
      </c>
      <c r="U14" s="20">
        <v>0</v>
      </c>
      <c r="W14" s="19">
        <v>0</v>
      </c>
      <c r="X14" s="19">
        <v>0</v>
      </c>
      <c r="Y14" s="19">
        <v>6</v>
      </c>
      <c r="Z14" s="20">
        <v>0</v>
      </c>
      <c r="AA14" s="20">
        <v>0</v>
      </c>
      <c r="AB14" s="20">
        <v>0.27272727272727271</v>
      </c>
      <c r="AD14" s="19">
        <v>0</v>
      </c>
      <c r="AE14" s="19">
        <v>0</v>
      </c>
      <c r="AF14" s="19">
        <v>6</v>
      </c>
    </row>
    <row r="15" spans="1:32" customFormat="1" ht="15" x14ac:dyDescent="0.25">
      <c r="A15" s="18" t="s">
        <v>25</v>
      </c>
      <c r="B15" s="19">
        <v>306</v>
      </c>
      <c r="C15" s="19">
        <v>324</v>
      </c>
      <c r="D15" s="19">
        <v>378</v>
      </c>
      <c r="E15" s="20">
        <v>3.5027472527472528E-2</v>
      </c>
      <c r="F15" s="20">
        <v>3.6684782608695655E-2</v>
      </c>
      <c r="G15" s="20">
        <v>4.335359559582521E-2</v>
      </c>
      <c r="I15" s="19">
        <v>120</v>
      </c>
      <c r="J15" s="19">
        <v>123</v>
      </c>
      <c r="K15" s="19">
        <v>128</v>
      </c>
      <c r="L15" s="20">
        <v>1.3736263736263736E-2</v>
      </c>
      <c r="M15" s="20">
        <v>1.3926630434782608E-2</v>
      </c>
      <c r="N15" s="20">
        <v>1.4680582635623352E-2</v>
      </c>
      <c r="P15" s="19">
        <v>0</v>
      </c>
      <c r="Q15" s="19">
        <v>0</v>
      </c>
      <c r="R15" s="19">
        <v>0</v>
      </c>
      <c r="S15" s="20">
        <v>0</v>
      </c>
      <c r="T15" s="20">
        <v>0</v>
      </c>
      <c r="U15" s="20">
        <v>0</v>
      </c>
      <c r="W15" s="19">
        <v>537</v>
      </c>
      <c r="X15" s="19">
        <v>578</v>
      </c>
      <c r="Y15" s="19">
        <v>773</v>
      </c>
      <c r="Z15" s="20">
        <v>6.1469780219780217E-2</v>
      </c>
      <c r="AA15" s="20">
        <v>6.5443840579710144E-2</v>
      </c>
      <c r="AB15" s="20">
        <v>8.8656956072944146E-2</v>
      </c>
      <c r="AD15" s="19">
        <v>963</v>
      </c>
      <c r="AE15" s="19">
        <v>1025</v>
      </c>
      <c r="AF15" s="19">
        <v>1279</v>
      </c>
    </row>
    <row r="16" spans="1:32" customFormat="1" ht="15" x14ac:dyDescent="0.25">
      <c r="A16" s="18" t="s">
        <v>26</v>
      </c>
      <c r="B16" s="19">
        <v>686</v>
      </c>
      <c r="C16" s="19">
        <v>715</v>
      </c>
      <c r="D16" s="19">
        <v>831</v>
      </c>
      <c r="E16" s="20">
        <v>6.2826266141588052E-2</v>
      </c>
      <c r="F16" s="20">
        <v>6.7978703175508651E-2</v>
      </c>
      <c r="G16" s="20">
        <v>7.9173018292682931E-2</v>
      </c>
      <c r="I16" s="19">
        <v>434</v>
      </c>
      <c r="J16" s="19">
        <v>465</v>
      </c>
      <c r="K16" s="19">
        <v>513</v>
      </c>
      <c r="L16" s="20">
        <v>3.97472295997802E-2</v>
      </c>
      <c r="M16" s="20">
        <v>4.420992584141472E-2</v>
      </c>
      <c r="N16" s="20">
        <v>4.887576219512195E-2</v>
      </c>
      <c r="P16" s="19">
        <v>0</v>
      </c>
      <c r="Q16" s="19">
        <v>311</v>
      </c>
      <c r="R16" s="19">
        <v>0</v>
      </c>
      <c r="S16" s="20">
        <v>0</v>
      </c>
      <c r="T16" s="20">
        <v>2.9568359003612855E-2</v>
      </c>
      <c r="U16" s="20">
        <v>0</v>
      </c>
      <c r="W16" s="19">
        <v>229</v>
      </c>
      <c r="X16" s="19">
        <v>0</v>
      </c>
      <c r="Y16" s="19">
        <v>302</v>
      </c>
      <c r="Z16" s="20">
        <v>2.0972616539976188E-2</v>
      </c>
      <c r="AA16" s="20">
        <v>0</v>
      </c>
      <c r="AB16" s="20">
        <v>2.8772865853658538E-2</v>
      </c>
      <c r="AD16" s="19">
        <v>1349</v>
      </c>
      <c r="AE16" s="19">
        <v>1491</v>
      </c>
      <c r="AF16" s="19">
        <v>1646</v>
      </c>
    </row>
    <row r="17" spans="1:32" customFormat="1" ht="15" x14ac:dyDescent="0.25">
      <c r="A17" s="18" t="s">
        <v>27</v>
      </c>
      <c r="B17" s="19">
        <v>0</v>
      </c>
      <c r="C17" s="19">
        <v>1</v>
      </c>
      <c r="D17" s="19">
        <v>9</v>
      </c>
      <c r="E17" s="20">
        <v>0</v>
      </c>
      <c r="F17" s="20">
        <v>6.25E-2</v>
      </c>
      <c r="G17" s="20">
        <v>0.12328767123287671</v>
      </c>
      <c r="I17" s="19">
        <v>0</v>
      </c>
      <c r="J17" s="19">
        <v>0</v>
      </c>
      <c r="K17" s="19">
        <v>0</v>
      </c>
      <c r="L17" s="20">
        <v>0</v>
      </c>
      <c r="M17" s="20">
        <v>0</v>
      </c>
      <c r="N17" s="20">
        <v>0</v>
      </c>
      <c r="P17" s="19">
        <v>0</v>
      </c>
      <c r="Q17" s="19">
        <v>0</v>
      </c>
      <c r="R17" s="19">
        <v>0</v>
      </c>
      <c r="S17" s="20">
        <v>0</v>
      </c>
      <c r="T17" s="20">
        <v>0</v>
      </c>
      <c r="U17" s="20">
        <v>0</v>
      </c>
      <c r="W17" s="19">
        <v>0</v>
      </c>
      <c r="X17" s="19">
        <v>2</v>
      </c>
      <c r="Y17" s="19">
        <v>0</v>
      </c>
      <c r="Z17" s="20">
        <v>0</v>
      </c>
      <c r="AA17" s="20">
        <v>0.125</v>
      </c>
      <c r="AB17" s="20">
        <v>0</v>
      </c>
      <c r="AD17" s="19">
        <v>0</v>
      </c>
      <c r="AE17" s="19">
        <v>3</v>
      </c>
      <c r="AF17" s="19">
        <v>9</v>
      </c>
    </row>
    <row r="18" spans="1:32" customFormat="1" ht="15" x14ac:dyDescent="0.25">
      <c r="A18" s="18" t="s">
        <v>28</v>
      </c>
      <c r="B18" s="19">
        <v>2208</v>
      </c>
      <c r="C18" s="19">
        <v>2414</v>
      </c>
      <c r="D18" s="19">
        <v>1821</v>
      </c>
      <c r="E18" s="20">
        <v>4.3782594039380542E-2</v>
      </c>
      <c r="F18" s="20">
        <v>4.9201043534974724E-2</v>
      </c>
      <c r="G18" s="20">
        <v>3.773858620189418E-2</v>
      </c>
      <c r="I18" s="19">
        <v>798</v>
      </c>
      <c r="J18" s="19">
        <v>1215</v>
      </c>
      <c r="K18" s="19">
        <v>1008</v>
      </c>
      <c r="L18" s="20">
        <v>1.5823600563145683E-2</v>
      </c>
      <c r="M18" s="20">
        <v>2.4763574107288439E-2</v>
      </c>
      <c r="N18" s="20">
        <v>2.0889892856402709E-2</v>
      </c>
      <c r="P18" s="19">
        <v>0</v>
      </c>
      <c r="Q18" s="19">
        <v>0</v>
      </c>
      <c r="R18" s="19">
        <v>0</v>
      </c>
      <c r="S18" s="20">
        <v>0</v>
      </c>
      <c r="T18" s="20">
        <v>0</v>
      </c>
      <c r="U18" s="20">
        <v>0</v>
      </c>
      <c r="W18" s="19">
        <v>3276</v>
      </c>
      <c r="X18" s="19">
        <v>475</v>
      </c>
      <c r="Y18" s="19">
        <v>492</v>
      </c>
      <c r="Z18" s="20">
        <v>6.4960044417124385E-2</v>
      </c>
      <c r="AA18" s="20">
        <v>9.6812326756888969E-3</v>
      </c>
      <c r="AB18" s="20">
        <v>1.0196257227529894E-2</v>
      </c>
      <c r="AD18" s="19">
        <v>6282</v>
      </c>
      <c r="AE18" s="19">
        <v>4104</v>
      </c>
      <c r="AF18" s="19">
        <v>3321</v>
      </c>
    </row>
    <row r="19" spans="1:32" customFormat="1" ht="15" x14ac:dyDescent="0.25">
      <c r="A19" s="18" t="s">
        <v>197</v>
      </c>
      <c r="B19" s="19">
        <v>0</v>
      </c>
      <c r="C19" s="19">
        <v>0</v>
      </c>
      <c r="D19" s="19">
        <v>3</v>
      </c>
      <c r="E19" s="20">
        <v>0</v>
      </c>
      <c r="F19" s="20">
        <v>0</v>
      </c>
      <c r="G19" s="20">
        <v>1</v>
      </c>
      <c r="I19" s="19">
        <v>0</v>
      </c>
      <c r="J19" s="19">
        <v>0</v>
      </c>
      <c r="K19" s="19">
        <v>0</v>
      </c>
      <c r="L19" s="20">
        <v>0</v>
      </c>
      <c r="M19" s="20">
        <v>0</v>
      </c>
      <c r="N19" s="20">
        <v>0</v>
      </c>
      <c r="P19" s="19">
        <v>0</v>
      </c>
      <c r="Q19" s="19">
        <v>0</v>
      </c>
      <c r="R19" s="19">
        <v>0</v>
      </c>
      <c r="S19" s="20">
        <v>0</v>
      </c>
      <c r="T19" s="20">
        <v>0</v>
      </c>
      <c r="U19" s="20">
        <v>0</v>
      </c>
      <c r="W19" s="19">
        <v>0</v>
      </c>
      <c r="X19" s="19">
        <v>0</v>
      </c>
      <c r="Y19" s="19">
        <v>0</v>
      </c>
      <c r="Z19" s="20">
        <v>0</v>
      </c>
      <c r="AA19" s="20">
        <v>0</v>
      </c>
      <c r="AB19" s="20">
        <v>0</v>
      </c>
      <c r="AD19" s="19">
        <v>0</v>
      </c>
      <c r="AE19" s="19">
        <v>0</v>
      </c>
      <c r="AF19" s="19">
        <v>3</v>
      </c>
    </row>
    <row r="20" spans="1:32" customFormat="1" ht="15" x14ac:dyDescent="0.25">
      <c r="A20" s="18" t="s">
        <v>29</v>
      </c>
      <c r="B20" s="19">
        <v>235</v>
      </c>
      <c r="C20" s="19">
        <v>6401</v>
      </c>
      <c r="D20" s="19">
        <v>8048</v>
      </c>
      <c r="E20" s="20">
        <v>2.8869778869778869E-2</v>
      </c>
      <c r="F20" s="20">
        <v>0.4075772047118752</v>
      </c>
      <c r="G20" s="20">
        <v>0.43021328914310153</v>
      </c>
      <c r="I20" s="19">
        <v>100</v>
      </c>
      <c r="J20" s="19">
        <v>70</v>
      </c>
      <c r="K20" s="19">
        <v>125</v>
      </c>
      <c r="L20" s="20">
        <v>1.2285012285012284E-2</v>
      </c>
      <c r="M20" s="20">
        <v>4.4571792422795284E-3</v>
      </c>
      <c r="N20" s="20">
        <v>6.6819906986689478E-3</v>
      </c>
      <c r="P20" s="19">
        <v>0</v>
      </c>
      <c r="Q20" s="19">
        <v>203</v>
      </c>
      <c r="R20" s="19">
        <v>17</v>
      </c>
      <c r="S20" s="20">
        <v>0</v>
      </c>
      <c r="T20" s="20">
        <v>1.2925819802610634E-2</v>
      </c>
      <c r="U20" s="20">
        <v>9.0875073501897683E-4</v>
      </c>
      <c r="W20" s="19">
        <v>93</v>
      </c>
      <c r="X20" s="19">
        <v>7</v>
      </c>
      <c r="Y20" s="19">
        <v>99</v>
      </c>
      <c r="Z20" s="20">
        <v>1.1425061425061426E-2</v>
      </c>
      <c r="AA20" s="20">
        <v>4.4571792422795289E-4</v>
      </c>
      <c r="AB20" s="20">
        <v>5.2921366333458066E-3</v>
      </c>
      <c r="AD20" s="19">
        <v>428</v>
      </c>
      <c r="AE20" s="19">
        <v>6681</v>
      </c>
      <c r="AF20" s="19">
        <v>8289</v>
      </c>
    </row>
    <row r="21" spans="1:32" customFormat="1" ht="15" x14ac:dyDescent="0.25">
      <c r="A21" s="18" t="s">
        <v>30</v>
      </c>
      <c r="B21" s="19">
        <v>26277</v>
      </c>
      <c r="C21" s="19">
        <v>30555</v>
      </c>
      <c r="D21" s="19">
        <v>35839</v>
      </c>
      <c r="E21" s="20">
        <v>2.1388994480390777E-2</v>
      </c>
      <c r="F21" s="20">
        <v>2.6340358290941349E-2</v>
      </c>
      <c r="G21" s="20">
        <v>3.0713500348364571E-2</v>
      </c>
      <c r="I21" s="19">
        <v>7672</v>
      </c>
      <c r="J21" s="19">
        <v>9405</v>
      </c>
      <c r="K21" s="19">
        <v>11164</v>
      </c>
      <c r="L21" s="20">
        <v>6.244866828540474E-3</v>
      </c>
      <c r="M21" s="20">
        <v>8.107709694855289E-3</v>
      </c>
      <c r="N21" s="20">
        <v>9.5673851918061919E-3</v>
      </c>
      <c r="P21" s="19">
        <v>4764</v>
      </c>
      <c r="Q21" s="19">
        <v>4631</v>
      </c>
      <c r="R21" s="19">
        <v>4694</v>
      </c>
      <c r="S21" s="20">
        <v>3.8778083382647053E-3</v>
      </c>
      <c r="T21" s="20">
        <v>3.9922172883439496E-3</v>
      </c>
      <c r="U21" s="20">
        <v>4.0226895458919977E-3</v>
      </c>
      <c r="W21" s="19">
        <v>11396</v>
      </c>
      <c r="X21" s="19">
        <v>12199</v>
      </c>
      <c r="Y21" s="19">
        <v>12208</v>
      </c>
      <c r="Z21" s="20">
        <v>9.2761343037079304E-3</v>
      </c>
      <c r="AA21" s="20">
        <v>1.0516315849818148E-2</v>
      </c>
      <c r="AB21" s="20">
        <v>1.0462077966819239E-2</v>
      </c>
      <c r="AD21" s="19">
        <v>50109</v>
      </c>
      <c r="AE21" s="19">
        <v>56790</v>
      </c>
      <c r="AF21" s="19">
        <v>63905</v>
      </c>
    </row>
    <row r="22" spans="1:32" customFormat="1" ht="15" x14ac:dyDescent="0.25">
      <c r="A22" s="18" t="s">
        <v>31</v>
      </c>
      <c r="B22" s="19">
        <v>0</v>
      </c>
      <c r="C22" s="19">
        <v>283</v>
      </c>
      <c r="D22" s="19">
        <v>298</v>
      </c>
      <c r="E22" s="20">
        <v>0</v>
      </c>
      <c r="F22" s="20">
        <v>4.842573579739904E-2</v>
      </c>
      <c r="G22" s="20">
        <v>4.6555225745977188E-2</v>
      </c>
      <c r="I22" s="19">
        <v>0</v>
      </c>
      <c r="J22" s="19">
        <v>452</v>
      </c>
      <c r="K22" s="19">
        <v>331</v>
      </c>
      <c r="L22" s="20">
        <v>0</v>
      </c>
      <c r="M22" s="20">
        <v>7.7344284736481861E-2</v>
      </c>
      <c r="N22" s="20">
        <v>5.1710670207780036E-2</v>
      </c>
      <c r="P22" s="19">
        <v>0</v>
      </c>
      <c r="Q22" s="19">
        <v>0</v>
      </c>
      <c r="R22" s="19">
        <v>0</v>
      </c>
      <c r="S22" s="20">
        <v>0</v>
      </c>
      <c r="T22" s="20">
        <v>0</v>
      </c>
      <c r="U22" s="20">
        <v>0</v>
      </c>
      <c r="W22" s="19">
        <v>143</v>
      </c>
      <c r="X22" s="19">
        <v>728</v>
      </c>
      <c r="Y22" s="19">
        <v>0</v>
      </c>
      <c r="Z22" s="20">
        <v>2.5590551181102362E-2</v>
      </c>
      <c r="AA22" s="20">
        <v>0.12457221081451061</v>
      </c>
      <c r="AB22" s="20">
        <v>0</v>
      </c>
      <c r="AD22" s="19">
        <v>143</v>
      </c>
      <c r="AE22" s="19">
        <v>1463</v>
      </c>
      <c r="AF22" s="19">
        <v>629</v>
      </c>
    </row>
    <row r="23" spans="1:32" customFormat="1" ht="15" x14ac:dyDescent="0.25">
      <c r="A23" s="18" t="s">
        <v>32</v>
      </c>
      <c r="B23" s="19">
        <v>22739</v>
      </c>
      <c r="C23" s="19">
        <v>28367</v>
      </c>
      <c r="D23" s="19">
        <v>33684</v>
      </c>
      <c r="E23" s="20">
        <v>3.2165434358551445E-2</v>
      </c>
      <c r="F23" s="20">
        <v>3.9946938321431535E-2</v>
      </c>
      <c r="G23" s="20">
        <v>4.7254897834641527E-2</v>
      </c>
      <c r="I23" s="19">
        <v>19029</v>
      </c>
      <c r="J23" s="19">
        <v>27460</v>
      </c>
      <c r="K23" s="19">
        <v>34617</v>
      </c>
      <c r="L23" s="20">
        <v>2.6917456810276418E-2</v>
      </c>
      <c r="M23" s="20">
        <v>3.8669684009818101E-2</v>
      </c>
      <c r="N23" s="20">
        <v>4.8563792849477073E-2</v>
      </c>
      <c r="P23" s="19">
        <v>1158</v>
      </c>
      <c r="Q23" s="19">
        <v>1334</v>
      </c>
      <c r="R23" s="19">
        <v>1568</v>
      </c>
      <c r="S23" s="20">
        <v>1.6380479786799144E-3</v>
      </c>
      <c r="T23" s="20">
        <v>1.8785636733101728E-3</v>
      </c>
      <c r="U23" s="20">
        <v>2.1997292425103288E-3</v>
      </c>
      <c r="W23" s="19">
        <v>105</v>
      </c>
      <c r="X23" s="19">
        <v>112</v>
      </c>
      <c r="Y23" s="19">
        <v>119</v>
      </c>
      <c r="Z23" s="20">
        <v>1.4852766646061399E-4</v>
      </c>
      <c r="AA23" s="20">
        <v>1.5772048831389757E-4</v>
      </c>
      <c r="AB23" s="20">
        <v>1.6694373715480174E-4</v>
      </c>
      <c r="AD23" s="19">
        <v>43031</v>
      </c>
      <c r="AE23" s="19">
        <v>57273</v>
      </c>
      <c r="AF23" s="19">
        <v>69988</v>
      </c>
    </row>
    <row r="24" spans="1:32" customFormat="1" ht="15" x14ac:dyDescent="0.25">
      <c r="A24" s="18" t="s">
        <v>80</v>
      </c>
      <c r="B24" s="19">
        <v>24</v>
      </c>
      <c r="C24" s="19">
        <v>28</v>
      </c>
      <c r="D24" s="19">
        <v>26</v>
      </c>
      <c r="E24" s="20">
        <v>4.1286771030448997E-3</v>
      </c>
      <c r="F24" s="20">
        <v>5.3866871873797613E-3</v>
      </c>
      <c r="G24" s="20">
        <v>5.2031218731238742E-3</v>
      </c>
      <c r="I24" s="19">
        <v>0</v>
      </c>
      <c r="J24" s="19">
        <v>0</v>
      </c>
      <c r="K24" s="19">
        <v>0</v>
      </c>
      <c r="L24" s="20">
        <v>0</v>
      </c>
      <c r="M24" s="20">
        <v>0</v>
      </c>
      <c r="N24" s="20">
        <v>0</v>
      </c>
      <c r="P24" s="19">
        <v>0</v>
      </c>
      <c r="Q24" s="19">
        <v>0</v>
      </c>
      <c r="R24" s="19">
        <v>0</v>
      </c>
      <c r="S24" s="20">
        <v>0</v>
      </c>
      <c r="T24" s="20">
        <v>0</v>
      </c>
      <c r="U24" s="20">
        <v>0</v>
      </c>
      <c r="W24" s="19">
        <v>37</v>
      </c>
      <c r="X24" s="19">
        <v>33</v>
      </c>
      <c r="Y24" s="19">
        <v>30</v>
      </c>
      <c r="Z24" s="20">
        <v>6.36504386719422E-3</v>
      </c>
      <c r="AA24" s="20">
        <v>6.3485956136975757E-3</v>
      </c>
      <c r="AB24" s="20">
        <v>6.0036021612967783E-3</v>
      </c>
      <c r="AD24" s="19">
        <v>61</v>
      </c>
      <c r="AE24" s="19">
        <v>61</v>
      </c>
      <c r="AF24" s="19">
        <v>56</v>
      </c>
    </row>
    <row r="25" spans="1:32" customFormat="1" ht="15" x14ac:dyDescent="0.25">
      <c r="A25" s="18" t="s">
        <v>33</v>
      </c>
      <c r="B25" s="19">
        <v>595</v>
      </c>
      <c r="C25" s="19">
        <v>597</v>
      </c>
      <c r="D25" s="19">
        <v>622</v>
      </c>
      <c r="E25" s="20">
        <v>0.99001663893510816</v>
      </c>
      <c r="F25" s="20">
        <v>0.9835255354200988</v>
      </c>
      <c r="G25" s="20">
        <v>0.98417721518987344</v>
      </c>
      <c r="I25" s="19">
        <v>0</v>
      </c>
      <c r="J25" s="19">
        <v>0</v>
      </c>
      <c r="K25" s="19">
        <v>0</v>
      </c>
      <c r="L25" s="20">
        <v>0</v>
      </c>
      <c r="M25" s="20">
        <v>0</v>
      </c>
      <c r="N25" s="20">
        <v>0</v>
      </c>
      <c r="P25" s="19">
        <v>6</v>
      </c>
      <c r="Q25" s="19">
        <v>10</v>
      </c>
      <c r="R25" s="19">
        <v>6</v>
      </c>
      <c r="S25" s="20">
        <v>9.9833610648918467E-3</v>
      </c>
      <c r="T25" s="20">
        <v>1.6474464579901153E-2</v>
      </c>
      <c r="U25" s="20">
        <v>9.4936708860759497E-3</v>
      </c>
      <c r="W25" s="19">
        <v>0</v>
      </c>
      <c r="X25" s="19">
        <v>0</v>
      </c>
      <c r="Y25" s="19">
        <v>0</v>
      </c>
      <c r="Z25" s="20">
        <v>0</v>
      </c>
      <c r="AA25" s="20">
        <v>0</v>
      </c>
      <c r="AB25" s="20">
        <v>0</v>
      </c>
      <c r="AD25" s="19">
        <v>601</v>
      </c>
      <c r="AE25" s="19">
        <v>607</v>
      </c>
      <c r="AF25" s="19">
        <v>628</v>
      </c>
    </row>
    <row r="26" spans="1:32" customFormat="1" ht="15" x14ac:dyDescent="0.25">
      <c r="A26" s="18" t="s">
        <v>34</v>
      </c>
      <c r="B26" s="19">
        <v>542</v>
      </c>
      <c r="C26" s="19">
        <v>1858</v>
      </c>
      <c r="D26" s="19">
        <v>2698</v>
      </c>
      <c r="E26" s="20">
        <v>0.18944425026214609</v>
      </c>
      <c r="F26" s="20">
        <v>0.49586335735254872</v>
      </c>
      <c r="G26" s="20">
        <v>0.54538103901354351</v>
      </c>
      <c r="I26" s="19">
        <v>0</v>
      </c>
      <c r="J26" s="19">
        <v>0</v>
      </c>
      <c r="K26" s="19">
        <v>0</v>
      </c>
      <c r="L26" s="20">
        <v>0</v>
      </c>
      <c r="M26" s="20">
        <v>0</v>
      </c>
      <c r="N26" s="20">
        <v>0</v>
      </c>
      <c r="P26" s="19">
        <v>0</v>
      </c>
      <c r="Q26" s="19">
        <v>0</v>
      </c>
      <c r="R26" s="19">
        <v>0</v>
      </c>
      <c r="S26" s="20">
        <v>0</v>
      </c>
      <c r="T26" s="20">
        <v>0</v>
      </c>
      <c r="U26" s="20">
        <v>0</v>
      </c>
      <c r="W26" s="19">
        <v>0</v>
      </c>
      <c r="X26" s="19">
        <v>104</v>
      </c>
      <c r="Y26" s="19">
        <v>115</v>
      </c>
      <c r="Z26" s="20">
        <v>0</v>
      </c>
      <c r="AA26" s="20">
        <v>2.7755537763544169E-2</v>
      </c>
      <c r="AB26" s="20">
        <v>2.3246411966848596E-2</v>
      </c>
      <c r="AD26" s="19">
        <v>542</v>
      </c>
      <c r="AE26" s="19">
        <v>1962</v>
      </c>
      <c r="AF26" s="19">
        <v>2813</v>
      </c>
    </row>
    <row r="27" spans="1:32" customFormat="1" ht="15" x14ac:dyDescent="0.25">
      <c r="A27" s="18" t="s">
        <v>166</v>
      </c>
      <c r="B27" s="19">
        <v>0</v>
      </c>
      <c r="C27" s="19">
        <v>2</v>
      </c>
      <c r="D27" s="19">
        <v>2</v>
      </c>
      <c r="E27" s="20">
        <v>0</v>
      </c>
      <c r="F27" s="20">
        <v>7.6923076923076927E-2</v>
      </c>
      <c r="G27" s="20">
        <v>8.9285714285714281E-3</v>
      </c>
      <c r="I27" s="19">
        <v>0</v>
      </c>
      <c r="J27" s="19">
        <v>0</v>
      </c>
      <c r="K27" s="19">
        <v>1</v>
      </c>
      <c r="L27" s="20">
        <v>0</v>
      </c>
      <c r="M27" s="20">
        <v>0</v>
      </c>
      <c r="N27" s="20">
        <v>4.464285714285714E-3</v>
      </c>
      <c r="P27" s="19">
        <v>0</v>
      </c>
      <c r="Q27" s="19">
        <v>0</v>
      </c>
      <c r="R27" s="19">
        <v>0</v>
      </c>
      <c r="S27" s="20">
        <v>0</v>
      </c>
      <c r="T27" s="20">
        <v>0</v>
      </c>
      <c r="U27" s="20">
        <v>0</v>
      </c>
      <c r="W27" s="19">
        <v>0</v>
      </c>
      <c r="X27" s="19">
        <v>0</v>
      </c>
      <c r="Y27" s="19">
        <v>0</v>
      </c>
      <c r="Z27" s="20">
        <v>0</v>
      </c>
      <c r="AA27" s="20">
        <v>0</v>
      </c>
      <c r="AB27" s="20">
        <v>0</v>
      </c>
      <c r="AD27" s="19">
        <v>0</v>
      </c>
      <c r="AE27" s="19">
        <v>2</v>
      </c>
      <c r="AF27" s="19">
        <v>3</v>
      </c>
    </row>
    <row r="28" spans="1:32" customFormat="1" ht="15" x14ac:dyDescent="0.25">
      <c r="A28" s="18" t="s">
        <v>172</v>
      </c>
      <c r="B28" s="19">
        <v>0</v>
      </c>
      <c r="C28" s="19">
        <v>0</v>
      </c>
      <c r="D28" s="19">
        <v>1</v>
      </c>
      <c r="E28" s="20">
        <v>0</v>
      </c>
      <c r="F28" s="20">
        <v>0</v>
      </c>
      <c r="G28" s="20">
        <v>0.5</v>
      </c>
      <c r="I28" s="19">
        <v>0</v>
      </c>
      <c r="J28" s="19">
        <v>0</v>
      </c>
      <c r="K28" s="19">
        <v>0</v>
      </c>
      <c r="L28" s="20">
        <v>0</v>
      </c>
      <c r="M28" s="20">
        <v>0</v>
      </c>
      <c r="N28" s="20">
        <v>0</v>
      </c>
      <c r="P28" s="19">
        <v>0</v>
      </c>
      <c r="Q28" s="19">
        <v>0</v>
      </c>
      <c r="R28" s="19">
        <v>0</v>
      </c>
      <c r="S28" s="20">
        <v>0</v>
      </c>
      <c r="T28" s="20">
        <v>0</v>
      </c>
      <c r="U28" s="20">
        <v>0</v>
      </c>
      <c r="W28" s="19">
        <v>0</v>
      </c>
      <c r="X28" s="19">
        <v>0</v>
      </c>
      <c r="Y28" s="19">
        <v>0</v>
      </c>
      <c r="Z28" s="20">
        <v>0</v>
      </c>
      <c r="AA28" s="20">
        <v>0</v>
      </c>
      <c r="AB28" s="20">
        <v>0</v>
      </c>
      <c r="AD28" s="19">
        <v>0</v>
      </c>
      <c r="AE28" s="19">
        <v>0</v>
      </c>
      <c r="AF28" s="19">
        <v>1</v>
      </c>
    </row>
    <row r="29" spans="1:32" customFormat="1" ht="15" x14ac:dyDescent="0.25">
      <c r="A29" s="18" t="s">
        <v>36</v>
      </c>
      <c r="B29" s="19">
        <v>87</v>
      </c>
      <c r="C29" s="19">
        <v>197</v>
      </c>
      <c r="D29" s="19">
        <v>6</v>
      </c>
      <c r="E29" s="20">
        <v>4.487080303264738E-3</v>
      </c>
      <c r="F29" s="20">
        <v>9.1254400592921999E-3</v>
      </c>
      <c r="G29" s="20">
        <v>2.4757582009490408E-4</v>
      </c>
      <c r="I29" s="19">
        <v>17</v>
      </c>
      <c r="J29" s="19">
        <v>19</v>
      </c>
      <c r="K29" s="19">
        <v>3</v>
      </c>
      <c r="L29" s="20">
        <v>8.7678580638506369E-4</v>
      </c>
      <c r="M29" s="20">
        <v>8.8011858439874006E-4</v>
      </c>
      <c r="N29" s="20">
        <v>1.2378791004745204E-4</v>
      </c>
      <c r="P29" s="19">
        <v>0</v>
      </c>
      <c r="Q29" s="19">
        <v>0</v>
      </c>
      <c r="R29" s="19">
        <v>0</v>
      </c>
      <c r="S29" s="20">
        <v>0</v>
      </c>
      <c r="T29" s="20">
        <v>0</v>
      </c>
      <c r="U29" s="20">
        <v>0</v>
      </c>
      <c r="W29" s="19">
        <v>0</v>
      </c>
      <c r="X29" s="19">
        <v>3</v>
      </c>
      <c r="Y29" s="19">
        <v>260</v>
      </c>
      <c r="Z29" s="20">
        <v>0</v>
      </c>
      <c r="AA29" s="20">
        <v>1.3896609227348526E-4</v>
      </c>
      <c r="AB29" s="20">
        <v>1.0728285537445844E-2</v>
      </c>
      <c r="AD29" s="19">
        <v>104</v>
      </c>
      <c r="AE29" s="19">
        <v>219</v>
      </c>
      <c r="AF29" s="19">
        <v>269</v>
      </c>
    </row>
    <row r="30" spans="1:32" customFormat="1" ht="15" x14ac:dyDescent="0.25">
      <c r="A30" s="18" t="s">
        <v>37</v>
      </c>
      <c r="B30" s="19">
        <v>954</v>
      </c>
      <c r="C30" s="19">
        <v>1462</v>
      </c>
      <c r="D30" s="19">
        <v>1828</v>
      </c>
      <c r="E30" s="20">
        <v>2.3927165107471594E-2</v>
      </c>
      <c r="F30" s="20">
        <v>3.6941580756013746E-2</v>
      </c>
      <c r="G30" s="20">
        <v>4.4719524426939355E-2</v>
      </c>
      <c r="I30" s="19">
        <v>552</v>
      </c>
      <c r="J30" s="19">
        <v>1027</v>
      </c>
      <c r="K30" s="19">
        <v>1308</v>
      </c>
      <c r="L30" s="20">
        <v>1.3844648993002433E-2</v>
      </c>
      <c r="M30" s="20">
        <v>2.5950070749949466E-2</v>
      </c>
      <c r="N30" s="20">
        <v>3.1998434327372358E-2</v>
      </c>
      <c r="P30" s="19">
        <v>0</v>
      </c>
      <c r="Q30" s="19">
        <v>0</v>
      </c>
      <c r="R30" s="19">
        <v>0</v>
      </c>
      <c r="S30" s="20">
        <v>0</v>
      </c>
      <c r="T30" s="20">
        <v>0</v>
      </c>
      <c r="U30" s="20">
        <v>0</v>
      </c>
      <c r="W30" s="19">
        <v>108</v>
      </c>
      <c r="X30" s="19">
        <v>39</v>
      </c>
      <c r="Y30" s="19">
        <v>61</v>
      </c>
      <c r="Z30" s="20">
        <v>2.7087356725439544E-3</v>
      </c>
      <c r="AA30" s="20">
        <v>9.854457246816252E-4</v>
      </c>
      <c r="AB30" s="20">
        <v>1.4922817232184357E-3</v>
      </c>
      <c r="AD30" s="19">
        <v>1614</v>
      </c>
      <c r="AE30" s="19">
        <v>2528</v>
      </c>
      <c r="AF30" s="19">
        <v>3197</v>
      </c>
    </row>
    <row r="31" spans="1:32" customFormat="1" ht="15" x14ac:dyDescent="0.25">
      <c r="A31" s="18" t="s">
        <v>38</v>
      </c>
      <c r="B31" s="19">
        <v>1361</v>
      </c>
      <c r="C31" s="19">
        <v>1536</v>
      </c>
      <c r="D31" s="19">
        <v>1767</v>
      </c>
      <c r="E31" s="20">
        <v>0.10483746726236327</v>
      </c>
      <c r="F31" s="20">
        <v>0.11699291644451215</v>
      </c>
      <c r="G31" s="20">
        <v>0.13180665373713263</v>
      </c>
      <c r="I31" s="19">
        <v>0</v>
      </c>
      <c r="J31" s="19">
        <v>0</v>
      </c>
      <c r="K31" s="19">
        <v>0</v>
      </c>
      <c r="L31" s="20">
        <v>0</v>
      </c>
      <c r="M31" s="20">
        <v>0</v>
      </c>
      <c r="N31" s="20">
        <v>0</v>
      </c>
      <c r="P31" s="19">
        <v>0</v>
      </c>
      <c r="Q31" s="19">
        <v>0</v>
      </c>
      <c r="R31" s="19">
        <v>0</v>
      </c>
      <c r="S31" s="20">
        <v>0</v>
      </c>
      <c r="T31" s="20">
        <v>0</v>
      </c>
      <c r="U31" s="20">
        <v>0</v>
      </c>
      <c r="W31" s="19">
        <v>0</v>
      </c>
      <c r="X31" s="19">
        <v>0</v>
      </c>
      <c r="Y31" s="19">
        <v>0</v>
      </c>
      <c r="Z31" s="20">
        <v>0</v>
      </c>
      <c r="AA31" s="20">
        <v>0</v>
      </c>
      <c r="AB31" s="20">
        <v>0</v>
      </c>
      <c r="AD31" s="19">
        <v>1361</v>
      </c>
      <c r="AE31" s="19">
        <v>1536</v>
      </c>
      <c r="AF31" s="19">
        <v>1767</v>
      </c>
    </row>
    <row r="32" spans="1:32" customFormat="1" ht="15" x14ac:dyDescent="0.25">
      <c r="A32" s="18" t="s">
        <v>39</v>
      </c>
      <c r="B32" s="19">
        <v>803</v>
      </c>
      <c r="C32" s="19">
        <v>649</v>
      </c>
      <c r="D32" s="19">
        <v>779</v>
      </c>
      <c r="E32" s="20">
        <v>0.28750447547440028</v>
      </c>
      <c r="F32" s="20">
        <v>0.25145292522278184</v>
      </c>
      <c r="G32" s="20">
        <v>0.21076839826839827</v>
      </c>
      <c r="I32" s="19">
        <v>827</v>
      </c>
      <c r="J32" s="19">
        <v>678</v>
      </c>
      <c r="K32" s="19">
        <v>762</v>
      </c>
      <c r="L32" s="20">
        <v>0.29609738632295024</v>
      </c>
      <c r="M32" s="20">
        <v>0.26268888027896165</v>
      </c>
      <c r="N32" s="20">
        <v>0.20616883116883117</v>
      </c>
      <c r="P32" s="19">
        <v>0</v>
      </c>
      <c r="Q32" s="19">
        <v>0</v>
      </c>
      <c r="R32" s="19">
        <v>0</v>
      </c>
      <c r="S32" s="20">
        <v>0</v>
      </c>
      <c r="T32" s="20">
        <v>0</v>
      </c>
      <c r="U32" s="20">
        <v>0</v>
      </c>
      <c r="W32" s="19">
        <v>652</v>
      </c>
      <c r="X32" s="19">
        <v>937</v>
      </c>
      <c r="Y32" s="19">
        <v>761</v>
      </c>
      <c r="Z32" s="20">
        <v>0.23344074471894022</v>
      </c>
      <c r="AA32" s="20">
        <v>0.36303758233242928</v>
      </c>
      <c r="AB32" s="20">
        <v>0.20589826839826839</v>
      </c>
      <c r="AD32" s="19">
        <v>2282</v>
      </c>
      <c r="AE32" s="19">
        <v>2264</v>
      </c>
      <c r="AF32" s="19">
        <v>2302</v>
      </c>
    </row>
    <row r="33" spans="1:32" customFormat="1" ht="15" x14ac:dyDescent="0.25">
      <c r="A33" s="18" t="s">
        <v>40</v>
      </c>
      <c r="B33" s="19">
        <v>76</v>
      </c>
      <c r="C33" s="19">
        <v>250</v>
      </c>
      <c r="D33" s="19">
        <v>165</v>
      </c>
      <c r="E33" s="20">
        <v>2.9110966407476921E-3</v>
      </c>
      <c r="F33" s="20">
        <v>8.1071440153062876E-3</v>
      </c>
      <c r="G33" s="20">
        <v>4.7337617626807436E-3</v>
      </c>
      <c r="I33" s="19">
        <v>61</v>
      </c>
      <c r="J33" s="19">
        <v>192</v>
      </c>
      <c r="K33" s="19">
        <v>128</v>
      </c>
      <c r="L33" s="20">
        <v>2.3365380932317001E-3</v>
      </c>
      <c r="M33" s="20">
        <v>6.2262866037552291E-3</v>
      </c>
      <c r="N33" s="20">
        <v>3.6722515492311225E-3</v>
      </c>
      <c r="P33" s="19">
        <v>0</v>
      </c>
      <c r="Q33" s="19">
        <v>6</v>
      </c>
      <c r="R33" s="19">
        <v>5</v>
      </c>
      <c r="S33" s="20">
        <v>0</v>
      </c>
      <c r="T33" s="20">
        <v>1.9457145636735091E-4</v>
      </c>
      <c r="U33" s="20">
        <v>1.4344732614184072E-4</v>
      </c>
      <c r="W33" s="19">
        <v>67</v>
      </c>
      <c r="X33" s="19">
        <v>223</v>
      </c>
      <c r="Y33" s="19">
        <v>73</v>
      </c>
      <c r="Z33" s="20">
        <v>2.5663615122380971E-3</v>
      </c>
      <c r="AA33" s="20">
        <v>7.2315724616532091E-3</v>
      </c>
      <c r="AB33" s="20">
        <v>2.0943309616708746E-3</v>
      </c>
      <c r="AD33" s="19">
        <v>204</v>
      </c>
      <c r="AE33" s="19">
        <v>671</v>
      </c>
      <c r="AF33" s="19">
        <v>371</v>
      </c>
    </row>
    <row r="34" spans="1:32" customFormat="1" ht="15" x14ac:dyDescent="0.25">
      <c r="A34" s="18" t="s">
        <v>41</v>
      </c>
      <c r="B34" s="19">
        <v>273</v>
      </c>
      <c r="C34" s="19">
        <v>327</v>
      </c>
      <c r="D34" s="19">
        <v>377</v>
      </c>
      <c r="E34" s="20">
        <v>3.4378541745372117E-2</v>
      </c>
      <c r="F34" s="20">
        <v>4.0565686639374765E-2</v>
      </c>
      <c r="G34" s="20">
        <v>4.7848711765452467E-2</v>
      </c>
      <c r="I34" s="19">
        <v>32</v>
      </c>
      <c r="J34" s="19">
        <v>9</v>
      </c>
      <c r="K34" s="19">
        <v>22</v>
      </c>
      <c r="L34" s="20">
        <v>4.0297191789447169E-3</v>
      </c>
      <c r="M34" s="20">
        <v>1.1164867882396724E-3</v>
      </c>
      <c r="N34" s="20">
        <v>2.7922325168168549E-3</v>
      </c>
      <c r="P34" s="19">
        <v>657</v>
      </c>
      <c r="Q34" s="19">
        <v>544</v>
      </c>
      <c r="R34" s="19">
        <v>694</v>
      </c>
      <c r="S34" s="20">
        <v>8.2735171892708723E-2</v>
      </c>
      <c r="T34" s="20">
        <v>6.7485423644709094E-2</v>
      </c>
      <c r="U34" s="20">
        <v>8.8082243939586247E-2</v>
      </c>
      <c r="W34" s="19">
        <v>96</v>
      </c>
      <c r="X34" s="19">
        <v>21</v>
      </c>
      <c r="Y34" s="19">
        <v>52</v>
      </c>
      <c r="Z34" s="20">
        <v>1.2089157536834151E-2</v>
      </c>
      <c r="AA34" s="20">
        <v>2.6051358392259025E-3</v>
      </c>
      <c r="AB34" s="20">
        <v>6.5998223124762029E-3</v>
      </c>
      <c r="AD34" s="19">
        <v>1058</v>
      </c>
      <c r="AE34" s="19">
        <v>901</v>
      </c>
      <c r="AF34" s="19">
        <v>1145</v>
      </c>
    </row>
    <row r="35" spans="1:32" customFormat="1" ht="15" x14ac:dyDescent="0.25">
      <c r="A35" s="18" t="s">
        <v>43</v>
      </c>
      <c r="B35" s="19">
        <v>80187</v>
      </c>
      <c r="C35" s="19">
        <v>90448</v>
      </c>
      <c r="D35" s="19">
        <v>103186</v>
      </c>
      <c r="E35" s="20">
        <v>3.9035026228780391E-2</v>
      </c>
      <c r="F35" s="20">
        <v>4.4174459027954818E-2</v>
      </c>
      <c r="G35" s="20">
        <v>5.0598511554649145E-2</v>
      </c>
      <c r="I35" s="19">
        <v>43912</v>
      </c>
      <c r="J35" s="19">
        <v>45422</v>
      </c>
      <c r="K35" s="19">
        <v>50419</v>
      </c>
      <c r="L35" s="20">
        <v>2.1376358658613048E-2</v>
      </c>
      <c r="M35" s="20">
        <v>2.2183931960549307E-2</v>
      </c>
      <c r="N35" s="20">
        <v>2.4723570581996156E-2</v>
      </c>
      <c r="P35" s="19">
        <v>0</v>
      </c>
      <c r="Q35" s="19">
        <v>0</v>
      </c>
      <c r="R35" s="19">
        <v>0</v>
      </c>
      <c r="S35" s="20">
        <v>0</v>
      </c>
      <c r="T35" s="20">
        <v>0</v>
      </c>
      <c r="U35" s="20">
        <v>0</v>
      </c>
      <c r="W35" s="19">
        <v>21679</v>
      </c>
      <c r="X35" s="19">
        <v>38509</v>
      </c>
      <c r="Y35" s="19">
        <v>47732</v>
      </c>
      <c r="Z35" s="20">
        <v>1.0553335747861001E-2</v>
      </c>
      <c r="AA35" s="20">
        <v>1.88076490658446E-2</v>
      </c>
      <c r="AB35" s="20">
        <v>2.3405967413471916E-2</v>
      </c>
      <c r="AD35" s="19">
        <v>145778</v>
      </c>
      <c r="AE35" s="19">
        <v>174379</v>
      </c>
      <c r="AF35" s="19">
        <v>201337</v>
      </c>
    </row>
    <row r="36" spans="1:32" customFormat="1" ht="15" x14ac:dyDescent="0.25">
      <c r="A36" s="18" t="s">
        <v>44</v>
      </c>
      <c r="B36" s="19">
        <v>0</v>
      </c>
      <c r="C36" s="19">
        <v>98</v>
      </c>
      <c r="D36" s="19">
        <v>107</v>
      </c>
      <c r="E36" s="20">
        <v>0</v>
      </c>
      <c r="F36" s="20">
        <v>0.19029126213592232</v>
      </c>
      <c r="G36" s="20">
        <v>0.22431865828092243</v>
      </c>
      <c r="I36" s="19">
        <v>0</v>
      </c>
      <c r="J36" s="19">
        <v>18</v>
      </c>
      <c r="K36" s="19">
        <v>109</v>
      </c>
      <c r="L36" s="20">
        <v>0</v>
      </c>
      <c r="M36" s="20">
        <v>3.4951456310679613E-2</v>
      </c>
      <c r="N36" s="20">
        <v>0.22851153039832284</v>
      </c>
      <c r="P36" s="19">
        <v>0</v>
      </c>
      <c r="Q36" s="19">
        <v>0</v>
      </c>
      <c r="R36" s="19">
        <v>0</v>
      </c>
      <c r="S36" s="20">
        <v>0</v>
      </c>
      <c r="T36" s="20">
        <v>0</v>
      </c>
      <c r="U36" s="20">
        <v>0</v>
      </c>
      <c r="W36" s="19">
        <v>0</v>
      </c>
      <c r="X36" s="19">
        <v>33</v>
      </c>
      <c r="Y36" s="19">
        <v>18</v>
      </c>
      <c r="Z36" s="20">
        <v>0</v>
      </c>
      <c r="AA36" s="20">
        <v>6.4077669902912623E-2</v>
      </c>
      <c r="AB36" s="20">
        <v>3.7735849056603772E-2</v>
      </c>
      <c r="AD36" s="19">
        <v>0</v>
      </c>
      <c r="AE36" s="19">
        <v>149</v>
      </c>
      <c r="AF36" s="19">
        <v>234</v>
      </c>
    </row>
    <row r="37" spans="1:32" customFormat="1" ht="15" x14ac:dyDescent="0.25">
      <c r="A37" s="18" t="s">
        <v>45</v>
      </c>
      <c r="B37" s="19">
        <v>274</v>
      </c>
      <c r="C37" s="19">
        <v>334</v>
      </c>
      <c r="D37" s="19">
        <v>374</v>
      </c>
      <c r="E37" s="20">
        <v>0.24442462087421946</v>
      </c>
      <c r="F37" s="20">
        <v>0.27810158201498753</v>
      </c>
      <c r="G37" s="20">
        <v>0.27200000000000002</v>
      </c>
      <c r="I37" s="19">
        <v>174</v>
      </c>
      <c r="J37" s="19">
        <v>224</v>
      </c>
      <c r="K37" s="19">
        <v>232</v>
      </c>
      <c r="L37" s="20">
        <v>0.15521855486173058</v>
      </c>
      <c r="M37" s="20">
        <v>0.186511240632806</v>
      </c>
      <c r="N37" s="20">
        <v>0.16872727272727273</v>
      </c>
      <c r="P37" s="19">
        <v>377</v>
      </c>
      <c r="Q37" s="19">
        <v>0</v>
      </c>
      <c r="R37" s="19">
        <v>0</v>
      </c>
      <c r="S37" s="20">
        <v>0.33630686886708294</v>
      </c>
      <c r="T37" s="20">
        <v>0</v>
      </c>
      <c r="U37" s="20">
        <v>0</v>
      </c>
      <c r="W37" s="19">
        <v>0</v>
      </c>
      <c r="X37" s="19">
        <v>379</v>
      </c>
      <c r="Y37" s="19">
        <v>469</v>
      </c>
      <c r="Z37" s="20">
        <v>0</v>
      </c>
      <c r="AA37" s="20">
        <v>0.31557035803497085</v>
      </c>
      <c r="AB37" s="20">
        <v>0.34109090909090911</v>
      </c>
      <c r="AD37" s="19">
        <v>825</v>
      </c>
      <c r="AE37" s="19">
        <v>937</v>
      </c>
      <c r="AF37" s="19">
        <v>1075</v>
      </c>
    </row>
    <row r="38" spans="1:32" customFormat="1" ht="15" x14ac:dyDescent="0.25">
      <c r="A38" s="18" t="s">
        <v>46</v>
      </c>
      <c r="B38" s="19">
        <v>0</v>
      </c>
      <c r="C38" s="19">
        <v>0</v>
      </c>
      <c r="D38" s="19">
        <v>10</v>
      </c>
      <c r="E38" s="20">
        <v>0</v>
      </c>
      <c r="F38" s="20">
        <v>0</v>
      </c>
      <c r="G38" s="20">
        <v>2.4096385542168676E-2</v>
      </c>
      <c r="I38" s="19">
        <v>0</v>
      </c>
      <c r="J38" s="19">
        <v>0</v>
      </c>
      <c r="K38" s="19">
        <v>39</v>
      </c>
      <c r="L38" s="20">
        <v>0</v>
      </c>
      <c r="M38" s="20">
        <v>0</v>
      </c>
      <c r="N38" s="20">
        <v>9.3975903614457831E-2</v>
      </c>
      <c r="P38" s="19">
        <v>0</v>
      </c>
      <c r="Q38" s="19">
        <v>0</v>
      </c>
      <c r="R38" s="19">
        <v>0</v>
      </c>
      <c r="S38" s="20">
        <v>0</v>
      </c>
      <c r="T38" s="20">
        <v>0</v>
      </c>
      <c r="U38" s="20">
        <v>0</v>
      </c>
      <c r="W38" s="19">
        <v>0</v>
      </c>
      <c r="X38" s="19">
        <v>0</v>
      </c>
      <c r="Y38" s="19">
        <v>0</v>
      </c>
      <c r="Z38" s="20">
        <v>0</v>
      </c>
      <c r="AA38" s="20">
        <v>0</v>
      </c>
      <c r="AB38" s="20">
        <v>0</v>
      </c>
      <c r="AD38" s="19">
        <v>0</v>
      </c>
      <c r="AE38" s="19">
        <v>0</v>
      </c>
      <c r="AF38" s="19">
        <v>49</v>
      </c>
    </row>
    <row r="39" spans="1:32" customFormat="1" ht="15" x14ac:dyDescent="0.25">
      <c r="A39" s="18" t="s">
        <v>126</v>
      </c>
      <c r="B39" s="19">
        <v>1907</v>
      </c>
      <c r="C39" s="19">
        <v>2213</v>
      </c>
      <c r="D39" s="19">
        <v>2481</v>
      </c>
      <c r="E39" s="20">
        <v>3.1307459942211714E-2</v>
      </c>
      <c r="F39" s="20">
        <v>3.6404013818062179E-2</v>
      </c>
      <c r="G39" s="20">
        <v>4.0865740969511288E-2</v>
      </c>
      <c r="I39" s="19">
        <v>1420</v>
      </c>
      <c r="J39" s="19">
        <v>1702</v>
      </c>
      <c r="K39" s="19">
        <v>2014</v>
      </c>
      <c r="L39" s="20">
        <v>2.3312319411610192E-2</v>
      </c>
      <c r="M39" s="20">
        <v>2.7998025991116959E-2</v>
      </c>
      <c r="N39" s="20">
        <v>3.317355998089308E-2</v>
      </c>
      <c r="P39" s="19">
        <v>0</v>
      </c>
      <c r="Q39" s="19">
        <v>0</v>
      </c>
      <c r="R39" s="19">
        <v>0</v>
      </c>
      <c r="S39" s="20">
        <v>0</v>
      </c>
      <c r="T39" s="20">
        <v>0</v>
      </c>
      <c r="U39" s="20">
        <v>0</v>
      </c>
      <c r="W39" s="19">
        <v>731</v>
      </c>
      <c r="X39" s="19">
        <v>856</v>
      </c>
      <c r="Y39" s="19">
        <v>951</v>
      </c>
      <c r="Z39" s="20">
        <v>1.2000919359075388E-2</v>
      </c>
      <c r="AA39" s="20">
        <v>1.4081263365685145E-2</v>
      </c>
      <c r="AB39" s="20">
        <v>1.5664377130997678E-2</v>
      </c>
      <c r="AD39" s="19">
        <v>4058</v>
      </c>
      <c r="AE39" s="19">
        <v>4771</v>
      </c>
      <c r="AF39" s="19">
        <v>5446</v>
      </c>
    </row>
    <row r="40" spans="1:32" customFormat="1" ht="15" x14ac:dyDescent="0.25">
      <c r="A40" s="18" t="s">
        <v>48</v>
      </c>
      <c r="B40" s="19">
        <v>4161</v>
      </c>
      <c r="C40" s="19">
        <v>4434</v>
      </c>
      <c r="D40" s="19">
        <v>4766</v>
      </c>
      <c r="E40" s="20">
        <v>0.10393925011865211</v>
      </c>
      <c r="F40" s="20">
        <v>0.1045557441992077</v>
      </c>
      <c r="G40" s="20">
        <v>0.10770864878302334</v>
      </c>
      <c r="I40" s="19">
        <v>2993</v>
      </c>
      <c r="J40" s="19">
        <v>3057</v>
      </c>
      <c r="K40" s="19">
        <v>3119</v>
      </c>
      <c r="L40" s="20">
        <v>7.4763320260784846E-2</v>
      </c>
      <c r="M40" s="20">
        <v>7.2085455574419921E-2</v>
      </c>
      <c r="N40" s="20">
        <v>7.0487468643359169E-2</v>
      </c>
      <c r="P40" s="19">
        <v>0</v>
      </c>
      <c r="Q40" s="19">
        <v>0</v>
      </c>
      <c r="R40" s="19">
        <v>0</v>
      </c>
      <c r="S40" s="20">
        <v>0</v>
      </c>
      <c r="T40" s="20">
        <v>0</v>
      </c>
      <c r="U40" s="20">
        <v>0</v>
      </c>
      <c r="W40" s="19">
        <v>4153</v>
      </c>
      <c r="X40" s="19">
        <v>4855</v>
      </c>
      <c r="Y40" s="19">
        <v>5131</v>
      </c>
      <c r="Z40" s="20">
        <v>0.10373941498263932</v>
      </c>
      <c r="AA40" s="20">
        <v>0.11448311639313337</v>
      </c>
      <c r="AB40" s="20">
        <v>0.11595742276661619</v>
      </c>
      <c r="AD40" s="19">
        <v>11307</v>
      </c>
      <c r="AE40" s="19">
        <v>12346</v>
      </c>
      <c r="AF40" s="19">
        <v>13016</v>
      </c>
    </row>
    <row r="41" spans="1:32" customFormat="1" ht="15" x14ac:dyDescent="0.25">
      <c r="A41" s="18" t="s">
        <v>49</v>
      </c>
      <c r="B41" s="19">
        <v>328</v>
      </c>
      <c r="C41" s="19">
        <v>498</v>
      </c>
      <c r="D41" s="19">
        <v>612</v>
      </c>
      <c r="E41" s="20">
        <v>2.637079916385271E-2</v>
      </c>
      <c r="F41" s="20">
        <v>3.9052697616060228E-2</v>
      </c>
      <c r="G41" s="20">
        <v>4.8936510474972016E-2</v>
      </c>
      <c r="I41" s="19">
        <v>160</v>
      </c>
      <c r="J41" s="19">
        <v>183</v>
      </c>
      <c r="K41" s="19">
        <v>212</v>
      </c>
      <c r="L41" s="20">
        <v>1.2863804470172054E-2</v>
      </c>
      <c r="M41" s="20">
        <v>1.4350690087829359E-2</v>
      </c>
      <c r="N41" s="20">
        <v>1.6951863105709258E-2</v>
      </c>
      <c r="P41" s="19">
        <v>3</v>
      </c>
      <c r="Q41" s="19">
        <v>6</v>
      </c>
      <c r="R41" s="19">
        <v>7</v>
      </c>
      <c r="S41" s="20">
        <v>2.4119633381572601E-4</v>
      </c>
      <c r="T41" s="20">
        <v>4.7051442910915934E-4</v>
      </c>
      <c r="U41" s="20">
        <v>5.5973132896209817E-4</v>
      </c>
      <c r="W41" s="19">
        <v>202</v>
      </c>
      <c r="X41" s="19">
        <v>296</v>
      </c>
      <c r="Y41" s="19">
        <v>307</v>
      </c>
      <c r="Z41" s="20">
        <v>1.6240553143592216E-2</v>
      </c>
      <c r="AA41" s="20">
        <v>2.3212045169385194E-2</v>
      </c>
      <c r="AB41" s="20">
        <v>2.4548216855909164E-2</v>
      </c>
      <c r="AD41" s="19">
        <v>693</v>
      </c>
      <c r="AE41" s="19">
        <v>983</v>
      </c>
      <c r="AF41" s="19">
        <v>1138</v>
      </c>
    </row>
    <row r="42" spans="1:32" customFormat="1" ht="15" x14ac:dyDescent="0.25">
      <c r="A42" s="18" t="s">
        <v>50</v>
      </c>
      <c r="B42" s="19">
        <v>4</v>
      </c>
      <c r="C42" s="19">
        <v>5</v>
      </c>
      <c r="D42" s="19">
        <v>5</v>
      </c>
      <c r="E42" s="20">
        <v>6.6445182724252493E-3</v>
      </c>
      <c r="F42" s="20">
        <v>8.0645161290322578E-3</v>
      </c>
      <c r="G42" s="20">
        <v>8.389261744966443E-3</v>
      </c>
      <c r="I42" s="19">
        <v>0</v>
      </c>
      <c r="J42" s="19">
        <v>0</v>
      </c>
      <c r="K42" s="19">
        <v>0</v>
      </c>
      <c r="L42" s="20">
        <v>0</v>
      </c>
      <c r="M42" s="20">
        <v>0</v>
      </c>
      <c r="N42" s="20">
        <v>0</v>
      </c>
      <c r="P42" s="19">
        <v>0</v>
      </c>
      <c r="Q42" s="19">
        <v>0</v>
      </c>
      <c r="R42" s="19">
        <v>0</v>
      </c>
      <c r="S42" s="20">
        <v>0</v>
      </c>
      <c r="T42" s="20">
        <v>0</v>
      </c>
      <c r="U42" s="20">
        <v>0</v>
      </c>
      <c r="W42" s="19">
        <v>760</v>
      </c>
      <c r="X42" s="19">
        <v>615</v>
      </c>
      <c r="Y42" s="19">
        <v>591</v>
      </c>
      <c r="Z42" s="20">
        <v>1.2624584717607974</v>
      </c>
      <c r="AA42" s="20">
        <v>0.99193548387096775</v>
      </c>
      <c r="AB42" s="20">
        <v>0.99161073825503354</v>
      </c>
      <c r="AD42" s="19">
        <v>764</v>
      </c>
      <c r="AE42" s="19">
        <v>620</v>
      </c>
      <c r="AF42" s="19">
        <v>596</v>
      </c>
    </row>
    <row r="43" spans="1:32" customFormat="1" ht="15" x14ac:dyDescent="0.25">
      <c r="A43" s="18" t="s">
        <v>51</v>
      </c>
      <c r="B43" s="19">
        <v>24</v>
      </c>
      <c r="C43" s="19">
        <v>50</v>
      </c>
      <c r="D43" s="19">
        <v>186</v>
      </c>
      <c r="E43" s="20">
        <v>6.0453400503778336E-2</v>
      </c>
      <c r="F43" s="20">
        <v>5.3763440860215055E-2</v>
      </c>
      <c r="G43" s="20">
        <v>6.1143984220907298E-2</v>
      </c>
      <c r="I43" s="19">
        <v>13</v>
      </c>
      <c r="J43" s="19">
        <v>36</v>
      </c>
      <c r="K43" s="19">
        <v>113</v>
      </c>
      <c r="L43" s="20">
        <v>3.2745591939546598E-2</v>
      </c>
      <c r="M43" s="20">
        <v>3.870967741935484E-2</v>
      </c>
      <c r="N43" s="20">
        <v>3.7146614069690991E-2</v>
      </c>
      <c r="P43" s="19">
        <v>0</v>
      </c>
      <c r="Q43" s="19">
        <v>0</v>
      </c>
      <c r="R43" s="19">
        <v>0</v>
      </c>
      <c r="S43" s="20">
        <v>0</v>
      </c>
      <c r="T43" s="20">
        <v>0</v>
      </c>
      <c r="U43" s="20">
        <v>0</v>
      </c>
      <c r="W43" s="19">
        <v>17</v>
      </c>
      <c r="X43" s="19">
        <v>39</v>
      </c>
      <c r="Y43" s="19">
        <v>138</v>
      </c>
      <c r="Z43" s="20">
        <v>4.2821158690176324E-2</v>
      </c>
      <c r="AA43" s="20">
        <v>4.1935483870967745E-2</v>
      </c>
      <c r="AB43" s="20">
        <v>4.5364891518737675E-2</v>
      </c>
      <c r="AD43" s="19">
        <v>54</v>
      </c>
      <c r="AE43" s="19">
        <v>125</v>
      </c>
      <c r="AF43" s="19">
        <v>437</v>
      </c>
    </row>
    <row r="44" spans="1:32" customFormat="1" ht="15" x14ac:dyDescent="0.25">
      <c r="A44" s="18" t="s">
        <v>52</v>
      </c>
      <c r="B44" s="19">
        <v>8799</v>
      </c>
      <c r="C44" s="19">
        <v>10068</v>
      </c>
      <c r="D44" s="19">
        <v>11491</v>
      </c>
      <c r="E44" s="20">
        <v>3.1453982598251246E-2</v>
      </c>
      <c r="F44" s="20">
        <v>3.4930316308793986E-2</v>
      </c>
      <c r="G44" s="20">
        <v>3.8524463755288688E-2</v>
      </c>
      <c r="I44" s="19">
        <v>8318</v>
      </c>
      <c r="J44" s="19">
        <v>9188</v>
      </c>
      <c r="K44" s="19">
        <v>9955</v>
      </c>
      <c r="L44" s="20">
        <v>2.9734541112882585E-2</v>
      </c>
      <c r="M44" s="20">
        <v>3.1877209599245053E-2</v>
      </c>
      <c r="N44" s="20">
        <v>3.3374905289696187E-2</v>
      </c>
      <c r="P44" s="19">
        <v>0</v>
      </c>
      <c r="Q44" s="19">
        <v>0</v>
      </c>
      <c r="R44" s="19">
        <v>0</v>
      </c>
      <c r="S44" s="20">
        <v>0</v>
      </c>
      <c r="T44" s="20">
        <v>0</v>
      </c>
      <c r="U44" s="20">
        <v>0</v>
      </c>
      <c r="W44" s="19">
        <v>7953</v>
      </c>
      <c r="X44" s="19">
        <v>11384</v>
      </c>
      <c r="Y44" s="19">
        <v>14769</v>
      </c>
      <c r="Z44" s="20">
        <v>2.8429767428559172E-2</v>
      </c>
      <c r="AA44" s="20">
        <v>3.9496098615346718E-2</v>
      </c>
      <c r="AB44" s="20">
        <v>4.9514211574437271E-2</v>
      </c>
      <c r="AD44" s="19">
        <v>25070</v>
      </c>
      <c r="AE44" s="19">
        <v>30640</v>
      </c>
      <c r="AF44" s="19">
        <v>36215</v>
      </c>
    </row>
    <row r="45" spans="1:32" customFormat="1" ht="15" x14ac:dyDescent="0.25">
      <c r="A45" s="18" t="s">
        <v>53</v>
      </c>
      <c r="B45" s="19">
        <v>710</v>
      </c>
      <c r="C45" s="19">
        <v>611</v>
      </c>
      <c r="D45" s="19">
        <v>121</v>
      </c>
      <c r="E45" s="20">
        <v>0.29744449099287806</v>
      </c>
      <c r="F45" s="20">
        <v>0.27634554500226144</v>
      </c>
      <c r="G45" s="20">
        <v>0.10871518418688229</v>
      </c>
      <c r="I45" s="19">
        <v>1063</v>
      </c>
      <c r="J45" s="19">
        <v>1217</v>
      </c>
      <c r="K45" s="19">
        <v>342</v>
      </c>
      <c r="L45" s="20">
        <v>0.44532886468370342</v>
      </c>
      <c r="M45" s="20">
        <v>0.55042966983265496</v>
      </c>
      <c r="N45" s="20">
        <v>0.30727762803234504</v>
      </c>
      <c r="P45" s="19">
        <v>429</v>
      </c>
      <c r="Q45" s="19">
        <v>356</v>
      </c>
      <c r="R45" s="19">
        <v>21</v>
      </c>
      <c r="S45" s="20">
        <v>0.17972350230414746</v>
      </c>
      <c r="T45" s="20">
        <v>0.16101311623699682</v>
      </c>
      <c r="U45" s="20">
        <v>1.8867924528301886E-2</v>
      </c>
      <c r="W45" s="19">
        <v>185</v>
      </c>
      <c r="X45" s="19">
        <v>20</v>
      </c>
      <c r="Y45" s="19">
        <v>8</v>
      </c>
      <c r="Z45" s="20">
        <v>7.7503142019271054E-2</v>
      </c>
      <c r="AA45" s="20">
        <v>9.0456806874717327E-3</v>
      </c>
      <c r="AB45" s="20">
        <v>7.1877807726864335E-3</v>
      </c>
      <c r="AD45" s="19">
        <v>2387</v>
      </c>
      <c r="AE45" s="19">
        <v>2204</v>
      </c>
      <c r="AF45" s="19">
        <v>492</v>
      </c>
    </row>
    <row r="46" spans="1:32" customFormat="1" ht="15" x14ac:dyDescent="0.25">
      <c r="A46" s="18" t="s">
        <v>54</v>
      </c>
      <c r="B46" s="19">
        <v>19</v>
      </c>
      <c r="C46" s="19">
        <v>0</v>
      </c>
      <c r="D46" s="19">
        <v>0</v>
      </c>
      <c r="E46" s="20">
        <v>7.1915215745647241E-3</v>
      </c>
      <c r="F46" s="20">
        <v>0</v>
      </c>
      <c r="G46" s="20">
        <v>0</v>
      </c>
      <c r="I46" s="19">
        <v>0</v>
      </c>
      <c r="J46" s="19">
        <v>0</v>
      </c>
      <c r="K46" s="19">
        <v>0</v>
      </c>
      <c r="L46" s="20">
        <v>0</v>
      </c>
      <c r="M46" s="20">
        <v>0</v>
      </c>
      <c r="N46" s="20">
        <v>0</v>
      </c>
      <c r="P46" s="19">
        <v>0</v>
      </c>
      <c r="Q46" s="19">
        <v>0</v>
      </c>
      <c r="R46" s="19">
        <v>0</v>
      </c>
      <c r="S46" s="20">
        <v>0</v>
      </c>
      <c r="T46" s="20">
        <v>0</v>
      </c>
      <c r="U46" s="20">
        <v>0</v>
      </c>
      <c r="W46" s="19">
        <v>0</v>
      </c>
      <c r="X46" s="19">
        <v>0</v>
      </c>
      <c r="Y46" s="19">
        <v>0</v>
      </c>
      <c r="Z46" s="20">
        <v>0</v>
      </c>
      <c r="AA46" s="20">
        <v>0</v>
      </c>
      <c r="AB46" s="20">
        <v>0</v>
      </c>
      <c r="AD46" s="19">
        <v>19</v>
      </c>
      <c r="AE46" s="19">
        <v>0</v>
      </c>
      <c r="AF46" s="19">
        <v>0</v>
      </c>
    </row>
    <row r="47" spans="1:32" customFormat="1" ht="15" x14ac:dyDescent="0.25">
      <c r="A47" s="18" t="s">
        <v>55</v>
      </c>
      <c r="B47" s="19">
        <v>1897</v>
      </c>
      <c r="C47" s="19">
        <v>1702</v>
      </c>
      <c r="D47" s="19">
        <v>1828</v>
      </c>
      <c r="E47" s="20">
        <v>1.433288251871888E-2</v>
      </c>
      <c r="F47" s="20">
        <v>1.246229095275752E-2</v>
      </c>
      <c r="G47" s="20">
        <v>1.3309452040831185E-2</v>
      </c>
      <c r="I47" s="19">
        <v>6018</v>
      </c>
      <c r="J47" s="19">
        <v>7879</v>
      </c>
      <c r="K47" s="19">
        <v>9019</v>
      </c>
      <c r="L47" s="20">
        <v>4.5469313124749722E-2</v>
      </c>
      <c r="M47" s="20">
        <v>5.7691181208446823E-2</v>
      </c>
      <c r="N47" s="20">
        <v>6.5666273499046204E-2</v>
      </c>
      <c r="P47" s="19">
        <v>284</v>
      </c>
      <c r="Q47" s="19">
        <v>241</v>
      </c>
      <c r="R47" s="19">
        <v>267</v>
      </c>
      <c r="S47" s="20">
        <v>2.1457768240991893E-3</v>
      </c>
      <c r="T47" s="20">
        <v>1.7646369680461588E-3</v>
      </c>
      <c r="U47" s="20">
        <v>1.9439954567297192E-3</v>
      </c>
      <c r="W47" s="19">
        <v>179</v>
      </c>
      <c r="X47" s="19">
        <v>407</v>
      </c>
      <c r="Y47" s="19">
        <v>490</v>
      </c>
      <c r="Z47" s="20">
        <v>1.3524438433582919E-3</v>
      </c>
      <c r="AA47" s="20">
        <v>2.9801130539202766E-3</v>
      </c>
      <c r="AB47" s="20">
        <v>3.5676321116013573E-3</v>
      </c>
      <c r="AD47" s="19">
        <v>8378</v>
      </c>
      <c r="AE47" s="19">
        <v>10229</v>
      </c>
      <c r="AF47" s="19">
        <v>11604</v>
      </c>
    </row>
    <row r="48" spans="1:32" customFormat="1" ht="15" x14ac:dyDescent="0.25">
      <c r="A48" s="18" t="s">
        <v>56</v>
      </c>
      <c r="B48" s="19">
        <v>160</v>
      </c>
      <c r="C48" s="19">
        <v>45</v>
      </c>
      <c r="D48" s="19">
        <v>65</v>
      </c>
      <c r="E48" s="20">
        <v>3.0395136778115502E-2</v>
      </c>
      <c r="F48" s="20">
        <v>9.085402786190187E-3</v>
      </c>
      <c r="G48" s="20">
        <v>1.1754068716094032E-2</v>
      </c>
      <c r="I48" s="19">
        <v>181</v>
      </c>
      <c r="J48" s="19">
        <v>27</v>
      </c>
      <c r="K48" s="19">
        <v>36</v>
      </c>
      <c r="L48" s="20">
        <v>3.4384498480243164E-2</v>
      </c>
      <c r="M48" s="20">
        <v>5.4512416717141131E-3</v>
      </c>
      <c r="N48" s="20">
        <v>6.5099457504520794E-3</v>
      </c>
      <c r="P48" s="19">
        <v>21</v>
      </c>
      <c r="Q48" s="19">
        <v>13</v>
      </c>
      <c r="R48" s="19">
        <v>32</v>
      </c>
      <c r="S48" s="20">
        <v>3.9893617021276593E-3</v>
      </c>
      <c r="T48" s="20">
        <v>2.6246719160104987E-3</v>
      </c>
      <c r="U48" s="20">
        <v>5.7866184448462929E-3</v>
      </c>
      <c r="W48" s="19">
        <v>251</v>
      </c>
      <c r="X48" s="19">
        <v>31</v>
      </c>
      <c r="Y48" s="19">
        <v>25</v>
      </c>
      <c r="Z48" s="20">
        <v>4.7682370820668694E-2</v>
      </c>
      <c r="AA48" s="20">
        <v>6.2588330304865734E-3</v>
      </c>
      <c r="AB48" s="20">
        <v>4.5207956600361665E-3</v>
      </c>
      <c r="AD48" s="19">
        <v>613</v>
      </c>
      <c r="AE48" s="19">
        <v>116</v>
      </c>
      <c r="AF48" s="19">
        <v>158</v>
      </c>
    </row>
    <row r="49" spans="1:32" customFormat="1" ht="15" x14ac:dyDescent="0.25">
      <c r="A49" s="18" t="s">
        <v>58</v>
      </c>
      <c r="B49" s="19">
        <v>1</v>
      </c>
      <c r="C49" s="19">
        <v>0</v>
      </c>
      <c r="D49" s="19">
        <v>2</v>
      </c>
      <c r="E49" s="20">
        <v>1.6474464579901153E-3</v>
      </c>
      <c r="F49" s="20">
        <v>0</v>
      </c>
      <c r="G49" s="20">
        <v>1.2345679012345678E-2</v>
      </c>
      <c r="I49" s="19">
        <v>0</v>
      </c>
      <c r="J49" s="19">
        <v>0</v>
      </c>
      <c r="K49" s="19">
        <v>1</v>
      </c>
      <c r="L49" s="20">
        <v>0</v>
      </c>
      <c r="M49" s="20">
        <v>0</v>
      </c>
      <c r="N49" s="20">
        <v>6.1728395061728392E-3</v>
      </c>
      <c r="P49" s="19">
        <v>0</v>
      </c>
      <c r="Q49" s="19">
        <v>0</v>
      </c>
      <c r="R49" s="19">
        <v>0</v>
      </c>
      <c r="S49" s="20">
        <v>0</v>
      </c>
      <c r="T49" s="20">
        <v>0</v>
      </c>
      <c r="U49" s="20">
        <v>0</v>
      </c>
      <c r="W49" s="19">
        <v>0</v>
      </c>
      <c r="X49" s="19">
        <v>0</v>
      </c>
      <c r="Y49" s="19">
        <v>3</v>
      </c>
      <c r="Z49" s="20">
        <v>0</v>
      </c>
      <c r="AA49" s="20">
        <v>0</v>
      </c>
      <c r="AB49" s="20">
        <v>1.8518518518518517E-2</v>
      </c>
      <c r="AD49" s="19">
        <v>1</v>
      </c>
      <c r="AE49" s="19">
        <v>0</v>
      </c>
      <c r="AF49" s="19">
        <v>6</v>
      </c>
    </row>
    <row r="50" spans="1:32" customFormat="1" ht="15" x14ac:dyDescent="0.25">
      <c r="A50" s="18" t="s">
        <v>59</v>
      </c>
      <c r="B50" s="19">
        <v>5</v>
      </c>
      <c r="C50" s="19">
        <v>34</v>
      </c>
      <c r="D50" s="19">
        <v>56</v>
      </c>
      <c r="E50" s="20">
        <v>1</v>
      </c>
      <c r="F50" s="20">
        <v>1</v>
      </c>
      <c r="G50" s="20">
        <v>1</v>
      </c>
      <c r="I50" s="19">
        <v>0</v>
      </c>
      <c r="J50" s="19">
        <v>0</v>
      </c>
      <c r="K50" s="19">
        <v>0</v>
      </c>
      <c r="L50" s="20">
        <v>0</v>
      </c>
      <c r="M50" s="20">
        <v>0</v>
      </c>
      <c r="N50" s="20">
        <v>0</v>
      </c>
      <c r="P50" s="19">
        <v>0</v>
      </c>
      <c r="Q50" s="19">
        <v>0</v>
      </c>
      <c r="R50" s="19">
        <v>0</v>
      </c>
      <c r="S50" s="20">
        <v>0</v>
      </c>
      <c r="T50" s="20">
        <v>0</v>
      </c>
      <c r="U50" s="20">
        <v>0</v>
      </c>
      <c r="W50" s="19">
        <v>0</v>
      </c>
      <c r="X50" s="19">
        <v>0</v>
      </c>
      <c r="Y50" s="19">
        <v>0</v>
      </c>
      <c r="Z50" s="20">
        <v>0</v>
      </c>
      <c r="AA50" s="20">
        <v>0</v>
      </c>
      <c r="AB50" s="20">
        <v>0</v>
      </c>
      <c r="AD50" s="19">
        <v>5</v>
      </c>
      <c r="AE50" s="19">
        <v>34</v>
      </c>
      <c r="AF50" s="19">
        <v>56</v>
      </c>
    </row>
    <row r="51" spans="1:32" s="43" customFormat="1" ht="15" x14ac:dyDescent="0.25">
      <c r="A51" s="1" t="s">
        <v>62</v>
      </c>
      <c r="B51" s="21">
        <v>414417</v>
      </c>
      <c r="C51" s="21">
        <v>441628</v>
      </c>
      <c r="D51" s="21">
        <v>488809</v>
      </c>
      <c r="E51" s="22">
        <v>5.7738123766288341E-2</v>
      </c>
      <c r="F51" s="22">
        <v>6.1807889299235905E-2</v>
      </c>
      <c r="G51" s="22">
        <v>6.7779300904326725E-2</v>
      </c>
      <c r="I51" s="21">
        <v>186458</v>
      </c>
      <c r="J51" s="21">
        <v>197079</v>
      </c>
      <c r="K51" s="21">
        <v>217428</v>
      </c>
      <c r="L51" s="22">
        <v>2.5978024746124293E-2</v>
      </c>
      <c r="M51" s="22">
        <v>2.7582121186165987E-2</v>
      </c>
      <c r="N51" s="22">
        <v>3.0149031292439281E-2</v>
      </c>
      <c r="P51" s="21">
        <v>10673</v>
      </c>
      <c r="Q51" s="21">
        <v>11542</v>
      </c>
      <c r="R51" s="21">
        <v>12368</v>
      </c>
      <c r="S51" s="22">
        <v>1.4870022102317121E-3</v>
      </c>
      <c r="T51" s="22">
        <v>1.6153564952670139E-3</v>
      </c>
      <c r="U51" s="22">
        <v>1.7149733200180705E-3</v>
      </c>
      <c r="W51" s="21">
        <v>105343</v>
      </c>
      <c r="X51" s="21">
        <v>132178</v>
      </c>
      <c r="Y51" s="21">
        <v>156756</v>
      </c>
      <c r="Z51" s="22">
        <v>1.4676780083616532E-2</v>
      </c>
      <c r="AA51" s="22">
        <v>1.8498924868428638E-2</v>
      </c>
      <c r="AB51" s="22">
        <v>2.173612206927172E-2</v>
      </c>
      <c r="AD51" s="21">
        <v>716891</v>
      </c>
      <c r="AE51" s="21">
        <v>782427</v>
      </c>
      <c r="AF51" s="21">
        <v>875361</v>
      </c>
    </row>
    <row r="52" spans="1:32" customFormat="1" ht="15" x14ac:dyDescent="0.25">
      <c r="A52" s="1"/>
      <c r="B52" s="21"/>
      <c r="C52" s="21"/>
      <c r="D52" s="21"/>
      <c r="E52" s="22"/>
      <c r="F52" s="22"/>
      <c r="G52" s="22"/>
      <c r="I52" s="21"/>
      <c r="J52" s="21"/>
      <c r="K52" s="21"/>
      <c r="L52" s="22"/>
      <c r="M52" s="22"/>
      <c r="N52" s="22"/>
      <c r="P52" s="21"/>
      <c r="Q52" s="21"/>
      <c r="R52" s="21"/>
      <c r="S52" s="22"/>
      <c r="T52" s="22"/>
      <c r="U52" s="22"/>
      <c r="W52" s="21"/>
      <c r="X52" s="21"/>
      <c r="Y52" s="21"/>
      <c r="Z52" s="22"/>
      <c r="AA52" s="22"/>
      <c r="AB52" s="22"/>
      <c r="AD52" s="19"/>
      <c r="AE52" s="19"/>
      <c r="AF52" s="19"/>
    </row>
    <row r="53" spans="1:32" customFormat="1" ht="15" x14ac:dyDescent="0.25">
      <c r="A53" s="1" t="s">
        <v>63</v>
      </c>
      <c r="B53" s="21"/>
      <c r="C53" s="21"/>
      <c r="D53" s="21"/>
      <c r="E53" s="22"/>
      <c r="F53" s="22"/>
      <c r="G53" s="22"/>
      <c r="I53" s="21"/>
      <c r="J53" s="21"/>
      <c r="K53" s="21"/>
      <c r="L53" s="22"/>
      <c r="M53" s="22"/>
      <c r="N53" s="22"/>
      <c r="P53" s="21"/>
      <c r="Q53" s="21"/>
      <c r="R53" s="21"/>
      <c r="S53" s="22"/>
      <c r="T53" s="22"/>
      <c r="U53" s="22"/>
      <c r="W53" s="21"/>
      <c r="X53" s="21"/>
      <c r="Y53" s="21"/>
      <c r="Z53" s="22"/>
      <c r="AA53" s="22"/>
      <c r="AB53" s="22"/>
      <c r="AD53" s="19"/>
      <c r="AE53" s="19"/>
      <c r="AF53" s="19"/>
    </row>
    <row r="54" spans="1:32" customFormat="1" ht="15" x14ac:dyDescent="0.25">
      <c r="A54" s="28" t="s">
        <v>64</v>
      </c>
      <c r="B54" s="25"/>
      <c r="C54" s="25"/>
      <c r="D54" s="25"/>
      <c r="E54" s="25"/>
      <c r="F54" s="25"/>
      <c r="G54" s="25"/>
      <c r="I54" s="25"/>
      <c r="J54" s="25"/>
      <c r="K54" s="25"/>
      <c r="L54" s="25"/>
      <c r="M54" s="25"/>
      <c r="N54" s="25"/>
      <c r="P54" s="25"/>
      <c r="Q54" s="25"/>
      <c r="R54" s="25"/>
      <c r="S54" s="25"/>
      <c r="T54" s="25"/>
      <c r="U54" s="25"/>
      <c r="W54" s="25"/>
      <c r="X54" s="25"/>
      <c r="Y54" s="25"/>
      <c r="Z54" s="25"/>
      <c r="AA54" s="25"/>
      <c r="AB54" s="25"/>
      <c r="AD54" s="19"/>
      <c r="AE54" s="19"/>
      <c r="AF54" s="19"/>
    </row>
    <row r="55" spans="1:32" customFormat="1" ht="15" x14ac:dyDescent="0.25">
      <c r="A55" s="18" t="s">
        <v>18</v>
      </c>
      <c r="B55" s="19">
        <v>5544</v>
      </c>
      <c r="C55" s="19">
        <v>7402</v>
      </c>
      <c r="D55" s="19">
        <v>9819</v>
      </c>
      <c r="E55" s="20">
        <v>3.5111052001595956E-2</v>
      </c>
      <c r="F55" s="20">
        <v>4.7470627469088297E-2</v>
      </c>
      <c r="G55" s="20">
        <v>6.3116687771985425E-2</v>
      </c>
      <c r="I55" s="19">
        <v>789</v>
      </c>
      <c r="J55" s="19">
        <v>964</v>
      </c>
      <c r="K55" s="19">
        <v>1078</v>
      </c>
      <c r="L55" s="20">
        <v>4.9968650846427144E-3</v>
      </c>
      <c r="M55" s="20">
        <v>6.1823405674413835E-3</v>
      </c>
      <c r="N55" s="20">
        <v>6.9294011017619192E-3</v>
      </c>
      <c r="P55" s="19">
        <v>1810</v>
      </c>
      <c r="Q55" s="19">
        <v>2147</v>
      </c>
      <c r="R55" s="19">
        <v>2743</v>
      </c>
      <c r="S55" s="20">
        <v>1.1463023831689878E-2</v>
      </c>
      <c r="T55" s="20">
        <v>1.3769175516905239E-2</v>
      </c>
      <c r="U55" s="20">
        <v>1.763204751589327E-2</v>
      </c>
      <c r="W55" s="19">
        <v>0</v>
      </c>
      <c r="X55" s="19">
        <v>0</v>
      </c>
      <c r="Y55" s="19">
        <v>0</v>
      </c>
      <c r="Z55" s="20">
        <v>0</v>
      </c>
      <c r="AA55" s="20">
        <v>0</v>
      </c>
      <c r="AB55" s="20">
        <v>0</v>
      </c>
      <c r="AD55" s="19">
        <v>8143</v>
      </c>
      <c r="AE55" s="19">
        <v>10513</v>
      </c>
      <c r="AF55" s="19">
        <v>13640</v>
      </c>
    </row>
    <row r="56" spans="1:32" customFormat="1" ht="15" x14ac:dyDescent="0.25">
      <c r="A56" s="18" t="s">
        <v>29</v>
      </c>
      <c r="B56" s="19">
        <v>41</v>
      </c>
      <c r="C56" s="19">
        <v>45</v>
      </c>
      <c r="D56" s="19">
        <v>0</v>
      </c>
      <c r="E56" s="20">
        <v>0.15769230769230769</v>
      </c>
      <c r="F56" s="20">
        <v>0.14516129032258066</v>
      </c>
      <c r="G56" s="20">
        <v>0</v>
      </c>
      <c r="I56" s="19">
        <v>0</v>
      </c>
      <c r="J56" s="19">
        <v>7</v>
      </c>
      <c r="K56" s="19">
        <v>0</v>
      </c>
      <c r="L56" s="20">
        <v>0</v>
      </c>
      <c r="M56" s="20">
        <v>2.2580645161290321E-2</v>
      </c>
      <c r="N56" s="20">
        <v>0</v>
      </c>
      <c r="P56" s="19">
        <v>0</v>
      </c>
      <c r="Q56" s="19">
        <v>135</v>
      </c>
      <c r="R56" s="19">
        <v>2</v>
      </c>
      <c r="S56" s="20">
        <v>0</v>
      </c>
      <c r="T56" s="20">
        <v>0.43548387096774194</v>
      </c>
      <c r="U56" s="20">
        <v>4.2643923240938165E-3</v>
      </c>
      <c r="W56" s="19">
        <v>0</v>
      </c>
      <c r="X56" s="19">
        <v>1</v>
      </c>
      <c r="Y56" s="19">
        <v>8</v>
      </c>
      <c r="Z56" s="20">
        <v>0</v>
      </c>
      <c r="AA56" s="20">
        <v>3.2258064516129032E-3</v>
      </c>
      <c r="AB56" s="20">
        <v>1.7057569296375266E-2</v>
      </c>
      <c r="AD56" s="19">
        <v>41</v>
      </c>
      <c r="AE56" s="19">
        <v>188</v>
      </c>
      <c r="AF56" s="19">
        <v>10</v>
      </c>
    </row>
    <row r="57" spans="1:32" customFormat="1" ht="15" x14ac:dyDescent="0.25">
      <c r="A57" s="18" t="s">
        <v>30</v>
      </c>
      <c r="B57" s="19">
        <v>217</v>
      </c>
      <c r="C57" s="19">
        <v>273</v>
      </c>
      <c r="D57" s="19">
        <v>328</v>
      </c>
      <c r="E57" s="20">
        <v>2.5613786591123702E-2</v>
      </c>
      <c r="F57" s="20">
        <v>3.3410843226043326E-2</v>
      </c>
      <c r="G57" s="20">
        <v>4.0918163672654689E-2</v>
      </c>
      <c r="I57" s="19">
        <v>14</v>
      </c>
      <c r="J57" s="19">
        <v>25</v>
      </c>
      <c r="K57" s="19">
        <v>20</v>
      </c>
      <c r="L57" s="20">
        <v>1.6525023607176581E-3</v>
      </c>
      <c r="M57" s="20">
        <v>3.0596010280259456E-3</v>
      </c>
      <c r="N57" s="20">
        <v>2.4950099800399202E-3</v>
      </c>
      <c r="P57" s="19">
        <v>3</v>
      </c>
      <c r="Q57" s="19">
        <v>3</v>
      </c>
      <c r="R57" s="19">
        <v>9</v>
      </c>
      <c r="S57" s="20">
        <v>3.5410764872521248E-4</v>
      </c>
      <c r="T57" s="20">
        <v>3.6715212336311344E-4</v>
      </c>
      <c r="U57" s="20">
        <v>1.122754491017964E-3</v>
      </c>
      <c r="W57" s="19">
        <v>193</v>
      </c>
      <c r="X57" s="19">
        <v>196</v>
      </c>
      <c r="Y57" s="19">
        <v>190</v>
      </c>
      <c r="Z57" s="20">
        <v>2.2780925401322E-2</v>
      </c>
      <c r="AA57" s="20">
        <v>2.3987272059723411E-2</v>
      </c>
      <c r="AB57" s="20">
        <v>2.370259481037924E-2</v>
      </c>
      <c r="AD57" s="19">
        <v>427</v>
      </c>
      <c r="AE57" s="19">
        <v>497</v>
      </c>
      <c r="AF57" s="19">
        <v>547</v>
      </c>
    </row>
    <row r="58" spans="1:32" customFormat="1" ht="15" x14ac:dyDescent="0.25">
      <c r="A58" s="18" t="s">
        <v>80</v>
      </c>
      <c r="B58" s="19">
        <v>1</v>
      </c>
      <c r="C58" s="19">
        <v>2</v>
      </c>
      <c r="D58" s="19">
        <v>1</v>
      </c>
      <c r="E58" s="20">
        <v>1.0309278350515464E-2</v>
      </c>
      <c r="F58" s="20">
        <v>2.0833333333333332E-2</v>
      </c>
      <c r="G58" s="20">
        <v>9.9009900990099011E-3</v>
      </c>
      <c r="I58" s="19">
        <v>0</v>
      </c>
      <c r="J58" s="19">
        <v>0</v>
      </c>
      <c r="K58" s="19">
        <v>0</v>
      </c>
      <c r="L58" s="20">
        <v>0</v>
      </c>
      <c r="M58" s="20">
        <v>0</v>
      </c>
      <c r="N58" s="20">
        <v>0</v>
      </c>
      <c r="P58" s="19">
        <v>0</v>
      </c>
      <c r="Q58" s="19">
        <v>0</v>
      </c>
      <c r="R58" s="19">
        <v>0</v>
      </c>
      <c r="S58" s="20">
        <v>0</v>
      </c>
      <c r="T58" s="20">
        <v>0</v>
      </c>
      <c r="U58" s="20">
        <v>0</v>
      </c>
      <c r="W58" s="19">
        <v>0</v>
      </c>
      <c r="X58" s="19">
        <v>0</v>
      </c>
      <c r="Y58" s="19">
        <v>0</v>
      </c>
      <c r="Z58" s="20">
        <v>0</v>
      </c>
      <c r="AA58" s="20">
        <v>0</v>
      </c>
      <c r="AB58" s="20">
        <v>0</v>
      </c>
      <c r="AD58" s="19">
        <v>1</v>
      </c>
      <c r="AE58" s="19">
        <v>2</v>
      </c>
      <c r="AF58" s="19">
        <v>1</v>
      </c>
    </row>
    <row r="59" spans="1:32" customFormat="1" ht="15" x14ac:dyDescent="0.25">
      <c r="A59" s="18" t="s">
        <v>41</v>
      </c>
      <c r="B59" s="19">
        <v>1</v>
      </c>
      <c r="C59" s="19">
        <v>2</v>
      </c>
      <c r="D59" s="19">
        <v>3</v>
      </c>
      <c r="E59" s="20">
        <v>1.0869565217391304E-2</v>
      </c>
      <c r="F59" s="20">
        <v>2.1739130434782608E-2</v>
      </c>
      <c r="G59" s="20">
        <v>3.3707865168539325E-2</v>
      </c>
      <c r="I59" s="19">
        <v>0</v>
      </c>
      <c r="J59" s="19">
        <v>0</v>
      </c>
      <c r="K59" s="19">
        <v>0</v>
      </c>
      <c r="L59" s="20">
        <v>0</v>
      </c>
      <c r="M59" s="20">
        <v>0</v>
      </c>
      <c r="N59" s="20">
        <v>0</v>
      </c>
      <c r="P59" s="19">
        <v>0</v>
      </c>
      <c r="Q59" s="19">
        <v>0</v>
      </c>
      <c r="R59" s="19">
        <v>0</v>
      </c>
      <c r="S59" s="20">
        <v>0</v>
      </c>
      <c r="T59" s="20">
        <v>0</v>
      </c>
      <c r="U59" s="20">
        <v>0</v>
      </c>
      <c r="W59" s="19">
        <v>0</v>
      </c>
      <c r="X59" s="19">
        <v>0</v>
      </c>
      <c r="Y59" s="19">
        <v>0</v>
      </c>
      <c r="Z59" s="20">
        <v>0</v>
      </c>
      <c r="AA59" s="20">
        <v>0</v>
      </c>
      <c r="AB59" s="20">
        <v>0</v>
      </c>
      <c r="AD59" s="19">
        <v>1</v>
      </c>
      <c r="AE59" s="19">
        <v>2</v>
      </c>
      <c r="AF59" s="19">
        <v>3</v>
      </c>
    </row>
    <row r="60" spans="1:32" customFormat="1" ht="15" x14ac:dyDescent="0.25">
      <c r="A60" s="18" t="s">
        <v>43</v>
      </c>
      <c r="B60" s="19">
        <v>1427</v>
      </c>
      <c r="C60" s="19">
        <v>1959</v>
      </c>
      <c r="D60" s="19">
        <v>2582</v>
      </c>
      <c r="E60" s="20">
        <v>6.0543063215952479E-2</v>
      </c>
      <c r="F60" s="20">
        <v>7.5247752938465085E-2</v>
      </c>
      <c r="G60" s="20">
        <v>9.3276976987825583E-2</v>
      </c>
      <c r="I60" s="19">
        <v>84</v>
      </c>
      <c r="J60" s="19">
        <v>116</v>
      </c>
      <c r="K60" s="19">
        <v>150</v>
      </c>
      <c r="L60" s="20">
        <v>3.5638523546881631E-3</v>
      </c>
      <c r="M60" s="20">
        <v>4.4557117615425983E-3</v>
      </c>
      <c r="N60" s="20">
        <v>5.4188793757450962E-3</v>
      </c>
      <c r="P60" s="19">
        <v>0</v>
      </c>
      <c r="Q60" s="19">
        <v>0</v>
      </c>
      <c r="R60" s="19">
        <v>0</v>
      </c>
      <c r="S60" s="20">
        <v>0</v>
      </c>
      <c r="T60" s="20">
        <v>0</v>
      </c>
      <c r="U60" s="20">
        <v>0</v>
      </c>
      <c r="W60" s="19">
        <v>1101</v>
      </c>
      <c r="X60" s="19">
        <v>1110</v>
      </c>
      <c r="Y60" s="19">
        <v>1032</v>
      </c>
      <c r="Z60" s="20">
        <v>4.6711921934662705E-2</v>
      </c>
      <c r="AA60" s="20">
        <v>4.2636552200967966E-2</v>
      </c>
      <c r="AB60" s="20">
        <v>3.728189010512626E-2</v>
      </c>
      <c r="AD60" s="19">
        <v>2612</v>
      </c>
      <c r="AE60" s="19">
        <v>3185</v>
      </c>
      <c r="AF60" s="19">
        <v>3764</v>
      </c>
    </row>
    <row r="61" spans="1:32" customFormat="1" ht="15" x14ac:dyDescent="0.25">
      <c r="A61" s="18" t="s">
        <v>126</v>
      </c>
      <c r="B61" s="19">
        <v>2</v>
      </c>
      <c r="C61" s="19">
        <v>2</v>
      </c>
      <c r="D61" s="19">
        <v>2</v>
      </c>
      <c r="E61" s="20">
        <v>3.5087719298245612E-2</v>
      </c>
      <c r="F61" s="20">
        <v>3.6363636363636362E-2</v>
      </c>
      <c r="G61" s="20">
        <v>3.4482758620689655E-2</v>
      </c>
      <c r="I61" s="19">
        <v>0</v>
      </c>
      <c r="J61" s="19">
        <v>0</v>
      </c>
      <c r="K61" s="19">
        <v>0</v>
      </c>
      <c r="L61" s="20">
        <v>0</v>
      </c>
      <c r="M61" s="20">
        <v>0</v>
      </c>
      <c r="N61" s="20">
        <v>0</v>
      </c>
      <c r="P61" s="19">
        <v>0</v>
      </c>
      <c r="Q61" s="19">
        <v>0</v>
      </c>
      <c r="R61" s="19">
        <v>0</v>
      </c>
      <c r="S61" s="20">
        <v>0</v>
      </c>
      <c r="T61" s="20">
        <v>0</v>
      </c>
      <c r="U61" s="20">
        <v>0</v>
      </c>
      <c r="W61" s="19">
        <v>0</v>
      </c>
      <c r="X61" s="19">
        <v>1</v>
      </c>
      <c r="Y61" s="19">
        <v>1</v>
      </c>
      <c r="Z61" s="20">
        <v>0</v>
      </c>
      <c r="AA61" s="20">
        <v>1.8181818181818181E-2</v>
      </c>
      <c r="AB61" s="20">
        <v>1.7241379310344827E-2</v>
      </c>
      <c r="AD61" s="19">
        <v>2</v>
      </c>
      <c r="AE61" s="19">
        <v>3</v>
      </c>
      <c r="AF61" s="19">
        <v>3</v>
      </c>
    </row>
    <row r="62" spans="1:32" customFormat="1" ht="15" x14ac:dyDescent="0.25">
      <c r="A62" s="18" t="s">
        <v>52</v>
      </c>
      <c r="B62" s="19">
        <v>0</v>
      </c>
      <c r="C62" s="19">
        <v>0</v>
      </c>
      <c r="D62" s="19">
        <v>0</v>
      </c>
      <c r="E62" s="20">
        <v>0</v>
      </c>
      <c r="F62" s="20">
        <v>0</v>
      </c>
      <c r="G62" s="20">
        <v>0</v>
      </c>
      <c r="I62" s="19">
        <v>0</v>
      </c>
      <c r="J62" s="19">
        <v>0</v>
      </c>
      <c r="K62" s="19">
        <v>0</v>
      </c>
      <c r="L62" s="20">
        <v>0</v>
      </c>
      <c r="M62" s="20">
        <v>0</v>
      </c>
      <c r="N62" s="20">
        <v>0</v>
      </c>
      <c r="P62" s="19">
        <v>0</v>
      </c>
      <c r="Q62" s="19">
        <v>0</v>
      </c>
      <c r="R62" s="19">
        <v>0</v>
      </c>
      <c r="S62" s="20">
        <v>0</v>
      </c>
      <c r="T62" s="20">
        <v>0</v>
      </c>
      <c r="U62" s="20">
        <v>0</v>
      </c>
      <c r="W62" s="19">
        <v>17</v>
      </c>
      <c r="X62" s="19">
        <v>21</v>
      </c>
      <c r="Y62" s="19">
        <v>23</v>
      </c>
      <c r="Z62" s="20">
        <v>0.40476190476190477</v>
      </c>
      <c r="AA62" s="20">
        <v>0.32307692307692309</v>
      </c>
      <c r="AB62" s="20">
        <v>0.24210526315789474</v>
      </c>
      <c r="AD62" s="19">
        <v>17</v>
      </c>
      <c r="AE62" s="19">
        <v>21</v>
      </c>
      <c r="AF62" s="19">
        <v>23</v>
      </c>
    </row>
    <row r="63" spans="1:32" s="43" customFormat="1" ht="15" x14ac:dyDescent="0.25">
      <c r="A63" s="26" t="s">
        <v>65</v>
      </c>
      <c r="B63" s="27">
        <v>7233</v>
      </c>
      <c r="C63" s="27">
        <v>9685</v>
      </c>
      <c r="D63" s="27">
        <v>12735</v>
      </c>
      <c r="E63" s="22">
        <v>3.794679159955721E-2</v>
      </c>
      <c r="F63" s="22">
        <v>5.0743203240020331E-2</v>
      </c>
      <c r="G63" s="22">
        <v>6.6261863136863136E-2</v>
      </c>
      <c r="I63" s="27">
        <v>887</v>
      </c>
      <c r="J63" s="27">
        <v>1112</v>
      </c>
      <c r="K63" s="27">
        <v>1248</v>
      </c>
      <c r="L63" s="22">
        <v>4.6535053433993147E-3</v>
      </c>
      <c r="M63" s="22">
        <v>5.8261685083017666E-3</v>
      </c>
      <c r="N63" s="22">
        <v>6.4935064935064939E-3</v>
      </c>
      <c r="P63" s="27">
        <v>1813</v>
      </c>
      <c r="Q63" s="27">
        <v>2285</v>
      </c>
      <c r="R63" s="27">
        <v>2754</v>
      </c>
      <c r="S63" s="22">
        <v>9.5116180243325337E-3</v>
      </c>
      <c r="T63" s="22">
        <v>1.1971937986933035E-2</v>
      </c>
      <c r="U63" s="22">
        <v>1.432942057942058E-2</v>
      </c>
      <c r="W63" s="27">
        <v>1311</v>
      </c>
      <c r="X63" s="27">
        <v>1329</v>
      </c>
      <c r="Y63" s="27">
        <v>1254</v>
      </c>
      <c r="Z63" s="22">
        <v>6.8779543463320198E-3</v>
      </c>
      <c r="AA63" s="22">
        <v>6.9631096650477047E-3</v>
      </c>
      <c r="AB63" s="22">
        <v>6.524725274725275E-3</v>
      </c>
      <c r="AD63" s="21">
        <v>11244</v>
      </c>
      <c r="AE63" s="21">
        <v>14411</v>
      </c>
      <c r="AF63" s="21">
        <v>17991</v>
      </c>
    </row>
    <row r="64" spans="1:32" customFormat="1" ht="15" x14ac:dyDescent="0.25">
      <c r="A64" s="18"/>
      <c r="B64" s="19"/>
      <c r="C64" s="19"/>
      <c r="D64" s="19"/>
      <c r="E64" s="19"/>
      <c r="F64" s="19"/>
      <c r="G64" s="19"/>
      <c r="I64" s="19"/>
      <c r="J64" s="19"/>
      <c r="K64" s="19"/>
      <c r="L64" s="19"/>
      <c r="M64" s="19"/>
      <c r="N64" s="19"/>
      <c r="P64" s="19"/>
      <c r="Q64" s="19"/>
      <c r="R64" s="19"/>
      <c r="S64" s="19"/>
      <c r="T64" s="19"/>
      <c r="U64" s="19"/>
      <c r="W64" s="19"/>
      <c r="X64" s="19"/>
      <c r="Y64" s="19"/>
      <c r="Z64" s="19"/>
      <c r="AA64" s="19"/>
      <c r="AB64" s="19"/>
      <c r="AD64" s="19"/>
      <c r="AE64" s="19"/>
      <c r="AF64" s="19"/>
    </row>
    <row r="65" spans="1:32" customFormat="1" ht="15" x14ac:dyDescent="0.25">
      <c r="A65" s="28" t="s">
        <v>66</v>
      </c>
      <c r="B65" s="25"/>
      <c r="C65" s="25"/>
      <c r="D65" s="25"/>
      <c r="E65" s="25"/>
      <c r="F65" s="25"/>
      <c r="G65" s="25"/>
      <c r="I65" s="25"/>
      <c r="J65" s="25"/>
      <c r="K65" s="25"/>
      <c r="L65" s="25"/>
      <c r="M65" s="25"/>
      <c r="N65" s="25"/>
      <c r="P65" s="25"/>
      <c r="Q65" s="25"/>
      <c r="R65" s="25"/>
      <c r="S65" s="25"/>
      <c r="T65" s="25"/>
      <c r="U65" s="25"/>
      <c r="W65" s="25"/>
      <c r="X65" s="25"/>
      <c r="Y65" s="25"/>
      <c r="Z65" s="25"/>
      <c r="AA65" s="25"/>
      <c r="AB65" s="25"/>
      <c r="AD65" s="19"/>
      <c r="AE65" s="19"/>
      <c r="AF65" s="19"/>
    </row>
    <row r="66" spans="1:32" customFormat="1" ht="15" x14ac:dyDescent="0.25">
      <c r="A66" s="18" t="s">
        <v>17</v>
      </c>
      <c r="B66" s="19">
        <v>217</v>
      </c>
      <c r="C66" s="19">
        <v>223</v>
      </c>
      <c r="D66" s="19">
        <v>286</v>
      </c>
      <c r="E66" s="20">
        <v>2.135196300305028E-2</v>
      </c>
      <c r="F66" s="20">
        <v>2.2233300099700898E-2</v>
      </c>
      <c r="G66" s="20">
        <v>2.8824833702882482E-2</v>
      </c>
      <c r="I66" s="19">
        <v>141</v>
      </c>
      <c r="J66" s="19">
        <v>156</v>
      </c>
      <c r="K66" s="19">
        <v>213</v>
      </c>
      <c r="L66" s="20">
        <v>1.3873856144839122E-2</v>
      </c>
      <c r="M66" s="20">
        <v>1.5553339980059821E-2</v>
      </c>
      <c r="N66" s="20">
        <v>2.1467446079419472E-2</v>
      </c>
      <c r="P66" s="19">
        <v>1</v>
      </c>
      <c r="Q66" s="19">
        <v>2</v>
      </c>
      <c r="R66" s="19">
        <v>1</v>
      </c>
      <c r="S66" s="20">
        <v>9.8396142871199447E-5</v>
      </c>
      <c r="T66" s="20">
        <v>1.9940179461615153E-4</v>
      </c>
      <c r="U66" s="20">
        <v>1.0078613182826043E-4</v>
      </c>
      <c r="W66" s="19">
        <v>144</v>
      </c>
      <c r="X66" s="19">
        <v>180</v>
      </c>
      <c r="Y66" s="19">
        <v>251</v>
      </c>
      <c r="Z66" s="20">
        <v>1.4169044573452722E-2</v>
      </c>
      <c r="AA66" s="20">
        <v>1.794616151545364E-2</v>
      </c>
      <c r="AB66" s="20">
        <v>2.5297319088893367E-2</v>
      </c>
      <c r="AD66" s="19">
        <v>503</v>
      </c>
      <c r="AE66" s="19">
        <v>561</v>
      </c>
      <c r="AF66" s="19">
        <v>751</v>
      </c>
    </row>
    <row r="67" spans="1:32" customFormat="1" ht="15" x14ac:dyDescent="0.25">
      <c r="A67" s="18" t="s">
        <v>18</v>
      </c>
      <c r="B67" s="19">
        <v>921</v>
      </c>
      <c r="C67" s="19">
        <v>1511</v>
      </c>
      <c r="D67" s="19">
        <v>1529</v>
      </c>
      <c r="E67" s="20">
        <v>3.1615804469465519E-2</v>
      </c>
      <c r="F67" s="20">
        <v>5.2611420612813369E-2</v>
      </c>
      <c r="G67" s="20">
        <v>5.4189112560249504E-2</v>
      </c>
      <c r="I67" s="19">
        <v>401</v>
      </c>
      <c r="J67" s="19">
        <v>1016</v>
      </c>
      <c r="K67" s="19">
        <v>935</v>
      </c>
      <c r="L67" s="20">
        <v>1.3765404551851979E-2</v>
      </c>
      <c r="M67" s="20">
        <v>3.5376044568245127E-2</v>
      </c>
      <c r="N67" s="20">
        <v>3.3137227105188544E-2</v>
      </c>
      <c r="P67" s="19">
        <v>801</v>
      </c>
      <c r="Q67" s="19">
        <v>1363</v>
      </c>
      <c r="R67" s="19">
        <v>1922</v>
      </c>
      <c r="S67" s="20">
        <v>2.74964814115547E-2</v>
      </c>
      <c r="T67" s="20">
        <v>4.7458217270194988E-2</v>
      </c>
      <c r="U67" s="20">
        <v>6.8117380209810036E-2</v>
      </c>
      <c r="W67" s="19">
        <v>0</v>
      </c>
      <c r="X67" s="19">
        <v>0</v>
      </c>
      <c r="Y67" s="19">
        <v>0</v>
      </c>
      <c r="Z67" s="20">
        <v>0</v>
      </c>
      <c r="AA67" s="20">
        <v>0</v>
      </c>
      <c r="AB67" s="20">
        <v>0</v>
      </c>
      <c r="AD67" s="19">
        <v>2123</v>
      </c>
      <c r="AE67" s="19">
        <v>3890</v>
      </c>
      <c r="AF67" s="19">
        <v>4386</v>
      </c>
    </row>
    <row r="68" spans="1:32" customFormat="1" ht="15" x14ac:dyDescent="0.25">
      <c r="A68" s="18" t="s">
        <v>19</v>
      </c>
      <c r="B68" s="19">
        <v>95795</v>
      </c>
      <c r="C68" s="19">
        <v>102687</v>
      </c>
      <c r="D68" s="19">
        <v>107520</v>
      </c>
      <c r="E68" s="20">
        <v>0.11766591698838141</v>
      </c>
      <c r="F68" s="20">
        <v>0.12638073354411763</v>
      </c>
      <c r="G68" s="20">
        <v>0.13155302803210031</v>
      </c>
      <c r="I68" s="19">
        <v>17674</v>
      </c>
      <c r="J68" s="19">
        <v>18674</v>
      </c>
      <c r="K68" s="19">
        <v>19668</v>
      </c>
      <c r="L68" s="20">
        <v>2.170914365940449E-2</v>
      </c>
      <c r="M68" s="20">
        <v>2.2982790598642989E-2</v>
      </c>
      <c r="N68" s="20">
        <v>2.4064220194711206E-2</v>
      </c>
      <c r="P68" s="19">
        <v>33</v>
      </c>
      <c r="Q68" s="19">
        <v>34</v>
      </c>
      <c r="R68" s="19">
        <v>30</v>
      </c>
      <c r="S68" s="20">
        <v>4.0534216406039845E-5</v>
      </c>
      <c r="T68" s="20">
        <v>4.184507231197717E-5</v>
      </c>
      <c r="U68" s="20">
        <v>3.6705643982170848E-5</v>
      </c>
      <c r="W68" s="19">
        <v>35914</v>
      </c>
      <c r="X68" s="19">
        <v>37541</v>
      </c>
      <c r="Y68" s="19">
        <v>41381</v>
      </c>
      <c r="Z68" s="20">
        <v>4.411351054565197E-2</v>
      </c>
      <c r="AA68" s="20">
        <v>4.6203113519527494E-2</v>
      </c>
      <c r="AB68" s="20">
        <v>5.0630541787540388E-2</v>
      </c>
      <c r="AD68" s="19">
        <v>149416</v>
      </c>
      <c r="AE68" s="19">
        <v>158936</v>
      </c>
      <c r="AF68" s="19">
        <v>168599</v>
      </c>
    </row>
    <row r="69" spans="1:32" customFormat="1" ht="15" x14ac:dyDescent="0.25">
      <c r="A69" s="18" t="s">
        <v>20</v>
      </c>
      <c r="B69" s="19">
        <v>8701</v>
      </c>
      <c r="C69" s="19">
        <v>4908</v>
      </c>
      <c r="D69" s="19">
        <v>5263</v>
      </c>
      <c r="E69" s="20">
        <v>9.4961092254466473E-2</v>
      </c>
      <c r="F69" s="20">
        <v>5.1011287338640944E-2</v>
      </c>
      <c r="G69" s="20">
        <v>4.9530854437825275E-2</v>
      </c>
      <c r="I69" s="19">
        <v>5397</v>
      </c>
      <c r="J69" s="19">
        <v>3399</v>
      </c>
      <c r="K69" s="19">
        <v>3630</v>
      </c>
      <c r="L69" s="20">
        <v>5.8901852074170279E-2</v>
      </c>
      <c r="M69" s="20">
        <v>3.5327499116552682E-2</v>
      </c>
      <c r="N69" s="20">
        <v>3.416245517942347E-2</v>
      </c>
      <c r="P69" s="19">
        <v>0</v>
      </c>
      <c r="Q69" s="19">
        <v>0</v>
      </c>
      <c r="R69" s="19">
        <v>0</v>
      </c>
      <c r="S69" s="20">
        <v>0</v>
      </c>
      <c r="T69" s="20">
        <v>0</v>
      </c>
      <c r="U69" s="20">
        <v>0</v>
      </c>
      <c r="W69" s="19">
        <v>2601</v>
      </c>
      <c r="X69" s="19">
        <v>1706</v>
      </c>
      <c r="Y69" s="19">
        <v>2074</v>
      </c>
      <c r="Z69" s="20">
        <v>2.8386829209730756E-2</v>
      </c>
      <c r="AA69" s="20">
        <v>1.7731307294156777E-2</v>
      </c>
      <c r="AB69" s="20">
        <v>1.9518714061191263E-2</v>
      </c>
      <c r="AD69" s="19">
        <v>16699</v>
      </c>
      <c r="AE69" s="19">
        <v>10013</v>
      </c>
      <c r="AF69" s="19">
        <v>10967</v>
      </c>
    </row>
    <row r="70" spans="1:32" customFormat="1" ht="15" x14ac:dyDescent="0.25">
      <c r="A70" s="18" t="s">
        <v>21</v>
      </c>
      <c r="B70" s="19">
        <v>3839</v>
      </c>
      <c r="C70" s="19">
        <v>4443</v>
      </c>
      <c r="D70" s="19">
        <v>4723</v>
      </c>
      <c r="E70" s="20">
        <v>7.333613509589669E-2</v>
      </c>
      <c r="F70" s="20">
        <v>8.251002822760363E-2</v>
      </c>
      <c r="G70" s="20">
        <v>8.844569288389513E-2</v>
      </c>
      <c r="I70" s="19">
        <v>1456</v>
      </c>
      <c r="J70" s="19">
        <v>1654</v>
      </c>
      <c r="K70" s="19">
        <v>1689</v>
      </c>
      <c r="L70" s="20">
        <v>2.7813861083517993E-2</v>
      </c>
      <c r="M70" s="20">
        <v>3.0716089734066261E-2</v>
      </c>
      <c r="N70" s="20">
        <v>3.1629213483146068E-2</v>
      </c>
      <c r="P70" s="19">
        <v>0</v>
      </c>
      <c r="Q70" s="19">
        <v>0</v>
      </c>
      <c r="R70" s="19">
        <v>0</v>
      </c>
      <c r="S70" s="20">
        <v>0</v>
      </c>
      <c r="T70" s="20">
        <v>0</v>
      </c>
      <c r="U70" s="20">
        <v>0</v>
      </c>
      <c r="W70" s="19">
        <v>5699</v>
      </c>
      <c r="X70" s="19">
        <v>5916</v>
      </c>
      <c r="Y70" s="19">
        <v>5959</v>
      </c>
      <c r="Z70" s="20">
        <v>0.1088675785130282</v>
      </c>
      <c r="AA70" s="20">
        <v>0.10986480463526965</v>
      </c>
      <c r="AB70" s="20">
        <v>0.11159176029962546</v>
      </c>
      <c r="AD70" s="19">
        <v>10994</v>
      </c>
      <c r="AE70" s="19">
        <v>12013</v>
      </c>
      <c r="AF70" s="19">
        <v>12371</v>
      </c>
    </row>
    <row r="71" spans="1:32" customFormat="1" ht="15" x14ac:dyDescent="0.25">
      <c r="A71" s="18" t="s">
        <v>24</v>
      </c>
      <c r="B71" s="19">
        <v>95</v>
      </c>
      <c r="C71" s="19">
        <v>105</v>
      </c>
      <c r="D71" s="19">
        <v>110</v>
      </c>
      <c r="E71" s="20">
        <v>1.7717269675494217E-2</v>
      </c>
      <c r="F71" s="20">
        <v>2.0157419850259168E-2</v>
      </c>
      <c r="G71" s="20">
        <v>2.2394136807817589E-2</v>
      </c>
      <c r="I71" s="19">
        <v>17</v>
      </c>
      <c r="J71" s="19">
        <v>19</v>
      </c>
      <c r="K71" s="19">
        <v>19</v>
      </c>
      <c r="L71" s="20">
        <v>3.1704587840358073E-3</v>
      </c>
      <c r="M71" s="20">
        <v>3.6475331157611824E-3</v>
      </c>
      <c r="N71" s="20">
        <v>3.8680781758957655E-3</v>
      </c>
      <c r="P71" s="19">
        <v>310</v>
      </c>
      <c r="Q71" s="19">
        <v>322</v>
      </c>
      <c r="R71" s="19">
        <v>339</v>
      </c>
      <c r="S71" s="20">
        <v>5.7814248414770605E-2</v>
      </c>
      <c r="T71" s="20">
        <v>6.1816087540794776E-2</v>
      </c>
      <c r="U71" s="20">
        <v>6.9014657980456029E-2</v>
      </c>
      <c r="W71" s="19">
        <v>275</v>
      </c>
      <c r="X71" s="19">
        <v>284</v>
      </c>
      <c r="Y71" s="19">
        <v>303</v>
      </c>
      <c r="Z71" s="20">
        <v>5.1286833271167474E-2</v>
      </c>
      <c r="AA71" s="20">
        <v>5.4521021309272416E-2</v>
      </c>
      <c r="AB71" s="20">
        <v>6.1685667752442996E-2</v>
      </c>
      <c r="AD71" s="19">
        <v>697</v>
      </c>
      <c r="AE71" s="19">
        <v>730</v>
      </c>
      <c r="AF71" s="19">
        <v>771</v>
      </c>
    </row>
    <row r="72" spans="1:32" customFormat="1" ht="15" x14ac:dyDescent="0.25">
      <c r="A72" s="18" t="s">
        <v>198</v>
      </c>
      <c r="B72" s="19">
        <v>0</v>
      </c>
      <c r="C72" s="19">
        <v>0</v>
      </c>
      <c r="D72" s="19">
        <v>0</v>
      </c>
      <c r="E72" s="20">
        <v>0</v>
      </c>
      <c r="F72" s="20">
        <v>0</v>
      </c>
      <c r="G72" s="20">
        <v>0</v>
      </c>
      <c r="I72" s="19">
        <v>0</v>
      </c>
      <c r="J72" s="19">
        <v>0</v>
      </c>
      <c r="K72" s="19">
        <v>0</v>
      </c>
      <c r="L72" s="20">
        <v>0</v>
      </c>
      <c r="M72" s="20">
        <v>0</v>
      </c>
      <c r="N72" s="20">
        <v>0</v>
      </c>
      <c r="P72" s="19">
        <v>0</v>
      </c>
      <c r="Q72" s="19">
        <v>0</v>
      </c>
      <c r="R72" s="19">
        <v>0</v>
      </c>
      <c r="S72" s="20">
        <v>0</v>
      </c>
      <c r="T72" s="20">
        <v>0</v>
      </c>
      <c r="U72" s="20">
        <v>0</v>
      </c>
      <c r="W72" s="19">
        <v>0</v>
      </c>
      <c r="X72" s="19">
        <v>0</v>
      </c>
      <c r="Y72" s="19">
        <v>4</v>
      </c>
      <c r="Z72" s="20">
        <v>0</v>
      </c>
      <c r="AA72" s="20">
        <v>0</v>
      </c>
      <c r="AB72" s="20">
        <v>0.2</v>
      </c>
      <c r="AD72" s="19">
        <v>0</v>
      </c>
      <c r="AE72" s="19">
        <v>0</v>
      </c>
      <c r="AF72" s="19">
        <v>4</v>
      </c>
    </row>
    <row r="73" spans="1:32" customFormat="1" ht="15" x14ac:dyDescent="0.25">
      <c r="A73" s="18" t="s">
        <v>25</v>
      </c>
      <c r="B73" s="19">
        <v>306</v>
      </c>
      <c r="C73" s="19">
        <v>324</v>
      </c>
      <c r="D73" s="19">
        <v>378</v>
      </c>
      <c r="E73" s="20">
        <v>3.5027472527472528E-2</v>
      </c>
      <c r="F73" s="20">
        <v>3.6684782608695655E-2</v>
      </c>
      <c r="G73" s="20">
        <v>4.335359559582521E-2</v>
      </c>
      <c r="I73" s="19">
        <v>120</v>
      </c>
      <c r="J73" s="19">
        <v>123</v>
      </c>
      <c r="K73" s="19">
        <v>128</v>
      </c>
      <c r="L73" s="20">
        <v>1.3736263736263736E-2</v>
      </c>
      <c r="M73" s="20">
        <v>1.3926630434782608E-2</v>
      </c>
      <c r="N73" s="20">
        <v>1.4680582635623352E-2</v>
      </c>
      <c r="P73" s="19">
        <v>0</v>
      </c>
      <c r="Q73" s="19">
        <v>0</v>
      </c>
      <c r="R73" s="19">
        <v>0</v>
      </c>
      <c r="S73" s="20">
        <v>0</v>
      </c>
      <c r="T73" s="20">
        <v>0</v>
      </c>
      <c r="U73" s="20">
        <v>0</v>
      </c>
      <c r="W73" s="19">
        <v>537</v>
      </c>
      <c r="X73" s="19">
        <v>578</v>
      </c>
      <c r="Y73" s="19">
        <v>773</v>
      </c>
      <c r="Z73" s="20">
        <v>6.1469780219780217E-2</v>
      </c>
      <c r="AA73" s="20">
        <v>6.5443840579710144E-2</v>
      </c>
      <c r="AB73" s="20">
        <v>8.8656956072944146E-2</v>
      </c>
      <c r="AD73" s="19">
        <v>963</v>
      </c>
      <c r="AE73" s="19">
        <v>1025</v>
      </c>
      <c r="AF73" s="19">
        <v>1279</v>
      </c>
    </row>
    <row r="74" spans="1:32" customFormat="1" ht="15" x14ac:dyDescent="0.25">
      <c r="A74" s="18" t="s">
        <v>26</v>
      </c>
      <c r="B74" s="19">
        <v>144</v>
      </c>
      <c r="C74" s="19">
        <v>118</v>
      </c>
      <c r="D74" s="19">
        <v>163</v>
      </c>
      <c r="E74" s="20">
        <v>3.9571310799670238E-2</v>
      </c>
      <c r="F74" s="20">
        <v>3.4064665127020784E-2</v>
      </c>
      <c r="G74" s="20">
        <v>4.5954327600789401E-2</v>
      </c>
      <c r="I74" s="19">
        <v>127</v>
      </c>
      <c r="J74" s="19">
        <v>124</v>
      </c>
      <c r="K74" s="19">
        <v>149</v>
      </c>
      <c r="L74" s="20">
        <v>3.4899697719153612E-2</v>
      </c>
      <c r="M74" s="20">
        <v>3.5796766743648963E-2</v>
      </c>
      <c r="N74" s="20">
        <v>4.2007330138144915E-2</v>
      </c>
      <c r="P74" s="19">
        <v>0</v>
      </c>
      <c r="Q74" s="19">
        <v>209</v>
      </c>
      <c r="R74" s="19">
        <v>0</v>
      </c>
      <c r="S74" s="20">
        <v>0</v>
      </c>
      <c r="T74" s="20">
        <v>6.0334872979214783E-2</v>
      </c>
      <c r="U74" s="20">
        <v>0</v>
      </c>
      <c r="W74" s="19">
        <v>135</v>
      </c>
      <c r="X74" s="19">
        <v>0</v>
      </c>
      <c r="Y74" s="19">
        <v>200</v>
      </c>
      <c r="Z74" s="20">
        <v>3.7098103874690848E-2</v>
      </c>
      <c r="AA74" s="20">
        <v>0</v>
      </c>
      <c r="AB74" s="20">
        <v>5.6385678037778407E-2</v>
      </c>
      <c r="AD74" s="19">
        <v>406</v>
      </c>
      <c r="AE74" s="19">
        <v>451</v>
      </c>
      <c r="AF74" s="19">
        <v>512</v>
      </c>
    </row>
    <row r="75" spans="1:32" customFormat="1" ht="15" x14ac:dyDescent="0.25">
      <c r="A75" s="18" t="s">
        <v>27</v>
      </c>
      <c r="B75" s="19">
        <v>0</v>
      </c>
      <c r="C75" s="19">
        <v>1</v>
      </c>
      <c r="D75" s="19">
        <v>8</v>
      </c>
      <c r="E75" s="20">
        <v>0</v>
      </c>
      <c r="F75" s="20">
        <v>0.1</v>
      </c>
      <c r="G75" s="20">
        <v>0.12121212121212122</v>
      </c>
      <c r="I75" s="19">
        <v>0</v>
      </c>
      <c r="J75" s="19">
        <v>0</v>
      </c>
      <c r="K75" s="19">
        <v>0</v>
      </c>
      <c r="L75" s="20">
        <v>0</v>
      </c>
      <c r="M75" s="20">
        <v>0</v>
      </c>
      <c r="N75" s="20">
        <v>0</v>
      </c>
      <c r="P75" s="19">
        <v>0</v>
      </c>
      <c r="Q75" s="19">
        <v>0</v>
      </c>
      <c r="R75" s="19">
        <v>0</v>
      </c>
      <c r="S75" s="20">
        <v>0</v>
      </c>
      <c r="T75" s="20">
        <v>0</v>
      </c>
      <c r="U75" s="20">
        <v>0</v>
      </c>
      <c r="W75" s="19">
        <v>0</v>
      </c>
      <c r="X75" s="19">
        <v>1</v>
      </c>
      <c r="Y75" s="19">
        <v>0</v>
      </c>
      <c r="Z75" s="20">
        <v>0</v>
      </c>
      <c r="AA75" s="20">
        <v>0.1</v>
      </c>
      <c r="AB75" s="20">
        <v>0</v>
      </c>
      <c r="AD75" s="19">
        <v>0</v>
      </c>
      <c r="AE75" s="19">
        <v>2</v>
      </c>
      <c r="AF75" s="19">
        <v>8</v>
      </c>
    </row>
    <row r="76" spans="1:32" customFormat="1" ht="15" x14ac:dyDescent="0.25">
      <c r="A76" s="18" t="s">
        <v>28</v>
      </c>
      <c r="B76" s="19">
        <v>1627</v>
      </c>
      <c r="C76" s="19">
        <v>1565</v>
      </c>
      <c r="D76" s="19">
        <v>1257</v>
      </c>
      <c r="E76" s="20">
        <v>4.8465892165624067E-2</v>
      </c>
      <c r="F76" s="20">
        <v>4.7710505456984333E-2</v>
      </c>
      <c r="G76" s="20">
        <v>3.8906772316454126E-2</v>
      </c>
      <c r="I76" s="19">
        <v>528</v>
      </c>
      <c r="J76" s="19">
        <v>780</v>
      </c>
      <c r="K76" s="19">
        <v>680</v>
      </c>
      <c r="L76" s="20">
        <v>1.5728328865058087E-2</v>
      </c>
      <c r="M76" s="20">
        <v>2.3779037863544905E-2</v>
      </c>
      <c r="N76" s="20">
        <v>2.1047418596013372E-2</v>
      </c>
      <c r="P76" s="19">
        <v>0</v>
      </c>
      <c r="Q76" s="19">
        <v>0</v>
      </c>
      <c r="R76" s="19">
        <v>0</v>
      </c>
      <c r="S76" s="20">
        <v>0</v>
      </c>
      <c r="T76" s="20">
        <v>0</v>
      </c>
      <c r="U76" s="20">
        <v>0</v>
      </c>
      <c r="W76" s="19">
        <v>3276</v>
      </c>
      <c r="X76" s="19">
        <v>474</v>
      </c>
      <c r="Y76" s="19">
        <v>492</v>
      </c>
      <c r="Z76" s="20">
        <v>9.7587131367292232E-2</v>
      </c>
      <c r="AA76" s="20">
        <v>1.4450338394000365E-2</v>
      </c>
      <c r="AB76" s="20">
        <v>1.5228426395939087E-2</v>
      </c>
      <c r="AD76" s="19">
        <v>5431</v>
      </c>
      <c r="AE76" s="19">
        <v>2819</v>
      </c>
      <c r="AF76" s="19">
        <v>2429</v>
      </c>
    </row>
    <row r="77" spans="1:32" customFormat="1" ht="15" x14ac:dyDescent="0.25">
      <c r="A77" s="18" t="s">
        <v>197</v>
      </c>
      <c r="B77" s="19">
        <v>0</v>
      </c>
      <c r="C77" s="19">
        <v>0</v>
      </c>
      <c r="D77" s="19">
        <v>3</v>
      </c>
      <c r="E77" s="20">
        <v>0</v>
      </c>
      <c r="F77" s="20">
        <v>0</v>
      </c>
      <c r="G77" s="20">
        <v>1</v>
      </c>
      <c r="I77" s="19">
        <v>0</v>
      </c>
      <c r="J77" s="19">
        <v>0</v>
      </c>
      <c r="K77" s="19">
        <v>0</v>
      </c>
      <c r="L77" s="20">
        <v>0</v>
      </c>
      <c r="M77" s="20">
        <v>0</v>
      </c>
      <c r="N77" s="20">
        <v>0</v>
      </c>
      <c r="P77" s="19">
        <v>0</v>
      </c>
      <c r="Q77" s="19">
        <v>0</v>
      </c>
      <c r="R77" s="19">
        <v>0</v>
      </c>
      <c r="S77" s="20">
        <v>0</v>
      </c>
      <c r="T77" s="20">
        <v>0</v>
      </c>
      <c r="U77" s="20">
        <v>0</v>
      </c>
      <c r="W77" s="19">
        <v>0</v>
      </c>
      <c r="X77" s="19">
        <v>0</v>
      </c>
      <c r="Y77" s="19">
        <v>0</v>
      </c>
      <c r="Z77" s="20">
        <v>0</v>
      </c>
      <c r="AA77" s="20">
        <v>0</v>
      </c>
      <c r="AB77" s="20">
        <v>0</v>
      </c>
      <c r="AD77" s="19">
        <v>0</v>
      </c>
      <c r="AE77" s="19">
        <v>0</v>
      </c>
      <c r="AF77" s="19">
        <v>3</v>
      </c>
    </row>
    <row r="78" spans="1:32" customFormat="1" ht="15" x14ac:dyDescent="0.25">
      <c r="A78" s="18" t="s">
        <v>29</v>
      </c>
      <c r="B78" s="19">
        <v>81</v>
      </c>
      <c r="C78" s="19">
        <v>6120</v>
      </c>
      <c r="D78" s="19">
        <v>7996</v>
      </c>
      <c r="E78" s="20">
        <v>1.6694146743610881E-2</v>
      </c>
      <c r="F78" s="20">
        <v>0.51824879329325091</v>
      </c>
      <c r="G78" s="20">
        <v>0.56092599088039286</v>
      </c>
      <c r="I78" s="19">
        <v>88</v>
      </c>
      <c r="J78" s="19">
        <v>23</v>
      </c>
      <c r="K78" s="19">
        <v>114</v>
      </c>
      <c r="L78" s="20">
        <v>1.8136850783182192E-2</v>
      </c>
      <c r="M78" s="20">
        <v>1.9476670336184266E-3</v>
      </c>
      <c r="N78" s="20">
        <v>7.9971939670291127E-3</v>
      </c>
      <c r="P78" s="19">
        <v>0</v>
      </c>
      <c r="Q78" s="19">
        <v>57</v>
      </c>
      <c r="R78" s="19">
        <v>11</v>
      </c>
      <c r="S78" s="20">
        <v>0</v>
      </c>
      <c r="T78" s="20">
        <v>4.8268269963587093E-3</v>
      </c>
      <c r="U78" s="20">
        <v>7.7165906699403722E-4</v>
      </c>
      <c r="W78" s="19">
        <v>93</v>
      </c>
      <c r="X78" s="19">
        <v>0</v>
      </c>
      <c r="Y78" s="19">
        <v>88</v>
      </c>
      <c r="Z78" s="20">
        <v>1.9167353668590272E-2</v>
      </c>
      <c r="AA78" s="20">
        <v>0</v>
      </c>
      <c r="AB78" s="20">
        <v>6.1732725359522978E-3</v>
      </c>
      <c r="AD78" s="19">
        <v>262</v>
      </c>
      <c r="AE78" s="19">
        <v>6200</v>
      </c>
      <c r="AF78" s="19">
        <v>8209</v>
      </c>
    </row>
    <row r="79" spans="1:32" customFormat="1" ht="15" x14ac:dyDescent="0.25">
      <c r="A79" s="18" t="s">
        <v>30</v>
      </c>
      <c r="B79" s="19">
        <v>19804</v>
      </c>
      <c r="C79" s="19">
        <v>22872</v>
      </c>
      <c r="D79" s="19">
        <v>26985</v>
      </c>
      <c r="E79" s="20">
        <v>1.9252493083140362E-2</v>
      </c>
      <c r="F79" s="20">
        <v>2.3480834559287771E-2</v>
      </c>
      <c r="G79" s="20">
        <v>2.7538243308058902E-2</v>
      </c>
      <c r="I79" s="19">
        <v>5778</v>
      </c>
      <c r="J79" s="19">
        <v>7097</v>
      </c>
      <c r="K79" s="19">
        <v>8563</v>
      </c>
      <c r="L79" s="20">
        <v>5.6170927607748439E-3</v>
      </c>
      <c r="M79" s="20">
        <v>7.285916529698554E-3</v>
      </c>
      <c r="N79" s="20">
        <v>8.738557622638813E-3</v>
      </c>
      <c r="P79" s="19">
        <v>4694</v>
      </c>
      <c r="Q79" s="19">
        <v>4561</v>
      </c>
      <c r="R79" s="19">
        <v>4634</v>
      </c>
      <c r="S79" s="20">
        <v>4.5632802732912979E-3</v>
      </c>
      <c r="T79" s="20">
        <v>4.6824102144504866E-3</v>
      </c>
      <c r="U79" s="20">
        <v>4.7290057250155629E-3</v>
      </c>
      <c r="W79" s="19">
        <v>11045</v>
      </c>
      <c r="X79" s="19">
        <v>11833</v>
      </c>
      <c r="Y79" s="19">
        <v>11886</v>
      </c>
      <c r="Z79" s="20">
        <v>1.0737415981785766E-2</v>
      </c>
      <c r="AA79" s="20">
        <v>1.214798510580851E-2</v>
      </c>
      <c r="AB79" s="20">
        <v>1.2129685379269525E-2</v>
      </c>
      <c r="AD79" s="19">
        <v>41321</v>
      </c>
      <c r="AE79" s="19">
        <v>46363</v>
      </c>
      <c r="AF79" s="19">
        <v>52068</v>
      </c>
    </row>
    <row r="80" spans="1:32" customFormat="1" ht="15" x14ac:dyDescent="0.25">
      <c r="A80" s="18" t="s">
        <v>31</v>
      </c>
      <c r="B80" s="19">
        <v>0</v>
      </c>
      <c r="C80" s="19">
        <v>283</v>
      </c>
      <c r="D80" s="19">
        <v>298</v>
      </c>
      <c r="E80" s="20">
        <v>0</v>
      </c>
      <c r="F80" s="20">
        <v>4.842573579739904E-2</v>
      </c>
      <c r="G80" s="20">
        <v>4.6555225745977188E-2</v>
      </c>
      <c r="I80" s="19">
        <v>0</v>
      </c>
      <c r="J80" s="19">
        <v>452</v>
      </c>
      <c r="K80" s="19">
        <v>331</v>
      </c>
      <c r="L80" s="20">
        <v>0</v>
      </c>
      <c r="M80" s="20">
        <v>7.7344284736481861E-2</v>
      </c>
      <c r="N80" s="20">
        <v>5.1710670207780036E-2</v>
      </c>
      <c r="P80" s="19">
        <v>0</v>
      </c>
      <c r="Q80" s="19">
        <v>0</v>
      </c>
      <c r="R80" s="19">
        <v>0</v>
      </c>
      <c r="S80" s="20">
        <v>0</v>
      </c>
      <c r="T80" s="20">
        <v>0</v>
      </c>
      <c r="U80" s="20">
        <v>0</v>
      </c>
      <c r="W80" s="19">
        <v>143</v>
      </c>
      <c r="X80" s="19">
        <v>728</v>
      </c>
      <c r="Y80" s="19">
        <v>0</v>
      </c>
      <c r="Z80" s="20">
        <v>2.5590551181102362E-2</v>
      </c>
      <c r="AA80" s="20">
        <v>0.12457221081451061</v>
      </c>
      <c r="AB80" s="20">
        <v>0</v>
      </c>
      <c r="AD80" s="19">
        <v>143</v>
      </c>
      <c r="AE80" s="19">
        <v>1463</v>
      </c>
      <c r="AF80" s="19">
        <v>629</v>
      </c>
    </row>
    <row r="81" spans="1:32" customFormat="1" ht="15" x14ac:dyDescent="0.25">
      <c r="A81" s="18" t="s">
        <v>80</v>
      </c>
      <c r="B81" s="19">
        <v>10</v>
      </c>
      <c r="C81" s="19">
        <v>13</v>
      </c>
      <c r="D81" s="19">
        <v>11</v>
      </c>
      <c r="E81" s="20">
        <v>2.4336821611097592E-3</v>
      </c>
      <c r="F81" s="20">
        <v>3.7399309551208286E-3</v>
      </c>
      <c r="G81" s="20">
        <v>3.3142512805061767E-3</v>
      </c>
      <c r="I81" s="19">
        <v>0</v>
      </c>
      <c r="J81" s="19">
        <v>0</v>
      </c>
      <c r="K81" s="19">
        <v>0</v>
      </c>
      <c r="L81" s="20">
        <v>0</v>
      </c>
      <c r="M81" s="20">
        <v>0</v>
      </c>
      <c r="N81" s="20">
        <v>0</v>
      </c>
      <c r="P81" s="19">
        <v>0</v>
      </c>
      <c r="Q81" s="19">
        <v>0</v>
      </c>
      <c r="R81" s="19">
        <v>0</v>
      </c>
      <c r="S81" s="20">
        <v>0</v>
      </c>
      <c r="T81" s="20">
        <v>0</v>
      </c>
      <c r="U81" s="20">
        <v>0</v>
      </c>
      <c r="W81" s="19">
        <v>26</v>
      </c>
      <c r="X81" s="19">
        <v>22</v>
      </c>
      <c r="Y81" s="19">
        <v>20</v>
      </c>
      <c r="Z81" s="20">
        <v>6.3275736188853739E-3</v>
      </c>
      <c r="AA81" s="20">
        <v>6.3291139240506328E-3</v>
      </c>
      <c r="AB81" s="20">
        <v>6.0259114191021394E-3</v>
      </c>
      <c r="AD81" s="19">
        <v>36</v>
      </c>
      <c r="AE81" s="19">
        <v>35</v>
      </c>
      <c r="AF81" s="19">
        <v>31</v>
      </c>
    </row>
    <row r="82" spans="1:32" customFormat="1" ht="15" x14ac:dyDescent="0.25">
      <c r="A82" s="18" t="s">
        <v>33</v>
      </c>
      <c r="B82" s="19">
        <v>595</v>
      </c>
      <c r="C82" s="19">
        <v>597</v>
      </c>
      <c r="D82" s="19">
        <v>622</v>
      </c>
      <c r="E82" s="20">
        <v>0.99001663893510816</v>
      </c>
      <c r="F82" s="20">
        <v>0.9835255354200988</v>
      </c>
      <c r="G82" s="20">
        <v>0.98417721518987344</v>
      </c>
      <c r="I82" s="19">
        <v>0</v>
      </c>
      <c r="J82" s="19">
        <v>0</v>
      </c>
      <c r="K82" s="19">
        <v>0</v>
      </c>
      <c r="L82" s="20">
        <v>0</v>
      </c>
      <c r="M82" s="20">
        <v>0</v>
      </c>
      <c r="N82" s="20">
        <v>0</v>
      </c>
      <c r="P82" s="19">
        <v>6</v>
      </c>
      <c r="Q82" s="19">
        <v>10</v>
      </c>
      <c r="R82" s="19">
        <v>6</v>
      </c>
      <c r="S82" s="20">
        <v>9.9833610648918467E-3</v>
      </c>
      <c r="T82" s="20">
        <v>1.6474464579901153E-2</v>
      </c>
      <c r="U82" s="20">
        <v>9.4936708860759497E-3</v>
      </c>
      <c r="W82" s="19">
        <v>0</v>
      </c>
      <c r="X82" s="19">
        <v>0</v>
      </c>
      <c r="Y82" s="19">
        <v>0</v>
      </c>
      <c r="Z82" s="20">
        <v>0</v>
      </c>
      <c r="AA82" s="20">
        <v>0</v>
      </c>
      <c r="AB82" s="20">
        <v>0</v>
      </c>
      <c r="AD82" s="19">
        <v>601</v>
      </c>
      <c r="AE82" s="19">
        <v>607</v>
      </c>
      <c r="AF82" s="19">
        <v>628</v>
      </c>
    </row>
    <row r="83" spans="1:32" customFormat="1" ht="15" x14ac:dyDescent="0.25">
      <c r="A83" s="18" t="s">
        <v>34</v>
      </c>
      <c r="B83" s="19">
        <v>207</v>
      </c>
      <c r="C83" s="19">
        <v>1156</v>
      </c>
      <c r="D83" s="19">
        <v>1633</v>
      </c>
      <c r="E83" s="20">
        <v>0.42680412371134019</v>
      </c>
      <c r="F83" s="20">
        <v>0.98299319727891155</v>
      </c>
      <c r="G83" s="20">
        <v>0.99149969641772917</v>
      </c>
      <c r="I83" s="19">
        <v>0</v>
      </c>
      <c r="J83" s="19">
        <v>0</v>
      </c>
      <c r="K83" s="19">
        <v>0</v>
      </c>
      <c r="L83" s="20">
        <v>0</v>
      </c>
      <c r="M83" s="20">
        <v>0</v>
      </c>
      <c r="N83" s="20">
        <v>0</v>
      </c>
      <c r="P83" s="19">
        <v>0</v>
      </c>
      <c r="Q83" s="19">
        <v>0</v>
      </c>
      <c r="R83" s="19">
        <v>0</v>
      </c>
      <c r="S83" s="20">
        <v>0</v>
      </c>
      <c r="T83" s="20">
        <v>0</v>
      </c>
      <c r="U83" s="20">
        <v>0</v>
      </c>
      <c r="W83" s="19">
        <v>0</v>
      </c>
      <c r="X83" s="19">
        <v>90</v>
      </c>
      <c r="Y83" s="19">
        <v>99</v>
      </c>
      <c r="Z83" s="20">
        <v>0</v>
      </c>
      <c r="AA83" s="20">
        <v>7.6530612244897961E-2</v>
      </c>
      <c r="AB83" s="20">
        <v>6.0109289617486336E-2</v>
      </c>
      <c r="AD83" s="19">
        <v>207</v>
      </c>
      <c r="AE83" s="19">
        <v>1246</v>
      </c>
      <c r="AF83" s="19">
        <v>1732</v>
      </c>
    </row>
    <row r="84" spans="1:32" customFormat="1" ht="15" x14ac:dyDescent="0.25">
      <c r="A84" s="18" t="s">
        <v>172</v>
      </c>
      <c r="B84" s="19">
        <v>0</v>
      </c>
      <c r="C84" s="19">
        <v>0</v>
      </c>
      <c r="D84" s="19">
        <v>1</v>
      </c>
      <c r="E84" s="20">
        <v>0</v>
      </c>
      <c r="F84" s="20">
        <v>0</v>
      </c>
      <c r="G84" s="20">
        <v>0.5</v>
      </c>
      <c r="I84" s="19">
        <v>0</v>
      </c>
      <c r="J84" s="19">
        <v>0</v>
      </c>
      <c r="K84" s="19">
        <v>0</v>
      </c>
      <c r="L84" s="20">
        <v>0</v>
      </c>
      <c r="M84" s="20">
        <v>0</v>
      </c>
      <c r="N84" s="20">
        <v>0</v>
      </c>
      <c r="P84" s="19">
        <v>0</v>
      </c>
      <c r="Q84" s="19">
        <v>0</v>
      </c>
      <c r="R84" s="19">
        <v>0</v>
      </c>
      <c r="S84" s="20">
        <v>0</v>
      </c>
      <c r="T84" s="20">
        <v>0</v>
      </c>
      <c r="U84" s="20">
        <v>0</v>
      </c>
      <c r="W84" s="19">
        <v>0</v>
      </c>
      <c r="X84" s="19">
        <v>0</v>
      </c>
      <c r="Y84" s="19">
        <v>0</v>
      </c>
      <c r="Z84" s="20">
        <v>0</v>
      </c>
      <c r="AA84" s="20">
        <v>0</v>
      </c>
      <c r="AB84" s="20">
        <v>0</v>
      </c>
      <c r="AD84" s="19">
        <v>0</v>
      </c>
      <c r="AE84" s="19">
        <v>0</v>
      </c>
      <c r="AF84" s="19">
        <v>1</v>
      </c>
    </row>
    <row r="85" spans="1:32" customFormat="1" ht="15" x14ac:dyDescent="0.25">
      <c r="A85" s="18" t="s">
        <v>36</v>
      </c>
      <c r="B85" s="19">
        <v>0</v>
      </c>
      <c r="C85" s="19">
        <v>0</v>
      </c>
      <c r="D85" s="19">
        <v>6</v>
      </c>
      <c r="E85" s="20">
        <v>0</v>
      </c>
      <c r="F85" s="20">
        <v>0</v>
      </c>
      <c r="G85" s="20">
        <v>9.852216748768473E-3</v>
      </c>
      <c r="I85" s="19">
        <v>1</v>
      </c>
      <c r="J85" s="19">
        <v>1</v>
      </c>
      <c r="K85" s="19">
        <v>3</v>
      </c>
      <c r="L85" s="20">
        <v>2.1052631578947368E-3</v>
      </c>
      <c r="M85" s="20">
        <v>1.9417475728155339E-3</v>
      </c>
      <c r="N85" s="20">
        <v>4.9261083743842365E-3</v>
      </c>
      <c r="P85" s="19">
        <v>0</v>
      </c>
      <c r="Q85" s="19">
        <v>0</v>
      </c>
      <c r="R85" s="19">
        <v>0</v>
      </c>
      <c r="S85" s="20">
        <v>0</v>
      </c>
      <c r="T85" s="20">
        <v>0</v>
      </c>
      <c r="U85" s="20">
        <v>0</v>
      </c>
      <c r="W85" s="19">
        <v>0</v>
      </c>
      <c r="X85" s="19">
        <v>3</v>
      </c>
      <c r="Y85" s="19">
        <v>5</v>
      </c>
      <c r="Z85" s="20">
        <v>0</v>
      </c>
      <c r="AA85" s="20">
        <v>5.8252427184466021E-3</v>
      </c>
      <c r="AB85" s="20">
        <v>8.2101806239737278E-3</v>
      </c>
      <c r="AD85" s="19">
        <v>1</v>
      </c>
      <c r="AE85" s="19">
        <v>4</v>
      </c>
      <c r="AF85" s="19">
        <v>14</v>
      </c>
    </row>
    <row r="86" spans="1:32" customFormat="1" ht="15" x14ac:dyDescent="0.25">
      <c r="A86" s="18" t="s">
        <v>37</v>
      </c>
      <c r="B86" s="19">
        <v>0</v>
      </c>
      <c r="C86" s="19">
        <v>0</v>
      </c>
      <c r="D86" s="19">
        <v>0</v>
      </c>
      <c r="E86" s="20">
        <v>0</v>
      </c>
      <c r="F86" s="20">
        <v>0</v>
      </c>
      <c r="G86" s="20">
        <v>0</v>
      </c>
      <c r="I86" s="19">
        <v>0</v>
      </c>
      <c r="J86" s="19">
        <v>0</v>
      </c>
      <c r="K86" s="19">
        <v>0</v>
      </c>
      <c r="L86" s="20">
        <v>0</v>
      </c>
      <c r="M86" s="20">
        <v>0</v>
      </c>
      <c r="N86" s="20">
        <v>0</v>
      </c>
      <c r="P86" s="19">
        <v>0</v>
      </c>
      <c r="Q86" s="19">
        <v>0</v>
      </c>
      <c r="R86" s="19">
        <v>0</v>
      </c>
      <c r="S86" s="20">
        <v>0</v>
      </c>
      <c r="T86" s="20">
        <v>0</v>
      </c>
      <c r="U86" s="20">
        <v>0</v>
      </c>
      <c r="W86" s="19">
        <v>12</v>
      </c>
      <c r="X86" s="19">
        <v>0</v>
      </c>
      <c r="Y86" s="19">
        <v>0</v>
      </c>
      <c r="Z86" s="20">
        <v>1.6042780748663103E-2</v>
      </c>
      <c r="AA86" s="20">
        <v>0</v>
      </c>
      <c r="AB86" s="20">
        <v>0</v>
      </c>
      <c r="AD86" s="19">
        <v>12</v>
      </c>
      <c r="AE86" s="19">
        <v>0</v>
      </c>
      <c r="AF86" s="19">
        <v>0</v>
      </c>
    </row>
    <row r="87" spans="1:32" customFormat="1" ht="15" x14ac:dyDescent="0.25">
      <c r="A87" s="18" t="s">
        <v>39</v>
      </c>
      <c r="B87" s="19">
        <v>620</v>
      </c>
      <c r="C87" s="19">
        <v>471</v>
      </c>
      <c r="D87" s="19">
        <v>610</v>
      </c>
      <c r="E87" s="20">
        <v>0.27666220437304773</v>
      </c>
      <c r="F87" s="20">
        <v>0.22579098753595397</v>
      </c>
      <c r="G87" s="20">
        <v>0.22880720180045011</v>
      </c>
      <c r="I87" s="19">
        <v>565</v>
      </c>
      <c r="J87" s="19">
        <v>420</v>
      </c>
      <c r="K87" s="19">
        <v>516</v>
      </c>
      <c r="L87" s="20">
        <v>0.25211958946898705</v>
      </c>
      <c r="M87" s="20">
        <v>0.20134228187919462</v>
      </c>
      <c r="N87" s="20">
        <v>0.19354838709677419</v>
      </c>
      <c r="P87" s="19">
        <v>0</v>
      </c>
      <c r="Q87" s="19">
        <v>0</v>
      </c>
      <c r="R87" s="19">
        <v>0</v>
      </c>
      <c r="S87" s="20">
        <v>0</v>
      </c>
      <c r="T87" s="20">
        <v>0</v>
      </c>
      <c r="U87" s="20">
        <v>0</v>
      </c>
      <c r="W87" s="19">
        <v>648</v>
      </c>
      <c r="X87" s="19">
        <v>933</v>
      </c>
      <c r="Y87" s="19">
        <v>757</v>
      </c>
      <c r="Z87" s="20">
        <v>0.28915662650602408</v>
      </c>
      <c r="AA87" s="20">
        <v>0.44726749760306805</v>
      </c>
      <c r="AB87" s="20">
        <v>0.28394598649662417</v>
      </c>
      <c r="AD87" s="19">
        <v>1833</v>
      </c>
      <c r="AE87" s="19">
        <v>1824</v>
      </c>
      <c r="AF87" s="19">
        <v>1883</v>
      </c>
    </row>
    <row r="88" spans="1:32" customFormat="1" ht="15" x14ac:dyDescent="0.25">
      <c r="A88" s="18" t="s">
        <v>40</v>
      </c>
      <c r="B88" s="19">
        <v>47</v>
      </c>
      <c r="C88" s="19">
        <v>192</v>
      </c>
      <c r="D88" s="19">
        <v>123</v>
      </c>
      <c r="E88" s="20">
        <v>2.5007981270618283E-3</v>
      </c>
      <c r="F88" s="20">
        <v>8.1362827358250692E-3</v>
      </c>
      <c r="G88" s="20">
        <v>4.4921661005806945E-3</v>
      </c>
      <c r="I88" s="19">
        <v>46</v>
      </c>
      <c r="J88" s="19">
        <v>155</v>
      </c>
      <c r="K88" s="19">
        <v>107</v>
      </c>
      <c r="L88" s="20">
        <v>2.4475896562732788E-3</v>
      </c>
      <c r="M88" s="20">
        <v>6.5683532502754469E-3</v>
      </c>
      <c r="N88" s="20">
        <v>3.9078192907490593E-3</v>
      </c>
      <c r="P88" s="19">
        <v>0</v>
      </c>
      <c r="Q88" s="19">
        <v>2</v>
      </c>
      <c r="R88" s="19">
        <v>1</v>
      </c>
      <c r="S88" s="20">
        <v>0</v>
      </c>
      <c r="T88" s="20">
        <v>8.475294516484448E-5</v>
      </c>
      <c r="U88" s="20">
        <v>3.652167561447719E-5</v>
      </c>
      <c r="W88" s="19">
        <v>48</v>
      </c>
      <c r="X88" s="19">
        <v>189</v>
      </c>
      <c r="Y88" s="19">
        <v>52</v>
      </c>
      <c r="Z88" s="20">
        <v>2.5540065978503779E-3</v>
      </c>
      <c r="AA88" s="20">
        <v>8.0091533180778034E-3</v>
      </c>
      <c r="AB88" s="20">
        <v>1.8991271319528139E-3</v>
      </c>
      <c r="AD88" s="19">
        <v>141</v>
      </c>
      <c r="AE88" s="19">
        <v>538</v>
      </c>
      <c r="AF88" s="19">
        <v>283</v>
      </c>
    </row>
    <row r="89" spans="1:32" customFormat="1" ht="15" x14ac:dyDescent="0.25">
      <c r="A89" s="18" t="s">
        <v>41</v>
      </c>
      <c r="B89" s="19">
        <v>226</v>
      </c>
      <c r="C89" s="19">
        <v>230</v>
      </c>
      <c r="D89" s="19">
        <v>246</v>
      </c>
      <c r="E89" s="20">
        <v>3.3167009098913999E-2</v>
      </c>
      <c r="F89" s="20">
        <v>3.3724340175953077E-2</v>
      </c>
      <c r="G89" s="20">
        <v>3.757446158545899E-2</v>
      </c>
      <c r="I89" s="19">
        <v>31</v>
      </c>
      <c r="J89" s="19">
        <v>6</v>
      </c>
      <c r="K89" s="19">
        <v>13</v>
      </c>
      <c r="L89" s="20">
        <v>4.5494570002935133E-3</v>
      </c>
      <c r="M89" s="20">
        <v>8.7976539589442815E-4</v>
      </c>
      <c r="N89" s="20">
        <v>1.9856422789063695E-3</v>
      </c>
      <c r="P89" s="19">
        <v>551</v>
      </c>
      <c r="Q89" s="19">
        <v>525</v>
      </c>
      <c r="R89" s="19">
        <v>660</v>
      </c>
      <c r="S89" s="20">
        <v>8.086292926328148E-2</v>
      </c>
      <c r="T89" s="20">
        <v>7.6979472140762464E-2</v>
      </c>
      <c r="U89" s="20">
        <v>0.10080953108293875</v>
      </c>
      <c r="W89" s="19">
        <v>87</v>
      </c>
      <c r="X89" s="19">
        <v>21</v>
      </c>
      <c r="Y89" s="19">
        <v>51</v>
      </c>
      <c r="Z89" s="20">
        <v>1.2767830936307602E-2</v>
      </c>
      <c r="AA89" s="20">
        <v>3.0791788856304987E-3</v>
      </c>
      <c r="AB89" s="20">
        <v>7.7898274018634488E-3</v>
      </c>
      <c r="AD89" s="19">
        <v>895</v>
      </c>
      <c r="AE89" s="19">
        <v>782</v>
      </c>
      <c r="AF89" s="19">
        <v>970</v>
      </c>
    </row>
    <row r="90" spans="1:32" customFormat="1" ht="15" x14ac:dyDescent="0.25">
      <c r="A90" s="18" t="s">
        <v>43</v>
      </c>
      <c r="B90" s="19">
        <v>35415</v>
      </c>
      <c r="C90" s="19">
        <v>35899</v>
      </c>
      <c r="D90" s="19">
        <v>41186</v>
      </c>
      <c r="E90" s="20">
        <v>3.1042915746292206E-2</v>
      </c>
      <c r="F90" s="20">
        <v>3.1549520064823325E-2</v>
      </c>
      <c r="G90" s="20">
        <v>3.6389564307727107E-2</v>
      </c>
      <c r="I90" s="19">
        <v>30975</v>
      </c>
      <c r="J90" s="19">
        <v>29653</v>
      </c>
      <c r="K90" s="19">
        <v>31829</v>
      </c>
      <c r="L90" s="20">
        <v>2.7151046597244134E-2</v>
      </c>
      <c r="M90" s="20">
        <v>2.6060277959893203E-2</v>
      </c>
      <c r="N90" s="20">
        <v>2.8122261019536882E-2</v>
      </c>
      <c r="P90" s="19">
        <v>0</v>
      </c>
      <c r="Q90" s="19">
        <v>0</v>
      </c>
      <c r="R90" s="19">
        <v>0</v>
      </c>
      <c r="S90" s="20">
        <v>0</v>
      </c>
      <c r="T90" s="20">
        <v>0</v>
      </c>
      <c r="U90" s="20">
        <v>0</v>
      </c>
      <c r="W90" s="19">
        <v>19403</v>
      </c>
      <c r="X90" s="19">
        <v>35549</v>
      </c>
      <c r="Y90" s="19">
        <v>44422</v>
      </c>
      <c r="Z90" s="20">
        <v>1.7007643490761195E-2</v>
      </c>
      <c r="AA90" s="20">
        <v>3.1241925646519526E-2</v>
      </c>
      <c r="AB90" s="20">
        <v>3.924870649438774E-2</v>
      </c>
      <c r="AD90" s="19">
        <v>85793</v>
      </c>
      <c r="AE90" s="19">
        <v>101101</v>
      </c>
      <c r="AF90" s="19">
        <v>117437</v>
      </c>
    </row>
    <row r="91" spans="1:32" customFormat="1" ht="15" x14ac:dyDescent="0.25">
      <c r="A91" s="18" t="s">
        <v>44</v>
      </c>
      <c r="B91" s="19">
        <v>0</v>
      </c>
      <c r="C91" s="19">
        <v>98</v>
      </c>
      <c r="D91" s="19">
        <v>86</v>
      </c>
      <c r="E91" s="20">
        <v>0</v>
      </c>
      <c r="F91" s="20">
        <v>0.24936386768447838</v>
      </c>
      <c r="G91" s="20">
        <v>0.23243243243243245</v>
      </c>
      <c r="I91" s="19">
        <v>0</v>
      </c>
      <c r="J91" s="19">
        <v>18</v>
      </c>
      <c r="K91" s="19">
        <v>49</v>
      </c>
      <c r="L91" s="20">
        <v>0</v>
      </c>
      <c r="M91" s="20">
        <v>4.5801526717557252E-2</v>
      </c>
      <c r="N91" s="20">
        <v>0.13243243243243244</v>
      </c>
      <c r="P91" s="19">
        <v>0</v>
      </c>
      <c r="Q91" s="19">
        <v>0</v>
      </c>
      <c r="R91" s="19">
        <v>0</v>
      </c>
      <c r="S91" s="20">
        <v>0</v>
      </c>
      <c r="T91" s="20">
        <v>0</v>
      </c>
      <c r="U91" s="20">
        <v>0</v>
      </c>
      <c r="W91" s="19">
        <v>0</v>
      </c>
      <c r="X91" s="19">
        <v>33</v>
      </c>
      <c r="Y91" s="19">
        <v>13</v>
      </c>
      <c r="Z91" s="20">
        <v>0</v>
      </c>
      <c r="AA91" s="20">
        <v>8.3969465648854963E-2</v>
      </c>
      <c r="AB91" s="20">
        <v>3.5135135135135137E-2</v>
      </c>
      <c r="AD91" s="19">
        <v>0</v>
      </c>
      <c r="AE91" s="19">
        <v>149</v>
      </c>
      <c r="AF91" s="19">
        <v>148</v>
      </c>
    </row>
    <row r="92" spans="1:32" customFormat="1" ht="15" x14ac:dyDescent="0.25">
      <c r="A92" s="18" t="s">
        <v>45</v>
      </c>
      <c r="B92" s="19">
        <v>274</v>
      </c>
      <c r="C92" s="19">
        <v>334</v>
      </c>
      <c r="D92" s="19">
        <v>374</v>
      </c>
      <c r="E92" s="20">
        <v>0.24442462087421946</v>
      </c>
      <c r="F92" s="20">
        <v>0.27810158201498753</v>
      </c>
      <c r="G92" s="20">
        <v>0.27200000000000002</v>
      </c>
      <c r="I92" s="19">
        <v>174</v>
      </c>
      <c r="J92" s="19">
        <v>224</v>
      </c>
      <c r="K92" s="19">
        <v>232</v>
      </c>
      <c r="L92" s="20">
        <v>0.15521855486173058</v>
      </c>
      <c r="M92" s="20">
        <v>0.186511240632806</v>
      </c>
      <c r="N92" s="20">
        <v>0.16872727272727273</v>
      </c>
      <c r="P92" s="19">
        <v>377</v>
      </c>
      <c r="Q92" s="19">
        <v>0</v>
      </c>
      <c r="R92" s="19">
        <v>0</v>
      </c>
      <c r="S92" s="20">
        <v>0.33630686886708294</v>
      </c>
      <c r="T92" s="20">
        <v>0</v>
      </c>
      <c r="U92" s="20">
        <v>0</v>
      </c>
      <c r="W92" s="19">
        <v>0</v>
      </c>
      <c r="X92" s="19">
        <v>379</v>
      </c>
      <c r="Y92" s="19">
        <v>469</v>
      </c>
      <c r="Z92" s="20">
        <v>0</v>
      </c>
      <c r="AA92" s="20">
        <v>0.31557035803497085</v>
      </c>
      <c r="AB92" s="20">
        <v>0.34109090909090911</v>
      </c>
      <c r="AD92" s="19">
        <v>825</v>
      </c>
      <c r="AE92" s="19">
        <v>937</v>
      </c>
      <c r="AF92" s="19">
        <v>1075</v>
      </c>
    </row>
    <row r="93" spans="1:32" customFormat="1" ht="15" x14ac:dyDescent="0.25">
      <c r="A93" s="18" t="s">
        <v>46</v>
      </c>
      <c r="B93" s="19">
        <v>0</v>
      </c>
      <c r="C93" s="19">
        <v>0</v>
      </c>
      <c r="D93" s="19">
        <v>2</v>
      </c>
      <c r="E93" s="20">
        <v>0</v>
      </c>
      <c r="F93" s="20">
        <v>0</v>
      </c>
      <c r="G93" s="20">
        <v>2.7777777777777776E-2</v>
      </c>
      <c r="I93" s="19">
        <v>0</v>
      </c>
      <c r="J93" s="19">
        <v>0</v>
      </c>
      <c r="K93" s="19">
        <v>4</v>
      </c>
      <c r="L93" s="20">
        <v>0</v>
      </c>
      <c r="M93" s="20">
        <v>0</v>
      </c>
      <c r="N93" s="20">
        <v>5.5555555555555552E-2</v>
      </c>
      <c r="P93" s="19">
        <v>0</v>
      </c>
      <c r="Q93" s="19">
        <v>0</v>
      </c>
      <c r="R93" s="19">
        <v>0</v>
      </c>
      <c r="S93" s="20">
        <v>0</v>
      </c>
      <c r="T93" s="20">
        <v>0</v>
      </c>
      <c r="U93" s="20">
        <v>0</v>
      </c>
      <c r="W93" s="19">
        <v>0</v>
      </c>
      <c r="X93" s="19">
        <v>0</v>
      </c>
      <c r="Y93" s="19">
        <v>0</v>
      </c>
      <c r="Z93" s="20">
        <v>0</v>
      </c>
      <c r="AA93" s="20">
        <v>0</v>
      </c>
      <c r="AB93" s="20">
        <v>0</v>
      </c>
      <c r="AD93" s="19">
        <v>0</v>
      </c>
      <c r="AE93" s="19">
        <v>0</v>
      </c>
      <c r="AF93" s="19">
        <v>6</v>
      </c>
    </row>
    <row r="94" spans="1:32" customFormat="1" ht="15" x14ac:dyDescent="0.25">
      <c r="A94" s="18" t="s">
        <v>126</v>
      </c>
      <c r="B94" s="19">
        <v>563</v>
      </c>
      <c r="C94" s="19">
        <v>664</v>
      </c>
      <c r="D94" s="19">
        <v>709</v>
      </c>
      <c r="E94" s="20">
        <v>2.5880297876252643E-2</v>
      </c>
      <c r="F94" s="20">
        <v>3.0076550255922454E-2</v>
      </c>
      <c r="G94" s="20">
        <v>3.2554295422195692E-2</v>
      </c>
      <c r="I94" s="19">
        <v>475</v>
      </c>
      <c r="J94" s="19">
        <v>588</v>
      </c>
      <c r="K94" s="19">
        <v>646</v>
      </c>
      <c r="L94" s="20">
        <v>2.1835064815666085E-2</v>
      </c>
      <c r="M94" s="20">
        <v>2.6634053539883136E-2</v>
      </c>
      <c r="N94" s="20">
        <v>2.9661600624454752E-2</v>
      </c>
      <c r="P94" s="19">
        <v>0</v>
      </c>
      <c r="Q94" s="19">
        <v>0</v>
      </c>
      <c r="R94" s="19">
        <v>0</v>
      </c>
      <c r="S94" s="20">
        <v>0</v>
      </c>
      <c r="T94" s="20">
        <v>0</v>
      </c>
      <c r="U94" s="20">
        <v>0</v>
      </c>
      <c r="W94" s="19">
        <v>545</v>
      </c>
      <c r="X94" s="19">
        <v>658</v>
      </c>
      <c r="Y94" s="19">
        <v>733</v>
      </c>
      <c r="Z94" s="20">
        <v>2.5052863841132665E-2</v>
      </c>
      <c r="AA94" s="20">
        <v>2.9804774199393032E-2</v>
      </c>
      <c r="AB94" s="20">
        <v>3.3656274392763669E-2</v>
      </c>
      <c r="AD94" s="19">
        <v>1583</v>
      </c>
      <c r="AE94" s="19">
        <v>1910</v>
      </c>
      <c r="AF94" s="19">
        <v>2088</v>
      </c>
    </row>
    <row r="95" spans="1:32" customFormat="1" ht="15" x14ac:dyDescent="0.25">
      <c r="A95" s="18" t="s">
        <v>48</v>
      </c>
      <c r="B95" s="19">
        <v>2801</v>
      </c>
      <c r="C95" s="19">
        <v>2807</v>
      </c>
      <c r="D95" s="19">
        <v>2841</v>
      </c>
      <c r="E95" s="20">
        <v>8.7860727728983692E-2</v>
      </c>
      <c r="F95" s="20">
        <v>8.5482839479855036E-2</v>
      </c>
      <c r="G95" s="20">
        <v>8.1546542667699992E-2</v>
      </c>
      <c r="I95" s="19">
        <v>2187</v>
      </c>
      <c r="J95" s="19">
        <v>2139</v>
      </c>
      <c r="K95" s="19">
        <v>2108</v>
      </c>
      <c r="L95" s="20">
        <v>6.8601003764115431E-2</v>
      </c>
      <c r="M95" s="20">
        <v>6.5139933611474854E-2</v>
      </c>
      <c r="N95" s="20">
        <v>6.0506903183214215E-2</v>
      </c>
      <c r="P95" s="19">
        <v>0</v>
      </c>
      <c r="Q95" s="19">
        <v>0</v>
      </c>
      <c r="R95" s="19">
        <v>0</v>
      </c>
      <c r="S95" s="20">
        <v>0</v>
      </c>
      <c r="T95" s="20">
        <v>0</v>
      </c>
      <c r="U95" s="20">
        <v>0</v>
      </c>
      <c r="W95" s="19">
        <v>4136</v>
      </c>
      <c r="X95" s="19">
        <v>4799</v>
      </c>
      <c r="Y95" s="19">
        <v>5093</v>
      </c>
      <c r="Z95" s="20">
        <v>0.12973651191969887</v>
      </c>
      <c r="AA95" s="20">
        <v>0.14614611566221031</v>
      </c>
      <c r="AB95" s="20">
        <v>0.14618674474009014</v>
      </c>
      <c r="AD95" s="19">
        <v>9124</v>
      </c>
      <c r="AE95" s="19">
        <v>9745</v>
      </c>
      <c r="AF95" s="19">
        <v>10042</v>
      </c>
    </row>
    <row r="96" spans="1:32" customFormat="1" ht="15" x14ac:dyDescent="0.25">
      <c r="A96" s="18" t="s">
        <v>49</v>
      </c>
      <c r="B96" s="19">
        <v>84</v>
      </c>
      <c r="C96" s="19">
        <v>95</v>
      </c>
      <c r="D96" s="19">
        <v>96</v>
      </c>
      <c r="E96" s="20">
        <v>1.2702253137758959E-2</v>
      </c>
      <c r="F96" s="20">
        <v>1.5015015015015015E-2</v>
      </c>
      <c r="G96" s="20">
        <v>1.5681149950996405E-2</v>
      </c>
      <c r="I96" s="19">
        <v>78</v>
      </c>
      <c r="J96" s="19">
        <v>72</v>
      </c>
      <c r="K96" s="19">
        <v>80</v>
      </c>
      <c r="L96" s="20">
        <v>1.1794949342204748E-2</v>
      </c>
      <c r="M96" s="20">
        <v>1.1379800853485065E-2</v>
      </c>
      <c r="N96" s="20">
        <v>1.3067624959163672E-2</v>
      </c>
      <c r="P96" s="19">
        <v>0</v>
      </c>
      <c r="Q96" s="19">
        <v>0</v>
      </c>
      <c r="R96" s="19">
        <v>0</v>
      </c>
      <c r="S96" s="20">
        <v>0</v>
      </c>
      <c r="T96" s="20">
        <v>0</v>
      </c>
      <c r="U96" s="20">
        <v>0</v>
      </c>
      <c r="W96" s="19">
        <v>183</v>
      </c>
      <c r="X96" s="19">
        <v>276</v>
      </c>
      <c r="Y96" s="19">
        <v>289</v>
      </c>
      <c r="Z96" s="20">
        <v>2.7672765764403449E-2</v>
      </c>
      <c r="AA96" s="20">
        <v>4.3622569938359411E-2</v>
      </c>
      <c r="AB96" s="20">
        <v>4.7206795164978763E-2</v>
      </c>
      <c r="AD96" s="19">
        <v>345</v>
      </c>
      <c r="AE96" s="19">
        <v>443</v>
      </c>
      <c r="AF96" s="19">
        <v>465</v>
      </c>
    </row>
    <row r="97" spans="1:32" customFormat="1" ht="15" x14ac:dyDescent="0.25">
      <c r="A97" s="18" t="s">
        <v>50</v>
      </c>
      <c r="B97" s="19">
        <v>4</v>
      </c>
      <c r="C97" s="19">
        <v>5</v>
      </c>
      <c r="D97" s="19">
        <v>5</v>
      </c>
      <c r="E97" s="20">
        <v>6.6445182724252493E-3</v>
      </c>
      <c r="F97" s="20">
        <v>8.0645161290322578E-3</v>
      </c>
      <c r="G97" s="20">
        <v>8.389261744966443E-3</v>
      </c>
      <c r="I97" s="19">
        <v>0</v>
      </c>
      <c r="J97" s="19">
        <v>0</v>
      </c>
      <c r="K97" s="19">
        <v>0</v>
      </c>
      <c r="L97" s="20">
        <v>0</v>
      </c>
      <c r="M97" s="20">
        <v>0</v>
      </c>
      <c r="N97" s="20">
        <v>0</v>
      </c>
      <c r="P97" s="19">
        <v>0</v>
      </c>
      <c r="Q97" s="19">
        <v>0</v>
      </c>
      <c r="R97" s="19">
        <v>0</v>
      </c>
      <c r="S97" s="20">
        <v>0</v>
      </c>
      <c r="T97" s="20">
        <v>0</v>
      </c>
      <c r="U97" s="20">
        <v>0</v>
      </c>
      <c r="W97" s="19">
        <v>760</v>
      </c>
      <c r="X97" s="19">
        <v>615</v>
      </c>
      <c r="Y97" s="19">
        <v>591</v>
      </c>
      <c r="Z97" s="20">
        <v>1.2624584717607974</v>
      </c>
      <c r="AA97" s="20">
        <v>0.99193548387096775</v>
      </c>
      <c r="AB97" s="20">
        <v>0.99161073825503354</v>
      </c>
      <c r="AD97" s="19">
        <v>764</v>
      </c>
      <c r="AE97" s="19">
        <v>620</v>
      </c>
      <c r="AF97" s="19">
        <v>596</v>
      </c>
    </row>
    <row r="98" spans="1:32" customFormat="1" ht="15" x14ac:dyDescent="0.25">
      <c r="A98" s="18" t="s">
        <v>51</v>
      </c>
      <c r="B98" s="19">
        <v>7</v>
      </c>
      <c r="C98" s="19">
        <v>11</v>
      </c>
      <c r="D98" s="19">
        <v>60</v>
      </c>
      <c r="E98" s="20">
        <v>4.046242774566474E-2</v>
      </c>
      <c r="F98" s="20">
        <v>2.6960784313725492E-2</v>
      </c>
      <c r="G98" s="20">
        <v>3.4542314335060449E-2</v>
      </c>
      <c r="I98" s="19">
        <v>1</v>
      </c>
      <c r="J98" s="19">
        <v>6</v>
      </c>
      <c r="K98" s="19">
        <v>46</v>
      </c>
      <c r="L98" s="20">
        <v>5.7803468208092483E-3</v>
      </c>
      <c r="M98" s="20">
        <v>1.4705882352941176E-2</v>
      </c>
      <c r="N98" s="20">
        <v>2.6482440990213012E-2</v>
      </c>
      <c r="P98" s="19">
        <v>0</v>
      </c>
      <c r="Q98" s="19">
        <v>0</v>
      </c>
      <c r="R98" s="19">
        <v>0</v>
      </c>
      <c r="S98" s="20">
        <v>0</v>
      </c>
      <c r="T98" s="20">
        <v>0</v>
      </c>
      <c r="U98" s="20">
        <v>0</v>
      </c>
      <c r="W98" s="19">
        <v>17</v>
      </c>
      <c r="X98" s="19">
        <v>39</v>
      </c>
      <c r="Y98" s="19">
        <v>137</v>
      </c>
      <c r="Z98" s="20">
        <v>9.8265895953757232E-2</v>
      </c>
      <c r="AA98" s="20">
        <v>9.5588235294117641E-2</v>
      </c>
      <c r="AB98" s="20">
        <v>7.8871617731721355E-2</v>
      </c>
      <c r="AD98" s="19">
        <v>25</v>
      </c>
      <c r="AE98" s="19">
        <v>56</v>
      </c>
      <c r="AF98" s="19">
        <v>243</v>
      </c>
    </row>
    <row r="99" spans="1:32" customFormat="1" ht="15" x14ac:dyDescent="0.25">
      <c r="A99" s="18" t="s">
        <v>52</v>
      </c>
      <c r="B99" s="19">
        <v>6654</v>
      </c>
      <c r="C99" s="19">
        <v>7519</v>
      </c>
      <c r="D99" s="19">
        <v>8422</v>
      </c>
      <c r="E99" s="20">
        <v>2.9404486239018614E-2</v>
      </c>
      <c r="F99" s="20">
        <v>3.2015907890927051E-2</v>
      </c>
      <c r="G99" s="20">
        <v>3.4454121853535212E-2</v>
      </c>
      <c r="I99" s="19">
        <v>7285</v>
      </c>
      <c r="J99" s="19">
        <v>7899</v>
      </c>
      <c r="K99" s="19">
        <v>8451</v>
      </c>
      <c r="L99" s="20">
        <v>3.2192918883566367E-2</v>
      </c>
      <c r="M99" s="20">
        <v>3.3633948188646463E-2</v>
      </c>
      <c r="N99" s="20">
        <v>3.4572759888889346E-2</v>
      </c>
      <c r="P99" s="19">
        <v>0</v>
      </c>
      <c r="Q99" s="19">
        <v>0</v>
      </c>
      <c r="R99" s="19">
        <v>0</v>
      </c>
      <c r="S99" s="20">
        <v>0</v>
      </c>
      <c r="T99" s="20">
        <v>0</v>
      </c>
      <c r="U99" s="20">
        <v>0</v>
      </c>
      <c r="W99" s="19">
        <v>7898</v>
      </c>
      <c r="X99" s="19">
        <v>11281</v>
      </c>
      <c r="Y99" s="19">
        <v>14657</v>
      </c>
      <c r="Z99" s="20">
        <v>3.4901808283103249E-2</v>
      </c>
      <c r="AA99" s="20">
        <v>4.8034506838349256E-2</v>
      </c>
      <c r="AB99" s="20">
        <v>5.9961299454674134E-2</v>
      </c>
      <c r="AD99" s="19">
        <v>21837</v>
      </c>
      <c r="AE99" s="19">
        <v>26699</v>
      </c>
      <c r="AF99" s="19">
        <v>31530</v>
      </c>
    </row>
    <row r="100" spans="1:32" customFormat="1" ht="15" x14ac:dyDescent="0.25">
      <c r="A100" s="18" t="s">
        <v>53</v>
      </c>
      <c r="B100" s="19">
        <v>339</v>
      </c>
      <c r="C100" s="19">
        <v>315</v>
      </c>
      <c r="D100" s="19">
        <v>41</v>
      </c>
      <c r="E100" s="20">
        <v>0.27855382087099423</v>
      </c>
      <c r="F100" s="20">
        <v>0.28024911032028471</v>
      </c>
      <c r="G100" s="20">
        <v>0.10327455919395466</v>
      </c>
      <c r="I100" s="19">
        <v>479</v>
      </c>
      <c r="J100" s="19">
        <v>434</v>
      </c>
      <c r="K100" s="19">
        <v>73</v>
      </c>
      <c r="L100" s="20">
        <v>0.3935907970419063</v>
      </c>
      <c r="M100" s="20">
        <v>0.38612099644128112</v>
      </c>
      <c r="N100" s="20">
        <v>0.18387909319899245</v>
      </c>
      <c r="P100" s="19">
        <v>216</v>
      </c>
      <c r="Q100" s="19">
        <v>354</v>
      </c>
      <c r="R100" s="19">
        <v>21</v>
      </c>
      <c r="S100" s="20">
        <v>0.17748562037797863</v>
      </c>
      <c r="T100" s="20">
        <v>0.31494661921708184</v>
      </c>
      <c r="U100" s="20">
        <v>5.2896725440806043E-2</v>
      </c>
      <c r="W100" s="19">
        <v>185</v>
      </c>
      <c r="X100" s="19">
        <v>20</v>
      </c>
      <c r="Y100" s="19">
        <v>8</v>
      </c>
      <c r="Z100" s="20">
        <v>0.15201314708299096</v>
      </c>
      <c r="AA100" s="20">
        <v>1.7793594306049824E-2</v>
      </c>
      <c r="AB100" s="20">
        <v>2.0151133501259445E-2</v>
      </c>
      <c r="AD100" s="19">
        <v>1219</v>
      </c>
      <c r="AE100" s="19">
        <v>1123</v>
      </c>
      <c r="AF100" s="19">
        <v>143</v>
      </c>
    </row>
    <row r="101" spans="1:32" customFormat="1" ht="15" x14ac:dyDescent="0.25">
      <c r="A101" s="18" t="s">
        <v>55</v>
      </c>
      <c r="B101" s="19">
        <v>665</v>
      </c>
      <c r="C101" s="19">
        <v>848</v>
      </c>
      <c r="D101" s="19">
        <v>922</v>
      </c>
      <c r="E101" s="20">
        <v>1.9938834252818421E-2</v>
      </c>
      <c r="F101" s="20">
        <v>2.4838898652606911E-2</v>
      </c>
      <c r="G101" s="20">
        <v>2.6521689103670462E-2</v>
      </c>
      <c r="I101" s="19">
        <v>666</v>
      </c>
      <c r="J101" s="19">
        <v>788</v>
      </c>
      <c r="K101" s="19">
        <v>869</v>
      </c>
      <c r="L101" s="20">
        <v>1.9968817462221157E-2</v>
      </c>
      <c r="M101" s="20">
        <v>2.3081429408318688E-2</v>
      </c>
      <c r="N101" s="20">
        <v>2.4997123461051662E-2</v>
      </c>
      <c r="P101" s="19">
        <v>244</v>
      </c>
      <c r="Q101" s="19">
        <v>219</v>
      </c>
      <c r="R101" s="19">
        <v>241</v>
      </c>
      <c r="S101" s="20">
        <v>7.3159030942672107E-3</v>
      </c>
      <c r="T101" s="20">
        <v>6.4147627416520211E-3</v>
      </c>
      <c r="U101" s="20">
        <v>6.9324588654930391E-3</v>
      </c>
      <c r="W101" s="19">
        <v>179</v>
      </c>
      <c r="X101" s="19">
        <v>406</v>
      </c>
      <c r="Y101" s="19">
        <v>489</v>
      </c>
      <c r="Z101" s="20">
        <v>5.3669944830894703E-3</v>
      </c>
      <c r="AA101" s="20">
        <v>1.1892208553016989E-2</v>
      </c>
      <c r="AB101" s="20">
        <v>1.4066275457369692E-2</v>
      </c>
      <c r="AD101" s="19">
        <v>1754</v>
      </c>
      <c r="AE101" s="19">
        <v>2261</v>
      </c>
      <c r="AF101" s="19">
        <v>2521</v>
      </c>
    </row>
    <row r="102" spans="1:32" customFormat="1" ht="15" x14ac:dyDescent="0.25">
      <c r="A102" s="18" t="s">
        <v>56</v>
      </c>
      <c r="B102" s="19">
        <v>160</v>
      </c>
      <c r="C102" s="19">
        <v>45</v>
      </c>
      <c r="D102" s="19">
        <v>65</v>
      </c>
      <c r="E102" s="20">
        <v>3.0395136778115502E-2</v>
      </c>
      <c r="F102" s="20">
        <v>9.085402786190187E-3</v>
      </c>
      <c r="G102" s="20">
        <v>1.1754068716094032E-2</v>
      </c>
      <c r="I102" s="19">
        <v>181</v>
      </c>
      <c r="J102" s="19">
        <v>27</v>
      </c>
      <c r="K102" s="19">
        <v>36</v>
      </c>
      <c r="L102" s="20">
        <v>3.4384498480243164E-2</v>
      </c>
      <c r="M102" s="20">
        <v>5.4512416717141131E-3</v>
      </c>
      <c r="N102" s="20">
        <v>6.5099457504520794E-3</v>
      </c>
      <c r="P102" s="19">
        <v>21</v>
      </c>
      <c r="Q102" s="19">
        <v>13</v>
      </c>
      <c r="R102" s="19">
        <v>32</v>
      </c>
      <c r="S102" s="20">
        <v>3.9893617021276593E-3</v>
      </c>
      <c r="T102" s="20">
        <v>2.6246719160104987E-3</v>
      </c>
      <c r="U102" s="20">
        <v>5.7866184448462929E-3</v>
      </c>
      <c r="W102" s="19">
        <v>251</v>
      </c>
      <c r="X102" s="19">
        <v>31</v>
      </c>
      <c r="Y102" s="19">
        <v>25</v>
      </c>
      <c r="Z102" s="20">
        <v>4.7682370820668694E-2</v>
      </c>
      <c r="AA102" s="20">
        <v>6.2588330304865734E-3</v>
      </c>
      <c r="AB102" s="20">
        <v>4.5207956600361665E-3</v>
      </c>
      <c r="AD102" s="19">
        <v>613</v>
      </c>
      <c r="AE102" s="19">
        <v>116</v>
      </c>
      <c r="AF102" s="19">
        <v>158</v>
      </c>
    </row>
    <row r="103" spans="1:32" customFormat="1" ht="15" x14ac:dyDescent="0.25">
      <c r="A103" s="18" t="s">
        <v>59</v>
      </c>
      <c r="B103" s="19">
        <v>0</v>
      </c>
      <c r="C103" s="19">
        <v>21</v>
      </c>
      <c r="D103" s="19">
        <v>35</v>
      </c>
      <c r="E103" s="20">
        <v>0</v>
      </c>
      <c r="F103" s="20">
        <v>1</v>
      </c>
      <c r="G103" s="20">
        <v>1</v>
      </c>
      <c r="I103" s="19">
        <v>0</v>
      </c>
      <c r="J103" s="19">
        <v>0</v>
      </c>
      <c r="K103" s="19">
        <v>0</v>
      </c>
      <c r="L103" s="20">
        <v>0</v>
      </c>
      <c r="M103" s="20">
        <v>0</v>
      </c>
      <c r="N103" s="20">
        <v>0</v>
      </c>
      <c r="P103" s="19">
        <v>0</v>
      </c>
      <c r="Q103" s="19">
        <v>0</v>
      </c>
      <c r="R103" s="19">
        <v>0</v>
      </c>
      <c r="S103" s="20">
        <v>0</v>
      </c>
      <c r="T103" s="20">
        <v>0</v>
      </c>
      <c r="U103" s="20">
        <v>0</v>
      </c>
      <c r="W103" s="19">
        <v>0</v>
      </c>
      <c r="X103" s="19">
        <v>0</v>
      </c>
      <c r="Y103" s="19">
        <v>0</v>
      </c>
      <c r="Z103" s="20">
        <v>0</v>
      </c>
      <c r="AA103" s="20">
        <v>0</v>
      </c>
      <c r="AB103" s="20">
        <v>0</v>
      </c>
      <c r="AD103" s="19">
        <v>0</v>
      </c>
      <c r="AE103" s="19">
        <v>21</v>
      </c>
      <c r="AF103" s="19">
        <v>35</v>
      </c>
    </row>
    <row r="104" spans="1:32" s="43" customFormat="1" ht="15" x14ac:dyDescent="0.25">
      <c r="A104" s="29" t="s">
        <v>67</v>
      </c>
      <c r="B104" s="27">
        <v>180201</v>
      </c>
      <c r="C104" s="27">
        <v>196480</v>
      </c>
      <c r="D104" s="27">
        <v>214615</v>
      </c>
      <c r="E104" s="22">
        <v>5.0056959614924672E-2</v>
      </c>
      <c r="F104" s="22">
        <v>5.5075538253504447E-2</v>
      </c>
      <c r="G104" s="22">
        <v>5.953607825589792E-2</v>
      </c>
      <c r="I104" s="27">
        <v>74871</v>
      </c>
      <c r="J104" s="27">
        <v>75947</v>
      </c>
      <c r="K104" s="27">
        <v>81181</v>
      </c>
      <c r="L104" s="22">
        <v>2.0797967954278972E-2</v>
      </c>
      <c r="M104" s="22">
        <v>2.1288792262514771E-2</v>
      </c>
      <c r="N104" s="22">
        <v>2.2520319497202193E-2</v>
      </c>
      <c r="P104" s="27">
        <v>7254</v>
      </c>
      <c r="Q104" s="27">
        <v>7671</v>
      </c>
      <c r="R104" s="27">
        <v>7898</v>
      </c>
      <c r="S104" s="22">
        <v>2.0150453385201169E-3</v>
      </c>
      <c r="T104" s="22">
        <v>2.1502669683562329E-3</v>
      </c>
      <c r="U104" s="22">
        <v>2.1909742844865537E-3</v>
      </c>
      <c r="W104" s="27">
        <v>94240</v>
      </c>
      <c r="X104" s="27">
        <v>114585</v>
      </c>
      <c r="Y104" s="27">
        <v>131321</v>
      </c>
      <c r="Z104" s="22">
        <v>2.6178366791030576E-2</v>
      </c>
      <c r="AA104" s="22">
        <v>3.2119455164789326E-2</v>
      </c>
      <c r="AB104" s="22">
        <v>3.6429594076102655E-2</v>
      </c>
      <c r="AD104" s="21">
        <v>356566</v>
      </c>
      <c r="AE104" s="21">
        <v>394683</v>
      </c>
      <c r="AF104" s="21">
        <v>435015</v>
      </c>
    </row>
    <row r="105" spans="1:32" customFormat="1" ht="15" x14ac:dyDescent="0.25">
      <c r="A105" s="18"/>
      <c r="B105" s="19"/>
      <c r="C105" s="19"/>
      <c r="D105" s="19"/>
      <c r="E105" s="19"/>
      <c r="F105" s="19"/>
      <c r="G105" s="19"/>
      <c r="I105" s="19"/>
      <c r="J105" s="19"/>
      <c r="K105" s="19"/>
      <c r="L105" s="19"/>
      <c r="M105" s="19"/>
      <c r="N105" s="19"/>
      <c r="P105" s="19"/>
      <c r="Q105" s="19"/>
      <c r="R105" s="19"/>
      <c r="S105" s="19"/>
      <c r="T105" s="19"/>
      <c r="U105" s="19"/>
      <c r="W105" s="19"/>
      <c r="X105" s="19"/>
      <c r="Y105" s="19"/>
      <c r="Z105" s="19"/>
      <c r="AA105" s="19"/>
      <c r="AB105" s="19"/>
      <c r="AD105" s="19"/>
      <c r="AE105" s="19"/>
      <c r="AF105" s="19"/>
    </row>
    <row r="106" spans="1:32" customFormat="1" ht="15" x14ac:dyDescent="0.25">
      <c r="A106" s="28" t="s">
        <v>68</v>
      </c>
      <c r="B106" s="25"/>
      <c r="C106" s="25"/>
      <c r="D106" s="25"/>
      <c r="E106" s="25"/>
      <c r="F106" s="25"/>
      <c r="G106" s="25"/>
      <c r="I106" s="25"/>
      <c r="J106" s="25"/>
      <c r="K106" s="25"/>
      <c r="L106" s="25"/>
      <c r="M106" s="25"/>
      <c r="N106" s="25"/>
      <c r="P106" s="25"/>
      <c r="Q106" s="25"/>
      <c r="R106" s="25"/>
      <c r="S106" s="25"/>
      <c r="T106" s="25"/>
      <c r="U106" s="25"/>
      <c r="W106" s="25"/>
      <c r="X106" s="25"/>
      <c r="Y106" s="25"/>
      <c r="Z106" s="25"/>
      <c r="AA106" s="25"/>
      <c r="AB106" s="25"/>
      <c r="AD106" s="19"/>
      <c r="AE106" s="19"/>
      <c r="AF106" s="19"/>
    </row>
    <row r="107" spans="1:32" customFormat="1" ht="15" x14ac:dyDescent="0.25">
      <c r="A107" s="18" t="s">
        <v>17</v>
      </c>
      <c r="B107" s="19">
        <v>236</v>
      </c>
      <c r="C107" s="19">
        <v>224</v>
      </c>
      <c r="D107" s="19">
        <v>227</v>
      </c>
      <c r="E107" s="20">
        <v>4.8114169215086648E-2</v>
      </c>
      <c r="F107" s="20">
        <v>4.8812377424275438E-2</v>
      </c>
      <c r="G107" s="20">
        <v>5.2135966926963713E-2</v>
      </c>
      <c r="I107" s="19">
        <v>184</v>
      </c>
      <c r="J107" s="19">
        <v>177</v>
      </c>
      <c r="K107" s="19">
        <v>169</v>
      </c>
      <c r="L107" s="20">
        <v>3.7512742099898064E-2</v>
      </c>
      <c r="M107" s="20">
        <v>3.8570494661146218E-2</v>
      </c>
      <c r="N107" s="20">
        <v>3.8814882866329808E-2</v>
      </c>
      <c r="P107" s="19">
        <v>0</v>
      </c>
      <c r="Q107" s="19">
        <v>0</v>
      </c>
      <c r="R107" s="19">
        <v>0</v>
      </c>
      <c r="S107" s="20">
        <v>0</v>
      </c>
      <c r="T107" s="20">
        <v>0</v>
      </c>
      <c r="U107" s="20">
        <v>0</v>
      </c>
      <c r="W107" s="19">
        <v>0</v>
      </c>
      <c r="X107" s="19">
        <v>0</v>
      </c>
      <c r="Y107" s="19">
        <v>0</v>
      </c>
      <c r="Z107" s="20">
        <v>0</v>
      </c>
      <c r="AA107" s="20">
        <v>0</v>
      </c>
      <c r="AB107" s="20">
        <v>0</v>
      </c>
      <c r="AD107" s="19">
        <v>420</v>
      </c>
      <c r="AE107" s="19">
        <v>401</v>
      </c>
      <c r="AF107" s="19">
        <v>396</v>
      </c>
    </row>
    <row r="108" spans="1:32" customFormat="1" ht="15" x14ac:dyDescent="0.25">
      <c r="A108" s="18" t="s">
        <v>19</v>
      </c>
      <c r="B108" s="19">
        <v>51864</v>
      </c>
      <c r="C108" s="19">
        <v>54849</v>
      </c>
      <c r="D108" s="19">
        <v>57552</v>
      </c>
      <c r="E108" s="20">
        <v>0.14398427566448088</v>
      </c>
      <c r="F108" s="20">
        <v>0.15234479157408232</v>
      </c>
      <c r="G108" s="20">
        <v>0.1600329230923237</v>
      </c>
      <c r="I108" s="19">
        <v>28616</v>
      </c>
      <c r="J108" s="19">
        <v>29138</v>
      </c>
      <c r="K108" s="19">
        <v>29631</v>
      </c>
      <c r="L108" s="20">
        <v>7.9443429593066189E-2</v>
      </c>
      <c r="M108" s="20">
        <v>8.0931694960447956E-2</v>
      </c>
      <c r="N108" s="20">
        <v>8.2393931473252774E-2</v>
      </c>
      <c r="P108" s="19">
        <v>3</v>
      </c>
      <c r="Q108" s="19">
        <v>2</v>
      </c>
      <c r="R108" s="19">
        <v>2</v>
      </c>
      <c r="S108" s="20">
        <v>8.3285675419065752E-6</v>
      </c>
      <c r="T108" s="20">
        <v>5.5550617722869081E-6</v>
      </c>
      <c r="U108" s="20">
        <v>5.5613331627857834E-6</v>
      </c>
      <c r="W108" s="19">
        <v>260</v>
      </c>
      <c r="X108" s="19">
        <v>283</v>
      </c>
      <c r="Y108" s="19">
        <v>300</v>
      </c>
      <c r="Z108" s="20">
        <v>7.218091869652366E-4</v>
      </c>
      <c r="AA108" s="20">
        <v>7.8604124077859749E-4</v>
      </c>
      <c r="AB108" s="20">
        <v>8.3419997441786745E-4</v>
      </c>
      <c r="AD108" s="19">
        <v>80743</v>
      </c>
      <c r="AE108" s="19">
        <v>84272</v>
      </c>
      <c r="AF108" s="19">
        <v>87485</v>
      </c>
    </row>
    <row r="109" spans="1:32" customFormat="1" ht="15" x14ac:dyDescent="0.25">
      <c r="A109" s="18" t="s">
        <v>20</v>
      </c>
      <c r="B109" s="19">
        <v>30132</v>
      </c>
      <c r="C109" s="19">
        <v>14458</v>
      </c>
      <c r="D109" s="19">
        <v>16729</v>
      </c>
      <c r="E109" s="20">
        <v>0.16948752130406169</v>
      </c>
      <c r="F109" s="20">
        <v>7.6071114759101124E-2</v>
      </c>
      <c r="G109" s="20">
        <v>7.9641425538194935E-2</v>
      </c>
      <c r="I109" s="19">
        <v>14236</v>
      </c>
      <c r="J109" s="19">
        <v>8334</v>
      </c>
      <c r="K109" s="19">
        <v>9476</v>
      </c>
      <c r="L109" s="20">
        <v>8.0075147792533594E-2</v>
      </c>
      <c r="M109" s="20">
        <v>4.3849541458178778E-2</v>
      </c>
      <c r="N109" s="20">
        <v>4.5112209241433159E-2</v>
      </c>
      <c r="P109" s="19">
        <v>0</v>
      </c>
      <c r="Q109" s="19">
        <v>0</v>
      </c>
      <c r="R109" s="19">
        <v>0</v>
      </c>
      <c r="S109" s="20">
        <v>0</v>
      </c>
      <c r="T109" s="20">
        <v>0</v>
      </c>
      <c r="U109" s="20">
        <v>0</v>
      </c>
      <c r="W109" s="19">
        <v>288</v>
      </c>
      <c r="X109" s="19">
        <v>121</v>
      </c>
      <c r="Y109" s="19">
        <v>206</v>
      </c>
      <c r="Z109" s="20">
        <v>1.6199524138978418E-3</v>
      </c>
      <c r="AA109" s="20">
        <v>6.3664441041992224E-4</v>
      </c>
      <c r="AB109" s="20">
        <v>9.8070020090072069E-4</v>
      </c>
      <c r="AD109" s="19">
        <v>44656</v>
      </c>
      <c r="AE109" s="19">
        <v>22913</v>
      </c>
      <c r="AF109" s="19">
        <v>26411</v>
      </c>
    </row>
    <row r="110" spans="1:32" customFormat="1" ht="15" x14ac:dyDescent="0.25">
      <c r="A110" s="18" t="s">
        <v>21</v>
      </c>
      <c r="B110" s="19">
        <v>1986</v>
      </c>
      <c r="C110" s="19">
        <v>2181</v>
      </c>
      <c r="D110" s="19">
        <v>2398</v>
      </c>
      <c r="E110" s="20">
        <v>4.8720653533841966E-2</v>
      </c>
      <c r="F110" s="20">
        <v>5.5367977456779467E-2</v>
      </c>
      <c r="G110" s="20">
        <v>6.266823467921076E-2</v>
      </c>
      <c r="I110" s="19">
        <v>826</v>
      </c>
      <c r="J110" s="19">
        <v>941</v>
      </c>
      <c r="K110" s="19">
        <v>1029</v>
      </c>
      <c r="L110" s="20">
        <v>2.0263474229080293E-2</v>
      </c>
      <c r="M110" s="20">
        <v>2.3888705541875048E-2</v>
      </c>
      <c r="N110" s="20">
        <v>2.689141513132105E-2</v>
      </c>
      <c r="P110" s="19">
        <v>0</v>
      </c>
      <c r="Q110" s="19">
        <v>0</v>
      </c>
      <c r="R110" s="19">
        <v>0</v>
      </c>
      <c r="S110" s="20">
        <v>0</v>
      </c>
      <c r="T110" s="20">
        <v>0</v>
      </c>
      <c r="U110" s="20">
        <v>0</v>
      </c>
      <c r="W110" s="19">
        <v>5</v>
      </c>
      <c r="X110" s="19">
        <v>4</v>
      </c>
      <c r="Y110" s="19">
        <v>4</v>
      </c>
      <c r="Z110" s="20">
        <v>1.2266025562397272E-4</v>
      </c>
      <c r="AA110" s="20">
        <v>1.0154603843517555E-4</v>
      </c>
      <c r="AB110" s="20">
        <v>1.0453416960669018E-4</v>
      </c>
      <c r="AD110" s="19">
        <v>2817</v>
      </c>
      <c r="AE110" s="19">
        <v>3126</v>
      </c>
      <c r="AF110" s="19">
        <v>3431</v>
      </c>
    </row>
    <row r="111" spans="1:32" customFormat="1" ht="15" x14ac:dyDescent="0.25">
      <c r="A111" s="18" t="s">
        <v>26</v>
      </c>
      <c r="B111" s="19">
        <v>337</v>
      </c>
      <c r="C111" s="19">
        <v>375</v>
      </c>
      <c r="D111" s="19">
        <v>433</v>
      </c>
      <c r="E111" s="20">
        <v>6.5246853823814135E-2</v>
      </c>
      <c r="F111" s="20">
        <v>7.5467900986113903E-2</v>
      </c>
      <c r="G111" s="20">
        <v>8.8295269168026103E-2</v>
      </c>
      <c r="I111" s="19">
        <v>125</v>
      </c>
      <c r="J111" s="19">
        <v>141</v>
      </c>
      <c r="K111" s="19">
        <v>155</v>
      </c>
      <c r="L111" s="20">
        <v>2.420135527589545E-2</v>
      </c>
      <c r="M111" s="20">
        <v>2.837593077077883E-2</v>
      </c>
      <c r="N111" s="20">
        <v>3.1606851549755302E-2</v>
      </c>
      <c r="P111" s="19">
        <v>0</v>
      </c>
      <c r="Q111" s="19">
        <v>78</v>
      </c>
      <c r="R111" s="19">
        <v>0</v>
      </c>
      <c r="S111" s="20">
        <v>0</v>
      </c>
      <c r="T111" s="20">
        <v>1.5697323405111693E-2</v>
      </c>
      <c r="U111" s="20">
        <v>0</v>
      </c>
      <c r="W111" s="19">
        <v>76</v>
      </c>
      <c r="X111" s="19">
        <v>0</v>
      </c>
      <c r="Y111" s="19">
        <v>79</v>
      </c>
      <c r="Z111" s="20">
        <v>1.4714424007744434E-2</v>
      </c>
      <c r="AA111" s="20">
        <v>0</v>
      </c>
      <c r="AB111" s="20">
        <v>1.6109298531810767E-2</v>
      </c>
      <c r="AD111" s="19">
        <v>538</v>
      </c>
      <c r="AE111" s="19">
        <v>594</v>
      </c>
      <c r="AF111" s="19">
        <v>667</v>
      </c>
    </row>
    <row r="112" spans="1:32" customFormat="1" ht="15" x14ac:dyDescent="0.25">
      <c r="A112" s="18" t="s">
        <v>27</v>
      </c>
      <c r="B112" s="19">
        <v>0</v>
      </c>
      <c r="C112" s="19">
        <v>0</v>
      </c>
      <c r="D112" s="19">
        <v>1</v>
      </c>
      <c r="E112" s="20">
        <v>0</v>
      </c>
      <c r="F112" s="20">
        <v>0</v>
      </c>
      <c r="G112" s="20">
        <v>0.2</v>
      </c>
      <c r="I112" s="19">
        <v>0</v>
      </c>
      <c r="J112" s="19">
        <v>0</v>
      </c>
      <c r="K112" s="19">
        <v>0</v>
      </c>
      <c r="L112" s="20">
        <v>0</v>
      </c>
      <c r="M112" s="20">
        <v>0</v>
      </c>
      <c r="N112" s="20">
        <v>0</v>
      </c>
      <c r="P112" s="19">
        <v>0</v>
      </c>
      <c r="Q112" s="19">
        <v>0</v>
      </c>
      <c r="R112" s="19">
        <v>0</v>
      </c>
      <c r="S112" s="20">
        <v>0</v>
      </c>
      <c r="T112" s="20">
        <v>0</v>
      </c>
      <c r="U112" s="20">
        <v>0</v>
      </c>
      <c r="W112" s="19">
        <v>0</v>
      </c>
      <c r="X112" s="19">
        <v>1</v>
      </c>
      <c r="Y112" s="19">
        <v>0</v>
      </c>
      <c r="Z112" s="20">
        <v>0</v>
      </c>
      <c r="AA112" s="20">
        <v>0.16666666666666666</v>
      </c>
      <c r="AB112" s="20">
        <v>0</v>
      </c>
      <c r="AD112" s="19">
        <v>0</v>
      </c>
      <c r="AE112" s="19">
        <v>1</v>
      </c>
      <c r="AF112" s="19">
        <v>1</v>
      </c>
    </row>
    <row r="113" spans="1:32" customFormat="1" ht="15" x14ac:dyDescent="0.25">
      <c r="A113" s="18" t="s">
        <v>28</v>
      </c>
      <c r="B113" s="19">
        <v>395</v>
      </c>
      <c r="C113" s="19">
        <v>600</v>
      </c>
      <c r="D113" s="19">
        <v>387</v>
      </c>
      <c r="E113" s="20">
        <v>3.5033259423503327E-2</v>
      </c>
      <c r="F113" s="20">
        <v>5.5066079295154183E-2</v>
      </c>
      <c r="G113" s="20">
        <v>3.5949837436135626E-2</v>
      </c>
      <c r="I113" s="19">
        <v>176</v>
      </c>
      <c r="J113" s="19">
        <v>278</v>
      </c>
      <c r="K113" s="19">
        <v>172</v>
      </c>
      <c r="L113" s="20">
        <v>1.5609756097560976E-2</v>
      </c>
      <c r="M113" s="20">
        <v>2.551395007342144E-2</v>
      </c>
      <c r="N113" s="20">
        <v>1.5977705527171388E-2</v>
      </c>
      <c r="P113" s="19">
        <v>0</v>
      </c>
      <c r="Q113" s="19">
        <v>0</v>
      </c>
      <c r="R113" s="19">
        <v>0</v>
      </c>
      <c r="S113" s="20">
        <v>0</v>
      </c>
      <c r="T113" s="20">
        <v>0</v>
      </c>
      <c r="U113" s="20">
        <v>0</v>
      </c>
      <c r="W113" s="19">
        <v>0</v>
      </c>
      <c r="X113" s="19">
        <v>1</v>
      </c>
      <c r="Y113" s="19">
        <v>0</v>
      </c>
      <c r="Z113" s="20">
        <v>0</v>
      </c>
      <c r="AA113" s="20">
        <v>9.177679882525697E-5</v>
      </c>
      <c r="AB113" s="20">
        <v>0</v>
      </c>
      <c r="AD113" s="19">
        <v>571</v>
      </c>
      <c r="AE113" s="19">
        <v>879</v>
      </c>
      <c r="AF113" s="19">
        <v>559</v>
      </c>
    </row>
    <row r="114" spans="1:32" customFormat="1" ht="15" x14ac:dyDescent="0.25">
      <c r="A114" s="18" t="s">
        <v>29</v>
      </c>
      <c r="B114" s="19">
        <v>23</v>
      </c>
      <c r="C114" s="19">
        <v>23</v>
      </c>
      <c r="D114" s="19">
        <v>21</v>
      </c>
      <c r="E114" s="20">
        <v>1.309049516220831E-2</v>
      </c>
      <c r="F114" s="20">
        <v>1.2906846240179574E-2</v>
      </c>
      <c r="G114" s="20">
        <v>1.1844331641285956E-2</v>
      </c>
      <c r="I114" s="19">
        <v>4</v>
      </c>
      <c r="J114" s="19">
        <v>15</v>
      </c>
      <c r="K114" s="19">
        <v>7</v>
      </c>
      <c r="L114" s="20">
        <v>2.2766078542970974E-3</v>
      </c>
      <c r="M114" s="20">
        <v>8.4175084175084174E-3</v>
      </c>
      <c r="N114" s="20">
        <v>3.948110547095319E-3</v>
      </c>
      <c r="P114" s="19">
        <v>0</v>
      </c>
      <c r="Q114" s="19">
        <v>0</v>
      </c>
      <c r="R114" s="19">
        <v>0</v>
      </c>
      <c r="S114" s="20">
        <v>0</v>
      </c>
      <c r="T114" s="20">
        <v>0</v>
      </c>
      <c r="U114" s="20">
        <v>0</v>
      </c>
      <c r="W114" s="19">
        <v>0</v>
      </c>
      <c r="X114" s="19">
        <v>0</v>
      </c>
      <c r="Y114" s="19">
        <v>2</v>
      </c>
      <c r="Z114" s="20">
        <v>0</v>
      </c>
      <c r="AA114" s="20">
        <v>0</v>
      </c>
      <c r="AB114" s="20">
        <v>1.1280315848843769E-3</v>
      </c>
      <c r="AD114" s="19">
        <v>27</v>
      </c>
      <c r="AE114" s="19">
        <v>38</v>
      </c>
      <c r="AF114" s="19">
        <v>30</v>
      </c>
    </row>
    <row r="115" spans="1:32" customFormat="1" ht="15" x14ac:dyDescent="0.25">
      <c r="A115" s="18" t="s">
        <v>30</v>
      </c>
      <c r="B115" s="19">
        <v>4120</v>
      </c>
      <c r="C115" s="19">
        <v>4863</v>
      </c>
      <c r="D115" s="19">
        <v>5864</v>
      </c>
      <c r="E115" s="20">
        <v>3.4209608582294035E-2</v>
      </c>
      <c r="F115" s="20">
        <v>4.3153018847833034E-2</v>
      </c>
      <c r="G115" s="20">
        <v>5.1014371715906323E-2</v>
      </c>
      <c r="I115" s="19">
        <v>1375</v>
      </c>
      <c r="J115" s="19">
        <v>1739</v>
      </c>
      <c r="K115" s="19">
        <v>2008</v>
      </c>
      <c r="L115" s="20">
        <v>1.1417041699187938E-2</v>
      </c>
      <c r="M115" s="20">
        <v>1.5431441451034679E-2</v>
      </c>
      <c r="N115" s="20">
        <v>1.7468768486620039E-2</v>
      </c>
      <c r="P115" s="19">
        <v>51</v>
      </c>
      <c r="Q115" s="19">
        <v>49</v>
      </c>
      <c r="R115" s="19">
        <v>32</v>
      </c>
      <c r="S115" s="20">
        <v>4.2346845575169802E-4</v>
      </c>
      <c r="T115" s="20">
        <v>4.3481347389344406E-4</v>
      </c>
      <c r="U115" s="20">
        <v>2.7838674879075758E-4</v>
      </c>
      <c r="W115" s="19">
        <v>114</v>
      </c>
      <c r="X115" s="19">
        <v>127</v>
      </c>
      <c r="Y115" s="19">
        <v>95</v>
      </c>
      <c r="Z115" s="20">
        <v>9.4657654815085443E-4</v>
      </c>
      <c r="AA115" s="20">
        <v>1.1269655343768856E-3</v>
      </c>
      <c r="AB115" s="20">
        <v>8.2646066047256151E-4</v>
      </c>
      <c r="AD115" s="19">
        <v>5660</v>
      </c>
      <c r="AE115" s="19">
        <v>6778</v>
      </c>
      <c r="AF115" s="19">
        <v>7999</v>
      </c>
    </row>
    <row r="116" spans="1:32" customFormat="1" ht="15" x14ac:dyDescent="0.25">
      <c r="A116" s="18" t="s">
        <v>32</v>
      </c>
      <c r="B116" s="19">
        <v>22739</v>
      </c>
      <c r="C116" s="19">
        <v>28367</v>
      </c>
      <c r="D116" s="19">
        <v>33684</v>
      </c>
      <c r="E116" s="20">
        <v>3.2165434358551445E-2</v>
      </c>
      <c r="F116" s="20">
        <v>3.9946938321431535E-2</v>
      </c>
      <c r="G116" s="20">
        <v>4.7254897834641527E-2</v>
      </c>
      <c r="I116" s="19">
        <v>19029</v>
      </c>
      <c r="J116" s="19">
        <v>27460</v>
      </c>
      <c r="K116" s="19">
        <v>34617</v>
      </c>
      <c r="L116" s="20">
        <v>2.6917456810276418E-2</v>
      </c>
      <c r="M116" s="20">
        <v>3.8669684009818101E-2</v>
      </c>
      <c r="N116" s="20">
        <v>4.8563792849477073E-2</v>
      </c>
      <c r="P116" s="19">
        <v>1158</v>
      </c>
      <c r="Q116" s="19">
        <v>1334</v>
      </c>
      <c r="R116" s="19">
        <v>1568</v>
      </c>
      <c r="S116" s="20">
        <v>1.6380479786799144E-3</v>
      </c>
      <c r="T116" s="20">
        <v>1.8785636733101728E-3</v>
      </c>
      <c r="U116" s="20">
        <v>2.1997292425103288E-3</v>
      </c>
      <c r="W116" s="19">
        <v>105</v>
      </c>
      <c r="X116" s="19">
        <v>112</v>
      </c>
      <c r="Y116" s="19">
        <v>119</v>
      </c>
      <c r="Z116" s="20">
        <v>1.4852766646061399E-4</v>
      </c>
      <c r="AA116" s="20">
        <v>1.5772048831389757E-4</v>
      </c>
      <c r="AB116" s="20">
        <v>1.6694373715480174E-4</v>
      </c>
      <c r="AD116" s="19">
        <v>43031</v>
      </c>
      <c r="AE116" s="19">
        <v>57273</v>
      </c>
      <c r="AF116" s="19">
        <v>69988</v>
      </c>
    </row>
    <row r="117" spans="1:32" customFormat="1" ht="15" x14ac:dyDescent="0.25">
      <c r="A117" s="18" t="s">
        <v>80</v>
      </c>
      <c r="B117" s="19">
        <v>8</v>
      </c>
      <c r="C117" s="19">
        <v>7</v>
      </c>
      <c r="D117" s="19">
        <v>8</v>
      </c>
      <c r="E117" s="20">
        <v>8.0808080808080808E-3</v>
      </c>
      <c r="F117" s="20">
        <v>6.7307692307692311E-3</v>
      </c>
      <c r="G117" s="20">
        <v>7.5187969924812026E-3</v>
      </c>
      <c r="I117" s="19">
        <v>0</v>
      </c>
      <c r="J117" s="19">
        <v>0</v>
      </c>
      <c r="K117" s="19">
        <v>0</v>
      </c>
      <c r="L117" s="20">
        <v>0</v>
      </c>
      <c r="M117" s="20">
        <v>0</v>
      </c>
      <c r="N117" s="20">
        <v>0</v>
      </c>
      <c r="P117" s="19">
        <v>0</v>
      </c>
      <c r="Q117" s="19">
        <v>0</v>
      </c>
      <c r="R117" s="19">
        <v>0</v>
      </c>
      <c r="S117" s="20">
        <v>0</v>
      </c>
      <c r="T117" s="20">
        <v>0</v>
      </c>
      <c r="U117" s="20">
        <v>0</v>
      </c>
      <c r="W117" s="19">
        <v>1</v>
      </c>
      <c r="X117" s="19">
        <v>1</v>
      </c>
      <c r="Y117" s="19">
        <v>1</v>
      </c>
      <c r="Z117" s="20">
        <v>1.0101010101010101E-3</v>
      </c>
      <c r="AA117" s="20">
        <v>9.6153846153846159E-4</v>
      </c>
      <c r="AB117" s="20">
        <v>9.3984962406015032E-4</v>
      </c>
      <c r="AD117" s="19">
        <v>9</v>
      </c>
      <c r="AE117" s="19">
        <v>8</v>
      </c>
      <c r="AF117" s="19">
        <v>9</v>
      </c>
    </row>
    <row r="118" spans="1:32" customFormat="1" ht="15" x14ac:dyDescent="0.25">
      <c r="A118" s="18" t="s">
        <v>34</v>
      </c>
      <c r="B118" s="19">
        <v>335</v>
      </c>
      <c r="C118" s="19">
        <v>702</v>
      </c>
      <c r="D118" s="19">
        <v>1065</v>
      </c>
      <c r="E118" s="20">
        <v>0.140993265993266</v>
      </c>
      <c r="F118" s="20">
        <v>0.27304550758459745</v>
      </c>
      <c r="G118" s="20">
        <v>0.32272727272727275</v>
      </c>
      <c r="I118" s="19">
        <v>0</v>
      </c>
      <c r="J118" s="19">
        <v>0</v>
      </c>
      <c r="K118" s="19">
        <v>0</v>
      </c>
      <c r="L118" s="20">
        <v>0</v>
      </c>
      <c r="M118" s="20">
        <v>0</v>
      </c>
      <c r="N118" s="20">
        <v>0</v>
      </c>
      <c r="P118" s="19">
        <v>0</v>
      </c>
      <c r="Q118" s="19">
        <v>0</v>
      </c>
      <c r="R118" s="19">
        <v>0</v>
      </c>
      <c r="S118" s="20">
        <v>0</v>
      </c>
      <c r="T118" s="20">
        <v>0</v>
      </c>
      <c r="U118" s="20">
        <v>0</v>
      </c>
      <c r="W118" s="19">
        <v>0</v>
      </c>
      <c r="X118" s="19">
        <v>14</v>
      </c>
      <c r="Y118" s="19">
        <v>16</v>
      </c>
      <c r="Z118" s="20">
        <v>0</v>
      </c>
      <c r="AA118" s="20">
        <v>5.4453520031116295E-3</v>
      </c>
      <c r="AB118" s="20">
        <v>4.8484848484848485E-3</v>
      </c>
      <c r="AD118" s="19">
        <v>335</v>
      </c>
      <c r="AE118" s="19">
        <v>716</v>
      </c>
      <c r="AF118" s="19">
        <v>1081</v>
      </c>
    </row>
    <row r="119" spans="1:32" customFormat="1" ht="15" x14ac:dyDescent="0.25">
      <c r="A119" s="18" t="s">
        <v>166</v>
      </c>
      <c r="B119" s="19">
        <v>0</v>
      </c>
      <c r="C119" s="19">
        <v>2</v>
      </c>
      <c r="D119" s="19">
        <v>2</v>
      </c>
      <c r="E119" s="20">
        <v>0</v>
      </c>
      <c r="F119" s="20">
        <v>7.6923076923076927E-2</v>
      </c>
      <c r="G119" s="20">
        <v>1.2738853503184714E-2</v>
      </c>
      <c r="I119" s="19">
        <v>0</v>
      </c>
      <c r="J119" s="19">
        <v>0</v>
      </c>
      <c r="K119" s="19">
        <v>1</v>
      </c>
      <c r="L119" s="20">
        <v>0</v>
      </c>
      <c r="M119" s="20">
        <v>0</v>
      </c>
      <c r="N119" s="20">
        <v>6.369426751592357E-3</v>
      </c>
      <c r="P119" s="19">
        <v>0</v>
      </c>
      <c r="Q119" s="19">
        <v>0</v>
      </c>
      <c r="R119" s="19">
        <v>0</v>
      </c>
      <c r="S119" s="20">
        <v>0</v>
      </c>
      <c r="T119" s="20">
        <v>0</v>
      </c>
      <c r="U119" s="20">
        <v>0</v>
      </c>
      <c r="W119" s="19">
        <v>0</v>
      </c>
      <c r="X119" s="19">
        <v>0</v>
      </c>
      <c r="Y119" s="19">
        <v>0</v>
      </c>
      <c r="Z119" s="20">
        <v>0</v>
      </c>
      <c r="AA119" s="20">
        <v>0</v>
      </c>
      <c r="AB119" s="20">
        <v>0</v>
      </c>
      <c r="AD119" s="19">
        <v>0</v>
      </c>
      <c r="AE119" s="19">
        <v>2</v>
      </c>
      <c r="AF119" s="19">
        <v>3</v>
      </c>
    </row>
    <row r="120" spans="1:32" customFormat="1" ht="15" x14ac:dyDescent="0.25">
      <c r="A120" s="18" t="s">
        <v>36</v>
      </c>
      <c r="B120" s="19">
        <v>87</v>
      </c>
      <c r="C120" s="19">
        <v>197</v>
      </c>
      <c r="D120" s="19">
        <v>0</v>
      </c>
      <c r="E120" s="20">
        <v>4.5997673680871314E-3</v>
      </c>
      <c r="F120" s="20">
        <v>9.3484553694300771E-3</v>
      </c>
      <c r="G120" s="20">
        <v>0</v>
      </c>
      <c r="I120" s="19">
        <v>16</v>
      </c>
      <c r="J120" s="19">
        <v>18</v>
      </c>
      <c r="K120" s="19">
        <v>0</v>
      </c>
      <c r="L120" s="20">
        <v>8.4593422861372529E-4</v>
      </c>
      <c r="M120" s="20">
        <v>8.5417358705452474E-4</v>
      </c>
      <c r="N120" s="20">
        <v>0</v>
      </c>
      <c r="P120" s="19">
        <v>0</v>
      </c>
      <c r="Q120" s="19">
        <v>0</v>
      </c>
      <c r="R120" s="19">
        <v>0</v>
      </c>
      <c r="S120" s="20">
        <v>0</v>
      </c>
      <c r="T120" s="20">
        <v>0</v>
      </c>
      <c r="U120" s="20">
        <v>0</v>
      </c>
      <c r="W120" s="19">
        <v>0</v>
      </c>
      <c r="X120" s="19">
        <v>0</v>
      </c>
      <c r="Y120" s="19">
        <v>255</v>
      </c>
      <c r="Z120" s="20">
        <v>0</v>
      </c>
      <c r="AA120" s="20">
        <v>0</v>
      </c>
      <c r="AB120" s="20">
        <v>1.0793193938880894E-2</v>
      </c>
      <c r="AD120" s="19">
        <v>103</v>
      </c>
      <c r="AE120" s="19">
        <v>215</v>
      </c>
      <c r="AF120" s="19">
        <v>255</v>
      </c>
    </row>
    <row r="121" spans="1:32" customFormat="1" ht="15" x14ac:dyDescent="0.25">
      <c r="A121" s="18" t="s">
        <v>37</v>
      </c>
      <c r="B121" s="19">
        <v>0</v>
      </c>
      <c r="C121" s="19">
        <v>0</v>
      </c>
      <c r="D121" s="19">
        <v>0</v>
      </c>
      <c r="E121" s="20">
        <v>0</v>
      </c>
      <c r="F121" s="20">
        <v>0</v>
      </c>
      <c r="G121" s="20">
        <v>0</v>
      </c>
      <c r="I121" s="19">
        <v>0</v>
      </c>
      <c r="J121" s="19">
        <v>0</v>
      </c>
      <c r="K121" s="19">
        <v>0</v>
      </c>
      <c r="L121" s="20">
        <v>0</v>
      </c>
      <c r="M121" s="20">
        <v>0</v>
      </c>
      <c r="N121" s="20">
        <v>0</v>
      </c>
      <c r="P121" s="19">
        <v>0</v>
      </c>
      <c r="Q121" s="19">
        <v>0</v>
      </c>
      <c r="R121" s="19">
        <v>0</v>
      </c>
      <c r="S121" s="20">
        <v>0</v>
      </c>
      <c r="T121" s="20">
        <v>0</v>
      </c>
      <c r="U121" s="20">
        <v>0</v>
      </c>
      <c r="W121" s="19">
        <v>5</v>
      </c>
      <c r="X121" s="19">
        <v>0</v>
      </c>
      <c r="Y121" s="19">
        <v>0</v>
      </c>
      <c r="Z121" s="20">
        <v>6.8493150684931503E-3</v>
      </c>
      <c r="AA121" s="20">
        <v>0</v>
      </c>
      <c r="AB121" s="20">
        <v>0</v>
      </c>
      <c r="AD121" s="19">
        <v>5</v>
      </c>
      <c r="AE121" s="19">
        <v>0</v>
      </c>
      <c r="AF121" s="19">
        <v>0</v>
      </c>
    </row>
    <row r="122" spans="1:32" customFormat="1" ht="15" x14ac:dyDescent="0.25">
      <c r="A122" s="18" t="s">
        <v>38</v>
      </c>
      <c r="B122" s="19">
        <v>1361</v>
      </c>
      <c r="C122" s="19">
        <v>1536</v>
      </c>
      <c r="D122" s="19">
        <v>1767</v>
      </c>
      <c r="E122" s="20">
        <v>0.10483746726236327</v>
      </c>
      <c r="F122" s="20">
        <v>0.11699291644451215</v>
      </c>
      <c r="G122" s="20">
        <v>0.13180665373713263</v>
      </c>
      <c r="I122" s="19">
        <v>0</v>
      </c>
      <c r="J122" s="19">
        <v>0</v>
      </c>
      <c r="K122" s="19">
        <v>0</v>
      </c>
      <c r="L122" s="20">
        <v>0</v>
      </c>
      <c r="M122" s="20">
        <v>0</v>
      </c>
      <c r="N122" s="20">
        <v>0</v>
      </c>
      <c r="P122" s="19">
        <v>0</v>
      </c>
      <c r="Q122" s="19">
        <v>0</v>
      </c>
      <c r="R122" s="19">
        <v>0</v>
      </c>
      <c r="S122" s="20">
        <v>0</v>
      </c>
      <c r="T122" s="20">
        <v>0</v>
      </c>
      <c r="U122" s="20">
        <v>0</v>
      </c>
      <c r="W122" s="19">
        <v>0</v>
      </c>
      <c r="X122" s="19">
        <v>0</v>
      </c>
      <c r="Y122" s="19">
        <v>0</v>
      </c>
      <c r="Z122" s="20">
        <v>0</v>
      </c>
      <c r="AA122" s="20">
        <v>0</v>
      </c>
      <c r="AB122" s="20">
        <v>0</v>
      </c>
      <c r="AD122" s="19">
        <v>1361</v>
      </c>
      <c r="AE122" s="19">
        <v>1536</v>
      </c>
      <c r="AF122" s="19">
        <v>1767</v>
      </c>
    </row>
    <row r="123" spans="1:32" customFormat="1" ht="15" x14ac:dyDescent="0.25">
      <c r="A123" s="18" t="s">
        <v>39</v>
      </c>
      <c r="B123" s="19">
        <v>183</v>
      </c>
      <c r="C123" s="19">
        <v>178</v>
      </c>
      <c r="D123" s="19">
        <v>168</v>
      </c>
      <c r="E123" s="20">
        <v>0.33152173913043476</v>
      </c>
      <c r="F123" s="20">
        <v>0.35959595959595958</v>
      </c>
      <c r="G123" s="20">
        <v>0.17125382262996941</v>
      </c>
      <c r="I123" s="19">
        <v>262</v>
      </c>
      <c r="J123" s="19">
        <v>258</v>
      </c>
      <c r="K123" s="19">
        <v>244</v>
      </c>
      <c r="L123" s="20">
        <v>0.47463768115942029</v>
      </c>
      <c r="M123" s="20">
        <v>0.52121212121212124</v>
      </c>
      <c r="N123" s="20">
        <v>0.24872579001019368</v>
      </c>
      <c r="P123" s="19">
        <v>0</v>
      </c>
      <c r="Q123" s="19">
        <v>0</v>
      </c>
      <c r="R123" s="19">
        <v>0</v>
      </c>
      <c r="S123" s="20">
        <v>0</v>
      </c>
      <c r="T123" s="20">
        <v>0</v>
      </c>
      <c r="U123" s="20">
        <v>0</v>
      </c>
      <c r="W123" s="19">
        <v>4</v>
      </c>
      <c r="X123" s="19">
        <v>4</v>
      </c>
      <c r="Y123" s="19">
        <v>4</v>
      </c>
      <c r="Z123" s="20">
        <v>7.246376811594203E-3</v>
      </c>
      <c r="AA123" s="20">
        <v>8.0808080808080808E-3</v>
      </c>
      <c r="AB123" s="20">
        <v>4.0774719673802246E-3</v>
      </c>
      <c r="AD123" s="19">
        <v>449</v>
      </c>
      <c r="AE123" s="19">
        <v>440</v>
      </c>
      <c r="AF123" s="19">
        <v>416</v>
      </c>
    </row>
    <row r="124" spans="1:32" customFormat="1" ht="15" x14ac:dyDescent="0.25">
      <c r="A124" s="18" t="s">
        <v>40</v>
      </c>
      <c r="B124" s="19">
        <v>1</v>
      </c>
      <c r="C124" s="19">
        <v>11</v>
      </c>
      <c r="D124" s="19">
        <v>2</v>
      </c>
      <c r="E124" s="20">
        <v>2.0491803278688526E-3</v>
      </c>
      <c r="F124" s="20">
        <v>2.2633744855967079E-2</v>
      </c>
      <c r="G124" s="20">
        <v>4.0733197556008143E-3</v>
      </c>
      <c r="I124" s="19">
        <v>0</v>
      </c>
      <c r="J124" s="19">
        <v>3</v>
      </c>
      <c r="K124" s="19">
        <v>0</v>
      </c>
      <c r="L124" s="20">
        <v>0</v>
      </c>
      <c r="M124" s="20">
        <v>6.1728395061728392E-3</v>
      </c>
      <c r="N124" s="20">
        <v>0</v>
      </c>
      <c r="P124" s="19">
        <v>0</v>
      </c>
      <c r="Q124" s="19">
        <v>3</v>
      </c>
      <c r="R124" s="19">
        <v>1</v>
      </c>
      <c r="S124" s="20">
        <v>0</v>
      </c>
      <c r="T124" s="20">
        <v>6.1728395061728392E-3</v>
      </c>
      <c r="U124" s="20">
        <v>2.0366598778004071E-3</v>
      </c>
      <c r="W124" s="19">
        <v>5</v>
      </c>
      <c r="X124" s="19">
        <v>8</v>
      </c>
      <c r="Y124" s="19">
        <v>4</v>
      </c>
      <c r="Z124" s="20">
        <v>1.0245901639344262E-2</v>
      </c>
      <c r="AA124" s="20">
        <v>1.646090534979424E-2</v>
      </c>
      <c r="AB124" s="20">
        <v>8.1466395112016286E-3</v>
      </c>
      <c r="AD124" s="19">
        <v>6</v>
      </c>
      <c r="AE124" s="19">
        <v>25</v>
      </c>
      <c r="AF124" s="19">
        <v>7</v>
      </c>
    </row>
    <row r="125" spans="1:32" customFormat="1" ht="15" x14ac:dyDescent="0.25">
      <c r="A125" s="18" t="s">
        <v>41</v>
      </c>
      <c r="B125" s="19">
        <v>40</v>
      </c>
      <c r="C125" s="19">
        <v>91</v>
      </c>
      <c r="D125" s="19">
        <v>115</v>
      </c>
      <c r="E125" s="20">
        <v>5.2356020942408377E-2</v>
      </c>
      <c r="F125" s="20">
        <v>0.10224719101123596</v>
      </c>
      <c r="G125" s="20">
        <v>0.1145418326693227</v>
      </c>
      <c r="I125" s="19">
        <v>1</v>
      </c>
      <c r="J125" s="19">
        <v>3</v>
      </c>
      <c r="K125" s="19">
        <v>9</v>
      </c>
      <c r="L125" s="20">
        <v>1.3089005235602095E-3</v>
      </c>
      <c r="M125" s="20">
        <v>3.3707865168539327E-3</v>
      </c>
      <c r="N125" s="20">
        <v>8.9641434262948214E-3</v>
      </c>
      <c r="P125" s="19">
        <v>104</v>
      </c>
      <c r="Q125" s="19">
        <v>14</v>
      </c>
      <c r="R125" s="19">
        <v>30</v>
      </c>
      <c r="S125" s="20">
        <v>0.13612565445026178</v>
      </c>
      <c r="T125" s="20">
        <v>1.5730337078651686E-2</v>
      </c>
      <c r="U125" s="20">
        <v>2.9880478087649404E-2</v>
      </c>
      <c r="W125" s="19">
        <v>9</v>
      </c>
      <c r="X125" s="19">
        <v>0</v>
      </c>
      <c r="Y125" s="19">
        <v>1</v>
      </c>
      <c r="Z125" s="20">
        <v>1.1780104712041885E-2</v>
      </c>
      <c r="AA125" s="20">
        <v>0</v>
      </c>
      <c r="AB125" s="20">
        <v>9.9601593625498006E-4</v>
      </c>
      <c r="AD125" s="19">
        <v>154</v>
      </c>
      <c r="AE125" s="19">
        <v>108</v>
      </c>
      <c r="AF125" s="19">
        <v>155</v>
      </c>
    </row>
    <row r="126" spans="1:32" customFormat="1" ht="15" x14ac:dyDescent="0.25">
      <c r="A126" s="18" t="s">
        <v>43</v>
      </c>
      <c r="B126" s="19">
        <v>30005</v>
      </c>
      <c r="C126" s="19">
        <v>36385</v>
      </c>
      <c r="D126" s="19">
        <v>40722</v>
      </c>
      <c r="E126" s="20">
        <v>4.5248220533236821E-2</v>
      </c>
      <c r="F126" s="20">
        <v>5.5469589675963688E-2</v>
      </c>
      <c r="G126" s="20">
        <v>6.2838325792693092E-2</v>
      </c>
      <c r="I126" s="19">
        <v>9139</v>
      </c>
      <c r="J126" s="19">
        <v>11018</v>
      </c>
      <c r="K126" s="19">
        <v>12972</v>
      </c>
      <c r="L126" s="20">
        <v>1.378181927856195E-2</v>
      </c>
      <c r="M126" s="20">
        <v>1.6797140004116199E-2</v>
      </c>
      <c r="N126" s="20">
        <v>2.0017159328687559E-2</v>
      </c>
      <c r="P126" s="19">
        <v>0</v>
      </c>
      <c r="Q126" s="19">
        <v>0</v>
      </c>
      <c r="R126" s="19">
        <v>0</v>
      </c>
      <c r="S126" s="20">
        <v>0</v>
      </c>
      <c r="T126" s="20">
        <v>0</v>
      </c>
      <c r="U126" s="20">
        <v>0</v>
      </c>
      <c r="W126" s="19">
        <v>553</v>
      </c>
      <c r="X126" s="19">
        <v>749</v>
      </c>
      <c r="Y126" s="19">
        <v>974</v>
      </c>
      <c r="Z126" s="20">
        <v>8.3393654240559783E-4</v>
      </c>
      <c r="AA126" s="20">
        <v>1.1418640282340744E-3</v>
      </c>
      <c r="AB126" s="20">
        <v>1.5029843652591491E-3</v>
      </c>
      <c r="AD126" s="19">
        <v>39697</v>
      </c>
      <c r="AE126" s="19">
        <v>48152</v>
      </c>
      <c r="AF126" s="19">
        <v>54668</v>
      </c>
    </row>
    <row r="127" spans="1:32" customFormat="1" ht="15" x14ac:dyDescent="0.25">
      <c r="A127" s="18" t="s">
        <v>44</v>
      </c>
      <c r="B127" s="19">
        <v>0</v>
      </c>
      <c r="C127" s="19">
        <v>0</v>
      </c>
      <c r="D127" s="19">
        <v>18</v>
      </c>
      <c r="E127" s="20">
        <v>0</v>
      </c>
      <c r="F127" s="20">
        <v>0</v>
      </c>
      <c r="G127" s="20">
        <v>0.18556701030927836</v>
      </c>
      <c r="I127" s="19">
        <v>0</v>
      </c>
      <c r="J127" s="19">
        <v>0</v>
      </c>
      <c r="K127" s="19">
        <v>60</v>
      </c>
      <c r="L127" s="20">
        <v>0</v>
      </c>
      <c r="M127" s="20">
        <v>0</v>
      </c>
      <c r="N127" s="20">
        <v>0.61855670103092786</v>
      </c>
      <c r="P127" s="19">
        <v>0</v>
      </c>
      <c r="Q127" s="19">
        <v>0</v>
      </c>
      <c r="R127" s="19">
        <v>0</v>
      </c>
      <c r="S127" s="20">
        <v>0</v>
      </c>
      <c r="T127" s="20">
        <v>0</v>
      </c>
      <c r="U127" s="20">
        <v>0</v>
      </c>
      <c r="W127" s="19">
        <v>0</v>
      </c>
      <c r="X127" s="19">
        <v>0</v>
      </c>
      <c r="Y127" s="19">
        <v>1</v>
      </c>
      <c r="Z127" s="20">
        <v>0</v>
      </c>
      <c r="AA127" s="20">
        <v>0</v>
      </c>
      <c r="AB127" s="20">
        <v>1.0309278350515464E-2</v>
      </c>
      <c r="AD127" s="19">
        <v>0</v>
      </c>
      <c r="AE127" s="19">
        <v>0</v>
      </c>
      <c r="AF127" s="19">
        <v>79</v>
      </c>
    </row>
    <row r="128" spans="1:32" customFormat="1" ht="15" x14ac:dyDescent="0.25">
      <c r="A128" s="18" t="s">
        <v>46</v>
      </c>
      <c r="B128" s="19">
        <v>0</v>
      </c>
      <c r="C128" s="19">
        <v>0</v>
      </c>
      <c r="D128" s="19">
        <v>4</v>
      </c>
      <c r="E128" s="20">
        <v>0</v>
      </c>
      <c r="F128" s="20">
        <v>0</v>
      </c>
      <c r="G128" s="20">
        <v>2.197802197802198E-2</v>
      </c>
      <c r="I128" s="19">
        <v>0</v>
      </c>
      <c r="J128" s="19">
        <v>0</v>
      </c>
      <c r="K128" s="19">
        <v>19</v>
      </c>
      <c r="L128" s="20">
        <v>0</v>
      </c>
      <c r="M128" s="20">
        <v>0</v>
      </c>
      <c r="N128" s="20">
        <v>0.1043956043956044</v>
      </c>
      <c r="P128" s="19">
        <v>0</v>
      </c>
      <c r="Q128" s="19">
        <v>0</v>
      </c>
      <c r="R128" s="19">
        <v>0</v>
      </c>
      <c r="S128" s="20">
        <v>0</v>
      </c>
      <c r="T128" s="20">
        <v>0</v>
      </c>
      <c r="U128" s="20">
        <v>0</v>
      </c>
      <c r="W128" s="19">
        <v>0</v>
      </c>
      <c r="X128" s="19">
        <v>0</v>
      </c>
      <c r="Y128" s="19">
        <v>0</v>
      </c>
      <c r="Z128" s="20">
        <v>0</v>
      </c>
      <c r="AA128" s="20">
        <v>0</v>
      </c>
      <c r="AB128" s="20">
        <v>0</v>
      </c>
      <c r="AD128" s="19">
        <v>0</v>
      </c>
      <c r="AE128" s="19">
        <v>0</v>
      </c>
      <c r="AF128" s="19">
        <v>23</v>
      </c>
    </row>
    <row r="129" spans="1:32" customFormat="1" ht="15" x14ac:dyDescent="0.25">
      <c r="A129" s="18" t="s">
        <v>126</v>
      </c>
      <c r="B129" s="19">
        <v>539</v>
      </c>
      <c r="C129" s="19">
        <v>638</v>
      </c>
      <c r="D129" s="19">
        <v>754</v>
      </c>
      <c r="E129" s="20">
        <v>3.7537432968869695E-2</v>
      </c>
      <c r="F129" s="20">
        <v>4.4967578235128279E-2</v>
      </c>
      <c r="G129" s="20">
        <v>5.1240231056744821E-2</v>
      </c>
      <c r="I129" s="19">
        <v>159</v>
      </c>
      <c r="J129" s="19">
        <v>197</v>
      </c>
      <c r="K129" s="19">
        <v>252</v>
      </c>
      <c r="L129" s="20">
        <v>1.1073194512152657E-2</v>
      </c>
      <c r="M129" s="20">
        <v>1.3884973216802932E-2</v>
      </c>
      <c r="N129" s="20">
        <v>1.7125382262996942E-2</v>
      </c>
      <c r="P129" s="19">
        <v>0</v>
      </c>
      <c r="Q129" s="19">
        <v>0</v>
      </c>
      <c r="R129" s="19">
        <v>0</v>
      </c>
      <c r="S129" s="20">
        <v>0</v>
      </c>
      <c r="T129" s="20">
        <v>0</v>
      </c>
      <c r="U129" s="20">
        <v>0</v>
      </c>
      <c r="W129" s="19">
        <v>23</v>
      </c>
      <c r="X129" s="19">
        <v>24</v>
      </c>
      <c r="Y129" s="19">
        <v>27</v>
      </c>
      <c r="Z129" s="20">
        <v>1.6017828539591893E-3</v>
      </c>
      <c r="AA129" s="20">
        <v>1.6915703411333521E-3</v>
      </c>
      <c r="AB129" s="20">
        <v>1.834862385321101E-3</v>
      </c>
      <c r="AD129" s="19">
        <v>721</v>
      </c>
      <c r="AE129" s="19">
        <v>859</v>
      </c>
      <c r="AF129" s="19">
        <v>1033</v>
      </c>
    </row>
    <row r="130" spans="1:32" customFormat="1" ht="15" x14ac:dyDescent="0.25">
      <c r="A130" s="18" t="s">
        <v>48</v>
      </c>
      <c r="B130" s="19">
        <v>1359</v>
      </c>
      <c r="C130" s="19">
        <v>1601</v>
      </c>
      <c r="D130" s="19">
        <v>1852</v>
      </c>
      <c r="E130" s="20">
        <v>0.16742638905999754</v>
      </c>
      <c r="F130" s="20">
        <v>0.17159699892818864</v>
      </c>
      <c r="G130" s="20">
        <v>0.20342706502636204</v>
      </c>
      <c r="I130" s="19">
        <v>806</v>
      </c>
      <c r="J130" s="19">
        <v>900</v>
      </c>
      <c r="K130" s="19">
        <v>962</v>
      </c>
      <c r="L130" s="20">
        <v>9.9297770112110384E-2</v>
      </c>
      <c r="M130" s="20">
        <v>9.6463022508038579E-2</v>
      </c>
      <c r="N130" s="20">
        <v>0.10566783831282953</v>
      </c>
      <c r="P130" s="19">
        <v>0</v>
      </c>
      <c r="Q130" s="19">
        <v>0</v>
      </c>
      <c r="R130" s="19">
        <v>0</v>
      </c>
      <c r="S130" s="20">
        <v>0</v>
      </c>
      <c r="T130" s="20">
        <v>0</v>
      </c>
      <c r="U130" s="20">
        <v>0</v>
      </c>
      <c r="W130" s="19">
        <v>17</v>
      </c>
      <c r="X130" s="19">
        <v>53</v>
      </c>
      <c r="Y130" s="19">
        <v>34</v>
      </c>
      <c r="Z130" s="20">
        <v>2.0943698410742883E-3</v>
      </c>
      <c r="AA130" s="20">
        <v>5.6806002143622719E-3</v>
      </c>
      <c r="AB130" s="20">
        <v>3.734622144112478E-3</v>
      </c>
      <c r="AD130" s="19">
        <v>2182</v>
      </c>
      <c r="AE130" s="19">
        <v>2554</v>
      </c>
      <c r="AF130" s="19">
        <v>2848</v>
      </c>
    </row>
    <row r="131" spans="1:32" customFormat="1" ht="15" x14ac:dyDescent="0.25">
      <c r="A131" s="18" t="s">
        <v>49</v>
      </c>
      <c r="B131" s="19">
        <v>235</v>
      </c>
      <c r="C131" s="19">
        <v>395</v>
      </c>
      <c r="D131" s="19">
        <v>506</v>
      </c>
      <c r="E131" s="20">
        <v>4.2349972968102362E-2</v>
      </c>
      <c r="F131" s="20">
        <v>6.4123376623376624E-2</v>
      </c>
      <c r="G131" s="20">
        <v>8.2571801566579631E-2</v>
      </c>
      <c r="I131" s="19">
        <v>71</v>
      </c>
      <c r="J131" s="19">
        <v>101</v>
      </c>
      <c r="K131" s="19">
        <v>123</v>
      </c>
      <c r="L131" s="20">
        <v>1.2795098215894756E-2</v>
      </c>
      <c r="M131" s="20">
        <v>1.6396103896103895E-2</v>
      </c>
      <c r="N131" s="20">
        <v>2.0071801566579634E-2</v>
      </c>
      <c r="P131" s="19">
        <v>3</v>
      </c>
      <c r="Q131" s="19">
        <v>6</v>
      </c>
      <c r="R131" s="19">
        <v>7</v>
      </c>
      <c r="S131" s="20">
        <v>5.4063795278428545E-4</v>
      </c>
      <c r="T131" s="20">
        <v>9.7402597402597403E-4</v>
      </c>
      <c r="U131" s="20">
        <v>1.1422976501305484E-3</v>
      </c>
      <c r="W131" s="19">
        <v>19</v>
      </c>
      <c r="X131" s="19">
        <v>18</v>
      </c>
      <c r="Y131" s="19">
        <v>16</v>
      </c>
      <c r="Z131" s="20">
        <v>3.4240403676338081E-3</v>
      </c>
      <c r="AA131" s="20">
        <v>2.9220779220779222E-3</v>
      </c>
      <c r="AB131" s="20">
        <v>2.6109660574412533E-3</v>
      </c>
      <c r="AD131" s="19">
        <v>328</v>
      </c>
      <c r="AE131" s="19">
        <v>520</v>
      </c>
      <c r="AF131" s="19">
        <v>652</v>
      </c>
    </row>
    <row r="132" spans="1:32" customFormat="1" ht="15" x14ac:dyDescent="0.25">
      <c r="A132" s="18" t="s">
        <v>51</v>
      </c>
      <c r="B132" s="19">
        <v>17</v>
      </c>
      <c r="C132" s="19">
        <v>39</v>
      </c>
      <c r="D132" s="19">
        <v>126</v>
      </c>
      <c r="E132" s="20">
        <v>7.5892857142857137E-2</v>
      </c>
      <c r="F132" s="20">
        <v>7.4712643678160925E-2</v>
      </c>
      <c r="G132" s="20">
        <v>9.6551724137931033E-2</v>
      </c>
      <c r="I132" s="19">
        <v>12</v>
      </c>
      <c r="J132" s="19">
        <v>30</v>
      </c>
      <c r="K132" s="19">
        <v>67</v>
      </c>
      <c r="L132" s="20">
        <v>5.3571428571428568E-2</v>
      </c>
      <c r="M132" s="20">
        <v>5.7471264367816091E-2</v>
      </c>
      <c r="N132" s="20">
        <v>5.1340996168582377E-2</v>
      </c>
      <c r="P132" s="19">
        <v>0</v>
      </c>
      <c r="Q132" s="19">
        <v>0</v>
      </c>
      <c r="R132" s="19">
        <v>0</v>
      </c>
      <c r="S132" s="20">
        <v>0</v>
      </c>
      <c r="T132" s="20">
        <v>0</v>
      </c>
      <c r="U132" s="20">
        <v>0</v>
      </c>
      <c r="W132" s="19">
        <v>0</v>
      </c>
      <c r="X132" s="19">
        <v>0</v>
      </c>
      <c r="Y132" s="19">
        <v>1</v>
      </c>
      <c r="Z132" s="20">
        <v>0</v>
      </c>
      <c r="AA132" s="20">
        <v>0</v>
      </c>
      <c r="AB132" s="20">
        <v>7.6628352490421458E-4</v>
      </c>
      <c r="AD132" s="19">
        <v>29</v>
      </c>
      <c r="AE132" s="19">
        <v>69</v>
      </c>
      <c r="AF132" s="19">
        <v>194</v>
      </c>
    </row>
    <row r="133" spans="1:32" customFormat="1" ht="15" x14ac:dyDescent="0.25">
      <c r="A133" s="18" t="s">
        <v>52</v>
      </c>
      <c r="B133" s="19">
        <v>1834</v>
      </c>
      <c r="C133" s="19">
        <v>2210</v>
      </c>
      <c r="D133" s="19">
        <v>2689</v>
      </c>
      <c r="E133" s="20">
        <v>3.811146668883255E-2</v>
      </c>
      <c r="F133" s="20">
        <v>4.5982272897507386E-2</v>
      </c>
      <c r="G133" s="20">
        <v>5.5655593500983133E-2</v>
      </c>
      <c r="I133" s="19">
        <v>902</v>
      </c>
      <c r="J133" s="19">
        <v>1116</v>
      </c>
      <c r="K133" s="19">
        <v>1297</v>
      </c>
      <c r="L133" s="20">
        <v>1.8744025601595944E-2</v>
      </c>
      <c r="M133" s="20">
        <v>2.3220007490324997E-2</v>
      </c>
      <c r="N133" s="20">
        <v>2.6844665217841249E-2</v>
      </c>
      <c r="P133" s="19">
        <v>0</v>
      </c>
      <c r="Q133" s="19">
        <v>0</v>
      </c>
      <c r="R133" s="19">
        <v>0</v>
      </c>
      <c r="S133" s="20">
        <v>0</v>
      </c>
      <c r="T133" s="20">
        <v>0</v>
      </c>
      <c r="U133" s="20">
        <v>0</v>
      </c>
      <c r="W133" s="19">
        <v>32</v>
      </c>
      <c r="X133" s="19">
        <v>73</v>
      </c>
      <c r="Y133" s="19">
        <v>77</v>
      </c>
      <c r="Z133" s="20">
        <v>6.649765180167075E-4</v>
      </c>
      <c r="AA133" s="20">
        <v>1.5188714577004702E-3</v>
      </c>
      <c r="AB133" s="20">
        <v>1.593707958191038E-3</v>
      </c>
      <c r="AD133" s="19">
        <v>2768</v>
      </c>
      <c r="AE133" s="19">
        <v>3399</v>
      </c>
      <c r="AF133" s="19">
        <v>4063</v>
      </c>
    </row>
    <row r="134" spans="1:32" customFormat="1" ht="15" x14ac:dyDescent="0.25">
      <c r="A134" s="18" t="s">
        <v>53</v>
      </c>
      <c r="B134" s="19">
        <v>238</v>
      </c>
      <c r="C134" s="19">
        <v>179</v>
      </c>
      <c r="D134" s="19">
        <v>13</v>
      </c>
      <c r="E134" s="20">
        <v>0.25785482123510295</v>
      </c>
      <c r="F134" s="20">
        <v>0.20765661252900233</v>
      </c>
      <c r="G134" s="20">
        <v>2.4809160305343511E-2</v>
      </c>
      <c r="I134" s="19">
        <v>470</v>
      </c>
      <c r="J134" s="19">
        <v>676</v>
      </c>
      <c r="K134" s="19">
        <v>202</v>
      </c>
      <c r="L134" s="20">
        <v>0.50920910075839654</v>
      </c>
      <c r="M134" s="20">
        <v>0.78422273781902552</v>
      </c>
      <c r="N134" s="20">
        <v>0.38549618320610685</v>
      </c>
      <c r="P134" s="19">
        <v>213</v>
      </c>
      <c r="Q134" s="19">
        <v>2</v>
      </c>
      <c r="R134" s="19">
        <v>0</v>
      </c>
      <c r="S134" s="20">
        <v>0.23076923076923078</v>
      </c>
      <c r="T134" s="20">
        <v>2.3201856148491878E-3</v>
      </c>
      <c r="U134" s="20">
        <v>0</v>
      </c>
      <c r="W134" s="19">
        <v>0</v>
      </c>
      <c r="X134" s="19">
        <v>0</v>
      </c>
      <c r="Y134" s="19">
        <v>0</v>
      </c>
      <c r="Z134" s="20">
        <v>0</v>
      </c>
      <c r="AA134" s="20">
        <v>0</v>
      </c>
      <c r="AB134" s="20">
        <v>0</v>
      </c>
      <c r="AD134" s="19">
        <v>921</v>
      </c>
      <c r="AE134" s="19">
        <v>857</v>
      </c>
      <c r="AF134" s="19">
        <v>215</v>
      </c>
    </row>
    <row r="135" spans="1:32" customFormat="1" ht="15" x14ac:dyDescent="0.25">
      <c r="A135" s="18" t="s">
        <v>54</v>
      </c>
      <c r="B135" s="19">
        <v>2</v>
      </c>
      <c r="C135" s="19">
        <v>0</v>
      </c>
      <c r="D135" s="19">
        <v>0</v>
      </c>
      <c r="E135" s="20">
        <v>2.6809651474530832E-3</v>
      </c>
      <c r="F135" s="20">
        <v>0</v>
      </c>
      <c r="G135" s="20">
        <v>0</v>
      </c>
      <c r="I135" s="19">
        <v>0</v>
      </c>
      <c r="J135" s="19">
        <v>0</v>
      </c>
      <c r="K135" s="19">
        <v>0</v>
      </c>
      <c r="L135" s="20">
        <v>0</v>
      </c>
      <c r="M135" s="20">
        <v>0</v>
      </c>
      <c r="N135" s="20">
        <v>0</v>
      </c>
      <c r="P135" s="19">
        <v>0</v>
      </c>
      <c r="Q135" s="19">
        <v>0</v>
      </c>
      <c r="R135" s="19">
        <v>0</v>
      </c>
      <c r="S135" s="20">
        <v>0</v>
      </c>
      <c r="T135" s="20">
        <v>0</v>
      </c>
      <c r="U135" s="20">
        <v>0</v>
      </c>
      <c r="W135" s="19">
        <v>0</v>
      </c>
      <c r="X135" s="19">
        <v>0</v>
      </c>
      <c r="Y135" s="19">
        <v>0</v>
      </c>
      <c r="Z135" s="20">
        <v>0</v>
      </c>
      <c r="AA135" s="20">
        <v>0</v>
      </c>
      <c r="AB135" s="20">
        <v>0</v>
      </c>
      <c r="AD135" s="19">
        <v>2</v>
      </c>
      <c r="AE135" s="19">
        <v>0</v>
      </c>
      <c r="AF135" s="19">
        <v>0</v>
      </c>
    </row>
    <row r="136" spans="1:32" customFormat="1" ht="15" x14ac:dyDescent="0.25">
      <c r="A136" s="18" t="s">
        <v>55</v>
      </c>
      <c r="B136" s="19">
        <v>706</v>
      </c>
      <c r="C136" s="19">
        <v>729</v>
      </c>
      <c r="D136" s="19">
        <v>766</v>
      </c>
      <c r="E136" s="20">
        <v>4.624050301283731E-2</v>
      </c>
      <c r="F136" s="20">
        <v>4.9193602807206964E-2</v>
      </c>
      <c r="G136" s="20">
        <v>5.4092225125344257E-2</v>
      </c>
      <c r="I136" s="19">
        <v>479</v>
      </c>
      <c r="J136" s="19">
        <v>489</v>
      </c>
      <c r="K136" s="19">
        <v>503</v>
      </c>
      <c r="L136" s="20">
        <v>3.1372805868483102E-2</v>
      </c>
      <c r="M136" s="20">
        <v>3.2998178014710847E-2</v>
      </c>
      <c r="N136" s="20">
        <v>3.5520090389096814E-2</v>
      </c>
      <c r="P136" s="19">
        <v>1</v>
      </c>
      <c r="Q136" s="19">
        <v>1</v>
      </c>
      <c r="R136" s="19">
        <v>2</v>
      </c>
      <c r="S136" s="20">
        <v>6.5496463190987692E-5</v>
      </c>
      <c r="T136" s="20">
        <v>6.7480936635400503E-5</v>
      </c>
      <c r="U136" s="20">
        <v>1.4123296377374479E-4</v>
      </c>
      <c r="W136" s="19">
        <v>0</v>
      </c>
      <c r="X136" s="19">
        <v>1</v>
      </c>
      <c r="Y136" s="19">
        <v>1</v>
      </c>
      <c r="Z136" s="20">
        <v>0</v>
      </c>
      <c r="AA136" s="20">
        <v>6.7480936635400503E-5</v>
      </c>
      <c r="AB136" s="20">
        <v>7.0616481886872395E-5</v>
      </c>
      <c r="AD136" s="19">
        <v>1186</v>
      </c>
      <c r="AE136" s="19">
        <v>1220</v>
      </c>
      <c r="AF136" s="19">
        <v>1272</v>
      </c>
    </row>
    <row r="137" spans="1:32" customFormat="1" ht="15" x14ac:dyDescent="0.25">
      <c r="A137" s="18" t="s">
        <v>59</v>
      </c>
      <c r="B137" s="19">
        <v>5</v>
      </c>
      <c r="C137" s="19">
        <v>13</v>
      </c>
      <c r="D137" s="19">
        <v>21</v>
      </c>
      <c r="E137" s="20">
        <v>1</v>
      </c>
      <c r="F137" s="20">
        <v>1</v>
      </c>
      <c r="G137" s="20">
        <v>1</v>
      </c>
      <c r="I137" s="19">
        <v>0</v>
      </c>
      <c r="J137" s="19">
        <v>0</v>
      </c>
      <c r="K137" s="19">
        <v>0</v>
      </c>
      <c r="L137" s="20">
        <v>0</v>
      </c>
      <c r="M137" s="20">
        <v>0</v>
      </c>
      <c r="N137" s="20">
        <v>0</v>
      </c>
      <c r="P137" s="19">
        <v>0</v>
      </c>
      <c r="Q137" s="19">
        <v>0</v>
      </c>
      <c r="R137" s="19">
        <v>0</v>
      </c>
      <c r="S137" s="20">
        <v>0</v>
      </c>
      <c r="T137" s="20">
        <v>0</v>
      </c>
      <c r="U137" s="20">
        <v>0</v>
      </c>
      <c r="W137" s="19">
        <v>0</v>
      </c>
      <c r="X137" s="19">
        <v>0</v>
      </c>
      <c r="Y137" s="19">
        <v>0</v>
      </c>
      <c r="Z137" s="20">
        <v>0</v>
      </c>
      <c r="AA137" s="20">
        <v>0</v>
      </c>
      <c r="AB137" s="20">
        <v>0</v>
      </c>
      <c r="AD137" s="19">
        <v>5</v>
      </c>
      <c r="AE137" s="19">
        <v>13</v>
      </c>
      <c r="AF137" s="19">
        <v>21</v>
      </c>
    </row>
    <row r="138" spans="1:32" s="43" customFormat="1" ht="15" x14ac:dyDescent="0.25">
      <c r="A138" s="29" t="s">
        <v>69</v>
      </c>
      <c r="B138" s="27">
        <v>148787</v>
      </c>
      <c r="C138" s="27">
        <v>150853</v>
      </c>
      <c r="D138" s="27">
        <v>167894</v>
      </c>
      <c r="E138" s="22">
        <v>6.6839350074279921E-2</v>
      </c>
      <c r="F138" s="22">
        <v>6.7715924664221425E-2</v>
      </c>
      <c r="G138" s="22">
        <v>7.4706380971662628E-2</v>
      </c>
      <c r="I138" s="27">
        <v>76888</v>
      </c>
      <c r="J138" s="27">
        <v>83032</v>
      </c>
      <c r="K138" s="27">
        <v>93975</v>
      </c>
      <c r="L138" s="22">
        <v>3.454027535007248E-2</v>
      </c>
      <c r="M138" s="22">
        <v>3.7271971102461561E-2</v>
      </c>
      <c r="N138" s="22">
        <v>4.1815265297223216E-2</v>
      </c>
      <c r="P138" s="27">
        <v>1533</v>
      </c>
      <c r="Q138" s="27">
        <v>1489</v>
      </c>
      <c r="R138" s="27">
        <v>1642</v>
      </c>
      <c r="S138" s="22">
        <v>6.8866717968553111E-4</v>
      </c>
      <c r="T138" s="22">
        <v>6.6839248689138243E-4</v>
      </c>
      <c r="U138" s="22">
        <v>7.3062692863038597E-4</v>
      </c>
      <c r="W138" s="27">
        <v>1516</v>
      </c>
      <c r="X138" s="27">
        <v>1594</v>
      </c>
      <c r="Y138" s="27">
        <v>2217</v>
      </c>
      <c r="Z138" s="22">
        <v>6.8103029641439347E-4</v>
      </c>
      <c r="AA138" s="22">
        <v>7.1552560383133883E-4</v>
      </c>
      <c r="AB138" s="22">
        <v>9.8647984212762844E-4</v>
      </c>
      <c r="AD138" s="21">
        <v>228724</v>
      </c>
      <c r="AE138" s="21">
        <v>236968</v>
      </c>
      <c r="AF138" s="21">
        <v>265728</v>
      </c>
    </row>
    <row r="139" spans="1:32" customFormat="1" ht="15" x14ac:dyDescent="0.25">
      <c r="A139" s="18"/>
      <c r="B139" s="19"/>
      <c r="C139" s="19"/>
      <c r="D139" s="19"/>
      <c r="E139" s="19"/>
      <c r="F139" s="19"/>
      <c r="G139" s="19"/>
      <c r="I139" s="19"/>
      <c r="J139" s="19"/>
      <c r="K139" s="19"/>
      <c r="L139" s="19"/>
      <c r="M139" s="19"/>
      <c r="N139" s="19"/>
      <c r="P139" s="19"/>
      <c r="Q139" s="19"/>
      <c r="R139" s="19"/>
      <c r="S139" s="19"/>
      <c r="T139" s="19"/>
      <c r="U139" s="19"/>
      <c r="W139" s="19"/>
      <c r="X139" s="19"/>
      <c r="Y139" s="19"/>
      <c r="Z139" s="19"/>
      <c r="AA139" s="19"/>
      <c r="AB139" s="19"/>
      <c r="AD139" s="19"/>
      <c r="AE139" s="19"/>
      <c r="AF139" s="19"/>
    </row>
    <row r="140" spans="1:32" customFormat="1" ht="15" x14ac:dyDescent="0.25">
      <c r="A140" s="28" t="s">
        <v>70</v>
      </c>
      <c r="B140" s="25"/>
      <c r="C140" s="25"/>
      <c r="D140" s="25"/>
      <c r="E140" s="25"/>
      <c r="F140" s="25"/>
      <c r="G140" s="25"/>
      <c r="I140" s="25"/>
      <c r="J140" s="25"/>
      <c r="K140" s="25"/>
      <c r="L140" s="25"/>
      <c r="M140" s="25"/>
      <c r="N140" s="25"/>
      <c r="P140" s="25"/>
      <c r="Q140" s="25"/>
      <c r="R140" s="25"/>
      <c r="S140" s="25"/>
      <c r="T140" s="25"/>
      <c r="U140" s="25"/>
      <c r="W140" s="25"/>
      <c r="X140" s="25"/>
      <c r="Y140" s="25"/>
      <c r="Z140" s="25"/>
      <c r="AA140" s="25"/>
      <c r="AB140" s="25"/>
      <c r="AD140" s="19"/>
      <c r="AE140" s="19"/>
      <c r="AF140" s="19"/>
    </row>
    <row r="141" spans="1:32" customFormat="1" ht="15" x14ac:dyDescent="0.25">
      <c r="A141" s="18" t="s">
        <v>19</v>
      </c>
      <c r="B141" s="19">
        <v>44345</v>
      </c>
      <c r="C141" s="19">
        <v>45753</v>
      </c>
      <c r="D141" s="19">
        <v>47330</v>
      </c>
      <c r="E141" s="20">
        <v>0.13101759113175326</v>
      </c>
      <c r="F141" s="20">
        <v>0.13624506423198557</v>
      </c>
      <c r="G141" s="20">
        <v>0.14199354983874596</v>
      </c>
      <c r="I141" s="19">
        <v>18796</v>
      </c>
      <c r="J141" s="19">
        <v>19615</v>
      </c>
      <c r="K141" s="19">
        <v>20786</v>
      </c>
      <c r="L141" s="20">
        <v>5.5532904338988262E-2</v>
      </c>
      <c r="M141" s="20">
        <v>5.8410310469486082E-2</v>
      </c>
      <c r="N141" s="20">
        <v>6.2359558988974724E-2</v>
      </c>
      <c r="P141" s="19">
        <v>0</v>
      </c>
      <c r="Q141" s="19">
        <v>1</v>
      </c>
      <c r="R141" s="19">
        <v>2</v>
      </c>
      <c r="S141" s="20">
        <v>0</v>
      </c>
      <c r="T141" s="20">
        <v>2.9778389227369911E-6</v>
      </c>
      <c r="U141" s="20">
        <v>6.000150003750094E-6</v>
      </c>
      <c r="W141" s="19">
        <v>1442</v>
      </c>
      <c r="X141" s="19">
        <v>1738</v>
      </c>
      <c r="Y141" s="19">
        <v>2029</v>
      </c>
      <c r="Z141" s="20">
        <v>4.2603983856576433E-3</v>
      </c>
      <c r="AA141" s="20">
        <v>5.1754840477168905E-3</v>
      </c>
      <c r="AB141" s="20">
        <v>6.0871521788044697E-3</v>
      </c>
      <c r="AD141" s="19">
        <v>64583</v>
      </c>
      <c r="AE141" s="19">
        <v>67107</v>
      </c>
      <c r="AF141" s="19">
        <v>70147</v>
      </c>
    </row>
    <row r="142" spans="1:32" customFormat="1" ht="15" x14ac:dyDescent="0.25">
      <c r="A142" s="18" t="s">
        <v>20</v>
      </c>
      <c r="B142" s="19">
        <v>4819</v>
      </c>
      <c r="C142" s="19">
        <v>2850</v>
      </c>
      <c r="D142" s="19">
        <v>3103</v>
      </c>
      <c r="E142" s="20">
        <v>8.1524589331934835E-2</v>
      </c>
      <c r="F142" s="20">
        <v>4.8890108759048957E-2</v>
      </c>
      <c r="G142" s="20">
        <v>5.0931473122691834E-2</v>
      </c>
      <c r="I142" s="19">
        <v>3595</v>
      </c>
      <c r="J142" s="19">
        <v>2332</v>
      </c>
      <c r="K142" s="19">
        <v>2525</v>
      </c>
      <c r="L142" s="20">
        <v>6.0817783492074236E-2</v>
      </c>
      <c r="M142" s="20">
        <v>4.0004117061790238E-2</v>
      </c>
      <c r="N142" s="20">
        <v>4.1444398851046366E-2</v>
      </c>
      <c r="P142" s="19">
        <v>0</v>
      </c>
      <c r="Q142" s="19">
        <v>0</v>
      </c>
      <c r="R142" s="19">
        <v>0</v>
      </c>
      <c r="S142" s="20">
        <v>0</v>
      </c>
      <c r="T142" s="20">
        <v>0</v>
      </c>
      <c r="U142" s="20">
        <v>0</v>
      </c>
      <c r="W142" s="19">
        <v>498</v>
      </c>
      <c r="X142" s="19">
        <v>130</v>
      </c>
      <c r="Y142" s="19">
        <v>394</v>
      </c>
      <c r="Z142" s="20">
        <v>8.424827866217793E-3</v>
      </c>
      <c r="AA142" s="20">
        <v>2.2300751363776719E-3</v>
      </c>
      <c r="AB142" s="20">
        <v>6.4669675830939678E-3</v>
      </c>
      <c r="AD142" s="19">
        <v>8912</v>
      </c>
      <c r="AE142" s="19">
        <v>5312</v>
      </c>
      <c r="AF142" s="19">
        <v>6022</v>
      </c>
    </row>
    <row r="143" spans="1:32" customFormat="1" ht="15" x14ac:dyDescent="0.25">
      <c r="A143" s="18" t="s">
        <v>21</v>
      </c>
      <c r="B143" s="19">
        <v>518</v>
      </c>
      <c r="C143" s="19">
        <v>594</v>
      </c>
      <c r="D143" s="19">
        <v>646</v>
      </c>
      <c r="E143" s="20">
        <v>7.9582117068674144E-2</v>
      </c>
      <c r="F143" s="20">
        <v>9.1384615384615384E-2</v>
      </c>
      <c r="G143" s="20">
        <v>0.10658307210031348</v>
      </c>
      <c r="I143" s="19">
        <v>189</v>
      </c>
      <c r="J143" s="19">
        <v>235</v>
      </c>
      <c r="K143" s="19">
        <v>264</v>
      </c>
      <c r="L143" s="20">
        <v>2.9036718389921647E-2</v>
      </c>
      <c r="M143" s="20">
        <v>3.6153846153846154E-2</v>
      </c>
      <c r="N143" s="20">
        <v>4.3557168784029036E-2</v>
      </c>
      <c r="P143" s="19">
        <v>0</v>
      </c>
      <c r="Q143" s="19">
        <v>0</v>
      </c>
      <c r="R143" s="19">
        <v>0</v>
      </c>
      <c r="S143" s="20">
        <v>0</v>
      </c>
      <c r="T143" s="20">
        <v>0</v>
      </c>
      <c r="U143" s="20">
        <v>0</v>
      </c>
      <c r="W143" s="19">
        <v>5</v>
      </c>
      <c r="X143" s="19">
        <v>6</v>
      </c>
      <c r="Y143" s="19">
        <v>7</v>
      </c>
      <c r="Z143" s="20">
        <v>7.6816715317253037E-4</v>
      </c>
      <c r="AA143" s="20">
        <v>9.2307692307692305E-4</v>
      </c>
      <c r="AB143" s="20">
        <v>1.1549249298795578E-3</v>
      </c>
      <c r="AD143" s="19">
        <v>712</v>
      </c>
      <c r="AE143" s="19">
        <v>835</v>
      </c>
      <c r="AF143" s="19">
        <v>917</v>
      </c>
    </row>
    <row r="144" spans="1:32" customFormat="1" ht="15" x14ac:dyDescent="0.25">
      <c r="A144" s="18" t="s">
        <v>24</v>
      </c>
      <c r="B144" s="19">
        <v>8</v>
      </c>
      <c r="C144" s="19">
        <v>12</v>
      </c>
      <c r="D144" s="19">
        <v>19</v>
      </c>
      <c r="E144" s="20">
        <v>5.9259259259259262E-2</v>
      </c>
      <c r="F144" s="20">
        <v>0.17142857142857143</v>
      </c>
      <c r="G144" s="20">
        <v>0.11949685534591195</v>
      </c>
      <c r="I144" s="19">
        <v>1</v>
      </c>
      <c r="J144" s="19">
        <v>1</v>
      </c>
      <c r="K144" s="19">
        <v>1</v>
      </c>
      <c r="L144" s="20">
        <v>7.4074074074074077E-3</v>
      </c>
      <c r="M144" s="20">
        <v>1.4285714285714285E-2</v>
      </c>
      <c r="N144" s="20">
        <v>6.2893081761006293E-3</v>
      </c>
      <c r="P144" s="19">
        <v>16</v>
      </c>
      <c r="Q144" s="19">
        <v>16</v>
      </c>
      <c r="R144" s="19">
        <v>18</v>
      </c>
      <c r="S144" s="20">
        <v>0.11851851851851852</v>
      </c>
      <c r="T144" s="20">
        <v>0.22857142857142856</v>
      </c>
      <c r="U144" s="20">
        <v>0.11320754716981132</v>
      </c>
      <c r="W144" s="19">
        <v>34</v>
      </c>
      <c r="X144" s="19">
        <v>35</v>
      </c>
      <c r="Y144" s="19">
        <v>36</v>
      </c>
      <c r="Z144" s="20">
        <v>0.25185185185185183</v>
      </c>
      <c r="AA144" s="20">
        <v>0.5</v>
      </c>
      <c r="AB144" s="20">
        <v>0.22641509433962265</v>
      </c>
      <c r="AD144" s="19">
        <v>59</v>
      </c>
      <c r="AE144" s="19">
        <v>64</v>
      </c>
      <c r="AF144" s="19">
        <v>74</v>
      </c>
    </row>
    <row r="145" spans="1:32" customFormat="1" ht="15" x14ac:dyDescent="0.25">
      <c r="A145" s="18" t="s">
        <v>198</v>
      </c>
      <c r="B145" s="19">
        <v>0</v>
      </c>
      <c r="C145" s="19">
        <v>0</v>
      </c>
      <c r="D145" s="19">
        <v>0</v>
      </c>
      <c r="E145" s="20">
        <v>0</v>
      </c>
      <c r="F145" s="20">
        <v>0</v>
      </c>
      <c r="G145" s="20">
        <v>0</v>
      </c>
      <c r="I145" s="19">
        <v>0</v>
      </c>
      <c r="J145" s="19">
        <v>0</v>
      </c>
      <c r="K145" s="19">
        <v>0</v>
      </c>
      <c r="L145" s="20">
        <v>0</v>
      </c>
      <c r="M145" s="20">
        <v>0</v>
      </c>
      <c r="N145" s="20">
        <v>0</v>
      </c>
      <c r="P145" s="19">
        <v>0</v>
      </c>
      <c r="Q145" s="19">
        <v>0</v>
      </c>
      <c r="R145" s="19">
        <v>0</v>
      </c>
      <c r="S145" s="20">
        <v>0</v>
      </c>
      <c r="T145" s="20">
        <v>0</v>
      </c>
      <c r="U145" s="20">
        <v>0</v>
      </c>
      <c r="W145" s="19">
        <v>0</v>
      </c>
      <c r="X145" s="19">
        <v>0</v>
      </c>
      <c r="Y145" s="19">
        <v>2</v>
      </c>
      <c r="Z145" s="20">
        <v>0</v>
      </c>
      <c r="AA145" s="20">
        <v>0</v>
      </c>
      <c r="AB145" s="20">
        <v>1</v>
      </c>
      <c r="AD145" s="19">
        <v>0</v>
      </c>
      <c r="AE145" s="19">
        <v>0</v>
      </c>
      <c r="AF145" s="19">
        <v>2</v>
      </c>
    </row>
    <row r="146" spans="1:32" customFormat="1" ht="15" x14ac:dyDescent="0.25">
      <c r="A146" s="18" t="s">
        <v>26</v>
      </c>
      <c r="B146" s="19">
        <v>205</v>
      </c>
      <c r="C146" s="19">
        <v>222</v>
      </c>
      <c r="D146" s="19">
        <v>235</v>
      </c>
      <c r="E146" s="20">
        <v>9.6926713947990545E-2</v>
      </c>
      <c r="F146" s="20">
        <v>0.10647482014388489</v>
      </c>
      <c r="G146" s="20">
        <v>0.11491442542787286</v>
      </c>
      <c r="I146" s="19">
        <v>182</v>
      </c>
      <c r="J146" s="19">
        <v>200</v>
      </c>
      <c r="K146" s="19">
        <v>209</v>
      </c>
      <c r="L146" s="20">
        <v>8.6052009456264775E-2</v>
      </c>
      <c r="M146" s="20">
        <v>9.5923261390887291E-2</v>
      </c>
      <c r="N146" s="20">
        <v>0.10220048899755502</v>
      </c>
      <c r="P146" s="19">
        <v>0</v>
      </c>
      <c r="Q146" s="19">
        <v>24</v>
      </c>
      <c r="R146" s="19">
        <v>0</v>
      </c>
      <c r="S146" s="20">
        <v>0</v>
      </c>
      <c r="T146" s="20">
        <v>1.1510791366906475E-2</v>
      </c>
      <c r="U146" s="20">
        <v>0</v>
      </c>
      <c r="W146" s="19">
        <v>18</v>
      </c>
      <c r="X146" s="19">
        <v>0</v>
      </c>
      <c r="Y146" s="19">
        <v>23</v>
      </c>
      <c r="Z146" s="20">
        <v>8.5106382978723406E-3</v>
      </c>
      <c r="AA146" s="20">
        <v>0</v>
      </c>
      <c r="AB146" s="20">
        <v>1.1246943765281174E-2</v>
      </c>
      <c r="AD146" s="19">
        <v>405</v>
      </c>
      <c r="AE146" s="19">
        <v>446</v>
      </c>
      <c r="AF146" s="19">
        <v>467</v>
      </c>
    </row>
    <row r="147" spans="1:32" customFormat="1" ht="15" x14ac:dyDescent="0.25">
      <c r="A147" s="18" t="s">
        <v>28</v>
      </c>
      <c r="B147" s="19">
        <v>186</v>
      </c>
      <c r="C147" s="19">
        <v>249</v>
      </c>
      <c r="D147" s="19">
        <v>177</v>
      </c>
      <c r="E147" s="20">
        <v>3.3297529538131039E-2</v>
      </c>
      <c r="F147" s="20">
        <v>4.6403279910547893E-2</v>
      </c>
      <c r="G147" s="20">
        <v>3.4169884169884167E-2</v>
      </c>
      <c r="I147" s="19">
        <v>94</v>
      </c>
      <c r="J147" s="19">
        <v>157</v>
      </c>
      <c r="K147" s="19">
        <v>156</v>
      </c>
      <c r="L147" s="20">
        <v>1.6827783745076978E-2</v>
      </c>
      <c r="M147" s="20">
        <v>2.9258292955646664E-2</v>
      </c>
      <c r="N147" s="20">
        <v>3.0115830115830116E-2</v>
      </c>
      <c r="P147" s="19">
        <v>0</v>
      </c>
      <c r="Q147" s="19">
        <v>0</v>
      </c>
      <c r="R147" s="19">
        <v>0</v>
      </c>
      <c r="S147" s="20">
        <v>0</v>
      </c>
      <c r="T147" s="20">
        <v>0</v>
      </c>
      <c r="U147" s="20">
        <v>0</v>
      </c>
      <c r="W147" s="19">
        <v>0</v>
      </c>
      <c r="X147" s="19">
        <v>0</v>
      </c>
      <c r="Y147" s="19">
        <v>0</v>
      </c>
      <c r="Z147" s="20">
        <v>0</v>
      </c>
      <c r="AA147" s="20">
        <v>0</v>
      </c>
      <c r="AB147" s="20">
        <v>0</v>
      </c>
      <c r="AD147" s="19">
        <v>280</v>
      </c>
      <c r="AE147" s="19">
        <v>406</v>
      </c>
      <c r="AF147" s="19">
        <v>333</v>
      </c>
    </row>
    <row r="148" spans="1:32" customFormat="1" ht="15" x14ac:dyDescent="0.25">
      <c r="A148" s="18" t="s">
        <v>29</v>
      </c>
      <c r="B148" s="19">
        <v>90</v>
      </c>
      <c r="C148" s="19">
        <v>213</v>
      </c>
      <c r="D148" s="19">
        <v>31</v>
      </c>
      <c r="E148" s="20">
        <v>7.0810385523210076E-2</v>
      </c>
      <c r="F148" s="20">
        <v>0.1180709534368071</v>
      </c>
      <c r="G148" s="20">
        <v>1.4084507042253521E-2</v>
      </c>
      <c r="I148" s="19">
        <v>8</v>
      </c>
      <c r="J148" s="19">
        <v>25</v>
      </c>
      <c r="K148" s="19">
        <v>4</v>
      </c>
      <c r="L148" s="20">
        <v>6.2942564909520063E-3</v>
      </c>
      <c r="M148" s="20">
        <v>1.385809312638581E-2</v>
      </c>
      <c r="N148" s="20">
        <v>1.817355747387551E-3</v>
      </c>
      <c r="P148" s="19">
        <v>0</v>
      </c>
      <c r="Q148" s="19">
        <v>11</v>
      </c>
      <c r="R148" s="19">
        <v>4</v>
      </c>
      <c r="S148" s="20">
        <v>0</v>
      </c>
      <c r="T148" s="20">
        <v>6.0975609756097563E-3</v>
      </c>
      <c r="U148" s="20">
        <v>1.817355747387551E-3</v>
      </c>
      <c r="W148" s="19">
        <v>0</v>
      </c>
      <c r="X148" s="19">
        <v>6</v>
      </c>
      <c r="Y148" s="19">
        <v>0</v>
      </c>
      <c r="Z148" s="20">
        <v>0</v>
      </c>
      <c r="AA148" s="20">
        <v>3.3259423503325942E-3</v>
      </c>
      <c r="AB148" s="20">
        <v>0</v>
      </c>
      <c r="AD148" s="19">
        <v>98</v>
      </c>
      <c r="AE148" s="19">
        <v>255</v>
      </c>
      <c r="AF148" s="19">
        <v>39</v>
      </c>
    </row>
    <row r="149" spans="1:32" customFormat="1" ht="15" x14ac:dyDescent="0.25">
      <c r="A149" s="18" t="s">
        <v>30</v>
      </c>
      <c r="B149" s="19">
        <v>2136</v>
      </c>
      <c r="C149" s="19">
        <v>2547</v>
      </c>
      <c r="D149" s="19">
        <v>2662</v>
      </c>
      <c r="E149" s="20">
        <v>3.0094255885709454E-2</v>
      </c>
      <c r="F149" s="20">
        <v>3.9140657415517956E-2</v>
      </c>
      <c r="G149" s="20">
        <v>4.1589201181120812E-2</v>
      </c>
      <c r="I149" s="19">
        <v>505</v>
      </c>
      <c r="J149" s="19">
        <v>544</v>
      </c>
      <c r="K149" s="19">
        <v>573</v>
      </c>
      <c r="L149" s="20">
        <v>7.1149809093086491E-3</v>
      </c>
      <c r="M149" s="20">
        <v>8.3598420235735243E-3</v>
      </c>
      <c r="N149" s="20">
        <v>8.952145859046667E-3</v>
      </c>
      <c r="P149" s="19">
        <v>16</v>
      </c>
      <c r="Q149" s="19">
        <v>18</v>
      </c>
      <c r="R149" s="19">
        <v>19</v>
      </c>
      <c r="S149" s="20">
        <v>2.2542513772067006E-4</v>
      </c>
      <c r="T149" s="20">
        <v>2.766124198976534E-4</v>
      </c>
      <c r="U149" s="20">
        <v>2.9684253284796976E-4</v>
      </c>
      <c r="W149" s="19">
        <v>44</v>
      </c>
      <c r="X149" s="19">
        <v>43</v>
      </c>
      <c r="Y149" s="19">
        <v>37</v>
      </c>
      <c r="Z149" s="20">
        <v>6.199191287318427E-4</v>
      </c>
      <c r="AA149" s="20">
        <v>6.6079633642217197E-4</v>
      </c>
      <c r="AB149" s="20">
        <v>5.7806177449341476E-4</v>
      </c>
      <c r="AD149" s="19">
        <v>2701</v>
      </c>
      <c r="AE149" s="19">
        <v>3152</v>
      </c>
      <c r="AF149" s="19">
        <v>3291</v>
      </c>
    </row>
    <row r="150" spans="1:32" customFormat="1" ht="15" x14ac:dyDescent="0.25">
      <c r="A150" s="18" t="s">
        <v>80</v>
      </c>
      <c r="B150" s="19">
        <v>0</v>
      </c>
      <c r="C150" s="19">
        <v>0</v>
      </c>
      <c r="D150" s="19">
        <v>1</v>
      </c>
      <c r="E150" s="20">
        <v>0</v>
      </c>
      <c r="F150" s="20">
        <v>0</v>
      </c>
      <c r="G150" s="20">
        <v>8.5470085470085479E-3</v>
      </c>
      <c r="I150" s="19">
        <v>0</v>
      </c>
      <c r="J150" s="19">
        <v>0</v>
      </c>
      <c r="K150" s="19">
        <v>0</v>
      </c>
      <c r="L150" s="20">
        <v>0</v>
      </c>
      <c r="M150" s="20">
        <v>0</v>
      </c>
      <c r="N150" s="20">
        <v>0</v>
      </c>
      <c r="P150" s="19">
        <v>0</v>
      </c>
      <c r="Q150" s="19">
        <v>0</v>
      </c>
      <c r="R150" s="19">
        <v>0</v>
      </c>
      <c r="S150" s="20">
        <v>0</v>
      </c>
      <c r="T150" s="20">
        <v>0</v>
      </c>
      <c r="U150" s="20">
        <v>0</v>
      </c>
      <c r="W150" s="19">
        <v>2</v>
      </c>
      <c r="X150" s="19">
        <v>2</v>
      </c>
      <c r="Y150" s="19">
        <v>5</v>
      </c>
      <c r="Z150" s="20">
        <v>1.7094017094017096E-2</v>
      </c>
      <c r="AA150" s="20">
        <v>1.834862385321101E-2</v>
      </c>
      <c r="AB150" s="20">
        <v>4.2735042735042736E-2</v>
      </c>
      <c r="AD150" s="19">
        <v>2</v>
      </c>
      <c r="AE150" s="19">
        <v>2</v>
      </c>
      <c r="AF150" s="19">
        <v>6</v>
      </c>
    </row>
    <row r="151" spans="1:32" customFormat="1" ht="15" x14ac:dyDescent="0.25">
      <c r="A151" s="18" t="s">
        <v>37</v>
      </c>
      <c r="B151" s="19">
        <v>954</v>
      </c>
      <c r="C151" s="19">
        <v>1462</v>
      </c>
      <c r="D151" s="19">
        <v>1828</v>
      </c>
      <c r="E151" s="20">
        <v>2.4848279634308336E-2</v>
      </c>
      <c r="F151" s="20">
        <v>3.6941580756013746E-2</v>
      </c>
      <c r="G151" s="20">
        <v>4.4719524426939355E-2</v>
      </c>
      <c r="I151" s="19">
        <v>552</v>
      </c>
      <c r="J151" s="19">
        <v>1027</v>
      </c>
      <c r="K151" s="19">
        <v>1308</v>
      </c>
      <c r="L151" s="20">
        <v>1.4377620920480295E-2</v>
      </c>
      <c r="M151" s="20">
        <v>2.5950070749949466E-2</v>
      </c>
      <c r="N151" s="20">
        <v>3.1998434327372358E-2</v>
      </c>
      <c r="P151" s="19">
        <v>0</v>
      </c>
      <c r="Q151" s="19">
        <v>0</v>
      </c>
      <c r="R151" s="19">
        <v>0</v>
      </c>
      <c r="S151" s="20">
        <v>0</v>
      </c>
      <c r="T151" s="20">
        <v>0</v>
      </c>
      <c r="U151" s="20">
        <v>0</v>
      </c>
      <c r="W151" s="19">
        <v>91</v>
      </c>
      <c r="X151" s="19">
        <v>39</v>
      </c>
      <c r="Y151" s="19">
        <v>61</v>
      </c>
      <c r="Z151" s="20">
        <v>2.3702237387023678E-3</v>
      </c>
      <c r="AA151" s="20">
        <v>9.854457246816252E-4</v>
      </c>
      <c r="AB151" s="20">
        <v>1.4922817232184357E-3</v>
      </c>
      <c r="AD151" s="19">
        <v>1597</v>
      </c>
      <c r="AE151" s="19">
        <v>2528</v>
      </c>
      <c r="AF151" s="19">
        <v>3197</v>
      </c>
    </row>
    <row r="152" spans="1:32" customFormat="1" ht="15" x14ac:dyDescent="0.25">
      <c r="A152" s="18" t="s">
        <v>39</v>
      </c>
      <c r="B152" s="19">
        <v>0</v>
      </c>
      <c r="C152" s="19">
        <v>0</v>
      </c>
      <c r="D152" s="19">
        <v>1</v>
      </c>
      <c r="E152" s="20">
        <v>0</v>
      </c>
      <c r="F152" s="20">
        <v>0</v>
      </c>
      <c r="G152" s="20">
        <v>2.0408163265306121E-2</v>
      </c>
      <c r="I152" s="19">
        <v>0</v>
      </c>
      <c r="J152" s="19">
        <v>0</v>
      </c>
      <c r="K152" s="19">
        <v>2</v>
      </c>
      <c r="L152" s="20">
        <v>0</v>
      </c>
      <c r="M152" s="20">
        <v>0</v>
      </c>
      <c r="N152" s="20">
        <v>4.0816326530612242E-2</v>
      </c>
      <c r="P152" s="19">
        <v>0</v>
      </c>
      <c r="Q152" s="19">
        <v>0</v>
      </c>
      <c r="R152" s="19">
        <v>0</v>
      </c>
      <c r="S152" s="20">
        <v>0</v>
      </c>
      <c r="T152" s="20">
        <v>0</v>
      </c>
      <c r="U152" s="20">
        <v>0</v>
      </c>
      <c r="W152" s="19">
        <v>0</v>
      </c>
      <c r="X152" s="19">
        <v>0</v>
      </c>
      <c r="Y152" s="19">
        <v>0</v>
      </c>
      <c r="Z152" s="20">
        <v>0</v>
      </c>
      <c r="AA152" s="20">
        <v>0</v>
      </c>
      <c r="AB152" s="20">
        <v>0</v>
      </c>
      <c r="AD152" s="19">
        <v>0</v>
      </c>
      <c r="AE152" s="19">
        <v>0</v>
      </c>
      <c r="AF152" s="19">
        <v>3</v>
      </c>
    </row>
    <row r="153" spans="1:32" customFormat="1" ht="15" x14ac:dyDescent="0.25">
      <c r="A153" s="18" t="s">
        <v>40</v>
      </c>
      <c r="B153" s="19">
        <v>28</v>
      </c>
      <c r="C153" s="19">
        <v>47</v>
      </c>
      <c r="D153" s="19">
        <v>40</v>
      </c>
      <c r="E153" s="20">
        <v>4.140786749482402E-3</v>
      </c>
      <c r="F153" s="20">
        <v>7.0159725332139128E-3</v>
      </c>
      <c r="G153" s="20">
        <v>5.771172990910403E-3</v>
      </c>
      <c r="I153" s="19">
        <v>15</v>
      </c>
      <c r="J153" s="19">
        <v>34</v>
      </c>
      <c r="K153" s="19">
        <v>21</v>
      </c>
      <c r="L153" s="20">
        <v>2.2182786157941437E-3</v>
      </c>
      <c r="M153" s="20">
        <v>5.075384385729213E-3</v>
      </c>
      <c r="N153" s="20">
        <v>3.0298658202279611E-3</v>
      </c>
      <c r="P153" s="19">
        <v>0</v>
      </c>
      <c r="Q153" s="19">
        <v>1</v>
      </c>
      <c r="R153" s="19">
        <v>3</v>
      </c>
      <c r="S153" s="20">
        <v>0</v>
      </c>
      <c r="T153" s="20">
        <v>1.4927601134497685E-4</v>
      </c>
      <c r="U153" s="20">
        <v>4.3283797431828018E-4</v>
      </c>
      <c r="W153" s="19">
        <v>14</v>
      </c>
      <c r="X153" s="19">
        <v>26</v>
      </c>
      <c r="Y153" s="19">
        <v>17</v>
      </c>
      <c r="Z153" s="20">
        <v>2.070393374741201E-3</v>
      </c>
      <c r="AA153" s="20">
        <v>3.8811762949693984E-3</v>
      </c>
      <c r="AB153" s="20">
        <v>2.4527485211369212E-3</v>
      </c>
      <c r="AD153" s="19">
        <v>57</v>
      </c>
      <c r="AE153" s="19">
        <v>108</v>
      </c>
      <c r="AF153" s="19">
        <v>81</v>
      </c>
    </row>
    <row r="154" spans="1:32" customFormat="1" ht="15" x14ac:dyDescent="0.25">
      <c r="A154" s="18" t="s">
        <v>41</v>
      </c>
      <c r="B154" s="19">
        <v>6</v>
      </c>
      <c r="C154" s="19">
        <v>4</v>
      </c>
      <c r="D154" s="19">
        <v>13</v>
      </c>
      <c r="E154" s="20">
        <v>2.2140221402214021E-2</v>
      </c>
      <c r="F154" s="20">
        <v>1.5444015444015444E-2</v>
      </c>
      <c r="G154" s="20">
        <v>5.4393305439330547E-2</v>
      </c>
      <c r="I154" s="19">
        <v>0</v>
      </c>
      <c r="J154" s="19">
        <v>0</v>
      </c>
      <c r="K154" s="19">
        <v>0</v>
      </c>
      <c r="L154" s="20">
        <v>0</v>
      </c>
      <c r="M154" s="20">
        <v>0</v>
      </c>
      <c r="N154" s="20">
        <v>0</v>
      </c>
      <c r="P154" s="19">
        <v>2</v>
      </c>
      <c r="Q154" s="19">
        <v>5</v>
      </c>
      <c r="R154" s="19">
        <v>4</v>
      </c>
      <c r="S154" s="20">
        <v>7.3800738007380072E-3</v>
      </c>
      <c r="T154" s="20">
        <v>1.9305019305019305E-2</v>
      </c>
      <c r="U154" s="20">
        <v>1.6736401673640166E-2</v>
      </c>
      <c r="W154" s="19">
        <v>0</v>
      </c>
      <c r="X154" s="19">
        <v>0</v>
      </c>
      <c r="Y154" s="19">
        <v>0</v>
      </c>
      <c r="Z154" s="20">
        <v>0</v>
      </c>
      <c r="AA154" s="20">
        <v>0</v>
      </c>
      <c r="AB154" s="20">
        <v>0</v>
      </c>
      <c r="AD154" s="19">
        <v>8</v>
      </c>
      <c r="AE154" s="19">
        <v>9</v>
      </c>
      <c r="AF154" s="19">
        <v>17</v>
      </c>
    </row>
    <row r="155" spans="1:32" customFormat="1" ht="15" x14ac:dyDescent="0.25">
      <c r="A155" s="18" t="s">
        <v>43</v>
      </c>
      <c r="B155" s="19">
        <v>13340</v>
      </c>
      <c r="C155" s="19">
        <v>16205</v>
      </c>
      <c r="D155" s="19">
        <v>18696</v>
      </c>
      <c r="E155" s="20">
        <v>5.8843768471385345E-2</v>
      </c>
      <c r="F155" s="20">
        <v>7.1175393210557061E-2</v>
      </c>
      <c r="G155" s="20">
        <v>8.0664089465691008E-2</v>
      </c>
      <c r="I155" s="19">
        <v>3714</v>
      </c>
      <c r="J155" s="19">
        <v>4635</v>
      </c>
      <c r="K155" s="19">
        <v>5468</v>
      </c>
      <c r="L155" s="20">
        <v>1.6382740337535621E-2</v>
      </c>
      <c r="M155" s="20">
        <v>2.0357787567474975E-2</v>
      </c>
      <c r="N155" s="20">
        <v>2.3591743752588705E-2</v>
      </c>
      <c r="P155" s="19">
        <v>0</v>
      </c>
      <c r="Q155" s="19">
        <v>0</v>
      </c>
      <c r="R155" s="19">
        <v>0</v>
      </c>
      <c r="S155" s="20">
        <v>0</v>
      </c>
      <c r="T155" s="20">
        <v>0</v>
      </c>
      <c r="U155" s="20">
        <v>0</v>
      </c>
      <c r="W155" s="19">
        <v>622</v>
      </c>
      <c r="X155" s="19">
        <v>1101</v>
      </c>
      <c r="Y155" s="19">
        <v>1304</v>
      </c>
      <c r="Z155" s="20">
        <v>2.7436899542130199E-3</v>
      </c>
      <c r="AA155" s="20">
        <v>4.8357980823710784E-3</v>
      </c>
      <c r="AB155" s="20">
        <v>5.6261217727460993E-3</v>
      </c>
      <c r="AD155" s="19">
        <v>17676</v>
      </c>
      <c r="AE155" s="19">
        <v>21941</v>
      </c>
      <c r="AF155" s="19">
        <v>25468</v>
      </c>
    </row>
    <row r="156" spans="1:32" customFormat="1" ht="15" x14ac:dyDescent="0.25">
      <c r="A156" s="18" t="s">
        <v>44</v>
      </c>
      <c r="B156" s="19">
        <v>0</v>
      </c>
      <c r="C156" s="19">
        <v>0</v>
      </c>
      <c r="D156" s="19">
        <v>3</v>
      </c>
      <c r="E156" s="20">
        <v>0</v>
      </c>
      <c r="F156" s="20">
        <v>0</v>
      </c>
      <c r="G156" s="20">
        <v>0.3</v>
      </c>
      <c r="I156" s="19">
        <v>0</v>
      </c>
      <c r="J156" s="19">
        <v>0</v>
      </c>
      <c r="K156" s="19">
        <v>0</v>
      </c>
      <c r="L156" s="20">
        <v>0</v>
      </c>
      <c r="M156" s="20">
        <v>0</v>
      </c>
      <c r="N156" s="20">
        <v>0</v>
      </c>
      <c r="P156" s="19">
        <v>0</v>
      </c>
      <c r="Q156" s="19">
        <v>0</v>
      </c>
      <c r="R156" s="19">
        <v>0</v>
      </c>
      <c r="S156" s="20">
        <v>0</v>
      </c>
      <c r="T156" s="20">
        <v>0</v>
      </c>
      <c r="U156" s="20">
        <v>0</v>
      </c>
      <c r="W156" s="19">
        <v>0</v>
      </c>
      <c r="X156" s="19">
        <v>0</v>
      </c>
      <c r="Y156" s="19">
        <v>4</v>
      </c>
      <c r="Z156" s="20">
        <v>0</v>
      </c>
      <c r="AA156" s="20">
        <v>0</v>
      </c>
      <c r="AB156" s="20">
        <v>0.4</v>
      </c>
      <c r="AD156" s="19">
        <v>0</v>
      </c>
      <c r="AE156" s="19">
        <v>0</v>
      </c>
      <c r="AF156" s="19">
        <v>7</v>
      </c>
    </row>
    <row r="157" spans="1:32" customFormat="1" ht="15" x14ac:dyDescent="0.25">
      <c r="A157" s="18" t="s">
        <v>46</v>
      </c>
      <c r="B157" s="19">
        <v>0</v>
      </c>
      <c r="C157" s="19">
        <v>0</v>
      </c>
      <c r="D157" s="19">
        <v>4</v>
      </c>
      <c r="E157" s="20">
        <v>0</v>
      </c>
      <c r="F157" s="20">
        <v>0</v>
      </c>
      <c r="G157" s="20">
        <v>2.5477707006369428E-2</v>
      </c>
      <c r="I157" s="19">
        <v>0</v>
      </c>
      <c r="J157" s="19">
        <v>0</v>
      </c>
      <c r="K157" s="19">
        <v>16</v>
      </c>
      <c r="L157" s="20">
        <v>0</v>
      </c>
      <c r="M157" s="20">
        <v>0</v>
      </c>
      <c r="N157" s="20">
        <v>0.10191082802547771</v>
      </c>
      <c r="P157" s="19">
        <v>0</v>
      </c>
      <c r="Q157" s="19">
        <v>0</v>
      </c>
      <c r="R157" s="19">
        <v>0</v>
      </c>
      <c r="S157" s="20">
        <v>0</v>
      </c>
      <c r="T157" s="20">
        <v>0</v>
      </c>
      <c r="U157" s="20">
        <v>0</v>
      </c>
      <c r="W157" s="19">
        <v>0</v>
      </c>
      <c r="X157" s="19">
        <v>0</v>
      </c>
      <c r="Y157" s="19">
        <v>0</v>
      </c>
      <c r="Z157" s="20">
        <v>0</v>
      </c>
      <c r="AA157" s="20">
        <v>0</v>
      </c>
      <c r="AB157" s="20">
        <v>0</v>
      </c>
      <c r="AD157" s="19">
        <v>0</v>
      </c>
      <c r="AE157" s="19">
        <v>0</v>
      </c>
      <c r="AF157" s="19">
        <v>20</v>
      </c>
    </row>
    <row r="158" spans="1:32" customFormat="1" ht="15" x14ac:dyDescent="0.25">
      <c r="A158" s="18" t="s">
        <v>126</v>
      </c>
      <c r="B158" s="19">
        <v>803</v>
      </c>
      <c r="C158" s="19">
        <v>909</v>
      </c>
      <c r="D158" s="19">
        <v>1016</v>
      </c>
      <c r="E158" s="20">
        <v>3.2454934928461722E-2</v>
      </c>
      <c r="F158" s="20">
        <v>3.714752758479771E-2</v>
      </c>
      <c r="G158" s="20">
        <v>4.2054720807980464E-2</v>
      </c>
      <c r="I158" s="19">
        <v>786</v>
      </c>
      <c r="J158" s="19">
        <v>917</v>
      </c>
      <c r="K158" s="19">
        <v>1116</v>
      </c>
      <c r="L158" s="20">
        <v>3.1767844151644978E-2</v>
      </c>
      <c r="M158" s="20">
        <v>3.7474458520637514E-2</v>
      </c>
      <c r="N158" s="20">
        <v>4.6193964981994289E-2</v>
      </c>
      <c r="P158" s="19">
        <v>0</v>
      </c>
      <c r="Q158" s="19">
        <v>0</v>
      </c>
      <c r="R158" s="19">
        <v>0</v>
      </c>
      <c r="S158" s="20">
        <v>0</v>
      </c>
      <c r="T158" s="20">
        <v>0</v>
      </c>
      <c r="U158" s="20">
        <v>0</v>
      </c>
      <c r="W158" s="19">
        <v>163</v>
      </c>
      <c r="X158" s="19">
        <v>173</v>
      </c>
      <c r="Y158" s="19">
        <v>190</v>
      </c>
      <c r="Z158" s="20">
        <v>6.5879880365370628E-3</v>
      </c>
      <c r="AA158" s="20">
        <v>7.0698814875357584E-3</v>
      </c>
      <c r="AB158" s="20">
        <v>7.8645639306262668E-3</v>
      </c>
      <c r="AD158" s="19">
        <v>1752</v>
      </c>
      <c r="AE158" s="19">
        <v>1999</v>
      </c>
      <c r="AF158" s="19">
        <v>2322</v>
      </c>
    </row>
    <row r="159" spans="1:32" customFormat="1" ht="15" x14ac:dyDescent="0.25">
      <c r="A159" s="18" t="s">
        <v>48</v>
      </c>
      <c r="B159" s="19">
        <v>1</v>
      </c>
      <c r="C159" s="19">
        <v>26</v>
      </c>
      <c r="D159" s="19">
        <v>73</v>
      </c>
      <c r="E159" s="20">
        <v>2.7777777777777776E-2</v>
      </c>
      <c r="F159" s="20">
        <v>0.1078838174273859</v>
      </c>
      <c r="G159" s="20">
        <v>0.23856209150326799</v>
      </c>
      <c r="I159" s="19">
        <v>0</v>
      </c>
      <c r="J159" s="19">
        <v>18</v>
      </c>
      <c r="K159" s="19">
        <v>49</v>
      </c>
      <c r="L159" s="20">
        <v>0</v>
      </c>
      <c r="M159" s="20">
        <v>7.4688796680497924E-2</v>
      </c>
      <c r="N159" s="20">
        <v>0.16013071895424835</v>
      </c>
      <c r="P159" s="19">
        <v>0</v>
      </c>
      <c r="Q159" s="19">
        <v>0</v>
      </c>
      <c r="R159" s="19">
        <v>0</v>
      </c>
      <c r="S159" s="20">
        <v>0</v>
      </c>
      <c r="T159" s="20">
        <v>0</v>
      </c>
      <c r="U159" s="20">
        <v>0</v>
      </c>
      <c r="W159" s="19">
        <v>0</v>
      </c>
      <c r="X159" s="19">
        <v>3</v>
      </c>
      <c r="Y159" s="19">
        <v>4</v>
      </c>
      <c r="Z159" s="20">
        <v>0</v>
      </c>
      <c r="AA159" s="20">
        <v>1.2448132780082987E-2</v>
      </c>
      <c r="AB159" s="20">
        <v>1.3071895424836602E-2</v>
      </c>
      <c r="AD159" s="19">
        <v>1</v>
      </c>
      <c r="AE159" s="19">
        <v>47</v>
      </c>
      <c r="AF159" s="19">
        <v>126</v>
      </c>
    </row>
    <row r="160" spans="1:32" customFormat="1" ht="15" x14ac:dyDescent="0.25">
      <c r="A160" s="18" t="s">
        <v>49</v>
      </c>
      <c r="B160" s="19">
        <v>9</v>
      </c>
      <c r="C160" s="19">
        <v>8</v>
      </c>
      <c r="D160" s="19">
        <v>10</v>
      </c>
      <c r="E160" s="20">
        <v>3.2608695652173912E-2</v>
      </c>
      <c r="F160" s="20">
        <v>3.0188679245283019E-2</v>
      </c>
      <c r="G160" s="20">
        <v>3.90625E-2</v>
      </c>
      <c r="I160" s="19">
        <v>11</v>
      </c>
      <c r="J160" s="19">
        <v>10</v>
      </c>
      <c r="K160" s="19">
        <v>9</v>
      </c>
      <c r="L160" s="20">
        <v>3.9855072463768113E-2</v>
      </c>
      <c r="M160" s="20">
        <v>3.7735849056603772E-2</v>
      </c>
      <c r="N160" s="20">
        <v>3.515625E-2</v>
      </c>
      <c r="P160" s="19">
        <v>0</v>
      </c>
      <c r="Q160" s="19">
        <v>0</v>
      </c>
      <c r="R160" s="19">
        <v>0</v>
      </c>
      <c r="S160" s="20">
        <v>0</v>
      </c>
      <c r="T160" s="20">
        <v>0</v>
      </c>
      <c r="U160" s="20">
        <v>0</v>
      </c>
      <c r="W160" s="19">
        <v>0</v>
      </c>
      <c r="X160" s="19">
        <v>2</v>
      </c>
      <c r="Y160" s="19">
        <v>2</v>
      </c>
      <c r="Z160" s="20">
        <v>0</v>
      </c>
      <c r="AA160" s="20">
        <v>7.5471698113207548E-3</v>
      </c>
      <c r="AB160" s="20">
        <v>7.8125E-3</v>
      </c>
      <c r="AD160" s="19">
        <v>20</v>
      </c>
      <c r="AE160" s="19">
        <v>20</v>
      </c>
      <c r="AF160" s="19">
        <v>21</v>
      </c>
    </row>
    <row r="161" spans="1:32" customFormat="1" ht="15" x14ac:dyDescent="0.25">
      <c r="A161" s="18" t="s">
        <v>52</v>
      </c>
      <c r="B161" s="19">
        <v>311</v>
      </c>
      <c r="C161" s="19">
        <v>339</v>
      </c>
      <c r="D161" s="19">
        <v>380</v>
      </c>
      <c r="E161" s="20">
        <v>5.8834657586076429E-2</v>
      </c>
      <c r="F161" s="20">
        <v>6.454683929931454E-2</v>
      </c>
      <c r="G161" s="20">
        <v>7.002026902524415E-2</v>
      </c>
      <c r="I161" s="19">
        <v>131</v>
      </c>
      <c r="J161" s="19">
        <v>173</v>
      </c>
      <c r="K161" s="19">
        <v>207</v>
      </c>
      <c r="L161" s="20">
        <v>2.4782444192205828E-2</v>
      </c>
      <c r="M161" s="20">
        <v>3.2939832444782942E-2</v>
      </c>
      <c r="N161" s="20">
        <v>3.8142620232172471E-2</v>
      </c>
      <c r="P161" s="19">
        <v>0</v>
      </c>
      <c r="Q161" s="19">
        <v>0</v>
      </c>
      <c r="R161" s="19">
        <v>0</v>
      </c>
      <c r="S161" s="20">
        <v>0</v>
      </c>
      <c r="T161" s="20">
        <v>0</v>
      </c>
      <c r="U161" s="20">
        <v>0</v>
      </c>
      <c r="W161" s="19">
        <v>6</v>
      </c>
      <c r="X161" s="19">
        <v>9</v>
      </c>
      <c r="Y161" s="19">
        <v>12</v>
      </c>
      <c r="Z161" s="20">
        <v>1.1350737797956867E-3</v>
      </c>
      <c r="AA161" s="20">
        <v>1.7136329017517135E-3</v>
      </c>
      <c r="AB161" s="20">
        <v>2.2111663902708678E-3</v>
      </c>
      <c r="AD161" s="19">
        <v>448</v>
      </c>
      <c r="AE161" s="19">
        <v>521</v>
      </c>
      <c r="AF161" s="19">
        <v>599</v>
      </c>
    </row>
    <row r="162" spans="1:32" customFormat="1" ht="15" x14ac:dyDescent="0.25">
      <c r="A162" s="18" t="s">
        <v>53</v>
      </c>
      <c r="B162" s="19">
        <v>133</v>
      </c>
      <c r="C162" s="19">
        <v>117</v>
      </c>
      <c r="D162" s="19">
        <v>67</v>
      </c>
      <c r="E162" s="20">
        <v>0.53846153846153844</v>
      </c>
      <c r="F162" s="20">
        <v>0.52</v>
      </c>
      <c r="G162" s="20">
        <v>0.34895833333333331</v>
      </c>
      <c r="I162" s="19">
        <v>114</v>
      </c>
      <c r="J162" s="19">
        <v>107</v>
      </c>
      <c r="K162" s="19">
        <v>67</v>
      </c>
      <c r="L162" s="20">
        <v>0.46153846153846156</v>
      </c>
      <c r="M162" s="20">
        <v>0.47555555555555556</v>
      </c>
      <c r="N162" s="20">
        <v>0.34895833333333331</v>
      </c>
      <c r="P162" s="19">
        <v>0</v>
      </c>
      <c r="Q162" s="19">
        <v>0</v>
      </c>
      <c r="R162" s="19">
        <v>0</v>
      </c>
      <c r="S162" s="20">
        <v>0</v>
      </c>
      <c r="T162" s="20">
        <v>0</v>
      </c>
      <c r="U162" s="20">
        <v>0</v>
      </c>
      <c r="W162" s="19">
        <v>0</v>
      </c>
      <c r="X162" s="19">
        <v>0</v>
      </c>
      <c r="Y162" s="19">
        <v>0</v>
      </c>
      <c r="Z162" s="20">
        <v>0</v>
      </c>
      <c r="AA162" s="20">
        <v>0</v>
      </c>
      <c r="AB162" s="20">
        <v>0</v>
      </c>
      <c r="AD162" s="19">
        <v>247</v>
      </c>
      <c r="AE162" s="19">
        <v>224</v>
      </c>
      <c r="AF162" s="19">
        <v>134</v>
      </c>
    </row>
    <row r="163" spans="1:32" customFormat="1" ht="15" x14ac:dyDescent="0.25">
      <c r="A163" s="18" t="s">
        <v>54</v>
      </c>
      <c r="B163" s="19">
        <v>17</v>
      </c>
      <c r="C163" s="19">
        <v>0</v>
      </c>
      <c r="D163" s="19">
        <v>0</v>
      </c>
      <c r="E163" s="20">
        <v>9.6371882086167798E-3</v>
      </c>
      <c r="F163" s="20">
        <v>0</v>
      </c>
      <c r="G163" s="20">
        <v>0</v>
      </c>
      <c r="I163" s="19">
        <v>0</v>
      </c>
      <c r="J163" s="19">
        <v>0</v>
      </c>
      <c r="K163" s="19">
        <v>0</v>
      </c>
      <c r="L163" s="20">
        <v>0</v>
      </c>
      <c r="M163" s="20">
        <v>0</v>
      </c>
      <c r="N163" s="20">
        <v>0</v>
      </c>
      <c r="P163" s="19">
        <v>0</v>
      </c>
      <c r="Q163" s="19">
        <v>0</v>
      </c>
      <c r="R163" s="19">
        <v>0</v>
      </c>
      <c r="S163" s="20">
        <v>0</v>
      </c>
      <c r="T163" s="20">
        <v>0</v>
      </c>
      <c r="U163" s="20">
        <v>0</v>
      </c>
      <c r="W163" s="19">
        <v>0</v>
      </c>
      <c r="X163" s="19">
        <v>0</v>
      </c>
      <c r="Y163" s="19">
        <v>0</v>
      </c>
      <c r="Z163" s="20">
        <v>0</v>
      </c>
      <c r="AA163" s="20">
        <v>0</v>
      </c>
      <c r="AB163" s="20">
        <v>0</v>
      </c>
      <c r="AD163" s="19">
        <v>17</v>
      </c>
      <c r="AE163" s="19">
        <v>0</v>
      </c>
      <c r="AF163" s="19">
        <v>0</v>
      </c>
    </row>
    <row r="164" spans="1:32" customFormat="1" ht="15" x14ac:dyDescent="0.25">
      <c r="A164" s="18" t="s">
        <v>55</v>
      </c>
      <c r="B164" s="19">
        <v>526</v>
      </c>
      <c r="C164" s="19">
        <v>125</v>
      </c>
      <c r="D164" s="19">
        <v>140</v>
      </c>
      <c r="E164" s="20">
        <v>6.2853250803589569E-3</v>
      </c>
      <c r="F164" s="20">
        <v>1.4274620866069796E-3</v>
      </c>
      <c r="G164" s="20">
        <v>1.5841763414578948E-3</v>
      </c>
      <c r="I164" s="19">
        <v>4873</v>
      </c>
      <c r="J164" s="19">
        <v>6602</v>
      </c>
      <c r="K164" s="19">
        <v>7647</v>
      </c>
      <c r="L164" s="20">
        <v>5.8228876647507977E-2</v>
      </c>
      <c r="M164" s="20">
        <v>7.5392837566234244E-2</v>
      </c>
      <c r="N164" s="20">
        <v>8.6529974879489449E-2</v>
      </c>
      <c r="P164" s="19">
        <v>39</v>
      </c>
      <c r="Q164" s="19">
        <v>21</v>
      </c>
      <c r="R164" s="19">
        <v>24</v>
      </c>
      <c r="S164" s="20">
        <v>4.6602220177566407E-4</v>
      </c>
      <c r="T164" s="20">
        <v>2.398136305499726E-4</v>
      </c>
      <c r="U164" s="20">
        <v>2.715730871070677E-4</v>
      </c>
      <c r="W164" s="19">
        <v>0</v>
      </c>
      <c r="X164" s="19">
        <v>0</v>
      </c>
      <c r="Y164" s="19">
        <v>0</v>
      </c>
      <c r="Z164" s="20">
        <v>0</v>
      </c>
      <c r="AA164" s="20">
        <v>0</v>
      </c>
      <c r="AB164" s="20">
        <v>0</v>
      </c>
      <c r="AD164" s="19">
        <v>5438</v>
      </c>
      <c r="AE164" s="19">
        <v>6748</v>
      </c>
      <c r="AF164" s="19">
        <v>7811</v>
      </c>
    </row>
    <row r="165" spans="1:32" customFormat="1" ht="15" x14ac:dyDescent="0.25">
      <c r="A165" s="18" t="s">
        <v>58</v>
      </c>
      <c r="B165" s="19">
        <v>1</v>
      </c>
      <c r="C165" s="19">
        <v>0</v>
      </c>
      <c r="D165" s="19">
        <v>2</v>
      </c>
      <c r="E165" s="20">
        <v>2.6666666666666666E-3</v>
      </c>
      <c r="F165" s="20">
        <v>0</v>
      </c>
      <c r="G165" s="20">
        <v>2.8169014084507043E-2</v>
      </c>
      <c r="I165" s="19">
        <v>0</v>
      </c>
      <c r="J165" s="19">
        <v>0</v>
      </c>
      <c r="K165" s="19">
        <v>1</v>
      </c>
      <c r="L165" s="20">
        <v>0</v>
      </c>
      <c r="M165" s="20">
        <v>0</v>
      </c>
      <c r="N165" s="20">
        <v>1.4084507042253521E-2</v>
      </c>
      <c r="P165" s="19">
        <v>0</v>
      </c>
      <c r="Q165" s="19">
        <v>0</v>
      </c>
      <c r="R165" s="19">
        <v>0</v>
      </c>
      <c r="S165" s="20">
        <v>0</v>
      </c>
      <c r="T165" s="20">
        <v>0</v>
      </c>
      <c r="U165" s="20">
        <v>0</v>
      </c>
      <c r="W165" s="19">
        <v>0</v>
      </c>
      <c r="X165" s="19">
        <v>0</v>
      </c>
      <c r="Y165" s="19">
        <v>3</v>
      </c>
      <c r="Z165" s="20">
        <v>0</v>
      </c>
      <c r="AA165" s="20">
        <v>0</v>
      </c>
      <c r="AB165" s="20">
        <v>4.2253521126760563E-2</v>
      </c>
      <c r="AD165" s="19">
        <v>1</v>
      </c>
      <c r="AE165" s="19">
        <v>0</v>
      </c>
      <c r="AF165" s="19">
        <v>6</v>
      </c>
    </row>
    <row r="166" spans="1:32" s="43" customFormat="1" ht="15" x14ac:dyDescent="0.25">
      <c r="A166" s="29" t="s">
        <v>71</v>
      </c>
      <c r="B166" s="27">
        <v>68436</v>
      </c>
      <c r="C166" s="27">
        <v>71682</v>
      </c>
      <c r="D166" s="27">
        <v>76477</v>
      </c>
      <c r="E166" s="22">
        <v>7.7890505316303565E-2</v>
      </c>
      <c r="F166" s="22">
        <v>8.1873348844062346E-2</v>
      </c>
      <c r="G166" s="22">
        <v>8.681876439609891E-2</v>
      </c>
      <c r="I166" s="27">
        <v>33566</v>
      </c>
      <c r="J166" s="27">
        <v>36632</v>
      </c>
      <c r="K166" s="27">
        <v>40429</v>
      </c>
      <c r="L166" s="22">
        <v>3.8203178172994408E-2</v>
      </c>
      <c r="M166" s="22">
        <v>4.1840134411089143E-2</v>
      </c>
      <c r="N166" s="22">
        <v>4.5896097202686857E-2</v>
      </c>
      <c r="P166" s="27">
        <v>73</v>
      </c>
      <c r="Q166" s="27">
        <v>97</v>
      </c>
      <c r="R166" s="27">
        <v>74</v>
      </c>
      <c r="S166" s="22">
        <v>8.3085026712405164E-5</v>
      </c>
      <c r="T166" s="22">
        <v>1.1079092154061059E-4</v>
      </c>
      <c r="U166" s="22">
        <v>8.4006806821806802E-5</v>
      </c>
      <c r="W166" s="27">
        <v>2939</v>
      </c>
      <c r="X166" s="27">
        <v>3313</v>
      </c>
      <c r="Y166" s="27">
        <v>4130</v>
      </c>
      <c r="Z166" s="22">
        <v>3.345025938462449E-3</v>
      </c>
      <c r="AA166" s="22">
        <v>3.784023949113844E-3</v>
      </c>
      <c r="AB166" s="22">
        <v>4.6884880023521907E-3</v>
      </c>
      <c r="AD166" s="21">
        <v>105014</v>
      </c>
      <c r="AE166" s="21">
        <v>111724</v>
      </c>
      <c r="AF166" s="21">
        <v>121110</v>
      </c>
    </row>
    <row r="167" spans="1:32" customFormat="1" ht="15" x14ac:dyDescent="0.25">
      <c r="A167" s="18"/>
      <c r="B167" s="19"/>
      <c r="C167" s="19"/>
      <c r="D167" s="19"/>
      <c r="E167" s="19"/>
      <c r="F167" s="19"/>
      <c r="G167" s="19"/>
      <c r="I167" s="19"/>
      <c r="J167" s="19"/>
      <c r="K167" s="19"/>
      <c r="L167" s="19"/>
      <c r="M167" s="19"/>
      <c r="N167" s="19"/>
      <c r="P167" s="19"/>
      <c r="Q167" s="19"/>
      <c r="R167" s="19"/>
      <c r="S167" s="19"/>
      <c r="T167" s="19"/>
      <c r="U167" s="19"/>
      <c r="W167" s="19"/>
      <c r="X167" s="19"/>
      <c r="Y167" s="19"/>
      <c r="Z167" s="19"/>
      <c r="AA167" s="19"/>
      <c r="AB167" s="19"/>
      <c r="AD167" s="19"/>
      <c r="AE167" s="19"/>
      <c r="AF167" s="19"/>
    </row>
    <row r="168" spans="1:32" customFormat="1" ht="15" x14ac:dyDescent="0.25">
      <c r="A168" s="28" t="s">
        <v>73</v>
      </c>
      <c r="B168" s="25"/>
      <c r="C168" s="25"/>
      <c r="D168" s="25"/>
      <c r="E168" s="25"/>
      <c r="F168" s="25"/>
      <c r="G168" s="25"/>
      <c r="I168" s="25"/>
      <c r="J168" s="25"/>
      <c r="K168" s="25"/>
      <c r="L168" s="25"/>
      <c r="M168" s="25"/>
      <c r="N168" s="25"/>
      <c r="P168" s="25"/>
      <c r="Q168" s="25"/>
      <c r="R168" s="25"/>
      <c r="S168" s="25"/>
      <c r="T168" s="25"/>
      <c r="U168" s="25"/>
      <c r="W168" s="25"/>
      <c r="X168" s="25"/>
      <c r="Y168" s="25"/>
      <c r="Z168" s="25"/>
      <c r="AA168" s="25"/>
      <c r="AB168" s="25"/>
      <c r="AD168" s="19"/>
      <c r="AE168" s="19"/>
      <c r="AF168" s="19"/>
    </row>
    <row r="169" spans="1:32" customFormat="1" ht="15" x14ac:dyDescent="0.25">
      <c r="A169" s="18" t="s">
        <v>17</v>
      </c>
      <c r="B169" s="19">
        <v>3</v>
      </c>
      <c r="C169" s="19">
        <v>8</v>
      </c>
      <c r="D169" s="19">
        <v>18</v>
      </c>
      <c r="E169" s="20">
        <v>3.896103896103896E-2</v>
      </c>
      <c r="F169" s="20">
        <v>8.5561497326203211E-3</v>
      </c>
      <c r="G169" s="20">
        <v>8.9596814335490289E-3</v>
      </c>
      <c r="I169" s="19">
        <v>15</v>
      </c>
      <c r="J169" s="19">
        <v>82</v>
      </c>
      <c r="K169" s="19">
        <v>165</v>
      </c>
      <c r="L169" s="20">
        <v>0.19480519480519481</v>
      </c>
      <c r="M169" s="20">
        <v>8.7700534759358295E-2</v>
      </c>
      <c r="N169" s="20">
        <v>8.2130413140866096E-2</v>
      </c>
      <c r="P169" s="19">
        <v>0</v>
      </c>
      <c r="Q169" s="19">
        <v>0</v>
      </c>
      <c r="R169" s="19">
        <v>0</v>
      </c>
      <c r="S169" s="20">
        <v>0</v>
      </c>
      <c r="T169" s="20">
        <v>0</v>
      </c>
      <c r="U169" s="20">
        <v>0</v>
      </c>
      <c r="W169" s="19">
        <v>9</v>
      </c>
      <c r="X169" s="19">
        <v>56</v>
      </c>
      <c r="Y169" s="19">
        <v>142</v>
      </c>
      <c r="Z169" s="20">
        <v>0.11688311688311688</v>
      </c>
      <c r="AA169" s="20">
        <v>5.9893048128342244E-2</v>
      </c>
      <c r="AB169" s="20">
        <v>7.0681931309109006E-2</v>
      </c>
      <c r="AD169" s="19">
        <v>27</v>
      </c>
      <c r="AE169" s="19">
        <v>146</v>
      </c>
      <c r="AF169" s="19">
        <v>325</v>
      </c>
    </row>
    <row r="170" spans="1:32" customFormat="1" ht="15" x14ac:dyDescent="0.25">
      <c r="A170" s="18" t="s">
        <v>22</v>
      </c>
      <c r="B170" s="19">
        <v>9752</v>
      </c>
      <c r="C170" s="19">
        <v>12914</v>
      </c>
      <c r="D170" s="19">
        <v>17065</v>
      </c>
      <c r="E170" s="20">
        <v>3.461089362970745E-2</v>
      </c>
      <c r="F170" s="20">
        <v>4.5766411975674409E-2</v>
      </c>
      <c r="G170" s="20">
        <v>6.0064975062388025E-2</v>
      </c>
      <c r="I170" s="19">
        <v>231</v>
      </c>
      <c r="J170" s="19">
        <v>274</v>
      </c>
      <c r="K170" s="19">
        <v>430</v>
      </c>
      <c r="L170" s="20">
        <v>8.1984376830008415E-4</v>
      </c>
      <c r="M170" s="20">
        <v>9.7103894078788826E-4</v>
      </c>
      <c r="N170" s="20">
        <v>1.5135036200894726E-3</v>
      </c>
      <c r="P170" s="19">
        <v>0</v>
      </c>
      <c r="Q170" s="19">
        <v>0</v>
      </c>
      <c r="R170" s="19">
        <v>0</v>
      </c>
      <c r="S170" s="20">
        <v>0</v>
      </c>
      <c r="T170" s="20">
        <v>0</v>
      </c>
      <c r="U170" s="20">
        <v>0</v>
      </c>
      <c r="W170" s="19">
        <v>5320</v>
      </c>
      <c r="X170" s="19">
        <v>11293</v>
      </c>
      <c r="Y170" s="19">
        <v>17687</v>
      </c>
      <c r="Z170" s="20">
        <v>1.8881250421456483E-2</v>
      </c>
      <c r="AA170" s="20">
        <v>4.0021688898969419E-2</v>
      </c>
      <c r="AB170" s="20">
        <v>6.2254275647726752E-2</v>
      </c>
      <c r="AD170" s="19">
        <v>15303</v>
      </c>
      <c r="AE170" s="19">
        <v>24481</v>
      </c>
      <c r="AF170" s="19">
        <v>35182</v>
      </c>
    </row>
    <row r="171" spans="1:32" customFormat="1" ht="15" x14ac:dyDescent="0.25">
      <c r="A171" s="18" t="s">
        <v>29</v>
      </c>
      <c r="B171" s="19">
        <v>0</v>
      </c>
      <c r="C171" s="19">
        <v>0</v>
      </c>
      <c r="D171" s="19">
        <v>0</v>
      </c>
      <c r="E171" s="20">
        <v>0</v>
      </c>
      <c r="F171" s="20">
        <v>0</v>
      </c>
      <c r="G171" s="20">
        <v>0</v>
      </c>
      <c r="I171" s="19">
        <v>0</v>
      </c>
      <c r="J171" s="19">
        <v>0</v>
      </c>
      <c r="K171" s="19">
        <v>0</v>
      </c>
      <c r="L171" s="20">
        <v>0</v>
      </c>
      <c r="M171" s="20">
        <v>0</v>
      </c>
      <c r="N171" s="20">
        <v>0</v>
      </c>
      <c r="P171" s="19">
        <v>0</v>
      </c>
      <c r="Q171" s="19">
        <v>0</v>
      </c>
      <c r="R171" s="19">
        <v>0</v>
      </c>
      <c r="S171" s="20">
        <v>0</v>
      </c>
      <c r="T171" s="20">
        <v>0</v>
      </c>
      <c r="U171" s="20">
        <v>0</v>
      </c>
      <c r="W171" s="19">
        <v>0</v>
      </c>
      <c r="X171" s="19">
        <v>0</v>
      </c>
      <c r="Y171" s="19">
        <v>1</v>
      </c>
      <c r="Z171" s="20">
        <v>0</v>
      </c>
      <c r="AA171" s="20">
        <v>0</v>
      </c>
      <c r="AB171" s="20">
        <v>0.1111111111111111</v>
      </c>
      <c r="AD171" s="19">
        <v>0</v>
      </c>
      <c r="AE171" s="19">
        <v>0</v>
      </c>
      <c r="AF171" s="19">
        <v>1</v>
      </c>
    </row>
    <row r="172" spans="1:32" customFormat="1" ht="15" x14ac:dyDescent="0.25">
      <c r="A172" s="18" t="s">
        <v>80</v>
      </c>
      <c r="B172" s="19">
        <v>5</v>
      </c>
      <c r="C172" s="19">
        <v>6</v>
      </c>
      <c r="D172" s="19">
        <v>5</v>
      </c>
      <c r="E172" s="20">
        <v>0.01</v>
      </c>
      <c r="F172" s="20">
        <v>1.2578616352201259E-2</v>
      </c>
      <c r="G172" s="20">
        <v>1.2626262626262626E-2</v>
      </c>
      <c r="I172" s="19">
        <v>0</v>
      </c>
      <c r="J172" s="19">
        <v>0</v>
      </c>
      <c r="K172" s="19">
        <v>0</v>
      </c>
      <c r="L172" s="20">
        <v>0</v>
      </c>
      <c r="M172" s="20">
        <v>0</v>
      </c>
      <c r="N172" s="20">
        <v>0</v>
      </c>
      <c r="P172" s="19">
        <v>0</v>
      </c>
      <c r="Q172" s="19">
        <v>0</v>
      </c>
      <c r="R172" s="19">
        <v>0</v>
      </c>
      <c r="S172" s="20">
        <v>0</v>
      </c>
      <c r="T172" s="20">
        <v>0</v>
      </c>
      <c r="U172" s="20">
        <v>0</v>
      </c>
      <c r="W172" s="19">
        <v>8</v>
      </c>
      <c r="X172" s="19">
        <v>8</v>
      </c>
      <c r="Y172" s="19">
        <v>4</v>
      </c>
      <c r="Z172" s="20">
        <v>1.6E-2</v>
      </c>
      <c r="AA172" s="20">
        <v>1.6771488469601678E-2</v>
      </c>
      <c r="AB172" s="20">
        <v>1.0101010101010102E-2</v>
      </c>
      <c r="AD172" s="19">
        <v>13</v>
      </c>
      <c r="AE172" s="19">
        <v>14</v>
      </c>
      <c r="AF172" s="19">
        <v>9</v>
      </c>
    </row>
    <row r="173" spans="1:32" s="43" customFormat="1" ht="15" x14ac:dyDescent="0.25">
      <c r="A173" s="29" t="s">
        <v>73</v>
      </c>
      <c r="B173" s="27">
        <v>9760</v>
      </c>
      <c r="C173" s="27">
        <v>12928</v>
      </c>
      <c r="D173" s="27">
        <v>17088</v>
      </c>
      <c r="E173" s="22">
        <v>3.4567883744240163E-2</v>
      </c>
      <c r="F173" s="22">
        <v>4.5587099640677177E-2</v>
      </c>
      <c r="G173" s="22">
        <v>5.9638358688709966E-2</v>
      </c>
      <c r="I173" s="27">
        <v>246</v>
      </c>
      <c r="J173" s="27">
        <v>356</v>
      </c>
      <c r="K173" s="27">
        <v>595</v>
      </c>
      <c r="L173" s="22">
        <v>8.7128067634047949E-4</v>
      </c>
      <c r="M173" s="22">
        <v>1.2553378304518159E-3</v>
      </c>
      <c r="N173" s="22">
        <v>2.0765931308393275E-3</v>
      </c>
      <c r="P173" s="27">
        <v>0</v>
      </c>
      <c r="Q173" s="27">
        <v>0</v>
      </c>
      <c r="R173" s="27">
        <v>0</v>
      </c>
      <c r="S173" s="22">
        <v>0</v>
      </c>
      <c r="T173" s="22">
        <v>0</v>
      </c>
      <c r="U173" s="22">
        <v>0</v>
      </c>
      <c r="W173" s="27">
        <v>5337</v>
      </c>
      <c r="X173" s="27">
        <v>11357</v>
      </c>
      <c r="Y173" s="27">
        <v>17834</v>
      </c>
      <c r="Z173" s="22">
        <v>1.890254052694772E-2</v>
      </c>
      <c r="AA173" s="22">
        <v>4.0047392529329415E-2</v>
      </c>
      <c r="AB173" s="22">
        <v>6.2241952765358939E-2</v>
      </c>
      <c r="AD173" s="21">
        <v>15343</v>
      </c>
      <c r="AE173" s="21">
        <v>24641</v>
      </c>
      <c r="AF173" s="21">
        <v>35517</v>
      </c>
    </row>
  </sheetData>
  <mergeCells count="5">
    <mergeCell ref="W5:AB5"/>
    <mergeCell ref="AD5:AF5"/>
    <mergeCell ref="B5:G5"/>
    <mergeCell ref="I5:N5"/>
    <mergeCell ref="P5:U5"/>
  </mergeCells>
  <conditionalFormatting sqref="A5">
    <cfRule type="duplicateValues" dxfId="3" priority="2"/>
  </conditionalFormatting>
  <conditionalFormatting sqref="A6">
    <cfRule type="duplicateValues" dxfId="2" priority="1"/>
  </conditionalFormatting>
  <hyperlinks>
    <hyperlink ref="B1" location="Contents!A1" display="Back to Contents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workbookViewId="0">
      <pane xSplit="1" ySplit="7" topLeftCell="B149" activePane="bottomRight" state="frozen"/>
      <selection pane="topRight" activeCell="B1" sqref="B1"/>
      <selection pane="bottomLeft" activeCell="A7" sqref="A7"/>
      <selection pane="bottomRight" activeCell="L27" sqref="L27"/>
    </sheetView>
  </sheetViews>
  <sheetFormatPr defaultColWidth="8.7109375" defaultRowHeight="12.75" x14ac:dyDescent="0.2"/>
  <cols>
    <col min="1" max="1" width="19.85546875" style="19" customWidth="1"/>
    <col min="2" max="15" width="14.28515625" style="19" customWidth="1"/>
    <col min="16" max="16" width="11.85546875" style="19" customWidth="1"/>
    <col min="17" max="17" width="11.85546875" style="20" customWidth="1"/>
    <col min="18" max="18" width="11.85546875" style="19" customWidth="1"/>
    <col min="19" max="21" width="11.85546875" style="20" customWidth="1"/>
    <col min="22" max="16384" width="8.7109375" style="19"/>
  </cols>
  <sheetData>
    <row r="1" spans="1:21" x14ac:dyDescent="0.2">
      <c r="A1" s="30" t="s">
        <v>0</v>
      </c>
      <c r="B1" s="58" t="s">
        <v>153</v>
      </c>
      <c r="C1" s="4"/>
      <c r="J1" s="21"/>
      <c r="K1" s="22"/>
    </row>
    <row r="2" spans="1:21" x14ac:dyDescent="0.2">
      <c r="A2" s="42" t="s">
        <v>141</v>
      </c>
      <c r="B2" s="12"/>
      <c r="C2" s="4"/>
      <c r="J2" s="21"/>
      <c r="K2" s="22"/>
    </row>
    <row r="3" spans="1:21" x14ac:dyDescent="0.2">
      <c r="A3" s="40" t="s">
        <v>199</v>
      </c>
      <c r="B3" s="94" t="s">
        <v>2</v>
      </c>
      <c r="C3" s="91"/>
      <c r="D3" s="91"/>
      <c r="E3" s="91"/>
      <c r="F3" s="149"/>
      <c r="G3" s="149"/>
      <c r="H3" s="91"/>
      <c r="I3" s="91"/>
      <c r="J3" s="21"/>
      <c r="K3" s="92"/>
    </row>
    <row r="4" spans="1:21" x14ac:dyDescent="0.2">
      <c r="A4" s="30" t="s">
        <v>4</v>
      </c>
      <c r="B4" s="166" t="s">
        <v>127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</row>
    <row r="5" spans="1:21" s="36" customFormat="1" ht="27.95" customHeight="1" x14ac:dyDescent="0.25">
      <c r="A5" s="33"/>
      <c r="B5" s="174" t="s">
        <v>98</v>
      </c>
      <c r="C5" s="174"/>
      <c r="D5" s="174"/>
      <c r="E5" s="174"/>
      <c r="F5" s="174"/>
      <c r="G5" s="174"/>
      <c r="H5" s="33"/>
      <c r="I5" s="174" t="s">
        <v>99</v>
      </c>
      <c r="J5" s="174"/>
      <c r="K5" s="174"/>
      <c r="L5" s="174"/>
      <c r="M5" s="174"/>
      <c r="N5" s="174"/>
      <c r="P5" s="177" t="s">
        <v>134</v>
      </c>
      <c r="Q5" s="177"/>
      <c r="R5" s="177"/>
      <c r="S5" s="177"/>
      <c r="T5" s="177"/>
      <c r="U5" s="177"/>
    </row>
    <row r="6" spans="1:21" s="57" customFormat="1" x14ac:dyDescent="0.25">
      <c r="A6" s="152"/>
      <c r="B6" s="174" t="s">
        <v>189</v>
      </c>
      <c r="C6" s="174"/>
      <c r="D6" s="174"/>
      <c r="E6" s="174" t="s">
        <v>188</v>
      </c>
      <c r="F6" s="174"/>
      <c r="G6" s="174"/>
      <c r="I6" s="174" t="s">
        <v>189</v>
      </c>
      <c r="J6" s="174"/>
      <c r="K6" s="174"/>
      <c r="L6" s="174" t="s">
        <v>188</v>
      </c>
      <c r="M6" s="174"/>
      <c r="N6" s="174"/>
      <c r="P6" s="174" t="s">
        <v>189</v>
      </c>
      <c r="Q6" s="174"/>
      <c r="R6" s="174"/>
      <c r="S6" s="179" t="s">
        <v>188</v>
      </c>
      <c r="T6" s="179"/>
      <c r="U6" s="179"/>
    </row>
    <row r="7" spans="1:21" s="21" customFormat="1" x14ac:dyDescent="0.2">
      <c r="A7" s="152" t="s">
        <v>9</v>
      </c>
      <c r="B7" s="10" t="s">
        <v>12</v>
      </c>
      <c r="C7" s="10" t="s">
        <v>164</v>
      </c>
      <c r="D7" s="10" t="s">
        <v>195</v>
      </c>
      <c r="E7" s="10" t="s">
        <v>12</v>
      </c>
      <c r="F7" s="10" t="s">
        <v>164</v>
      </c>
      <c r="G7" s="10" t="s">
        <v>195</v>
      </c>
      <c r="I7" s="10" t="s">
        <v>12</v>
      </c>
      <c r="J7" s="10" t="s">
        <v>164</v>
      </c>
      <c r="K7" s="10" t="s">
        <v>195</v>
      </c>
      <c r="L7" s="10" t="s">
        <v>12</v>
      </c>
      <c r="M7" s="10" t="s">
        <v>164</v>
      </c>
      <c r="N7" s="10" t="s">
        <v>195</v>
      </c>
      <c r="P7" s="10" t="s">
        <v>12</v>
      </c>
      <c r="Q7" s="10" t="s">
        <v>164</v>
      </c>
      <c r="R7" s="10" t="s">
        <v>195</v>
      </c>
      <c r="S7" s="17" t="s">
        <v>12</v>
      </c>
      <c r="T7" s="17" t="s">
        <v>164</v>
      </c>
      <c r="U7" s="17" t="s">
        <v>195</v>
      </c>
    </row>
    <row r="8" spans="1:21" customFormat="1" ht="15" x14ac:dyDescent="0.25">
      <c r="A8" s="18" t="s">
        <v>17</v>
      </c>
      <c r="B8" s="19">
        <v>211</v>
      </c>
      <c r="C8" s="19">
        <v>231</v>
      </c>
      <c r="D8" s="19">
        <v>258</v>
      </c>
      <c r="E8" s="20">
        <v>1.3931990756025091E-2</v>
      </c>
      <c r="F8" s="20">
        <v>1.4851485148514851E-2</v>
      </c>
      <c r="G8" s="20">
        <v>1.5842800122812403E-2</v>
      </c>
      <c r="I8" s="19">
        <v>1481</v>
      </c>
      <c r="J8" s="19">
        <v>1748</v>
      </c>
      <c r="K8" s="19">
        <v>1826</v>
      </c>
      <c r="L8" s="20">
        <v>9.7788048861010238E-2</v>
      </c>
      <c r="M8" s="20">
        <v>0.11238266683811238</v>
      </c>
      <c r="N8" s="20">
        <v>0.11212772490021493</v>
      </c>
      <c r="P8" s="19">
        <v>1692</v>
      </c>
      <c r="Q8" s="19">
        <v>1979</v>
      </c>
      <c r="R8" s="19">
        <v>2084</v>
      </c>
      <c r="S8" s="20">
        <v>0.11172003961703533</v>
      </c>
      <c r="T8" s="20">
        <v>0.12723415198662724</v>
      </c>
      <c r="U8" s="20">
        <v>0.12797052502302733</v>
      </c>
    </row>
    <row r="9" spans="1:21" customFormat="1" ht="15" x14ac:dyDescent="0.25">
      <c r="A9" s="18" t="s">
        <v>18</v>
      </c>
      <c r="B9" s="19">
        <v>9773</v>
      </c>
      <c r="C9" s="19">
        <v>9789</v>
      </c>
      <c r="D9" s="19">
        <v>9810</v>
      </c>
      <c r="E9" s="20">
        <v>5.2253649147195637E-2</v>
      </c>
      <c r="F9" s="20">
        <v>5.3014384125471166E-2</v>
      </c>
      <c r="G9" s="20">
        <v>5.3377587942432733E-2</v>
      </c>
      <c r="I9" s="19">
        <v>16452</v>
      </c>
      <c r="J9" s="19">
        <v>17060</v>
      </c>
      <c r="K9" s="19">
        <v>18024</v>
      </c>
      <c r="L9" s="20">
        <v>8.7964497674169917E-2</v>
      </c>
      <c r="M9" s="20">
        <v>9.2392010744768424E-2</v>
      </c>
      <c r="N9" s="20">
        <v>9.8071115705851947E-2</v>
      </c>
      <c r="P9" s="19">
        <v>26225</v>
      </c>
      <c r="Q9" s="19">
        <v>26849</v>
      </c>
      <c r="R9" s="19">
        <v>27834</v>
      </c>
      <c r="S9" s="20">
        <v>0.14021814682136555</v>
      </c>
      <c r="T9" s="20">
        <v>0.1454063948702396</v>
      </c>
      <c r="U9" s="20">
        <v>0.15144870364828467</v>
      </c>
    </row>
    <row r="10" spans="1:21" customFormat="1" ht="15" x14ac:dyDescent="0.25">
      <c r="A10" s="18" t="s">
        <v>19</v>
      </c>
      <c r="B10" s="19">
        <v>80418</v>
      </c>
      <c r="C10" s="19">
        <v>79238</v>
      </c>
      <c r="D10" s="19">
        <v>79015</v>
      </c>
      <c r="E10" s="20">
        <v>5.3158241252667229E-2</v>
      </c>
      <c r="F10" s="20">
        <v>5.2532133982863646E-2</v>
      </c>
      <c r="G10" s="20">
        <v>5.2318459613181746E-2</v>
      </c>
      <c r="I10" s="19">
        <v>175039</v>
      </c>
      <c r="J10" s="19">
        <v>188862</v>
      </c>
      <c r="K10" s="19">
        <v>199914</v>
      </c>
      <c r="L10" s="20">
        <v>0.11570500871229848</v>
      </c>
      <c r="M10" s="20">
        <v>0.12520916590867504</v>
      </c>
      <c r="N10" s="20">
        <v>0.1323697087275785</v>
      </c>
      <c r="P10" s="19">
        <v>255457</v>
      </c>
      <c r="Q10" s="19">
        <v>268100</v>
      </c>
      <c r="R10" s="19">
        <v>278929</v>
      </c>
      <c r="S10" s="20">
        <v>0.16886324996496571</v>
      </c>
      <c r="T10" s="20">
        <v>0.1777412998915387</v>
      </c>
      <c r="U10" s="20">
        <v>0.18468816834076024</v>
      </c>
    </row>
    <row r="11" spans="1:21" customFormat="1" ht="15" x14ac:dyDescent="0.25">
      <c r="A11" s="18" t="s">
        <v>20</v>
      </c>
      <c r="B11" s="19">
        <v>17301</v>
      </c>
      <c r="C11" s="19">
        <v>17705</v>
      </c>
      <c r="D11" s="19">
        <v>18414</v>
      </c>
      <c r="E11" s="20">
        <v>5.266330006300967E-2</v>
      </c>
      <c r="F11" s="20">
        <v>5.1383330382770258E-2</v>
      </c>
      <c r="G11" s="20">
        <v>4.8812944681843724E-2</v>
      </c>
      <c r="I11" s="19">
        <v>46183</v>
      </c>
      <c r="J11" s="19">
        <v>49957</v>
      </c>
      <c r="K11" s="19">
        <v>54676</v>
      </c>
      <c r="L11" s="20">
        <v>0.14057853227038758</v>
      </c>
      <c r="M11" s="20">
        <v>0.14498486506252775</v>
      </c>
      <c r="N11" s="20">
        <v>0.14493844701990266</v>
      </c>
      <c r="P11" s="19">
        <v>63484</v>
      </c>
      <c r="Q11" s="19">
        <v>67662</v>
      </c>
      <c r="R11" s="19">
        <v>73090</v>
      </c>
      <c r="S11" s="20">
        <v>0.19324183233339726</v>
      </c>
      <c r="T11" s="20">
        <v>0.19636819544529802</v>
      </c>
      <c r="U11" s="20">
        <v>0.19375139170174638</v>
      </c>
    </row>
    <row r="12" spans="1:21" customFormat="1" ht="15" x14ac:dyDescent="0.25">
      <c r="A12" s="18" t="s">
        <v>21</v>
      </c>
      <c r="B12" s="19">
        <v>2899</v>
      </c>
      <c r="C12" s="19">
        <v>2725</v>
      </c>
      <c r="D12" s="19">
        <v>2473</v>
      </c>
      <c r="E12" s="20">
        <v>2.9100582212407147E-2</v>
      </c>
      <c r="F12" s="20">
        <v>2.7321308615486421E-2</v>
      </c>
      <c r="G12" s="20">
        <v>2.5305445838364405E-2</v>
      </c>
      <c r="I12" s="19">
        <v>19474</v>
      </c>
      <c r="J12" s="19">
        <v>19346</v>
      </c>
      <c r="K12" s="19">
        <v>18832</v>
      </c>
      <c r="L12" s="20">
        <v>0.1954828347721341</v>
      </c>
      <c r="M12" s="20">
        <v>0.19396625191750469</v>
      </c>
      <c r="N12" s="20">
        <v>0.19270204449174222</v>
      </c>
      <c r="P12" s="19">
        <v>22373</v>
      </c>
      <c r="Q12" s="19">
        <v>22071</v>
      </c>
      <c r="R12" s="19">
        <v>21305</v>
      </c>
      <c r="S12" s="20">
        <v>0.22458341698454126</v>
      </c>
      <c r="T12" s="20">
        <v>0.22128756053299112</v>
      </c>
      <c r="U12" s="20">
        <v>0.21800749033010663</v>
      </c>
    </row>
    <row r="13" spans="1:21" customFormat="1" ht="15" x14ac:dyDescent="0.25">
      <c r="A13" s="18" t="s">
        <v>22</v>
      </c>
      <c r="B13" s="19">
        <v>14772</v>
      </c>
      <c r="C13" s="19">
        <v>14430</v>
      </c>
      <c r="D13" s="19">
        <v>14038</v>
      </c>
      <c r="E13" s="20">
        <v>5.2427411884540441E-2</v>
      </c>
      <c r="F13" s="20">
        <v>5.1139021589668709E-2</v>
      </c>
      <c r="G13" s="20">
        <v>4.9410613532130276E-2</v>
      </c>
      <c r="I13" s="19">
        <v>13607</v>
      </c>
      <c r="J13" s="19">
        <v>14396</v>
      </c>
      <c r="K13" s="19">
        <v>14931</v>
      </c>
      <c r="L13" s="20">
        <v>4.8292701970819238E-2</v>
      </c>
      <c r="M13" s="20">
        <v>5.1018527706505251E-2</v>
      </c>
      <c r="N13" s="20">
        <v>5.2553773375711432E-2</v>
      </c>
      <c r="P13" s="19">
        <v>28379</v>
      </c>
      <c r="Q13" s="19">
        <v>28826</v>
      </c>
      <c r="R13" s="19">
        <v>28969</v>
      </c>
      <c r="S13" s="20">
        <v>0.10072011385535967</v>
      </c>
      <c r="T13" s="20">
        <v>0.10215754929617396</v>
      </c>
      <c r="U13" s="20">
        <v>0.10196438690784171</v>
      </c>
    </row>
    <row r="14" spans="1:21" customFormat="1" ht="15" x14ac:dyDescent="0.25">
      <c r="A14" s="18" t="s">
        <v>24</v>
      </c>
      <c r="B14" s="19">
        <v>131</v>
      </c>
      <c r="C14" s="19">
        <v>142</v>
      </c>
      <c r="D14" s="19">
        <v>0</v>
      </c>
      <c r="E14" s="20">
        <v>2.3831180643987631E-2</v>
      </c>
      <c r="F14" s="20">
        <v>2.689903390793711E-2</v>
      </c>
      <c r="G14" s="20">
        <v>0</v>
      </c>
      <c r="I14" s="19">
        <v>500</v>
      </c>
      <c r="J14" s="19">
        <v>503</v>
      </c>
      <c r="K14" s="19">
        <v>896</v>
      </c>
      <c r="L14" s="20">
        <v>9.0958704748044392E-2</v>
      </c>
      <c r="M14" s="20">
        <v>9.5283197575298351E-2</v>
      </c>
      <c r="N14" s="20">
        <v>0.17669098797081442</v>
      </c>
      <c r="P14" s="19">
        <v>631</v>
      </c>
      <c r="Q14" s="19">
        <v>645</v>
      </c>
      <c r="R14" s="19">
        <v>896</v>
      </c>
      <c r="S14" s="20">
        <v>0.11478988539203203</v>
      </c>
      <c r="T14" s="20">
        <v>0.12218223148323545</v>
      </c>
      <c r="U14" s="20">
        <v>0.17669098797081442</v>
      </c>
    </row>
    <row r="15" spans="1:21" customFormat="1" ht="15" x14ac:dyDescent="0.25">
      <c r="A15" s="18" t="s">
        <v>25</v>
      </c>
      <c r="B15" s="19">
        <v>0</v>
      </c>
      <c r="C15" s="19">
        <v>0</v>
      </c>
      <c r="D15" s="19">
        <v>0</v>
      </c>
      <c r="E15" s="20">
        <v>0</v>
      </c>
      <c r="F15" s="20">
        <v>0</v>
      </c>
      <c r="G15" s="20">
        <v>0</v>
      </c>
      <c r="I15" s="19">
        <v>121</v>
      </c>
      <c r="J15" s="19">
        <v>139</v>
      </c>
      <c r="K15" s="19">
        <v>166</v>
      </c>
      <c r="L15" s="20">
        <v>1.38507326007326E-2</v>
      </c>
      <c r="M15" s="20">
        <v>1.573822463768116E-2</v>
      </c>
      <c r="N15" s="20">
        <v>1.9038880605574033E-2</v>
      </c>
      <c r="P15" s="19">
        <v>121</v>
      </c>
      <c r="Q15" s="19">
        <v>139</v>
      </c>
      <c r="R15" s="19">
        <v>166</v>
      </c>
      <c r="S15" s="20">
        <v>1.38507326007326E-2</v>
      </c>
      <c r="T15" s="20">
        <v>1.573822463768116E-2</v>
      </c>
      <c r="U15" s="20">
        <v>1.9038880605574033E-2</v>
      </c>
    </row>
    <row r="16" spans="1:21" customFormat="1" ht="15" x14ac:dyDescent="0.25">
      <c r="A16" s="18" t="s">
        <v>26</v>
      </c>
      <c r="B16" s="19">
        <v>1018</v>
      </c>
      <c r="C16" s="19">
        <v>1533</v>
      </c>
      <c r="D16" s="19">
        <v>999</v>
      </c>
      <c r="E16" s="20">
        <v>9.3231980950636506E-2</v>
      </c>
      <c r="F16" s="20">
        <v>0.145750142612664</v>
      </c>
      <c r="G16" s="20">
        <v>9.5179115853658541E-2</v>
      </c>
      <c r="I16" s="19">
        <v>5225</v>
      </c>
      <c r="J16" s="19">
        <v>4628</v>
      </c>
      <c r="K16" s="19">
        <v>5681</v>
      </c>
      <c r="L16" s="20">
        <v>0.47852367432915099</v>
      </c>
      <c r="M16" s="20">
        <v>0.44000760600874689</v>
      </c>
      <c r="N16" s="20">
        <v>0.54125381097560976</v>
      </c>
      <c r="P16" s="19">
        <v>6243</v>
      </c>
      <c r="Q16" s="19">
        <v>6161</v>
      </c>
      <c r="R16" s="19">
        <v>6680</v>
      </c>
      <c r="S16" s="20">
        <v>0.57175565527978756</v>
      </c>
      <c r="T16" s="20">
        <v>0.58575774862141095</v>
      </c>
      <c r="U16" s="20">
        <v>0.63643292682926833</v>
      </c>
    </row>
    <row r="17" spans="1:21" customFormat="1" ht="15" x14ac:dyDescent="0.25">
      <c r="A17" s="18" t="s">
        <v>27</v>
      </c>
      <c r="B17" s="19">
        <v>0</v>
      </c>
      <c r="C17" s="19">
        <v>0</v>
      </c>
      <c r="D17" s="19">
        <v>0</v>
      </c>
      <c r="E17" s="20">
        <v>0</v>
      </c>
      <c r="F17" s="20">
        <v>0</v>
      </c>
      <c r="G17" s="20">
        <v>0</v>
      </c>
      <c r="I17" s="19">
        <v>2</v>
      </c>
      <c r="J17" s="19">
        <v>2</v>
      </c>
      <c r="K17" s="19">
        <v>5</v>
      </c>
      <c r="L17" s="20">
        <v>1</v>
      </c>
      <c r="M17" s="20">
        <v>0.125</v>
      </c>
      <c r="N17" s="20">
        <v>6.8493150684931503E-2</v>
      </c>
      <c r="P17" s="19">
        <v>2</v>
      </c>
      <c r="Q17" s="19">
        <v>2</v>
      </c>
      <c r="R17" s="19">
        <v>5</v>
      </c>
      <c r="S17" s="20">
        <v>1</v>
      </c>
      <c r="T17" s="20">
        <v>0.125</v>
      </c>
      <c r="U17" s="20">
        <v>6.8493150684931503E-2</v>
      </c>
    </row>
    <row r="18" spans="1:21" customFormat="1" ht="15" x14ac:dyDescent="0.25">
      <c r="A18" s="18" t="s">
        <v>28</v>
      </c>
      <c r="B18" s="19">
        <v>753</v>
      </c>
      <c r="C18" s="19">
        <v>327</v>
      </c>
      <c r="D18" s="19">
        <v>212</v>
      </c>
      <c r="E18" s="20">
        <v>1.4931292260712657E-2</v>
      </c>
      <c r="F18" s="20">
        <v>6.6647643893689877E-3</v>
      </c>
      <c r="G18" s="20">
        <v>4.3935092118624749E-3</v>
      </c>
      <c r="I18" s="19">
        <v>4759</v>
      </c>
      <c r="J18" s="19">
        <v>1331</v>
      </c>
      <c r="K18" s="19">
        <v>1655</v>
      </c>
      <c r="L18" s="20">
        <v>9.4366560250639483E-2</v>
      </c>
      <c r="M18" s="20">
        <v>2.7127833034404043E-2</v>
      </c>
      <c r="N18" s="20">
        <v>3.4298385592605639E-2</v>
      </c>
      <c r="P18" s="19">
        <v>5512</v>
      </c>
      <c r="Q18" s="19">
        <v>1658</v>
      </c>
      <c r="R18" s="19">
        <v>1867</v>
      </c>
      <c r="S18" s="20">
        <v>0.10929785251135214</v>
      </c>
      <c r="T18" s="20">
        <v>3.3792597423773031E-2</v>
      </c>
      <c r="U18" s="20">
        <v>3.8691894804468115E-2</v>
      </c>
    </row>
    <row r="19" spans="1:21" customFormat="1" ht="15" x14ac:dyDescent="0.25">
      <c r="A19" s="18" t="s">
        <v>29</v>
      </c>
      <c r="B19" s="19">
        <v>199</v>
      </c>
      <c r="C19" s="19">
        <v>226</v>
      </c>
      <c r="D19" s="19">
        <v>164</v>
      </c>
      <c r="E19" s="20">
        <v>2.4447174447174449E-2</v>
      </c>
      <c r="F19" s="20">
        <v>1.4390321553645335E-2</v>
      </c>
      <c r="G19" s="20">
        <v>8.7667717966536593E-3</v>
      </c>
      <c r="I19" s="19">
        <v>3288</v>
      </c>
      <c r="J19" s="19">
        <v>3542</v>
      </c>
      <c r="K19" s="19">
        <v>2819</v>
      </c>
      <c r="L19" s="20">
        <v>0.40393120393120391</v>
      </c>
      <c r="M19" s="20">
        <v>0.22553326965934417</v>
      </c>
      <c r="N19" s="20">
        <v>0.15069225423638211</v>
      </c>
      <c r="P19" s="19">
        <v>3487</v>
      </c>
      <c r="Q19" s="19">
        <v>3768</v>
      </c>
      <c r="R19" s="19">
        <v>2983</v>
      </c>
      <c r="S19" s="20">
        <v>0.42837837837837833</v>
      </c>
      <c r="T19" s="20">
        <v>0.23992359121298951</v>
      </c>
      <c r="U19" s="20">
        <v>0.15945902603303577</v>
      </c>
    </row>
    <row r="20" spans="1:21" customFormat="1" ht="15" x14ac:dyDescent="0.25">
      <c r="A20" s="18" t="s">
        <v>30</v>
      </c>
      <c r="B20" s="19">
        <v>16457</v>
      </c>
      <c r="C20" s="19">
        <v>15532</v>
      </c>
      <c r="D20" s="19">
        <v>15308</v>
      </c>
      <c r="E20" s="20">
        <v>1.3395695176914831E-2</v>
      </c>
      <c r="F20" s="20">
        <v>1.3389574373258092E-2</v>
      </c>
      <c r="G20" s="20">
        <v>1.3118732758524649E-2</v>
      </c>
      <c r="I20" s="19">
        <v>113525</v>
      </c>
      <c r="J20" s="19">
        <v>118307</v>
      </c>
      <c r="K20" s="19">
        <v>123576</v>
      </c>
      <c r="L20" s="20">
        <v>9.2407261041456898E-2</v>
      </c>
      <c r="M20" s="20">
        <v>0.10198817765754861</v>
      </c>
      <c r="N20" s="20">
        <v>0.10590282985154442</v>
      </c>
      <c r="P20" s="19">
        <v>129982</v>
      </c>
      <c r="Q20" s="19">
        <v>133839</v>
      </c>
      <c r="R20" s="19">
        <v>138884</v>
      </c>
      <c r="S20" s="20">
        <v>0.10580295621837173</v>
      </c>
      <c r="T20" s="20">
        <v>0.1153777520308067</v>
      </c>
      <c r="U20" s="20">
        <v>0.11902156261006908</v>
      </c>
    </row>
    <row r="21" spans="1:21" customFormat="1" ht="15" x14ac:dyDescent="0.25">
      <c r="A21" s="18" t="s">
        <v>31</v>
      </c>
      <c r="B21" s="19">
        <v>0</v>
      </c>
      <c r="C21" s="19">
        <v>0</v>
      </c>
      <c r="D21" s="19">
        <v>0</v>
      </c>
      <c r="E21" s="20">
        <v>0</v>
      </c>
      <c r="F21" s="20">
        <v>0</v>
      </c>
      <c r="G21" s="20">
        <v>0</v>
      </c>
      <c r="I21" s="19">
        <v>0</v>
      </c>
      <c r="J21" s="19">
        <v>3575</v>
      </c>
      <c r="K21" s="19">
        <v>3450</v>
      </c>
      <c r="L21" s="20">
        <v>0</v>
      </c>
      <c r="M21" s="20">
        <v>0.61173853524982891</v>
      </c>
      <c r="N21" s="20">
        <v>0.53897828464302455</v>
      </c>
      <c r="P21" s="19">
        <v>0</v>
      </c>
      <c r="Q21" s="19">
        <v>3575</v>
      </c>
      <c r="R21" s="19">
        <v>3450</v>
      </c>
      <c r="S21" s="20">
        <v>0</v>
      </c>
      <c r="T21" s="20">
        <v>0.61173853524982891</v>
      </c>
      <c r="U21" s="20">
        <v>0.53897828464302455</v>
      </c>
    </row>
    <row r="22" spans="1:21" customFormat="1" ht="15" x14ac:dyDescent="0.25">
      <c r="A22" s="18" t="s">
        <v>32</v>
      </c>
      <c r="B22" s="19">
        <v>147738</v>
      </c>
      <c r="C22" s="19">
        <v>149110</v>
      </c>
      <c r="D22" s="19">
        <v>64382</v>
      </c>
      <c r="E22" s="20">
        <v>0.20898267035769705</v>
      </c>
      <c r="F22" s="20">
        <v>0.20997948225433274</v>
      </c>
      <c r="G22" s="20">
        <v>9.0320770466390296E-2</v>
      </c>
      <c r="I22" s="19">
        <v>0</v>
      </c>
      <c r="J22" s="19">
        <v>0</v>
      </c>
      <c r="K22" s="19">
        <v>92625</v>
      </c>
      <c r="L22" s="20">
        <v>0</v>
      </c>
      <c r="M22" s="20">
        <v>0</v>
      </c>
      <c r="N22" s="20">
        <v>0.12994255171397909</v>
      </c>
      <c r="P22" s="19">
        <v>147738</v>
      </c>
      <c r="Q22" s="19">
        <v>149110</v>
      </c>
      <c r="R22" s="19">
        <v>157007</v>
      </c>
      <c r="S22" s="20">
        <v>0.20898267035769705</v>
      </c>
      <c r="T22" s="20">
        <v>0.20997948225433274</v>
      </c>
      <c r="U22" s="20">
        <v>0.22026332218036937</v>
      </c>
    </row>
    <row r="23" spans="1:21" customFormat="1" ht="15" x14ac:dyDescent="0.25">
      <c r="A23" s="18" t="s">
        <v>80</v>
      </c>
      <c r="B23" s="19">
        <v>11</v>
      </c>
      <c r="C23" s="19">
        <v>12</v>
      </c>
      <c r="D23" s="19">
        <v>12</v>
      </c>
      <c r="E23" s="20">
        <v>1.8923103388955788E-3</v>
      </c>
      <c r="F23" s="20">
        <v>2.3085802231627549E-3</v>
      </c>
      <c r="G23" s="20">
        <v>2.4014408645187113E-3</v>
      </c>
      <c r="I23" s="19">
        <v>149</v>
      </c>
      <c r="J23" s="19">
        <v>165</v>
      </c>
      <c r="K23" s="19">
        <v>208</v>
      </c>
      <c r="L23" s="20">
        <v>2.5632203681403749E-2</v>
      </c>
      <c r="M23" s="20">
        <v>3.174297806848788E-2</v>
      </c>
      <c r="N23" s="20">
        <v>4.1624974984990994E-2</v>
      </c>
      <c r="P23" s="19">
        <v>160</v>
      </c>
      <c r="Q23" s="19">
        <v>177</v>
      </c>
      <c r="R23" s="19">
        <v>220</v>
      </c>
      <c r="S23" s="20">
        <v>2.7524514020299328E-2</v>
      </c>
      <c r="T23" s="20">
        <v>3.4051558291650637E-2</v>
      </c>
      <c r="U23" s="20">
        <v>4.4026415849509705E-2</v>
      </c>
    </row>
    <row r="24" spans="1:21" customFormat="1" ht="15" x14ac:dyDescent="0.25">
      <c r="A24" s="18" t="s">
        <v>166</v>
      </c>
      <c r="B24" s="19">
        <v>0</v>
      </c>
      <c r="C24" s="19">
        <v>0</v>
      </c>
      <c r="D24" s="19">
        <v>0</v>
      </c>
      <c r="E24" s="20">
        <v>0</v>
      </c>
      <c r="F24" s="20">
        <v>0</v>
      </c>
      <c r="G24" s="20">
        <v>0</v>
      </c>
      <c r="I24" s="19">
        <v>0</v>
      </c>
      <c r="J24" s="19">
        <v>0</v>
      </c>
      <c r="K24" s="19">
        <v>12</v>
      </c>
      <c r="L24" s="20">
        <v>0</v>
      </c>
      <c r="M24" s="20">
        <v>0</v>
      </c>
      <c r="N24" s="20">
        <v>5.3571428571428568E-2</v>
      </c>
      <c r="P24" s="19">
        <v>0</v>
      </c>
      <c r="Q24" s="19">
        <v>0</v>
      </c>
      <c r="R24" s="19">
        <v>12</v>
      </c>
      <c r="S24" s="20">
        <v>0</v>
      </c>
      <c r="T24" s="20">
        <v>0</v>
      </c>
      <c r="U24" s="20">
        <v>5.3571428571428568E-2</v>
      </c>
    </row>
    <row r="25" spans="1:21" customFormat="1" ht="15" x14ac:dyDescent="0.25">
      <c r="A25" s="18" t="s">
        <v>36</v>
      </c>
      <c r="B25" s="19">
        <v>198</v>
      </c>
      <c r="C25" s="19">
        <v>213</v>
      </c>
      <c r="D25" s="19">
        <v>269</v>
      </c>
      <c r="E25" s="20">
        <v>1.0211975862602507E-2</v>
      </c>
      <c r="F25" s="20">
        <v>9.8665925514174538E-3</v>
      </c>
      <c r="G25" s="20">
        <v>1.1099649267588199E-2</v>
      </c>
      <c r="I25" s="19">
        <v>66</v>
      </c>
      <c r="J25" s="19">
        <v>85</v>
      </c>
      <c r="K25" s="19">
        <v>121</v>
      </c>
      <c r="L25" s="20">
        <v>3.4039919542008354E-3</v>
      </c>
      <c r="M25" s="20">
        <v>3.9373726144154159E-3</v>
      </c>
      <c r="N25" s="20">
        <v>4.9927790385805651E-3</v>
      </c>
      <c r="P25" s="19">
        <v>264</v>
      </c>
      <c r="Q25" s="19">
        <v>298</v>
      </c>
      <c r="R25" s="19">
        <v>390</v>
      </c>
      <c r="S25" s="20">
        <v>1.3615967816803342E-2</v>
      </c>
      <c r="T25" s="20">
        <v>1.380396516583287E-2</v>
      </c>
      <c r="U25" s="20">
        <v>1.6092428306168763E-2</v>
      </c>
    </row>
    <row r="26" spans="1:21" customFormat="1" ht="15" x14ac:dyDescent="0.25">
      <c r="A26" s="18" t="s">
        <v>37</v>
      </c>
      <c r="B26" s="19">
        <v>5623</v>
      </c>
      <c r="C26" s="19">
        <v>5563</v>
      </c>
      <c r="D26" s="19">
        <v>6094</v>
      </c>
      <c r="E26" s="20">
        <v>0.14102982117328383</v>
      </c>
      <c r="F26" s="20">
        <v>0.1405649888821508</v>
      </c>
      <c r="G26" s="20">
        <v>0.14908139051300243</v>
      </c>
      <c r="I26" s="19">
        <v>6911</v>
      </c>
      <c r="J26" s="19">
        <v>6859</v>
      </c>
      <c r="K26" s="19">
        <v>7921</v>
      </c>
      <c r="L26" s="20">
        <v>0.17333400215695619</v>
      </c>
      <c r="M26" s="20">
        <v>0.17331210834849403</v>
      </c>
      <c r="N26" s="20">
        <v>0.19377645130513491</v>
      </c>
      <c r="P26" s="19">
        <v>12534</v>
      </c>
      <c r="Q26" s="19">
        <v>12422</v>
      </c>
      <c r="R26" s="19">
        <v>14015</v>
      </c>
      <c r="S26" s="20">
        <v>0.31436382333024004</v>
      </c>
      <c r="T26" s="20">
        <v>0.31387709723064483</v>
      </c>
      <c r="U26" s="20">
        <v>0.34285784181813733</v>
      </c>
    </row>
    <row r="27" spans="1:21" customFormat="1" ht="15" x14ac:dyDescent="0.25">
      <c r="A27" s="18" t="s">
        <v>39</v>
      </c>
      <c r="B27" s="19">
        <v>49</v>
      </c>
      <c r="C27" s="19">
        <v>44</v>
      </c>
      <c r="D27" s="19">
        <v>436</v>
      </c>
      <c r="E27" s="20">
        <v>1.7543859649122806E-2</v>
      </c>
      <c r="F27" s="20">
        <v>1.7047655947307245E-2</v>
      </c>
      <c r="G27" s="20">
        <v>0.11796536796536797</v>
      </c>
      <c r="I27" s="19">
        <v>1156</v>
      </c>
      <c r="J27" s="19">
        <v>1109</v>
      </c>
      <c r="K27" s="19">
        <v>1892</v>
      </c>
      <c r="L27" s="20">
        <v>0.41389187253848908</v>
      </c>
      <c r="M27" s="20">
        <v>0.42967841921735761</v>
      </c>
      <c r="N27" s="20">
        <v>0.51190476190476186</v>
      </c>
      <c r="P27" s="19">
        <v>1205</v>
      </c>
      <c r="Q27" s="19">
        <v>1153</v>
      </c>
      <c r="R27" s="19">
        <v>2328</v>
      </c>
      <c r="S27" s="20">
        <v>0.43143573218761189</v>
      </c>
      <c r="T27" s="20">
        <v>0.44672607516466484</v>
      </c>
      <c r="U27" s="20">
        <v>0.6298701298701298</v>
      </c>
    </row>
    <row r="28" spans="1:21" customFormat="1" ht="15" x14ac:dyDescent="0.25">
      <c r="A28" s="18" t="s">
        <v>40</v>
      </c>
      <c r="B28" s="19">
        <v>543</v>
      </c>
      <c r="C28" s="19">
        <v>485</v>
      </c>
      <c r="D28" s="19">
        <v>500</v>
      </c>
      <c r="E28" s="20">
        <v>2.0799019420078908E-2</v>
      </c>
      <c r="F28" s="20">
        <v>1.5727859389694197E-2</v>
      </c>
      <c r="G28" s="20">
        <v>1.4344732614184072E-2</v>
      </c>
      <c r="I28" s="19">
        <v>2217</v>
      </c>
      <c r="J28" s="19">
        <v>2221</v>
      </c>
      <c r="K28" s="19">
        <v>2700</v>
      </c>
      <c r="L28" s="20">
        <v>8.4919753322863598E-2</v>
      </c>
      <c r="M28" s="20">
        <v>7.2023867431981067E-2</v>
      </c>
      <c r="N28" s="20">
        <v>7.7461556116593985E-2</v>
      </c>
      <c r="P28" s="19">
        <v>2760</v>
      </c>
      <c r="Q28" s="19">
        <v>2706</v>
      </c>
      <c r="R28" s="19">
        <v>3200</v>
      </c>
      <c r="S28" s="20">
        <v>0.1057187727429425</v>
      </c>
      <c r="T28" s="20">
        <v>8.7751726821675258E-2</v>
      </c>
      <c r="U28" s="20">
        <v>9.1806288730778063E-2</v>
      </c>
    </row>
    <row r="29" spans="1:21" customFormat="1" ht="15" x14ac:dyDescent="0.25">
      <c r="A29" s="18" t="s">
        <v>41</v>
      </c>
      <c r="B29" s="19">
        <v>0</v>
      </c>
      <c r="C29" s="19">
        <v>11</v>
      </c>
      <c r="D29" s="19">
        <v>0</v>
      </c>
      <c r="E29" s="20">
        <v>0</v>
      </c>
      <c r="F29" s="20">
        <v>1.3645949634040443E-3</v>
      </c>
      <c r="G29" s="20">
        <v>0</v>
      </c>
      <c r="I29" s="19">
        <v>461</v>
      </c>
      <c r="J29" s="19">
        <v>466</v>
      </c>
      <c r="K29" s="19">
        <v>514</v>
      </c>
      <c r="L29" s="20">
        <v>5.8053141921672331E-2</v>
      </c>
      <c r="M29" s="20">
        <v>5.7809204813298598E-2</v>
      </c>
      <c r="N29" s="20">
        <v>6.5236705165630154E-2</v>
      </c>
      <c r="P29" s="19">
        <v>461</v>
      </c>
      <c r="Q29" s="19">
        <v>477</v>
      </c>
      <c r="R29" s="19">
        <v>514</v>
      </c>
      <c r="S29" s="20">
        <v>5.8053141921672331E-2</v>
      </c>
      <c r="T29" s="20">
        <v>5.9173799776702646E-2</v>
      </c>
      <c r="U29" s="20">
        <v>6.5236705165630154E-2</v>
      </c>
    </row>
    <row r="30" spans="1:21" customFormat="1" ht="15" x14ac:dyDescent="0.25">
      <c r="A30" s="18" t="s">
        <v>42</v>
      </c>
      <c r="B30" s="19">
        <v>29</v>
      </c>
      <c r="C30" s="19">
        <v>31</v>
      </c>
      <c r="D30" s="19">
        <v>0</v>
      </c>
      <c r="E30" s="20">
        <v>4.2010719976821676E-3</v>
      </c>
      <c r="F30" s="20">
        <v>4.3742062932129247E-3</v>
      </c>
      <c r="G30" s="20">
        <v>0</v>
      </c>
      <c r="I30" s="19">
        <v>0</v>
      </c>
      <c r="J30" s="19">
        <v>0</v>
      </c>
      <c r="K30" s="19">
        <v>0</v>
      </c>
      <c r="L30" s="20">
        <v>0</v>
      </c>
      <c r="M30" s="20">
        <v>0</v>
      </c>
      <c r="N30" s="20">
        <v>0</v>
      </c>
      <c r="P30" s="19">
        <v>29</v>
      </c>
      <c r="Q30" s="19">
        <v>31</v>
      </c>
      <c r="R30" s="19">
        <v>0</v>
      </c>
      <c r="S30" s="20">
        <v>4.2010719976821676E-3</v>
      </c>
      <c r="T30" s="20">
        <v>4.3742062932129247E-3</v>
      </c>
      <c r="U30" s="20">
        <v>0</v>
      </c>
    </row>
    <row r="31" spans="1:21" customFormat="1" ht="15" x14ac:dyDescent="0.25">
      <c r="A31" s="18" t="s">
        <v>43</v>
      </c>
      <c r="B31" s="19">
        <v>103764</v>
      </c>
      <c r="C31" s="19">
        <v>101885</v>
      </c>
      <c r="D31" s="19">
        <v>100120</v>
      </c>
      <c r="E31" s="20">
        <v>5.0512308249506387E-2</v>
      </c>
      <c r="F31" s="20">
        <v>4.9760246307968964E-2</v>
      </c>
      <c r="G31" s="20">
        <v>4.9095061121193502E-2</v>
      </c>
      <c r="I31" s="19">
        <v>270570</v>
      </c>
      <c r="J31" s="19">
        <v>277279</v>
      </c>
      <c r="K31" s="19">
        <v>288781</v>
      </c>
      <c r="L31" s="20">
        <v>0.13171345787622821</v>
      </c>
      <c r="M31" s="20">
        <v>0.13542200850004738</v>
      </c>
      <c r="N31" s="20">
        <v>0.14160727972072892</v>
      </c>
      <c r="P31" s="19">
        <v>374334</v>
      </c>
      <c r="Q31" s="19">
        <v>379164</v>
      </c>
      <c r="R31" s="19">
        <v>388901</v>
      </c>
      <c r="S31" s="20">
        <v>0.1822257661257346</v>
      </c>
      <c r="T31" s="20">
        <v>0.18518225480801634</v>
      </c>
      <c r="U31" s="20">
        <v>0.19070234084192242</v>
      </c>
    </row>
    <row r="32" spans="1:21" customFormat="1" ht="15" x14ac:dyDescent="0.25">
      <c r="A32" s="18" t="s">
        <v>44</v>
      </c>
      <c r="B32" s="19">
        <v>0</v>
      </c>
      <c r="C32" s="19">
        <v>0</v>
      </c>
      <c r="D32" s="19">
        <v>0</v>
      </c>
      <c r="E32" s="20">
        <v>0</v>
      </c>
      <c r="F32" s="20">
        <v>0</v>
      </c>
      <c r="G32" s="20">
        <v>0</v>
      </c>
      <c r="I32" s="19">
        <v>171</v>
      </c>
      <c r="J32" s="19">
        <v>179</v>
      </c>
      <c r="K32" s="19">
        <v>419</v>
      </c>
      <c r="L32" s="20">
        <v>0.31666666666666665</v>
      </c>
      <c r="M32" s="20">
        <v>0.34757281553398056</v>
      </c>
      <c r="N32" s="20">
        <v>0.87840670859538783</v>
      </c>
      <c r="P32" s="19">
        <v>171</v>
      </c>
      <c r="Q32" s="19">
        <v>179</v>
      </c>
      <c r="R32" s="19">
        <v>419</v>
      </c>
      <c r="S32" s="20">
        <v>0.31666666666666665</v>
      </c>
      <c r="T32" s="20">
        <v>0.34757281553398056</v>
      </c>
      <c r="U32" s="20">
        <v>0.87840670859538783</v>
      </c>
    </row>
    <row r="33" spans="1:21" customFormat="1" ht="15" x14ac:dyDescent="0.25">
      <c r="A33" s="18" t="s">
        <v>45</v>
      </c>
      <c r="B33" s="19">
        <v>299</v>
      </c>
      <c r="C33" s="19">
        <v>0</v>
      </c>
      <c r="D33" s="19">
        <v>0</v>
      </c>
      <c r="E33" s="20">
        <v>0.26672613737734163</v>
      </c>
      <c r="F33" s="20">
        <v>0</v>
      </c>
      <c r="G33" s="20">
        <v>0</v>
      </c>
      <c r="I33" s="19">
        <v>0</v>
      </c>
      <c r="J33" s="19">
        <v>361</v>
      </c>
      <c r="K33" s="19">
        <v>417</v>
      </c>
      <c r="L33" s="20">
        <v>0</v>
      </c>
      <c r="M33" s="20">
        <v>0.30058284762697751</v>
      </c>
      <c r="N33" s="20">
        <v>0.30327272727272725</v>
      </c>
      <c r="P33" s="19">
        <v>299</v>
      </c>
      <c r="Q33" s="19">
        <v>361</v>
      </c>
      <c r="R33" s="19">
        <v>417</v>
      </c>
      <c r="S33" s="20">
        <v>0.26672613737734163</v>
      </c>
      <c r="T33" s="20">
        <v>0.30058284762697751</v>
      </c>
      <c r="U33" s="20">
        <v>0.30327272727272725</v>
      </c>
    </row>
    <row r="34" spans="1:21" customFormat="1" ht="15" x14ac:dyDescent="0.25">
      <c r="A34" s="18" t="s">
        <v>46</v>
      </c>
      <c r="B34" s="19">
        <v>0</v>
      </c>
      <c r="C34" s="19">
        <v>4</v>
      </c>
      <c r="D34" s="19">
        <v>8</v>
      </c>
      <c r="E34" s="20">
        <v>0</v>
      </c>
      <c r="F34" s="20">
        <v>2.6845637583892617E-2</v>
      </c>
      <c r="G34" s="20">
        <v>1.9277108433734941E-2</v>
      </c>
      <c r="I34" s="19">
        <v>0</v>
      </c>
      <c r="J34" s="19">
        <v>14</v>
      </c>
      <c r="K34" s="19">
        <v>31</v>
      </c>
      <c r="L34" s="20">
        <v>0</v>
      </c>
      <c r="M34" s="20">
        <v>9.3959731543624164E-2</v>
      </c>
      <c r="N34" s="20">
        <v>7.4698795180722893E-2</v>
      </c>
      <c r="P34" s="19">
        <v>0</v>
      </c>
      <c r="Q34" s="19">
        <v>18</v>
      </c>
      <c r="R34" s="19">
        <v>39</v>
      </c>
      <c r="S34" s="20">
        <v>0</v>
      </c>
      <c r="T34" s="20">
        <v>0.12080536912751678</v>
      </c>
      <c r="U34" s="20">
        <v>9.3975903614457831E-2</v>
      </c>
    </row>
    <row r="35" spans="1:21" customFormat="1" ht="15" x14ac:dyDescent="0.25">
      <c r="A35" s="18" t="s">
        <v>126</v>
      </c>
      <c r="B35" s="19">
        <v>3785</v>
      </c>
      <c r="C35" s="19">
        <v>3912</v>
      </c>
      <c r="D35" s="19">
        <v>3929</v>
      </c>
      <c r="E35" s="20">
        <v>6.2138823220383506E-2</v>
      </c>
      <c r="F35" s="20">
        <v>6.4352689587103148E-2</v>
      </c>
      <c r="G35" s="20">
        <v>6.4716443478117641E-2</v>
      </c>
      <c r="I35" s="19">
        <v>9654</v>
      </c>
      <c r="J35" s="19">
        <v>10666</v>
      </c>
      <c r="K35" s="19">
        <v>11332</v>
      </c>
      <c r="L35" s="20">
        <v>0.15849093774625689</v>
      </c>
      <c r="M35" s="20">
        <v>0.17545648955420298</v>
      </c>
      <c r="N35" s="20">
        <v>0.1866548072013309</v>
      </c>
      <c r="P35" s="19">
        <v>13439</v>
      </c>
      <c r="Q35" s="19">
        <v>14578</v>
      </c>
      <c r="R35" s="19">
        <v>15261</v>
      </c>
      <c r="S35" s="20">
        <v>0.22062976096664039</v>
      </c>
      <c r="T35" s="20">
        <v>0.23980917914130612</v>
      </c>
      <c r="U35" s="20">
        <v>0.25137125067944854</v>
      </c>
    </row>
    <row r="36" spans="1:21" customFormat="1" ht="15" x14ac:dyDescent="0.25">
      <c r="A36" s="18" t="s">
        <v>48</v>
      </c>
      <c r="B36" s="19">
        <v>584</v>
      </c>
      <c r="C36" s="19">
        <v>614</v>
      </c>
      <c r="D36" s="19">
        <v>664</v>
      </c>
      <c r="E36" s="20">
        <v>1.458796492893363E-2</v>
      </c>
      <c r="F36" s="20">
        <v>1.4478400301829843E-2</v>
      </c>
      <c r="G36" s="20">
        <v>1.5005988835905896E-2</v>
      </c>
      <c r="I36" s="19">
        <v>9574</v>
      </c>
      <c r="J36" s="19">
        <v>9631</v>
      </c>
      <c r="K36" s="19">
        <v>10729</v>
      </c>
      <c r="L36" s="20">
        <v>0.23915269902330577</v>
      </c>
      <c r="M36" s="20">
        <v>0.22710337672137332</v>
      </c>
      <c r="N36" s="20">
        <v>0.24246875635607584</v>
      </c>
      <c r="P36" s="19">
        <v>10158</v>
      </c>
      <c r="Q36" s="19">
        <v>10245</v>
      </c>
      <c r="R36" s="19">
        <v>11393</v>
      </c>
      <c r="S36" s="20">
        <v>0.25374066395223938</v>
      </c>
      <c r="T36" s="20">
        <v>0.24158177702320316</v>
      </c>
      <c r="U36" s="20">
        <v>0.25747474519198171</v>
      </c>
    </row>
    <row r="37" spans="1:21" customFormat="1" ht="15" x14ac:dyDescent="0.25">
      <c r="A37" s="18" t="s">
        <v>49</v>
      </c>
      <c r="B37" s="19">
        <v>328</v>
      </c>
      <c r="C37" s="19">
        <v>311</v>
      </c>
      <c r="D37" s="19">
        <v>333</v>
      </c>
      <c r="E37" s="20">
        <v>2.637079916385271E-2</v>
      </c>
      <c r="F37" s="20">
        <v>2.4388331242158091E-2</v>
      </c>
      <c r="G37" s="20">
        <v>2.6627218934911243E-2</v>
      </c>
      <c r="I37" s="19">
        <v>973</v>
      </c>
      <c r="J37" s="19">
        <v>1008</v>
      </c>
      <c r="K37" s="19">
        <v>1052</v>
      </c>
      <c r="L37" s="20">
        <v>7.8228010934233802E-2</v>
      </c>
      <c r="M37" s="20">
        <v>7.9046424090338768E-2</v>
      </c>
      <c r="N37" s="20">
        <v>8.4119622581161041E-2</v>
      </c>
      <c r="P37" s="19">
        <v>1301</v>
      </c>
      <c r="Q37" s="19">
        <v>1319</v>
      </c>
      <c r="R37" s="19">
        <v>1385</v>
      </c>
      <c r="S37" s="20">
        <v>0.10459881009808651</v>
      </c>
      <c r="T37" s="20">
        <v>0.10343475533249685</v>
      </c>
      <c r="U37" s="20">
        <v>0.11074684151607228</v>
      </c>
    </row>
    <row r="38" spans="1:21" customFormat="1" ht="15" x14ac:dyDescent="0.25">
      <c r="A38" s="18" t="s">
        <v>51</v>
      </c>
      <c r="B38" s="19">
        <v>3</v>
      </c>
      <c r="C38" s="19">
        <v>10</v>
      </c>
      <c r="D38" s="19">
        <v>25</v>
      </c>
      <c r="E38" s="20">
        <v>7.556675062972292E-3</v>
      </c>
      <c r="F38" s="20">
        <v>1.0752688172043012E-2</v>
      </c>
      <c r="G38" s="20">
        <v>8.2182774490466796E-3</v>
      </c>
      <c r="I38" s="19">
        <v>35</v>
      </c>
      <c r="J38" s="19">
        <v>100</v>
      </c>
      <c r="K38" s="19">
        <v>346</v>
      </c>
      <c r="L38" s="20">
        <v>8.8161209068010074E-2</v>
      </c>
      <c r="M38" s="20">
        <v>0.10752688172043011</v>
      </c>
      <c r="N38" s="20">
        <v>0.11374095989480605</v>
      </c>
      <c r="P38" s="19">
        <v>38</v>
      </c>
      <c r="Q38" s="19">
        <v>110</v>
      </c>
      <c r="R38" s="19">
        <v>371</v>
      </c>
      <c r="S38" s="20">
        <v>9.5717884130982367E-2</v>
      </c>
      <c r="T38" s="20">
        <v>0.11827956989247312</v>
      </c>
      <c r="U38" s="20">
        <v>0.12195923734385274</v>
      </c>
    </row>
    <row r="39" spans="1:21" customFormat="1" ht="15" x14ac:dyDescent="0.25">
      <c r="A39" s="18" t="s">
        <v>52</v>
      </c>
      <c r="B39" s="19">
        <v>5099</v>
      </c>
      <c r="C39" s="19">
        <v>5084</v>
      </c>
      <c r="D39" s="19">
        <v>5107</v>
      </c>
      <c r="E39" s="20">
        <v>1.8227509633876929E-2</v>
      </c>
      <c r="F39" s="20">
        <v>1.7638630126530455E-2</v>
      </c>
      <c r="G39" s="20">
        <v>1.7121611382669859E-2</v>
      </c>
      <c r="I39" s="19">
        <v>41094</v>
      </c>
      <c r="J39" s="19">
        <v>44639</v>
      </c>
      <c r="K39" s="19">
        <v>47847</v>
      </c>
      <c r="L39" s="20">
        <v>0.14689964324270222</v>
      </c>
      <c r="M39" s="20">
        <v>0.15487230728131257</v>
      </c>
      <c r="N39" s="20">
        <v>0.16041075774948202</v>
      </c>
      <c r="P39" s="19">
        <v>46193</v>
      </c>
      <c r="Q39" s="19">
        <v>49723</v>
      </c>
      <c r="R39" s="19">
        <v>52954</v>
      </c>
      <c r="S39" s="20">
        <v>0.16512715287657914</v>
      </c>
      <c r="T39" s="20">
        <v>0.17251093740784301</v>
      </c>
      <c r="U39" s="20">
        <v>0.17753236913215187</v>
      </c>
    </row>
    <row r="40" spans="1:21" customFormat="1" ht="15" x14ac:dyDescent="0.25">
      <c r="A40" s="18" t="s">
        <v>53</v>
      </c>
      <c r="B40" s="19">
        <v>526</v>
      </c>
      <c r="C40" s="19">
        <v>526</v>
      </c>
      <c r="D40" s="19">
        <v>279</v>
      </c>
      <c r="E40" s="20">
        <v>0.2203602848764139</v>
      </c>
      <c r="F40" s="20">
        <v>0.23790140208050656</v>
      </c>
      <c r="G40" s="20">
        <v>0.25067385444743934</v>
      </c>
      <c r="I40" s="19">
        <v>1348</v>
      </c>
      <c r="J40" s="19">
        <v>1348</v>
      </c>
      <c r="K40" s="19">
        <v>658</v>
      </c>
      <c r="L40" s="20">
        <v>0.56472559698366154</v>
      </c>
      <c r="M40" s="20">
        <v>0.60967887833559475</v>
      </c>
      <c r="N40" s="20">
        <v>0.5911949685534591</v>
      </c>
      <c r="P40" s="19">
        <v>1874</v>
      </c>
      <c r="Q40" s="19">
        <v>1874</v>
      </c>
      <c r="R40" s="19">
        <v>937</v>
      </c>
      <c r="S40" s="20">
        <v>0.78508588186007544</v>
      </c>
      <c r="T40" s="20">
        <v>0.84758028041610134</v>
      </c>
      <c r="U40" s="20">
        <v>0.84186882300089838</v>
      </c>
    </row>
    <row r="41" spans="1:21" customFormat="1" ht="15" x14ac:dyDescent="0.25">
      <c r="A41" s="18" t="s">
        <v>54</v>
      </c>
      <c r="B41" s="19">
        <v>0</v>
      </c>
      <c r="C41" s="19">
        <v>0</v>
      </c>
      <c r="D41" s="19">
        <v>0</v>
      </c>
      <c r="E41" s="20">
        <v>0</v>
      </c>
      <c r="F41" s="20">
        <v>0</v>
      </c>
      <c r="G41" s="20">
        <v>0</v>
      </c>
      <c r="I41" s="19">
        <v>374</v>
      </c>
      <c r="J41" s="19">
        <v>377</v>
      </c>
      <c r="K41" s="19">
        <v>380</v>
      </c>
      <c r="L41" s="20">
        <v>0.14155942467827404</v>
      </c>
      <c r="M41" s="20">
        <v>0.13595384060584204</v>
      </c>
      <c r="N41" s="20">
        <v>0.12136697540721814</v>
      </c>
      <c r="P41" s="19">
        <v>374</v>
      </c>
      <c r="Q41" s="19">
        <v>377</v>
      </c>
      <c r="R41" s="19">
        <v>380</v>
      </c>
      <c r="S41" s="20">
        <v>0.14155942467827404</v>
      </c>
      <c r="T41" s="20">
        <v>0.13595384060584204</v>
      </c>
      <c r="U41" s="20">
        <v>0.12136697540721814</v>
      </c>
    </row>
    <row r="42" spans="1:21" customFormat="1" ht="15" x14ac:dyDescent="0.25">
      <c r="A42" s="18" t="s">
        <v>90</v>
      </c>
      <c r="B42" s="19">
        <v>0</v>
      </c>
      <c r="C42" s="19">
        <v>0</v>
      </c>
      <c r="D42" s="19">
        <v>0</v>
      </c>
      <c r="E42" s="20">
        <v>0</v>
      </c>
      <c r="F42" s="20">
        <v>0</v>
      </c>
      <c r="G42" s="20">
        <v>0</v>
      </c>
      <c r="I42" s="19">
        <v>0</v>
      </c>
      <c r="J42" s="19">
        <v>370</v>
      </c>
      <c r="K42" s="19">
        <v>370</v>
      </c>
      <c r="L42" s="20">
        <v>0</v>
      </c>
      <c r="M42" s="20">
        <v>6.6968325791855202E-2</v>
      </c>
      <c r="N42" s="20">
        <v>6.6968325791855202E-2</v>
      </c>
      <c r="P42" s="19">
        <v>0</v>
      </c>
      <c r="Q42" s="19">
        <v>370</v>
      </c>
      <c r="R42" s="19">
        <v>370</v>
      </c>
      <c r="S42" s="20">
        <v>0</v>
      </c>
      <c r="T42" s="20">
        <v>6.6968325791855202E-2</v>
      </c>
      <c r="U42" s="20">
        <v>6.6968325791855202E-2</v>
      </c>
    </row>
    <row r="43" spans="1:21" customFormat="1" ht="15" x14ac:dyDescent="0.25">
      <c r="A43" s="18" t="s">
        <v>55</v>
      </c>
      <c r="B43" s="19">
        <v>10609</v>
      </c>
      <c r="C43" s="19">
        <v>10183</v>
      </c>
      <c r="D43" s="19">
        <v>10600</v>
      </c>
      <c r="E43" s="20">
        <v>8.0156853263620778E-2</v>
      </c>
      <c r="F43" s="20">
        <v>7.4561403508771926E-2</v>
      </c>
      <c r="G43" s="20">
        <v>7.7177347720355893E-2</v>
      </c>
      <c r="I43" s="19">
        <v>18752</v>
      </c>
      <c r="J43" s="19">
        <v>18281</v>
      </c>
      <c r="K43" s="19">
        <v>19933</v>
      </c>
      <c r="L43" s="20">
        <v>0.14168171480812675</v>
      </c>
      <c r="M43" s="20">
        <v>0.13385613449316111</v>
      </c>
      <c r="N43" s="20">
        <v>0.14512981812357112</v>
      </c>
      <c r="P43" s="19">
        <v>29361</v>
      </c>
      <c r="Q43" s="19">
        <v>28464</v>
      </c>
      <c r="R43" s="19">
        <v>30533</v>
      </c>
      <c r="S43" s="20">
        <v>0.22183856807174751</v>
      </c>
      <c r="T43" s="20">
        <v>0.20841753800193302</v>
      </c>
      <c r="U43" s="20">
        <v>0.22230716584392701</v>
      </c>
    </row>
    <row r="44" spans="1:21" customFormat="1" ht="15" x14ac:dyDescent="0.25">
      <c r="A44" s="18" t="s">
        <v>56</v>
      </c>
      <c r="B44" s="19">
        <v>0</v>
      </c>
      <c r="C44" s="19">
        <v>0</v>
      </c>
      <c r="D44" s="19">
        <v>0</v>
      </c>
      <c r="E44" s="20">
        <v>0</v>
      </c>
      <c r="F44" s="20">
        <v>0</v>
      </c>
      <c r="G44" s="20">
        <v>0</v>
      </c>
      <c r="I44" s="19">
        <v>391</v>
      </c>
      <c r="J44" s="19">
        <v>939</v>
      </c>
      <c r="K44" s="19">
        <v>874</v>
      </c>
      <c r="L44" s="20">
        <v>7.4278115501519762E-2</v>
      </c>
      <c r="M44" s="20">
        <v>0.18958207147183526</v>
      </c>
      <c r="N44" s="20">
        <v>0.15804701627486437</v>
      </c>
      <c r="P44" s="19">
        <v>391</v>
      </c>
      <c r="Q44" s="19">
        <v>939</v>
      </c>
      <c r="R44" s="19">
        <v>874</v>
      </c>
      <c r="S44" s="20">
        <v>7.4278115501519762E-2</v>
      </c>
      <c r="T44" s="20">
        <v>0.18958207147183526</v>
      </c>
      <c r="U44" s="20">
        <v>0.15804701627486437</v>
      </c>
    </row>
    <row r="45" spans="1:21" s="43" customFormat="1" ht="15" x14ac:dyDescent="0.25">
      <c r="A45" s="1" t="s">
        <v>62</v>
      </c>
      <c r="B45" s="21">
        <v>423120</v>
      </c>
      <c r="C45" s="21">
        <v>419876</v>
      </c>
      <c r="D45" s="21">
        <v>333449</v>
      </c>
      <c r="E45" s="22">
        <v>5.895065822104769E-2</v>
      </c>
      <c r="F45" s="22">
        <v>5.8763595893842724E-2</v>
      </c>
      <c r="G45" s="22">
        <v>4.6236751179390814E-2</v>
      </c>
      <c r="I45" s="21">
        <v>763552</v>
      </c>
      <c r="J45" s="21">
        <v>799493</v>
      </c>
      <c r="K45" s="21">
        <v>935613</v>
      </c>
      <c r="L45" s="22">
        <v>0.10638091554641096</v>
      </c>
      <c r="M45" s="22">
        <v>0.11189275779505378</v>
      </c>
      <c r="N45" s="22">
        <v>0.1297340987113573</v>
      </c>
      <c r="P45" s="21">
        <v>1186672</v>
      </c>
      <c r="Q45" s="21">
        <v>1219369</v>
      </c>
      <c r="R45" s="21">
        <v>1269062</v>
      </c>
      <c r="S45" s="22">
        <v>0.16533157376745866</v>
      </c>
      <c r="T45" s="22">
        <v>0.17065635368889651</v>
      </c>
      <c r="U45" s="22">
        <v>0.17597084989074813</v>
      </c>
    </row>
    <row r="46" spans="1:21" customFormat="1" ht="15" x14ac:dyDescent="0.25">
      <c r="A46" s="23"/>
      <c r="B46" s="19"/>
      <c r="C46" s="19"/>
      <c r="D46" s="19"/>
      <c r="E46" s="19"/>
      <c r="F46" s="19"/>
      <c r="G46" s="19"/>
      <c r="I46" s="19"/>
      <c r="J46" s="19"/>
      <c r="K46" s="19"/>
      <c r="L46" s="19"/>
      <c r="M46" s="19"/>
      <c r="N46" s="19"/>
      <c r="P46" s="19"/>
      <c r="Q46" s="19"/>
      <c r="R46" s="19"/>
      <c r="S46" s="20"/>
      <c r="T46" s="20"/>
      <c r="U46" s="20"/>
    </row>
    <row r="47" spans="1:21" customFormat="1" ht="15" x14ac:dyDescent="0.25">
      <c r="A47" s="1" t="s">
        <v>63</v>
      </c>
      <c r="B47" s="19"/>
      <c r="C47" s="19"/>
      <c r="D47" s="19"/>
      <c r="E47" s="19"/>
      <c r="F47" s="19"/>
      <c r="G47" s="19"/>
      <c r="I47" s="19"/>
      <c r="J47" s="19"/>
      <c r="K47" s="19"/>
      <c r="L47" s="19"/>
      <c r="M47" s="19"/>
      <c r="N47" s="19"/>
      <c r="P47" s="19"/>
      <c r="Q47" s="19"/>
      <c r="R47" s="19"/>
      <c r="S47" s="20"/>
      <c r="T47" s="20"/>
      <c r="U47" s="20"/>
    </row>
    <row r="48" spans="1:21" customFormat="1" ht="15" x14ac:dyDescent="0.25">
      <c r="A48" s="24" t="s">
        <v>64</v>
      </c>
      <c r="B48" s="25"/>
      <c r="C48" s="25"/>
      <c r="D48" s="25"/>
      <c r="E48" s="25"/>
      <c r="F48" s="25"/>
      <c r="G48" s="25"/>
      <c r="I48" s="25"/>
      <c r="J48" s="25"/>
      <c r="K48" s="25"/>
      <c r="L48" s="25"/>
      <c r="M48" s="25"/>
      <c r="N48" s="25"/>
      <c r="P48" s="19"/>
      <c r="Q48" s="19"/>
      <c r="R48" s="19"/>
      <c r="S48" s="20"/>
      <c r="T48" s="20"/>
      <c r="U48" s="20"/>
    </row>
    <row r="49" spans="1:21" customFormat="1" ht="15" x14ac:dyDescent="0.25">
      <c r="A49" s="18" t="s">
        <v>18</v>
      </c>
      <c r="B49" s="19">
        <v>9773</v>
      </c>
      <c r="C49" s="19">
        <v>9789</v>
      </c>
      <c r="D49" s="19">
        <v>9810</v>
      </c>
      <c r="E49" s="20">
        <v>6.1893995528787389E-2</v>
      </c>
      <c r="F49" s="20">
        <v>6.2778974911497615E-2</v>
      </c>
      <c r="G49" s="20">
        <v>6.3058835629206333E-2</v>
      </c>
      <c r="I49" s="19">
        <v>11832</v>
      </c>
      <c r="J49" s="19">
        <v>12371</v>
      </c>
      <c r="K49" s="19">
        <v>13162</v>
      </c>
      <c r="L49" s="20">
        <v>7.4933976782626865E-2</v>
      </c>
      <c r="M49" s="20">
        <v>7.9337899543378998E-2</v>
      </c>
      <c r="N49" s="20">
        <v>8.4605544806484578E-2</v>
      </c>
      <c r="P49" s="19">
        <v>21605</v>
      </c>
      <c r="Q49" s="19">
        <v>22160</v>
      </c>
      <c r="R49" s="19">
        <v>22972</v>
      </c>
      <c r="S49" s="20">
        <v>0.13682797231141425</v>
      </c>
      <c r="T49" s="20">
        <v>0.14211687445487661</v>
      </c>
      <c r="U49" s="20">
        <v>0.14766438043569091</v>
      </c>
    </row>
    <row r="50" spans="1:21" customFormat="1" ht="15" x14ac:dyDescent="0.25">
      <c r="A50" s="18" t="s">
        <v>29</v>
      </c>
      <c r="B50" s="19">
        <v>0</v>
      </c>
      <c r="C50" s="19">
        <v>3</v>
      </c>
      <c r="D50" s="19">
        <v>0</v>
      </c>
      <c r="E50" s="20">
        <v>0</v>
      </c>
      <c r="F50" s="20">
        <v>9.6774193548387101E-3</v>
      </c>
      <c r="G50" s="20">
        <v>0</v>
      </c>
      <c r="I50" s="19">
        <v>4</v>
      </c>
      <c r="J50" s="19">
        <v>15</v>
      </c>
      <c r="K50" s="19">
        <v>18</v>
      </c>
      <c r="L50" s="20">
        <v>1.5384615384615385E-2</v>
      </c>
      <c r="M50" s="20">
        <v>4.8387096774193547E-2</v>
      </c>
      <c r="N50" s="20">
        <v>3.8379530916844352E-2</v>
      </c>
      <c r="P50" s="19">
        <v>4</v>
      </c>
      <c r="Q50" s="19">
        <v>18</v>
      </c>
      <c r="R50" s="19">
        <v>18</v>
      </c>
      <c r="S50" s="20">
        <v>1.5384615384615385E-2</v>
      </c>
      <c r="T50" s="20">
        <v>5.8064516129032254E-2</v>
      </c>
      <c r="U50" s="20">
        <v>3.8379530916844352E-2</v>
      </c>
    </row>
    <row r="51" spans="1:21" customFormat="1" ht="15" x14ac:dyDescent="0.25">
      <c r="A51" s="18" t="s">
        <v>30</v>
      </c>
      <c r="B51" s="19">
        <v>315</v>
      </c>
      <c r="C51" s="19">
        <v>317</v>
      </c>
      <c r="D51" s="19">
        <v>299</v>
      </c>
      <c r="E51" s="20">
        <v>3.7181303116147306E-2</v>
      </c>
      <c r="F51" s="20">
        <v>3.8795741035368987E-2</v>
      </c>
      <c r="G51" s="20">
        <v>3.7300399201596807E-2</v>
      </c>
      <c r="I51" s="19">
        <v>306</v>
      </c>
      <c r="J51" s="19">
        <v>345</v>
      </c>
      <c r="K51" s="19">
        <v>371</v>
      </c>
      <c r="L51" s="20">
        <v>3.6118980169971671E-2</v>
      </c>
      <c r="M51" s="20">
        <v>4.2222494186758046E-2</v>
      </c>
      <c r="N51" s="20">
        <v>4.6282435129740521E-2</v>
      </c>
      <c r="P51" s="19">
        <v>621</v>
      </c>
      <c r="Q51" s="19">
        <v>662</v>
      </c>
      <c r="R51" s="19">
        <v>670</v>
      </c>
      <c r="S51" s="20">
        <v>7.3300283286118983E-2</v>
      </c>
      <c r="T51" s="20">
        <v>8.1018235222127033E-2</v>
      </c>
      <c r="U51" s="20">
        <v>8.3582834331337327E-2</v>
      </c>
    </row>
    <row r="52" spans="1:21" customFormat="1" ht="15" x14ac:dyDescent="0.25">
      <c r="A52" s="18" t="s">
        <v>41</v>
      </c>
      <c r="B52" s="19">
        <v>0</v>
      </c>
      <c r="C52" s="19">
        <v>0</v>
      </c>
      <c r="D52" s="19">
        <v>0</v>
      </c>
      <c r="E52" s="20">
        <v>0</v>
      </c>
      <c r="F52" s="20">
        <v>0</v>
      </c>
      <c r="G52" s="20">
        <v>0</v>
      </c>
      <c r="I52" s="19">
        <v>0</v>
      </c>
      <c r="J52" s="19">
        <v>0</v>
      </c>
      <c r="K52" s="19">
        <v>1</v>
      </c>
      <c r="L52" s="20">
        <v>0</v>
      </c>
      <c r="M52" s="20">
        <v>0</v>
      </c>
      <c r="N52" s="20">
        <v>1.1235955056179775E-2</v>
      </c>
      <c r="P52" s="19">
        <v>0</v>
      </c>
      <c r="Q52" s="19">
        <v>0</v>
      </c>
      <c r="R52" s="19">
        <v>1</v>
      </c>
      <c r="S52" s="20">
        <v>0</v>
      </c>
      <c r="T52" s="20">
        <v>0</v>
      </c>
      <c r="U52" s="20">
        <v>1.1235955056179775E-2</v>
      </c>
    </row>
    <row r="53" spans="1:21" customFormat="1" ht="15" x14ac:dyDescent="0.25">
      <c r="A53" s="18" t="s">
        <v>43</v>
      </c>
      <c r="B53" s="19">
        <v>350</v>
      </c>
      <c r="C53" s="19">
        <v>404</v>
      </c>
      <c r="D53" s="19">
        <v>495</v>
      </c>
      <c r="E53" s="20">
        <v>1.4849384811200678E-2</v>
      </c>
      <c r="F53" s="20">
        <v>1.5518168548820772E-2</v>
      </c>
      <c r="G53" s="20">
        <v>1.7882301939958815E-2</v>
      </c>
      <c r="I53" s="19">
        <v>1327</v>
      </c>
      <c r="J53" s="19">
        <v>1678</v>
      </c>
      <c r="K53" s="19">
        <v>1970</v>
      </c>
      <c r="L53" s="20">
        <v>5.6300381841323716E-2</v>
      </c>
      <c r="M53" s="20">
        <v>6.4454175309211034E-2</v>
      </c>
      <c r="N53" s="20">
        <v>7.1167949134785594E-2</v>
      </c>
      <c r="P53" s="19">
        <v>1677</v>
      </c>
      <c r="Q53" s="19">
        <v>2082</v>
      </c>
      <c r="R53" s="19">
        <v>2465</v>
      </c>
      <c r="S53" s="20">
        <v>7.1149766652524399E-2</v>
      </c>
      <c r="T53" s="20">
        <v>7.9972343858031814E-2</v>
      </c>
      <c r="U53" s="20">
        <v>8.9050251074744402E-2</v>
      </c>
    </row>
    <row r="54" spans="1:21" customFormat="1" ht="15" x14ac:dyDescent="0.25">
      <c r="A54" s="18" t="s">
        <v>46</v>
      </c>
      <c r="B54" s="19">
        <v>0</v>
      </c>
      <c r="C54" s="19">
        <v>1</v>
      </c>
      <c r="D54" s="19">
        <v>1</v>
      </c>
      <c r="E54" s="20">
        <v>0</v>
      </c>
      <c r="F54" s="20">
        <v>0.5</v>
      </c>
      <c r="G54" s="20">
        <v>0.25</v>
      </c>
      <c r="I54" s="19">
        <v>0</v>
      </c>
      <c r="J54" s="19">
        <v>0</v>
      </c>
      <c r="K54" s="19">
        <v>0</v>
      </c>
      <c r="L54" s="20">
        <v>0</v>
      </c>
      <c r="M54" s="20">
        <v>0</v>
      </c>
      <c r="N54" s="20">
        <v>0</v>
      </c>
      <c r="P54" s="19">
        <v>0</v>
      </c>
      <c r="Q54" s="19">
        <v>1</v>
      </c>
      <c r="R54" s="19">
        <v>1</v>
      </c>
      <c r="S54" s="20">
        <v>0</v>
      </c>
      <c r="T54" s="20">
        <v>0.5</v>
      </c>
      <c r="U54" s="20">
        <v>0.25</v>
      </c>
    </row>
    <row r="55" spans="1:21" customFormat="1" ht="15" x14ac:dyDescent="0.25">
      <c r="A55" s="18" t="s">
        <v>52</v>
      </c>
      <c r="B55" s="19">
        <v>1</v>
      </c>
      <c r="C55" s="19">
        <v>1</v>
      </c>
      <c r="D55" s="19">
        <v>1</v>
      </c>
      <c r="E55" s="20">
        <v>2.3809523809523808E-2</v>
      </c>
      <c r="F55" s="20">
        <v>1.5384615384615385E-2</v>
      </c>
      <c r="G55" s="20">
        <v>1.0526315789473684E-2</v>
      </c>
      <c r="I55" s="19">
        <v>0</v>
      </c>
      <c r="J55" s="19">
        <v>0</v>
      </c>
      <c r="K55" s="19">
        <v>0</v>
      </c>
      <c r="L55" s="20">
        <v>0</v>
      </c>
      <c r="M55" s="20">
        <v>0</v>
      </c>
      <c r="N55" s="20">
        <v>0</v>
      </c>
      <c r="P55" s="19">
        <v>1</v>
      </c>
      <c r="Q55" s="19">
        <v>1</v>
      </c>
      <c r="R55" s="19">
        <v>1</v>
      </c>
      <c r="S55" s="20">
        <v>2.3809523809523808E-2</v>
      </c>
      <c r="T55" s="20">
        <v>1.5384615384615385E-2</v>
      </c>
      <c r="U55" s="20">
        <v>1.0526315789473684E-2</v>
      </c>
    </row>
    <row r="56" spans="1:21" customFormat="1" ht="15" x14ac:dyDescent="0.25">
      <c r="A56" s="18" t="s">
        <v>55</v>
      </c>
      <c r="B56" s="19">
        <v>0</v>
      </c>
      <c r="C56" s="19">
        <v>0</v>
      </c>
      <c r="D56" s="19">
        <v>0</v>
      </c>
      <c r="E56" s="20">
        <v>0</v>
      </c>
      <c r="F56" s="20">
        <v>0</v>
      </c>
      <c r="G56" s="20">
        <v>0</v>
      </c>
      <c r="I56" s="19">
        <v>43</v>
      </c>
      <c r="J56" s="19">
        <v>40</v>
      </c>
      <c r="K56" s="19">
        <v>39</v>
      </c>
      <c r="L56" s="20">
        <v>0.93478260869565222</v>
      </c>
      <c r="M56" s="20">
        <v>0.88888888888888884</v>
      </c>
      <c r="N56" s="20">
        <v>0.82978723404255317</v>
      </c>
      <c r="P56" s="19">
        <v>43</v>
      </c>
      <c r="Q56" s="19">
        <v>40</v>
      </c>
      <c r="R56" s="19">
        <v>39</v>
      </c>
      <c r="S56" s="20">
        <v>0.93478260869565222</v>
      </c>
      <c r="T56" s="20">
        <v>0.88888888888888884</v>
      </c>
      <c r="U56" s="20">
        <v>0.82978723404255317</v>
      </c>
    </row>
    <row r="57" spans="1:21" s="43" customFormat="1" ht="15" x14ac:dyDescent="0.25">
      <c r="A57" s="26" t="s">
        <v>65</v>
      </c>
      <c r="B57" s="27">
        <v>10439</v>
      </c>
      <c r="C57" s="27">
        <v>10515</v>
      </c>
      <c r="D57" s="27">
        <v>10606</v>
      </c>
      <c r="E57" s="22">
        <v>5.4766564013241766E-2</v>
      </c>
      <c r="F57" s="22">
        <v>5.509187218056931E-2</v>
      </c>
      <c r="G57" s="22">
        <v>5.5184398934398936E-2</v>
      </c>
      <c r="I57" s="27">
        <v>13512</v>
      </c>
      <c r="J57" s="27">
        <v>14449</v>
      </c>
      <c r="K57" s="27">
        <v>15561</v>
      </c>
      <c r="L57" s="22">
        <v>7.0888572942515826E-2</v>
      </c>
      <c r="M57" s="22">
        <v>7.5703515086737602E-2</v>
      </c>
      <c r="N57" s="22">
        <v>8.0965909090909088E-2</v>
      </c>
      <c r="P57" s="21">
        <v>23951</v>
      </c>
      <c r="Q57" s="21">
        <v>24964</v>
      </c>
      <c r="R57" s="21">
        <v>26167</v>
      </c>
      <c r="S57" s="22">
        <v>0.12565513695575758</v>
      </c>
      <c r="T57" s="22">
        <v>0.13079538726730691</v>
      </c>
      <c r="U57" s="22">
        <v>0.13615030802530803</v>
      </c>
    </row>
    <row r="58" spans="1:21" customFormat="1" ht="15" x14ac:dyDescent="0.25">
      <c r="A58" s="18"/>
      <c r="B58" s="19"/>
      <c r="C58" s="19"/>
      <c r="D58" s="19"/>
      <c r="E58" s="19"/>
      <c r="F58" s="19"/>
      <c r="G58" s="19"/>
      <c r="I58" s="19"/>
      <c r="J58" s="19"/>
      <c r="K58" s="19"/>
      <c r="L58" s="19"/>
      <c r="M58" s="19"/>
      <c r="N58" s="19"/>
      <c r="P58" s="19"/>
      <c r="Q58" s="19"/>
      <c r="R58" s="19"/>
      <c r="S58" s="20"/>
      <c r="T58" s="20"/>
      <c r="U58" s="20"/>
    </row>
    <row r="59" spans="1:21" customFormat="1" ht="15" x14ac:dyDescent="0.25">
      <c r="A59" s="28" t="s">
        <v>66</v>
      </c>
      <c r="B59" s="25"/>
      <c r="C59" s="25"/>
      <c r="D59" s="25"/>
      <c r="E59" s="25"/>
      <c r="F59" s="25"/>
      <c r="G59" s="25"/>
      <c r="I59" s="25"/>
      <c r="J59" s="25"/>
      <c r="K59" s="25"/>
      <c r="L59" s="25"/>
      <c r="M59" s="25"/>
      <c r="N59" s="25"/>
      <c r="P59" s="19"/>
      <c r="Q59" s="19"/>
      <c r="R59" s="19"/>
      <c r="S59" s="20"/>
      <c r="T59" s="20"/>
      <c r="U59" s="20"/>
    </row>
    <row r="60" spans="1:21" customFormat="1" ht="15" x14ac:dyDescent="0.25">
      <c r="A60" s="18" t="s">
        <v>17</v>
      </c>
      <c r="B60" s="19">
        <v>0</v>
      </c>
      <c r="C60" s="19">
        <v>0</v>
      </c>
      <c r="D60" s="19">
        <v>0</v>
      </c>
      <c r="E60" s="20">
        <v>0</v>
      </c>
      <c r="F60" s="20">
        <v>0</v>
      </c>
      <c r="G60" s="20">
        <v>0</v>
      </c>
      <c r="I60" s="19">
        <v>901</v>
      </c>
      <c r="J60" s="19">
        <v>1033</v>
      </c>
      <c r="K60" s="19">
        <v>1005</v>
      </c>
      <c r="L60" s="20">
        <v>8.8654924726950704E-2</v>
      </c>
      <c r="M60" s="20">
        <v>0.10299102691924228</v>
      </c>
      <c r="N60" s="20">
        <v>0.10129006248740173</v>
      </c>
      <c r="P60" s="19">
        <v>901</v>
      </c>
      <c r="Q60" s="19">
        <v>1033</v>
      </c>
      <c r="R60" s="19">
        <v>1005</v>
      </c>
      <c r="S60" s="20">
        <v>8.8654924726950704E-2</v>
      </c>
      <c r="T60" s="20">
        <v>0.10299102691924228</v>
      </c>
      <c r="U60" s="20">
        <v>0.10129006248740173</v>
      </c>
    </row>
    <row r="61" spans="1:21" customFormat="1" ht="15" x14ac:dyDescent="0.25">
      <c r="A61" s="18" t="s">
        <v>18</v>
      </c>
      <c r="B61" s="19">
        <v>0</v>
      </c>
      <c r="C61" s="19">
        <v>0</v>
      </c>
      <c r="D61" s="19">
        <v>0</v>
      </c>
      <c r="E61" s="20">
        <v>0</v>
      </c>
      <c r="F61" s="20">
        <v>0</v>
      </c>
      <c r="G61" s="20">
        <v>0</v>
      </c>
      <c r="I61" s="19">
        <v>4620</v>
      </c>
      <c r="J61" s="19">
        <v>4689</v>
      </c>
      <c r="K61" s="19">
        <v>4862</v>
      </c>
      <c r="L61" s="20">
        <v>0.15859393772956645</v>
      </c>
      <c r="M61" s="20">
        <v>0.16326601671309193</v>
      </c>
      <c r="N61" s="20">
        <v>0.17231358094698043</v>
      </c>
      <c r="P61" s="19">
        <v>4620</v>
      </c>
      <c r="Q61" s="19">
        <v>4689</v>
      </c>
      <c r="R61" s="19">
        <v>4862</v>
      </c>
      <c r="S61" s="20">
        <v>0.15859393772956645</v>
      </c>
      <c r="T61" s="20">
        <v>0.16326601671309193</v>
      </c>
      <c r="U61" s="20">
        <v>0.17231358094698043</v>
      </c>
    </row>
    <row r="62" spans="1:21" customFormat="1" ht="15" x14ac:dyDescent="0.25">
      <c r="A62" s="18" t="s">
        <v>19</v>
      </c>
      <c r="B62" s="19">
        <v>0</v>
      </c>
      <c r="C62" s="19">
        <v>0</v>
      </c>
      <c r="D62" s="19">
        <v>0</v>
      </c>
      <c r="E62" s="20">
        <v>0</v>
      </c>
      <c r="F62" s="20">
        <v>0</v>
      </c>
      <c r="G62" s="20">
        <v>0</v>
      </c>
      <c r="I62" s="19">
        <v>78880</v>
      </c>
      <c r="J62" s="19">
        <v>83794</v>
      </c>
      <c r="K62" s="19">
        <v>88068</v>
      </c>
      <c r="L62" s="20">
        <v>9.6889060306315847E-2</v>
      </c>
      <c r="M62" s="20">
        <v>0.10312841145028867</v>
      </c>
      <c r="N62" s="20">
        <v>0.10775308847406073</v>
      </c>
      <c r="P62" s="19">
        <v>78880</v>
      </c>
      <c r="Q62" s="19">
        <v>83794</v>
      </c>
      <c r="R62" s="19">
        <v>88068</v>
      </c>
      <c r="S62" s="20">
        <v>9.6889060306315847E-2</v>
      </c>
      <c r="T62" s="20">
        <v>0.10312841145028867</v>
      </c>
      <c r="U62" s="20">
        <v>0.10775308847406073</v>
      </c>
    </row>
    <row r="63" spans="1:21" customFormat="1" ht="15" x14ac:dyDescent="0.25">
      <c r="A63" s="18" t="s">
        <v>20</v>
      </c>
      <c r="B63" s="19">
        <v>0</v>
      </c>
      <c r="C63" s="19">
        <v>0</v>
      </c>
      <c r="D63" s="19">
        <v>0</v>
      </c>
      <c r="E63" s="20">
        <v>0</v>
      </c>
      <c r="F63" s="20">
        <v>0</v>
      </c>
      <c r="G63" s="20">
        <v>0</v>
      </c>
      <c r="I63" s="19">
        <v>7057</v>
      </c>
      <c r="J63" s="19">
        <v>7733</v>
      </c>
      <c r="K63" s="19">
        <v>8642</v>
      </c>
      <c r="L63" s="20">
        <v>7.7018782673229508E-2</v>
      </c>
      <c r="M63" s="20">
        <v>8.0372918702059995E-2</v>
      </c>
      <c r="N63" s="20">
        <v>8.1331112303189443E-2</v>
      </c>
      <c r="P63" s="19">
        <v>7057</v>
      </c>
      <c r="Q63" s="19">
        <v>7733</v>
      </c>
      <c r="R63" s="19">
        <v>8642</v>
      </c>
      <c r="S63" s="20">
        <v>7.7018782673229508E-2</v>
      </c>
      <c r="T63" s="20">
        <v>8.0372918702059995E-2</v>
      </c>
      <c r="U63" s="20">
        <v>8.1331112303189443E-2</v>
      </c>
    </row>
    <row r="64" spans="1:21" customFormat="1" ht="15" x14ac:dyDescent="0.25">
      <c r="A64" s="18" t="s">
        <v>21</v>
      </c>
      <c r="B64" s="19">
        <v>0</v>
      </c>
      <c r="C64" s="19">
        <v>0</v>
      </c>
      <c r="D64" s="19">
        <v>0</v>
      </c>
      <c r="E64" s="20">
        <v>0</v>
      </c>
      <c r="F64" s="20">
        <v>0</v>
      </c>
      <c r="G64" s="20">
        <v>0</v>
      </c>
      <c r="I64" s="19">
        <v>6669</v>
      </c>
      <c r="J64" s="19">
        <v>6827</v>
      </c>
      <c r="K64" s="19">
        <v>6735</v>
      </c>
      <c r="L64" s="20">
        <v>0.12739741728432796</v>
      </c>
      <c r="M64" s="20">
        <v>0.12678279601842224</v>
      </c>
      <c r="N64" s="20">
        <v>0.12612359550561797</v>
      </c>
      <c r="P64" s="19">
        <v>6669</v>
      </c>
      <c r="Q64" s="19">
        <v>6827</v>
      </c>
      <c r="R64" s="19">
        <v>6735</v>
      </c>
      <c r="S64" s="20">
        <v>0.12739741728432796</v>
      </c>
      <c r="T64" s="20">
        <v>0.12678279601842224</v>
      </c>
      <c r="U64" s="20">
        <v>0.12612359550561797</v>
      </c>
    </row>
    <row r="65" spans="1:21" customFormat="1" ht="15" x14ac:dyDescent="0.25">
      <c r="A65" s="18" t="s">
        <v>24</v>
      </c>
      <c r="B65" s="19">
        <v>131</v>
      </c>
      <c r="C65" s="19">
        <v>142</v>
      </c>
      <c r="D65" s="19">
        <v>0</v>
      </c>
      <c r="E65" s="20">
        <v>2.443118239462887E-2</v>
      </c>
      <c r="F65" s="20">
        <v>2.7260510654636208E-2</v>
      </c>
      <c r="G65" s="20">
        <v>0</v>
      </c>
      <c r="I65" s="19">
        <v>486</v>
      </c>
      <c r="J65" s="19">
        <v>503</v>
      </c>
      <c r="K65" s="19">
        <v>847</v>
      </c>
      <c r="L65" s="20">
        <v>9.0637821708317787E-2</v>
      </c>
      <c r="M65" s="20">
        <v>9.6563639854098673E-2</v>
      </c>
      <c r="N65" s="20">
        <v>0.17243485342019543</v>
      </c>
      <c r="P65" s="19">
        <v>617</v>
      </c>
      <c r="Q65" s="19">
        <v>645</v>
      </c>
      <c r="R65" s="19">
        <v>847</v>
      </c>
      <c r="S65" s="20">
        <v>0.11506900410294665</v>
      </c>
      <c r="T65" s="20">
        <v>0.12382415050873488</v>
      </c>
      <c r="U65" s="20">
        <v>0.17243485342019543</v>
      </c>
    </row>
    <row r="66" spans="1:21" customFormat="1" ht="15" x14ac:dyDescent="0.25">
      <c r="A66" s="18" t="s">
        <v>25</v>
      </c>
      <c r="B66" s="19">
        <v>0</v>
      </c>
      <c r="C66" s="19">
        <v>0</v>
      </c>
      <c r="D66" s="19">
        <v>0</v>
      </c>
      <c r="E66" s="20">
        <v>0</v>
      </c>
      <c r="F66" s="20">
        <v>0</v>
      </c>
      <c r="G66" s="20">
        <v>0</v>
      </c>
      <c r="I66" s="19">
        <v>121</v>
      </c>
      <c r="J66" s="19">
        <v>139</v>
      </c>
      <c r="K66" s="19">
        <v>166</v>
      </c>
      <c r="L66" s="20">
        <v>1.38507326007326E-2</v>
      </c>
      <c r="M66" s="20">
        <v>1.573822463768116E-2</v>
      </c>
      <c r="N66" s="20">
        <v>1.9038880605574033E-2</v>
      </c>
      <c r="P66" s="19">
        <v>121</v>
      </c>
      <c r="Q66" s="19">
        <v>139</v>
      </c>
      <c r="R66" s="19">
        <v>166</v>
      </c>
      <c r="S66" s="20">
        <v>1.38507326007326E-2</v>
      </c>
      <c r="T66" s="20">
        <v>1.573822463768116E-2</v>
      </c>
      <c r="U66" s="20">
        <v>1.9038880605574033E-2</v>
      </c>
    </row>
    <row r="67" spans="1:21" customFormat="1" ht="15" x14ac:dyDescent="0.25">
      <c r="A67" s="18" t="s">
        <v>26</v>
      </c>
      <c r="B67" s="19">
        <v>0</v>
      </c>
      <c r="C67" s="19">
        <v>0</v>
      </c>
      <c r="D67" s="19">
        <v>0</v>
      </c>
      <c r="E67" s="20">
        <v>0</v>
      </c>
      <c r="F67" s="20">
        <v>0</v>
      </c>
      <c r="G67" s="20">
        <v>0</v>
      </c>
      <c r="I67" s="19">
        <v>1609</v>
      </c>
      <c r="J67" s="19">
        <v>1589</v>
      </c>
      <c r="K67" s="19">
        <v>2241</v>
      </c>
      <c r="L67" s="20">
        <v>0.44215443803242649</v>
      </c>
      <c r="M67" s="20">
        <v>0.45871824480369516</v>
      </c>
      <c r="N67" s="20">
        <v>0.631801522413307</v>
      </c>
      <c r="P67" s="19">
        <v>1609</v>
      </c>
      <c r="Q67" s="19">
        <v>1589</v>
      </c>
      <c r="R67" s="19">
        <v>2241</v>
      </c>
      <c r="S67" s="20">
        <v>0.44215443803242649</v>
      </c>
      <c r="T67" s="20">
        <v>0.45871824480369516</v>
      </c>
      <c r="U67" s="20">
        <v>0.631801522413307</v>
      </c>
    </row>
    <row r="68" spans="1:21" customFormat="1" ht="15" x14ac:dyDescent="0.25">
      <c r="A68" s="18" t="s">
        <v>27</v>
      </c>
      <c r="B68" s="19">
        <v>0</v>
      </c>
      <c r="C68" s="19">
        <v>0</v>
      </c>
      <c r="D68" s="19">
        <v>0</v>
      </c>
      <c r="E68" s="20">
        <v>0</v>
      </c>
      <c r="F68" s="20">
        <v>0</v>
      </c>
      <c r="G68" s="20">
        <v>0</v>
      </c>
      <c r="I68" s="19">
        <v>0</v>
      </c>
      <c r="J68" s="19">
        <v>0</v>
      </c>
      <c r="K68" s="19">
        <v>4</v>
      </c>
      <c r="L68" s="20">
        <v>0</v>
      </c>
      <c r="M68" s="20">
        <v>0</v>
      </c>
      <c r="N68" s="20">
        <v>6.0606060606060608E-2</v>
      </c>
      <c r="P68" s="19">
        <v>0</v>
      </c>
      <c r="Q68" s="19">
        <v>0</v>
      </c>
      <c r="R68" s="19">
        <v>4</v>
      </c>
      <c r="S68" s="20">
        <v>0</v>
      </c>
      <c r="T68" s="20">
        <v>0</v>
      </c>
      <c r="U68" s="20">
        <v>6.0606060606060608E-2</v>
      </c>
    </row>
    <row r="69" spans="1:21" customFormat="1" ht="15" x14ac:dyDescent="0.25">
      <c r="A69" s="18" t="s">
        <v>28</v>
      </c>
      <c r="B69" s="19">
        <v>0</v>
      </c>
      <c r="C69" s="19">
        <v>111</v>
      </c>
      <c r="D69" s="19">
        <v>0</v>
      </c>
      <c r="E69" s="20">
        <v>0</v>
      </c>
      <c r="F69" s="20">
        <v>3.3839400036583134E-3</v>
      </c>
      <c r="G69" s="20">
        <v>0</v>
      </c>
      <c r="I69" s="19">
        <v>2788</v>
      </c>
      <c r="J69" s="19">
        <v>713</v>
      </c>
      <c r="K69" s="19">
        <v>990</v>
      </c>
      <c r="L69" s="20">
        <v>8.3050342567768845E-2</v>
      </c>
      <c r="M69" s="20">
        <v>2.1736479482958357E-2</v>
      </c>
      <c r="N69" s="20">
        <v>3.0642565308901821E-2</v>
      </c>
      <c r="P69" s="19">
        <v>2788</v>
      </c>
      <c r="Q69" s="19">
        <v>824</v>
      </c>
      <c r="R69" s="19">
        <v>990</v>
      </c>
      <c r="S69" s="20">
        <v>8.3050342567768845E-2</v>
      </c>
      <c r="T69" s="20">
        <v>2.5120419486616669E-2</v>
      </c>
      <c r="U69" s="20">
        <v>3.0642565308901821E-2</v>
      </c>
    </row>
    <row r="70" spans="1:21" customFormat="1" ht="15" x14ac:dyDescent="0.25">
      <c r="A70" s="18" t="s">
        <v>29</v>
      </c>
      <c r="B70" s="19">
        <v>0</v>
      </c>
      <c r="C70" s="19">
        <v>0</v>
      </c>
      <c r="D70" s="19">
        <v>0</v>
      </c>
      <c r="E70" s="20">
        <v>0</v>
      </c>
      <c r="F70" s="20">
        <v>0</v>
      </c>
      <c r="G70" s="20">
        <v>0</v>
      </c>
      <c r="I70" s="19">
        <v>2167</v>
      </c>
      <c r="J70" s="19">
        <v>2357</v>
      </c>
      <c r="K70" s="19">
        <v>1833</v>
      </c>
      <c r="L70" s="20">
        <v>0.44661995053586151</v>
      </c>
      <c r="M70" s="20">
        <v>0.19959353035820138</v>
      </c>
      <c r="N70" s="20">
        <v>0.12858646089091547</v>
      </c>
      <c r="P70" s="19">
        <v>2167</v>
      </c>
      <c r="Q70" s="19">
        <v>2357</v>
      </c>
      <c r="R70" s="19">
        <v>1833</v>
      </c>
      <c r="S70" s="20">
        <v>0.44661995053586151</v>
      </c>
      <c r="T70" s="20">
        <v>0.19959353035820138</v>
      </c>
      <c r="U70" s="20">
        <v>0.12858646089091547</v>
      </c>
    </row>
    <row r="71" spans="1:21" customFormat="1" ht="15" x14ac:dyDescent="0.25">
      <c r="A71" s="18" t="s">
        <v>30</v>
      </c>
      <c r="B71" s="19">
        <v>0</v>
      </c>
      <c r="C71" s="19">
        <v>0</v>
      </c>
      <c r="D71" s="19">
        <v>0</v>
      </c>
      <c r="E71" s="20">
        <v>0</v>
      </c>
      <c r="F71" s="20">
        <v>0</v>
      </c>
      <c r="G71" s="20">
        <v>0</v>
      </c>
      <c r="I71" s="19">
        <v>81935</v>
      </c>
      <c r="J71" s="19">
        <v>83864</v>
      </c>
      <c r="K71" s="19">
        <v>86518</v>
      </c>
      <c r="L71" s="20">
        <v>7.9653252916941295E-2</v>
      </c>
      <c r="M71" s="20">
        <v>8.609639338405517E-2</v>
      </c>
      <c r="N71" s="20">
        <v>8.8291781898337598E-2</v>
      </c>
      <c r="P71" s="19">
        <v>81935</v>
      </c>
      <c r="Q71" s="19">
        <v>83864</v>
      </c>
      <c r="R71" s="19">
        <v>86518</v>
      </c>
      <c r="S71" s="20">
        <v>7.9653252916941295E-2</v>
      </c>
      <c r="T71" s="20">
        <v>8.609639338405517E-2</v>
      </c>
      <c r="U71" s="20">
        <v>8.8291781898337598E-2</v>
      </c>
    </row>
    <row r="72" spans="1:21" customFormat="1" ht="15" x14ac:dyDescent="0.25">
      <c r="A72" s="18" t="s">
        <v>31</v>
      </c>
      <c r="B72" s="19">
        <v>0</v>
      </c>
      <c r="C72" s="19">
        <v>0</v>
      </c>
      <c r="D72" s="19">
        <v>0</v>
      </c>
      <c r="E72" s="20">
        <v>0</v>
      </c>
      <c r="F72" s="20">
        <v>0</v>
      </c>
      <c r="G72" s="20">
        <v>0</v>
      </c>
      <c r="I72" s="19">
        <v>0</v>
      </c>
      <c r="J72" s="19">
        <v>3575</v>
      </c>
      <c r="K72" s="19">
        <v>3450</v>
      </c>
      <c r="L72" s="20">
        <v>0</v>
      </c>
      <c r="M72" s="20">
        <v>0.61173853524982891</v>
      </c>
      <c r="N72" s="20">
        <v>0.53897828464302455</v>
      </c>
      <c r="P72" s="19">
        <v>0</v>
      </c>
      <c r="Q72" s="19">
        <v>3575</v>
      </c>
      <c r="R72" s="19">
        <v>3450</v>
      </c>
      <c r="S72" s="20">
        <v>0</v>
      </c>
      <c r="T72" s="20">
        <v>0.61173853524982891</v>
      </c>
      <c r="U72" s="20">
        <v>0.53897828464302455</v>
      </c>
    </row>
    <row r="73" spans="1:21" customFormat="1" ht="15" x14ac:dyDescent="0.25">
      <c r="A73" s="18" t="s">
        <v>80</v>
      </c>
      <c r="B73" s="19">
        <v>0</v>
      </c>
      <c r="C73" s="19">
        <v>0</v>
      </c>
      <c r="D73" s="19">
        <v>0</v>
      </c>
      <c r="E73" s="20">
        <v>0</v>
      </c>
      <c r="F73" s="20">
        <v>0</v>
      </c>
      <c r="G73" s="20">
        <v>0</v>
      </c>
      <c r="I73" s="19">
        <v>99</v>
      </c>
      <c r="J73" s="19">
        <v>100</v>
      </c>
      <c r="K73" s="19">
        <v>130</v>
      </c>
      <c r="L73" s="20">
        <v>2.4093453394986614E-2</v>
      </c>
      <c r="M73" s="20">
        <v>2.8768699654775604E-2</v>
      </c>
      <c r="N73" s="20">
        <v>3.9168424224163903E-2</v>
      </c>
      <c r="P73" s="19">
        <v>99</v>
      </c>
      <c r="Q73" s="19">
        <v>100</v>
      </c>
      <c r="R73" s="19">
        <v>130</v>
      </c>
      <c r="S73" s="20">
        <v>2.4093453394986614E-2</v>
      </c>
      <c r="T73" s="20">
        <v>2.8768699654775604E-2</v>
      </c>
      <c r="U73" s="20">
        <v>3.9168424224163903E-2</v>
      </c>
    </row>
    <row r="74" spans="1:21" customFormat="1" ht="15" x14ac:dyDescent="0.25">
      <c r="A74" s="18" t="s">
        <v>36</v>
      </c>
      <c r="B74" s="19">
        <v>1</v>
      </c>
      <c r="C74" s="19">
        <v>1</v>
      </c>
      <c r="D74" s="19">
        <v>2</v>
      </c>
      <c r="E74" s="20">
        <v>2.1052631578947368E-3</v>
      </c>
      <c r="F74" s="20">
        <v>1.9417475728155339E-3</v>
      </c>
      <c r="G74" s="20">
        <v>3.2840722495894909E-3</v>
      </c>
      <c r="I74" s="19">
        <v>0</v>
      </c>
      <c r="J74" s="19">
        <v>0</v>
      </c>
      <c r="K74" s="19">
        <v>0</v>
      </c>
      <c r="L74" s="20">
        <v>0</v>
      </c>
      <c r="M74" s="20">
        <v>0</v>
      </c>
      <c r="N74" s="20">
        <v>0</v>
      </c>
      <c r="P74" s="19">
        <v>1</v>
      </c>
      <c r="Q74" s="19">
        <v>1</v>
      </c>
      <c r="R74" s="19">
        <v>2</v>
      </c>
      <c r="S74" s="20">
        <v>2.1052631578947368E-3</v>
      </c>
      <c r="T74" s="20">
        <v>1.9417475728155339E-3</v>
      </c>
      <c r="U74" s="20">
        <v>3.2840722495894909E-3</v>
      </c>
    </row>
    <row r="75" spans="1:21" customFormat="1" ht="15" x14ac:dyDescent="0.25">
      <c r="A75" s="18" t="s">
        <v>37</v>
      </c>
      <c r="B75" s="19">
        <v>0</v>
      </c>
      <c r="C75" s="19">
        <v>0</v>
      </c>
      <c r="D75" s="19">
        <v>0</v>
      </c>
      <c r="E75" s="20">
        <v>0</v>
      </c>
      <c r="F75" s="20">
        <v>0</v>
      </c>
      <c r="G75" s="20">
        <v>0</v>
      </c>
      <c r="I75" s="19">
        <v>80</v>
      </c>
      <c r="J75" s="19">
        <v>0</v>
      </c>
      <c r="K75" s="19">
        <v>0</v>
      </c>
      <c r="L75" s="20">
        <v>0.10695187165775401</v>
      </c>
      <c r="M75" s="20">
        <v>0</v>
      </c>
      <c r="N75" s="20">
        <v>0</v>
      </c>
      <c r="P75" s="19">
        <v>80</v>
      </c>
      <c r="Q75" s="19">
        <v>0</v>
      </c>
      <c r="R75" s="19">
        <v>0</v>
      </c>
      <c r="S75" s="20">
        <v>0.10695187165775401</v>
      </c>
      <c r="T75" s="20">
        <v>0</v>
      </c>
      <c r="U75" s="20">
        <v>0</v>
      </c>
    </row>
    <row r="76" spans="1:21" customFormat="1" ht="15" x14ac:dyDescent="0.25">
      <c r="A76" s="18" t="s">
        <v>39</v>
      </c>
      <c r="B76" s="19">
        <v>0</v>
      </c>
      <c r="C76" s="19">
        <v>0</v>
      </c>
      <c r="D76" s="19">
        <v>0</v>
      </c>
      <c r="E76" s="20">
        <v>0</v>
      </c>
      <c r="F76" s="20">
        <v>0</v>
      </c>
      <c r="G76" s="20">
        <v>0</v>
      </c>
      <c r="I76" s="19">
        <v>970</v>
      </c>
      <c r="J76" s="19">
        <v>934</v>
      </c>
      <c r="K76" s="19">
        <v>1560</v>
      </c>
      <c r="L76" s="20">
        <v>0.43284248103525214</v>
      </c>
      <c r="M76" s="20">
        <v>0.44774688398849471</v>
      </c>
      <c r="N76" s="20">
        <v>0.58514628657164292</v>
      </c>
      <c r="P76" s="19">
        <v>970</v>
      </c>
      <c r="Q76" s="19">
        <v>934</v>
      </c>
      <c r="R76" s="19">
        <v>1560</v>
      </c>
      <c r="S76" s="20">
        <v>0.43284248103525214</v>
      </c>
      <c r="T76" s="20">
        <v>0.44774688398849471</v>
      </c>
      <c r="U76" s="20">
        <v>0.58514628657164292</v>
      </c>
    </row>
    <row r="77" spans="1:21" customFormat="1" ht="15" x14ac:dyDescent="0.25">
      <c r="A77" s="18" t="s">
        <v>40</v>
      </c>
      <c r="B77" s="19">
        <v>0</v>
      </c>
      <c r="C77" s="19">
        <v>0</v>
      </c>
      <c r="D77" s="19">
        <v>0</v>
      </c>
      <c r="E77" s="20">
        <v>0</v>
      </c>
      <c r="F77" s="20">
        <v>0</v>
      </c>
      <c r="G77" s="20">
        <v>0</v>
      </c>
      <c r="I77" s="19">
        <v>1365</v>
      </c>
      <c r="J77" s="19">
        <v>1443</v>
      </c>
      <c r="K77" s="19">
        <v>1873</v>
      </c>
      <c r="L77" s="20">
        <v>7.2629562626370117E-2</v>
      </c>
      <c r="M77" s="20">
        <v>6.1149249936435293E-2</v>
      </c>
      <c r="N77" s="20">
        <v>6.8405098425915786E-2</v>
      </c>
      <c r="P77" s="19">
        <v>1365</v>
      </c>
      <c r="Q77" s="19">
        <v>1443</v>
      </c>
      <c r="R77" s="19">
        <v>1873</v>
      </c>
      <c r="S77" s="20">
        <v>7.2629562626370117E-2</v>
      </c>
      <c r="T77" s="20">
        <v>6.1149249936435293E-2</v>
      </c>
      <c r="U77" s="20">
        <v>6.8405098425915786E-2</v>
      </c>
    </row>
    <row r="78" spans="1:21" customFormat="1" ht="15" x14ac:dyDescent="0.25">
      <c r="A78" s="18" t="s">
        <v>41</v>
      </c>
      <c r="B78" s="19">
        <v>0</v>
      </c>
      <c r="C78" s="19">
        <v>6</v>
      </c>
      <c r="D78" s="19">
        <v>0</v>
      </c>
      <c r="E78" s="20">
        <v>0</v>
      </c>
      <c r="F78" s="20">
        <v>8.7976539589442815E-4</v>
      </c>
      <c r="G78" s="20">
        <v>0</v>
      </c>
      <c r="I78" s="19">
        <v>378</v>
      </c>
      <c r="J78" s="19">
        <v>383</v>
      </c>
      <c r="K78" s="19">
        <v>481</v>
      </c>
      <c r="L78" s="20">
        <v>5.5474024068095096E-2</v>
      </c>
      <c r="M78" s="20">
        <v>5.6158357771260999E-2</v>
      </c>
      <c r="N78" s="20">
        <v>7.3468764319535668E-2</v>
      </c>
      <c r="P78" s="19">
        <v>378</v>
      </c>
      <c r="Q78" s="19">
        <v>389</v>
      </c>
      <c r="R78" s="19">
        <v>481</v>
      </c>
      <c r="S78" s="20">
        <v>5.5474024068095096E-2</v>
      </c>
      <c r="T78" s="20">
        <v>5.7038123167155425E-2</v>
      </c>
      <c r="U78" s="20">
        <v>7.3468764319535668E-2</v>
      </c>
    </row>
    <row r="79" spans="1:21" customFormat="1" ht="15" x14ac:dyDescent="0.25">
      <c r="A79" s="18" t="s">
        <v>43</v>
      </c>
      <c r="B79" s="19">
        <v>0</v>
      </c>
      <c r="C79" s="19">
        <v>0</v>
      </c>
      <c r="D79" s="19">
        <v>1</v>
      </c>
      <c r="E79" s="20">
        <v>0</v>
      </c>
      <c r="F79" s="20">
        <v>0</v>
      </c>
      <c r="G79" s="20">
        <v>8.8354208487658685E-7</v>
      </c>
      <c r="I79" s="19">
        <v>153643</v>
      </c>
      <c r="J79" s="19">
        <v>156902</v>
      </c>
      <c r="K79" s="19">
        <v>162177</v>
      </c>
      <c r="L79" s="20">
        <v>0.13467532695207041</v>
      </c>
      <c r="M79" s="20">
        <v>0.13789194120200868</v>
      </c>
      <c r="N79" s="20">
        <v>0.14329020469903023</v>
      </c>
      <c r="P79" s="19">
        <v>153643</v>
      </c>
      <c r="Q79" s="19">
        <v>156902</v>
      </c>
      <c r="R79" s="19">
        <v>162178</v>
      </c>
      <c r="S79" s="20">
        <v>0.13467532695207041</v>
      </c>
      <c r="T79" s="20">
        <v>0.13789194120200868</v>
      </c>
      <c r="U79" s="20">
        <v>0.14329108824111511</v>
      </c>
    </row>
    <row r="80" spans="1:21" customFormat="1" ht="15" x14ac:dyDescent="0.25">
      <c r="A80" s="18" t="s">
        <v>44</v>
      </c>
      <c r="B80" s="19">
        <v>0</v>
      </c>
      <c r="C80" s="19">
        <v>0</v>
      </c>
      <c r="D80" s="19">
        <v>0</v>
      </c>
      <c r="E80" s="20">
        <v>0</v>
      </c>
      <c r="F80" s="20">
        <v>0</v>
      </c>
      <c r="G80" s="20">
        <v>0</v>
      </c>
      <c r="I80" s="19">
        <v>151</v>
      </c>
      <c r="J80" s="19">
        <v>156</v>
      </c>
      <c r="K80" s="19">
        <v>323</v>
      </c>
      <c r="L80" s="20">
        <v>0.363855421686747</v>
      </c>
      <c r="M80" s="20">
        <v>0.39694656488549618</v>
      </c>
      <c r="N80" s="20">
        <v>0.87297297297297294</v>
      </c>
      <c r="P80" s="19">
        <v>151</v>
      </c>
      <c r="Q80" s="19">
        <v>156</v>
      </c>
      <c r="R80" s="19">
        <v>323</v>
      </c>
      <c r="S80" s="20">
        <v>0.363855421686747</v>
      </c>
      <c r="T80" s="20">
        <v>0.39694656488549618</v>
      </c>
      <c r="U80" s="20">
        <v>0.87297297297297294</v>
      </c>
    </row>
    <row r="81" spans="1:21" customFormat="1" ht="15" x14ac:dyDescent="0.25">
      <c r="A81" s="18" t="s">
        <v>45</v>
      </c>
      <c r="B81" s="19">
        <v>299</v>
      </c>
      <c r="C81" s="19">
        <v>0</v>
      </c>
      <c r="D81" s="19">
        <v>0</v>
      </c>
      <c r="E81" s="20">
        <v>0.26672613737734163</v>
      </c>
      <c r="F81" s="20">
        <v>0</v>
      </c>
      <c r="G81" s="20">
        <v>0</v>
      </c>
      <c r="I81" s="19">
        <v>0</v>
      </c>
      <c r="J81" s="19">
        <v>361</v>
      </c>
      <c r="K81" s="19">
        <v>417</v>
      </c>
      <c r="L81" s="20">
        <v>0</v>
      </c>
      <c r="M81" s="20">
        <v>0.30058284762697751</v>
      </c>
      <c r="N81" s="20">
        <v>0.30327272727272725</v>
      </c>
      <c r="P81" s="19">
        <v>299</v>
      </c>
      <c r="Q81" s="19">
        <v>361</v>
      </c>
      <c r="R81" s="19">
        <v>417</v>
      </c>
      <c r="S81" s="20">
        <v>0.26672613737734163</v>
      </c>
      <c r="T81" s="20">
        <v>0.30058284762697751</v>
      </c>
      <c r="U81" s="20">
        <v>0.30327272727272725</v>
      </c>
    </row>
    <row r="82" spans="1:21" customFormat="1" ht="15" x14ac:dyDescent="0.25">
      <c r="A82" s="18" t="s">
        <v>46</v>
      </c>
      <c r="B82" s="19">
        <v>0</v>
      </c>
      <c r="C82" s="19">
        <v>0</v>
      </c>
      <c r="D82" s="19">
        <v>0</v>
      </c>
      <c r="E82" s="20">
        <v>0</v>
      </c>
      <c r="F82" s="20">
        <v>0</v>
      </c>
      <c r="G82" s="20">
        <v>0</v>
      </c>
      <c r="I82" s="19">
        <v>0</v>
      </c>
      <c r="J82" s="19">
        <v>3</v>
      </c>
      <c r="K82" s="19">
        <v>12</v>
      </c>
      <c r="L82" s="20">
        <v>0</v>
      </c>
      <c r="M82" s="20">
        <v>0.15</v>
      </c>
      <c r="N82" s="20">
        <v>0.16666666666666666</v>
      </c>
      <c r="P82" s="19">
        <v>0</v>
      </c>
      <c r="Q82" s="19">
        <v>3</v>
      </c>
      <c r="R82" s="19">
        <v>12</v>
      </c>
      <c r="S82" s="20">
        <v>0</v>
      </c>
      <c r="T82" s="20">
        <v>0.15</v>
      </c>
      <c r="U82" s="20">
        <v>0.16666666666666666</v>
      </c>
    </row>
    <row r="83" spans="1:21" customFormat="1" ht="15" x14ac:dyDescent="0.25">
      <c r="A83" s="18" t="s">
        <v>126</v>
      </c>
      <c r="B83" s="19">
        <v>0</v>
      </c>
      <c r="C83" s="19">
        <v>0</v>
      </c>
      <c r="D83" s="19">
        <v>0</v>
      </c>
      <c r="E83" s="20">
        <v>0</v>
      </c>
      <c r="F83" s="20">
        <v>0</v>
      </c>
      <c r="G83" s="20">
        <v>0</v>
      </c>
      <c r="I83" s="19">
        <v>2752</v>
      </c>
      <c r="J83" s="19">
        <v>3114</v>
      </c>
      <c r="K83" s="19">
        <v>3421</v>
      </c>
      <c r="L83" s="20">
        <v>0.1265054702583433</v>
      </c>
      <c r="M83" s="20">
        <v>0.14105177333876887</v>
      </c>
      <c r="N83" s="20">
        <v>0.15707791909637725</v>
      </c>
      <c r="P83" s="19">
        <v>2752</v>
      </c>
      <c r="Q83" s="19">
        <v>3114</v>
      </c>
      <c r="R83" s="19">
        <v>3421</v>
      </c>
      <c r="S83" s="20">
        <v>0.1265054702583433</v>
      </c>
      <c r="T83" s="20">
        <v>0.14105177333876887</v>
      </c>
      <c r="U83" s="20">
        <v>0.15707791909637725</v>
      </c>
    </row>
    <row r="84" spans="1:21" customFormat="1" ht="15" x14ac:dyDescent="0.25">
      <c r="A84" s="18" t="s">
        <v>48</v>
      </c>
      <c r="B84" s="19">
        <v>0</v>
      </c>
      <c r="C84" s="19">
        <v>0</v>
      </c>
      <c r="D84" s="19">
        <v>0</v>
      </c>
      <c r="E84" s="20">
        <v>0</v>
      </c>
      <c r="F84" s="20">
        <v>0</v>
      </c>
      <c r="G84" s="20">
        <v>0</v>
      </c>
      <c r="I84" s="19">
        <v>7742</v>
      </c>
      <c r="J84" s="19">
        <v>7693</v>
      </c>
      <c r="K84" s="19">
        <v>8300</v>
      </c>
      <c r="L84" s="20">
        <v>0.24284818067754077</v>
      </c>
      <c r="M84" s="20">
        <v>0.23427840545725859</v>
      </c>
      <c r="N84" s="20">
        <v>0.23823875541777892</v>
      </c>
      <c r="P84" s="19">
        <v>7742</v>
      </c>
      <c r="Q84" s="19">
        <v>7693</v>
      </c>
      <c r="R84" s="19">
        <v>8300</v>
      </c>
      <c r="S84" s="20">
        <v>0.24284818067754077</v>
      </c>
      <c r="T84" s="20">
        <v>0.23427840545725859</v>
      </c>
      <c r="U84" s="20">
        <v>0.23823875541777892</v>
      </c>
    </row>
    <row r="85" spans="1:21" customFormat="1" ht="15" x14ac:dyDescent="0.25">
      <c r="A85" s="18" t="s">
        <v>49</v>
      </c>
      <c r="B85" s="19">
        <v>0</v>
      </c>
      <c r="C85" s="19">
        <v>0</v>
      </c>
      <c r="D85" s="19">
        <v>0</v>
      </c>
      <c r="E85" s="20">
        <v>0</v>
      </c>
      <c r="F85" s="20">
        <v>0</v>
      </c>
      <c r="G85" s="20">
        <v>0</v>
      </c>
      <c r="I85" s="19">
        <v>337</v>
      </c>
      <c r="J85" s="19">
        <v>350</v>
      </c>
      <c r="K85" s="19">
        <v>364</v>
      </c>
      <c r="L85" s="20">
        <v>5.0960229850294872E-2</v>
      </c>
      <c r="M85" s="20">
        <v>5.5318476371107948E-2</v>
      </c>
      <c r="N85" s="20">
        <v>5.9457693564194711E-2</v>
      </c>
      <c r="P85" s="19">
        <v>337</v>
      </c>
      <c r="Q85" s="19">
        <v>350</v>
      </c>
      <c r="R85" s="19">
        <v>364</v>
      </c>
      <c r="S85" s="20">
        <v>5.0960229850294872E-2</v>
      </c>
      <c r="T85" s="20">
        <v>5.5318476371107948E-2</v>
      </c>
      <c r="U85" s="20">
        <v>5.9457693564194711E-2</v>
      </c>
    </row>
    <row r="86" spans="1:21" customFormat="1" ht="15" x14ac:dyDescent="0.25">
      <c r="A86" s="18" t="s">
        <v>51</v>
      </c>
      <c r="B86" s="19">
        <v>0</v>
      </c>
      <c r="C86" s="19">
        <v>0</v>
      </c>
      <c r="D86" s="19">
        <v>0</v>
      </c>
      <c r="E86" s="20">
        <v>0</v>
      </c>
      <c r="F86" s="20">
        <v>0</v>
      </c>
      <c r="G86" s="20">
        <v>0</v>
      </c>
      <c r="I86" s="19">
        <v>15</v>
      </c>
      <c r="J86" s="19">
        <v>34</v>
      </c>
      <c r="K86" s="19">
        <v>160</v>
      </c>
      <c r="L86" s="20">
        <v>8.6705202312138727E-2</v>
      </c>
      <c r="M86" s="20">
        <v>8.3333333333333329E-2</v>
      </c>
      <c r="N86" s="20">
        <v>9.2112838226827864E-2</v>
      </c>
      <c r="P86" s="19">
        <v>15</v>
      </c>
      <c r="Q86" s="19">
        <v>34</v>
      </c>
      <c r="R86" s="19">
        <v>160</v>
      </c>
      <c r="S86" s="20">
        <v>8.6705202312138727E-2</v>
      </c>
      <c r="T86" s="20">
        <v>8.3333333333333329E-2</v>
      </c>
      <c r="U86" s="20">
        <v>9.2112838226827864E-2</v>
      </c>
    </row>
    <row r="87" spans="1:21" customFormat="1" ht="15" x14ac:dyDescent="0.25">
      <c r="A87" s="18" t="s">
        <v>52</v>
      </c>
      <c r="B87" s="19">
        <v>0</v>
      </c>
      <c r="C87" s="19">
        <v>4</v>
      </c>
      <c r="D87" s="19">
        <v>1</v>
      </c>
      <c r="E87" s="20">
        <v>0</v>
      </c>
      <c r="F87" s="20">
        <v>1.7032003133888577E-5</v>
      </c>
      <c r="G87" s="20">
        <v>4.0909667363494671E-6</v>
      </c>
      <c r="I87" s="19">
        <v>35153</v>
      </c>
      <c r="J87" s="19">
        <v>38269</v>
      </c>
      <c r="K87" s="19">
        <v>40945</v>
      </c>
      <c r="L87" s="20">
        <v>0.15534353843706361</v>
      </c>
      <c r="M87" s="20">
        <v>0.16294943198269549</v>
      </c>
      <c r="N87" s="20">
        <v>0.1675046330198289</v>
      </c>
      <c r="P87" s="19">
        <v>35153</v>
      </c>
      <c r="Q87" s="19">
        <v>38273</v>
      </c>
      <c r="R87" s="19">
        <v>40946</v>
      </c>
      <c r="S87" s="20">
        <v>0.15534353843706361</v>
      </c>
      <c r="T87" s="20">
        <v>0.16296646398582937</v>
      </c>
      <c r="U87" s="20">
        <v>0.16750872398656524</v>
      </c>
    </row>
    <row r="88" spans="1:21" customFormat="1" ht="15" x14ac:dyDescent="0.25">
      <c r="A88" s="18" t="s">
        <v>53</v>
      </c>
      <c r="B88" s="19">
        <v>0</v>
      </c>
      <c r="C88" s="19">
        <v>0</v>
      </c>
      <c r="D88" s="19">
        <v>0</v>
      </c>
      <c r="E88" s="20">
        <v>0</v>
      </c>
      <c r="F88" s="20">
        <v>0</v>
      </c>
      <c r="G88" s="20">
        <v>0</v>
      </c>
      <c r="I88" s="19">
        <v>976</v>
      </c>
      <c r="J88" s="19">
        <v>976</v>
      </c>
      <c r="K88" s="19">
        <v>284</v>
      </c>
      <c r="L88" s="20">
        <v>0.80197206244864416</v>
      </c>
      <c r="M88" s="20">
        <v>0.8683274021352313</v>
      </c>
      <c r="N88" s="20">
        <v>0.7153652392947103</v>
      </c>
      <c r="P88" s="19">
        <v>976</v>
      </c>
      <c r="Q88" s="19">
        <v>976</v>
      </c>
      <c r="R88" s="19">
        <v>284</v>
      </c>
      <c r="S88" s="20">
        <v>0.80197206244864416</v>
      </c>
      <c r="T88" s="20">
        <v>0.8683274021352313</v>
      </c>
      <c r="U88" s="20">
        <v>0.7153652392947103</v>
      </c>
    </row>
    <row r="89" spans="1:21" customFormat="1" ht="15" x14ac:dyDescent="0.25">
      <c r="A89" s="18" t="s">
        <v>55</v>
      </c>
      <c r="B89" s="19">
        <v>0</v>
      </c>
      <c r="C89" s="19">
        <v>0</v>
      </c>
      <c r="D89" s="19">
        <v>0</v>
      </c>
      <c r="E89" s="20">
        <v>0</v>
      </c>
      <c r="F89" s="20">
        <v>0</v>
      </c>
      <c r="G89" s="20">
        <v>0</v>
      </c>
      <c r="I89" s="19">
        <v>1766</v>
      </c>
      <c r="J89" s="19">
        <v>1756</v>
      </c>
      <c r="K89" s="19">
        <v>2022</v>
      </c>
      <c r="L89" s="20">
        <v>5.2950347805229073E-2</v>
      </c>
      <c r="M89" s="20">
        <v>5.1435266549502048E-2</v>
      </c>
      <c r="N89" s="20">
        <v>5.8163617535381427E-2</v>
      </c>
      <c r="P89" s="19">
        <v>1766</v>
      </c>
      <c r="Q89" s="19">
        <v>1756</v>
      </c>
      <c r="R89" s="19">
        <v>2022</v>
      </c>
      <c r="S89" s="20">
        <v>5.2950347805229073E-2</v>
      </c>
      <c r="T89" s="20">
        <v>5.1435266549502048E-2</v>
      </c>
      <c r="U89" s="20">
        <v>5.8163617535381427E-2</v>
      </c>
    </row>
    <row r="90" spans="1:21" customFormat="1" ht="15" x14ac:dyDescent="0.25">
      <c r="A90" s="18" t="s">
        <v>56</v>
      </c>
      <c r="B90" s="19">
        <v>0</v>
      </c>
      <c r="C90" s="19">
        <v>0</v>
      </c>
      <c r="D90" s="19">
        <v>0</v>
      </c>
      <c r="E90" s="20">
        <v>0</v>
      </c>
      <c r="F90" s="20">
        <v>0</v>
      </c>
      <c r="G90" s="20">
        <v>0</v>
      </c>
      <c r="I90" s="19">
        <v>391</v>
      </c>
      <c r="J90" s="19">
        <v>939</v>
      </c>
      <c r="K90" s="19">
        <v>874</v>
      </c>
      <c r="L90" s="20">
        <v>7.4278115501519762E-2</v>
      </c>
      <c r="M90" s="20">
        <v>0.18958207147183526</v>
      </c>
      <c r="N90" s="20">
        <v>0.15804701627486437</v>
      </c>
      <c r="P90" s="19">
        <v>391</v>
      </c>
      <c r="Q90" s="19">
        <v>939</v>
      </c>
      <c r="R90" s="19">
        <v>874</v>
      </c>
      <c r="S90" s="20">
        <v>7.4278115501519762E-2</v>
      </c>
      <c r="T90" s="20">
        <v>0.18958207147183526</v>
      </c>
      <c r="U90" s="20">
        <v>0.15804701627486437</v>
      </c>
    </row>
    <row r="91" spans="1:21" s="43" customFormat="1" ht="15" x14ac:dyDescent="0.25">
      <c r="A91" s="29" t="s">
        <v>67</v>
      </c>
      <c r="B91" s="27">
        <v>431</v>
      </c>
      <c r="C91" s="27">
        <v>264</v>
      </c>
      <c r="D91" s="27">
        <v>4</v>
      </c>
      <c r="E91" s="22">
        <v>1.1972491603283296E-4</v>
      </c>
      <c r="F91" s="22">
        <v>7.4002148304790175E-5</v>
      </c>
      <c r="G91" s="22">
        <v>1.1096349883446715E-6</v>
      </c>
      <c r="I91" s="27">
        <v>393051</v>
      </c>
      <c r="J91" s="27">
        <v>410229</v>
      </c>
      <c r="K91" s="27">
        <v>428704</v>
      </c>
      <c r="L91" s="22">
        <v>0.10918328995735738</v>
      </c>
      <c r="M91" s="22">
        <v>0.11499177006411276</v>
      </c>
      <c r="N91" s="22">
        <v>0.11892623951082851</v>
      </c>
      <c r="P91" s="21">
        <v>393482</v>
      </c>
      <c r="Q91" s="21">
        <v>410493</v>
      </c>
      <c r="R91" s="21">
        <v>428708</v>
      </c>
      <c r="S91" s="22">
        <v>0.10930301487339021</v>
      </c>
      <c r="T91" s="22">
        <v>0.11506577221241755</v>
      </c>
      <c r="U91" s="22">
        <v>0.11892734914581685</v>
      </c>
    </row>
    <row r="92" spans="1:21" customFormat="1" ht="15" x14ac:dyDescent="0.25">
      <c r="A92" s="18"/>
      <c r="B92" s="19"/>
      <c r="C92" s="19"/>
      <c r="D92" s="19"/>
      <c r="E92" s="19"/>
      <c r="F92" s="19"/>
      <c r="G92" s="19"/>
      <c r="I92" s="19"/>
      <c r="J92" s="19"/>
      <c r="K92" s="19"/>
      <c r="L92" s="19"/>
      <c r="M92" s="19"/>
      <c r="N92" s="19"/>
      <c r="P92" s="19"/>
      <c r="Q92" s="19"/>
      <c r="R92" s="19"/>
      <c r="S92" s="20"/>
      <c r="T92" s="20"/>
      <c r="U92" s="20"/>
    </row>
    <row r="93" spans="1:21" customFormat="1" ht="15" x14ac:dyDescent="0.25">
      <c r="A93" s="28" t="s">
        <v>68</v>
      </c>
      <c r="B93" s="25"/>
      <c r="C93" s="25"/>
      <c r="D93" s="25"/>
      <c r="E93" s="25"/>
      <c r="F93" s="25"/>
      <c r="G93" s="25"/>
      <c r="I93" s="25"/>
      <c r="J93" s="25"/>
      <c r="K93" s="25"/>
      <c r="L93" s="25"/>
      <c r="M93" s="25"/>
      <c r="N93" s="25"/>
      <c r="P93" s="19"/>
      <c r="Q93" s="19"/>
      <c r="R93" s="19"/>
      <c r="S93" s="20"/>
      <c r="T93" s="20"/>
      <c r="U93" s="20"/>
    </row>
    <row r="94" spans="1:21" customFormat="1" ht="15" x14ac:dyDescent="0.25">
      <c r="A94" s="18" t="s">
        <v>17</v>
      </c>
      <c r="B94" s="19">
        <v>211</v>
      </c>
      <c r="C94" s="19">
        <v>230</v>
      </c>
      <c r="D94" s="19">
        <v>217</v>
      </c>
      <c r="E94" s="20">
        <v>4.3017329255861367E-2</v>
      </c>
      <c r="F94" s="20">
        <v>5.0119851819568531E-2</v>
      </c>
      <c r="G94" s="20">
        <v>4.9839228295819937E-2</v>
      </c>
      <c r="I94" s="19">
        <v>580</v>
      </c>
      <c r="J94" s="19">
        <v>655</v>
      </c>
      <c r="K94" s="19">
        <v>615</v>
      </c>
      <c r="L94" s="20">
        <v>0.11824668705402651</v>
      </c>
      <c r="M94" s="20">
        <v>0.14273262148616256</v>
      </c>
      <c r="N94" s="20">
        <v>0.14124942581534222</v>
      </c>
      <c r="P94" s="19">
        <v>791</v>
      </c>
      <c r="Q94" s="19">
        <v>885</v>
      </c>
      <c r="R94" s="19">
        <v>832</v>
      </c>
      <c r="S94" s="20">
        <v>0.16126401630988788</v>
      </c>
      <c r="T94" s="20">
        <v>0.19285247330573108</v>
      </c>
      <c r="U94" s="20">
        <v>0.19108865411116216</v>
      </c>
    </row>
    <row r="95" spans="1:21" customFormat="1" ht="15" x14ac:dyDescent="0.25">
      <c r="A95" s="18" t="s">
        <v>19</v>
      </c>
      <c r="B95" s="19">
        <v>42714</v>
      </c>
      <c r="C95" s="19">
        <v>41822</v>
      </c>
      <c r="D95" s="19">
        <v>41468</v>
      </c>
      <c r="E95" s="20">
        <v>0.11858214466166582</v>
      </c>
      <c r="F95" s="20">
        <v>0.11616189672029154</v>
      </c>
      <c r="G95" s="20">
        <v>0.11530868179720043</v>
      </c>
      <c r="I95" s="19">
        <v>47812</v>
      </c>
      <c r="J95" s="19">
        <v>53594</v>
      </c>
      <c r="K95" s="19">
        <v>57934</v>
      </c>
      <c r="L95" s="20">
        <v>0.13273515710454573</v>
      </c>
      <c r="M95" s="20">
        <v>0.14885899031197228</v>
      </c>
      <c r="N95" s="20">
        <v>0.16109513772641579</v>
      </c>
      <c r="P95" s="19">
        <v>90526</v>
      </c>
      <c r="Q95" s="19">
        <v>95416</v>
      </c>
      <c r="R95" s="19">
        <v>99402</v>
      </c>
      <c r="S95" s="20">
        <v>0.25131730176621153</v>
      </c>
      <c r="T95" s="20">
        <v>0.26502088703226379</v>
      </c>
      <c r="U95" s="20">
        <v>0.2764038195236162</v>
      </c>
    </row>
    <row r="96" spans="1:21" customFormat="1" ht="15" x14ac:dyDescent="0.25">
      <c r="A96" s="18" t="s">
        <v>20</v>
      </c>
      <c r="B96" s="19">
        <v>15623</v>
      </c>
      <c r="C96" s="19">
        <v>16021</v>
      </c>
      <c r="D96" s="19">
        <v>16689</v>
      </c>
      <c r="E96" s="20">
        <v>8.7876793619187432E-2</v>
      </c>
      <c r="F96" s="20">
        <v>8.4294876854029532E-2</v>
      </c>
      <c r="G96" s="20">
        <v>7.9450998314719079E-2</v>
      </c>
      <c r="I96" s="19">
        <v>34290</v>
      </c>
      <c r="J96" s="19">
        <v>37050</v>
      </c>
      <c r="K96" s="19">
        <v>40585</v>
      </c>
      <c r="L96" s="20">
        <v>0.19287558427971177</v>
      </c>
      <c r="M96" s="20">
        <v>0.19493946616576957</v>
      </c>
      <c r="N96" s="20">
        <v>0.19321222161920268</v>
      </c>
      <c r="P96" s="19">
        <v>49913</v>
      </c>
      <c r="Q96" s="19">
        <v>53071</v>
      </c>
      <c r="R96" s="19">
        <v>57274</v>
      </c>
      <c r="S96" s="20">
        <v>0.28075237789889917</v>
      </c>
      <c r="T96" s="20">
        <v>0.2792343430197991</v>
      </c>
      <c r="U96" s="20">
        <v>0.27266321993392173</v>
      </c>
    </row>
    <row r="97" spans="1:21" customFormat="1" ht="15" x14ac:dyDescent="0.25">
      <c r="A97" s="18" t="s">
        <v>21</v>
      </c>
      <c r="B97" s="19">
        <v>2429</v>
      </c>
      <c r="C97" s="19">
        <v>2258</v>
      </c>
      <c r="D97" s="19">
        <v>2049</v>
      </c>
      <c r="E97" s="20">
        <v>5.958835218212595E-2</v>
      </c>
      <c r="F97" s="20">
        <v>5.7322738696656599E-2</v>
      </c>
      <c r="G97" s="20">
        <v>5.354762838102705E-2</v>
      </c>
      <c r="I97" s="19">
        <v>10613</v>
      </c>
      <c r="J97" s="19">
        <v>10275</v>
      </c>
      <c r="K97" s="19">
        <v>9920</v>
      </c>
      <c r="L97" s="20">
        <v>0.2603586585874445</v>
      </c>
      <c r="M97" s="20">
        <v>0.26084638623035716</v>
      </c>
      <c r="N97" s="20">
        <v>0.25924474062459169</v>
      </c>
      <c r="P97" s="19">
        <v>13042</v>
      </c>
      <c r="Q97" s="19">
        <v>12533</v>
      </c>
      <c r="R97" s="19">
        <v>11969</v>
      </c>
      <c r="S97" s="20">
        <v>0.31994701076957044</v>
      </c>
      <c r="T97" s="20">
        <v>0.31816912492701377</v>
      </c>
      <c r="U97" s="20">
        <v>0.31279236900561874</v>
      </c>
    </row>
    <row r="98" spans="1:21" customFormat="1" ht="15" x14ac:dyDescent="0.25">
      <c r="A98" s="18" t="s">
        <v>26</v>
      </c>
      <c r="B98" s="19">
        <v>658</v>
      </c>
      <c r="C98" s="19">
        <v>1171</v>
      </c>
      <c r="D98" s="19">
        <v>643</v>
      </c>
      <c r="E98" s="20">
        <v>0.12739593417231365</v>
      </c>
      <c r="F98" s="20">
        <v>0.23566109881263836</v>
      </c>
      <c r="G98" s="20">
        <v>0.13111745513866233</v>
      </c>
      <c r="I98" s="19">
        <v>2751</v>
      </c>
      <c r="J98" s="19">
        <v>2190</v>
      </c>
      <c r="K98" s="19">
        <v>2607</v>
      </c>
      <c r="L98" s="20">
        <v>0.53262342691190712</v>
      </c>
      <c r="M98" s="20">
        <v>0.44073254175890519</v>
      </c>
      <c r="N98" s="20">
        <v>0.53160685154975529</v>
      </c>
      <c r="P98" s="19">
        <v>3409</v>
      </c>
      <c r="Q98" s="19">
        <v>3361</v>
      </c>
      <c r="R98" s="19">
        <v>3250</v>
      </c>
      <c r="S98" s="20">
        <v>0.66001936108422077</v>
      </c>
      <c r="T98" s="20">
        <v>0.67639364057154361</v>
      </c>
      <c r="U98" s="20">
        <v>0.66272430668841764</v>
      </c>
    </row>
    <row r="99" spans="1:21" customFormat="1" ht="15" x14ac:dyDescent="0.25">
      <c r="A99" s="18" t="s">
        <v>27</v>
      </c>
      <c r="B99" s="19">
        <v>0</v>
      </c>
      <c r="C99" s="19">
        <v>0</v>
      </c>
      <c r="D99" s="19">
        <v>0</v>
      </c>
      <c r="E99" s="20">
        <v>0</v>
      </c>
      <c r="F99" s="20">
        <v>0</v>
      </c>
      <c r="G99" s="20">
        <v>0</v>
      </c>
      <c r="I99" s="19">
        <v>2</v>
      </c>
      <c r="J99" s="19">
        <v>2</v>
      </c>
      <c r="K99" s="19">
        <v>1</v>
      </c>
      <c r="L99" s="20">
        <v>1</v>
      </c>
      <c r="M99" s="20">
        <v>0.33333333333333331</v>
      </c>
      <c r="N99" s="20">
        <v>0.2</v>
      </c>
      <c r="P99" s="19">
        <v>2</v>
      </c>
      <c r="Q99" s="19">
        <v>2</v>
      </c>
      <c r="R99" s="19">
        <v>1</v>
      </c>
      <c r="S99" s="20">
        <v>1</v>
      </c>
      <c r="T99" s="20">
        <v>0.33333333333333331</v>
      </c>
      <c r="U99" s="20">
        <v>0.2</v>
      </c>
    </row>
    <row r="100" spans="1:21" customFormat="1" ht="15" x14ac:dyDescent="0.25">
      <c r="A100" s="18" t="s">
        <v>28</v>
      </c>
      <c r="B100" s="19">
        <v>354</v>
      </c>
      <c r="C100" s="19">
        <v>99</v>
      </c>
      <c r="D100" s="19">
        <v>111</v>
      </c>
      <c r="E100" s="20">
        <v>3.1396895787139688E-2</v>
      </c>
      <c r="F100" s="20">
        <v>9.08590308370044E-3</v>
      </c>
      <c r="G100" s="20">
        <v>1.0311193683232699E-2</v>
      </c>
      <c r="I100" s="19">
        <v>1332</v>
      </c>
      <c r="J100" s="19">
        <v>400</v>
      </c>
      <c r="K100" s="19">
        <v>439</v>
      </c>
      <c r="L100" s="20">
        <v>0.11813747228381374</v>
      </c>
      <c r="M100" s="20">
        <v>3.6710719530102791E-2</v>
      </c>
      <c r="N100" s="20">
        <v>4.0780306549001395E-2</v>
      </c>
      <c r="P100" s="19">
        <v>1686</v>
      </c>
      <c r="Q100" s="19">
        <v>499</v>
      </c>
      <c r="R100" s="19">
        <v>550</v>
      </c>
      <c r="S100" s="20">
        <v>0.14953436807095344</v>
      </c>
      <c r="T100" s="20">
        <v>4.5796622613803233E-2</v>
      </c>
      <c r="U100" s="20">
        <v>5.1091500232234091E-2</v>
      </c>
    </row>
    <row r="101" spans="1:21" customFormat="1" ht="15" x14ac:dyDescent="0.25">
      <c r="A101" s="18" t="s">
        <v>29</v>
      </c>
      <c r="B101" s="19">
        <v>181</v>
      </c>
      <c r="C101" s="19">
        <v>185</v>
      </c>
      <c r="D101" s="19">
        <v>127</v>
      </c>
      <c r="E101" s="20">
        <v>0.10301650540694365</v>
      </c>
      <c r="F101" s="20">
        <v>0.10381593714927048</v>
      </c>
      <c r="G101" s="20">
        <v>7.1630005640157923E-2</v>
      </c>
      <c r="I101" s="19">
        <v>989</v>
      </c>
      <c r="J101" s="19">
        <v>984</v>
      </c>
      <c r="K101" s="19">
        <v>810</v>
      </c>
      <c r="L101" s="20">
        <v>0.56289129197495735</v>
      </c>
      <c r="M101" s="20">
        <v>0.55218855218855223</v>
      </c>
      <c r="N101" s="20">
        <v>0.45685279187817257</v>
      </c>
      <c r="P101" s="19">
        <v>1170</v>
      </c>
      <c r="Q101" s="19">
        <v>1169</v>
      </c>
      <c r="R101" s="19">
        <v>937</v>
      </c>
      <c r="S101" s="20">
        <v>0.66590779738190098</v>
      </c>
      <c r="T101" s="20">
        <v>0.65600448933782274</v>
      </c>
      <c r="U101" s="20">
        <v>0.52848279751833049</v>
      </c>
    </row>
    <row r="102" spans="1:21" customFormat="1" ht="15" x14ac:dyDescent="0.25">
      <c r="A102" s="18" t="s">
        <v>30</v>
      </c>
      <c r="B102" s="19">
        <v>7896</v>
      </c>
      <c r="C102" s="19">
        <v>7161</v>
      </c>
      <c r="D102" s="19">
        <v>7179</v>
      </c>
      <c r="E102" s="20">
        <v>6.5562880914027594E-2</v>
      </c>
      <c r="F102" s="20">
        <v>6.3544883398999039E-2</v>
      </c>
      <c r="G102" s="20">
        <v>6.2454327174026519E-2</v>
      </c>
      <c r="I102" s="19">
        <v>20869</v>
      </c>
      <c r="J102" s="19">
        <v>23664</v>
      </c>
      <c r="K102" s="19">
        <v>26197</v>
      </c>
      <c r="L102" s="20">
        <v>0.17328163143298403</v>
      </c>
      <c r="M102" s="20">
        <v>0.20998828665743796</v>
      </c>
      <c r="N102" s="20">
        <v>0.22790305181473361</v>
      </c>
      <c r="P102" s="19">
        <v>28765</v>
      </c>
      <c r="Q102" s="19">
        <v>30825</v>
      </c>
      <c r="R102" s="19">
        <v>33376</v>
      </c>
      <c r="S102" s="20">
        <v>0.23884451234701162</v>
      </c>
      <c r="T102" s="20">
        <v>0.27353317005643701</v>
      </c>
      <c r="U102" s="20">
        <v>0.29035737898876013</v>
      </c>
    </row>
    <row r="103" spans="1:21" customFormat="1" ht="15" x14ac:dyDescent="0.25">
      <c r="A103" s="18" t="s">
        <v>32</v>
      </c>
      <c r="B103" s="19">
        <v>147738</v>
      </c>
      <c r="C103" s="19">
        <v>149110</v>
      </c>
      <c r="D103" s="19">
        <v>64382</v>
      </c>
      <c r="E103" s="20">
        <v>0.20898267035769705</v>
      </c>
      <c r="F103" s="20">
        <v>0.20997948225433274</v>
      </c>
      <c r="G103" s="20">
        <v>9.0320770466390296E-2</v>
      </c>
      <c r="I103" s="19">
        <v>0</v>
      </c>
      <c r="J103" s="19">
        <v>0</v>
      </c>
      <c r="K103" s="19">
        <v>92625</v>
      </c>
      <c r="L103" s="20">
        <v>0</v>
      </c>
      <c r="M103" s="20">
        <v>0</v>
      </c>
      <c r="N103" s="20">
        <v>0.12994255171397909</v>
      </c>
      <c r="P103" s="19">
        <v>147738</v>
      </c>
      <c r="Q103" s="19">
        <v>149110</v>
      </c>
      <c r="R103" s="19">
        <v>157007</v>
      </c>
      <c r="S103" s="20">
        <v>0.20898267035769705</v>
      </c>
      <c r="T103" s="20">
        <v>0.20997948225433274</v>
      </c>
      <c r="U103" s="20">
        <v>0.22026332218036937</v>
      </c>
    </row>
    <row r="104" spans="1:21" customFormat="1" ht="15" x14ac:dyDescent="0.25">
      <c r="A104" s="18" t="s">
        <v>80</v>
      </c>
      <c r="B104" s="19">
        <v>10</v>
      </c>
      <c r="C104" s="19">
        <v>11</v>
      </c>
      <c r="D104" s="19">
        <v>12</v>
      </c>
      <c r="E104" s="20">
        <v>1.0101010101010102E-2</v>
      </c>
      <c r="F104" s="20">
        <v>1.0576923076923078E-2</v>
      </c>
      <c r="G104" s="20">
        <v>1.1278195488721804E-2</v>
      </c>
      <c r="I104" s="19">
        <v>41</v>
      </c>
      <c r="J104" s="19">
        <v>53</v>
      </c>
      <c r="K104" s="19">
        <v>66</v>
      </c>
      <c r="L104" s="20">
        <v>4.1414141414141417E-2</v>
      </c>
      <c r="M104" s="20">
        <v>5.0961538461538461E-2</v>
      </c>
      <c r="N104" s="20">
        <v>6.2030075187969921E-2</v>
      </c>
      <c r="P104" s="19">
        <v>51</v>
      </c>
      <c r="Q104" s="19">
        <v>64</v>
      </c>
      <c r="R104" s="19">
        <v>78</v>
      </c>
      <c r="S104" s="20">
        <v>5.1515151515151521E-2</v>
      </c>
      <c r="T104" s="20">
        <v>6.1538461538461542E-2</v>
      </c>
      <c r="U104" s="20">
        <v>7.3308270676691725E-2</v>
      </c>
    </row>
    <row r="105" spans="1:21" customFormat="1" ht="15" x14ac:dyDescent="0.25">
      <c r="A105" s="18" t="s">
        <v>166</v>
      </c>
      <c r="B105" s="19">
        <v>0</v>
      </c>
      <c r="C105" s="19">
        <v>0</v>
      </c>
      <c r="D105" s="19">
        <v>0</v>
      </c>
      <c r="E105" s="20">
        <v>0</v>
      </c>
      <c r="F105" s="20">
        <v>0</v>
      </c>
      <c r="G105" s="20">
        <v>0</v>
      </c>
      <c r="I105" s="19">
        <v>0</v>
      </c>
      <c r="J105" s="19">
        <v>0</v>
      </c>
      <c r="K105" s="19">
        <v>12</v>
      </c>
      <c r="L105" s="20">
        <v>0</v>
      </c>
      <c r="M105" s="20">
        <v>0</v>
      </c>
      <c r="N105" s="20">
        <v>7.6433121019108277E-2</v>
      </c>
      <c r="P105" s="19">
        <v>0</v>
      </c>
      <c r="Q105" s="19">
        <v>0</v>
      </c>
      <c r="R105" s="19">
        <v>12</v>
      </c>
      <c r="S105" s="20">
        <v>0</v>
      </c>
      <c r="T105" s="20">
        <v>0</v>
      </c>
      <c r="U105" s="20">
        <v>7.6433121019108277E-2</v>
      </c>
    </row>
    <row r="106" spans="1:21" customFormat="1" ht="15" x14ac:dyDescent="0.25">
      <c r="A106" s="18" t="s">
        <v>36</v>
      </c>
      <c r="B106" s="19">
        <v>197</v>
      </c>
      <c r="C106" s="19">
        <v>212</v>
      </c>
      <c r="D106" s="19">
        <v>267</v>
      </c>
      <c r="E106" s="20">
        <v>1.0415565189806493E-2</v>
      </c>
      <c r="F106" s="20">
        <v>1.0060266691975513E-2</v>
      </c>
      <c r="G106" s="20">
        <v>1.1301108947769407E-2</v>
      </c>
      <c r="I106" s="19">
        <v>66</v>
      </c>
      <c r="J106" s="19">
        <v>85</v>
      </c>
      <c r="K106" s="19">
        <v>121</v>
      </c>
      <c r="L106" s="20">
        <v>3.4894786930316168E-3</v>
      </c>
      <c r="M106" s="20">
        <v>4.0335974944241447E-3</v>
      </c>
      <c r="N106" s="20">
        <v>5.1214763396258359E-3</v>
      </c>
      <c r="P106" s="19">
        <v>263</v>
      </c>
      <c r="Q106" s="19">
        <v>297</v>
      </c>
      <c r="R106" s="19">
        <v>388</v>
      </c>
      <c r="S106" s="20">
        <v>1.3905043882838111E-2</v>
      </c>
      <c r="T106" s="20">
        <v>1.4093864186399657E-2</v>
      </c>
      <c r="U106" s="20">
        <v>1.6422585287395243E-2</v>
      </c>
    </row>
    <row r="107" spans="1:21" customFormat="1" ht="15" x14ac:dyDescent="0.25">
      <c r="A107" s="18" t="s">
        <v>37</v>
      </c>
      <c r="B107" s="19">
        <v>42</v>
      </c>
      <c r="C107" s="19">
        <v>0</v>
      </c>
      <c r="D107" s="19">
        <v>0</v>
      </c>
      <c r="E107" s="20">
        <v>5.7534246575342465E-2</v>
      </c>
      <c r="F107" s="20">
        <v>0</v>
      </c>
      <c r="G107" s="20">
        <v>0</v>
      </c>
      <c r="I107" s="19">
        <v>85</v>
      </c>
      <c r="J107" s="19">
        <v>0</v>
      </c>
      <c r="K107" s="19">
        <v>0</v>
      </c>
      <c r="L107" s="20">
        <v>0.11643835616438356</v>
      </c>
      <c r="M107" s="20">
        <v>0</v>
      </c>
      <c r="N107" s="20">
        <v>0</v>
      </c>
      <c r="P107" s="19">
        <v>127</v>
      </c>
      <c r="Q107" s="19">
        <v>0</v>
      </c>
      <c r="R107" s="19">
        <v>0</v>
      </c>
      <c r="S107" s="20">
        <v>0.17397260273972603</v>
      </c>
      <c r="T107" s="20">
        <v>0</v>
      </c>
      <c r="U107" s="20">
        <v>0</v>
      </c>
    </row>
    <row r="108" spans="1:21" customFormat="1" ht="15" x14ac:dyDescent="0.25">
      <c r="A108" s="18" t="s">
        <v>39</v>
      </c>
      <c r="B108" s="19">
        <v>49</v>
      </c>
      <c r="C108" s="19">
        <v>44</v>
      </c>
      <c r="D108" s="19">
        <v>434</v>
      </c>
      <c r="E108" s="20">
        <v>8.8768115942028991E-2</v>
      </c>
      <c r="F108" s="20">
        <v>8.8888888888888892E-2</v>
      </c>
      <c r="G108" s="20">
        <v>0.44240570846075433</v>
      </c>
      <c r="I108" s="19">
        <v>186</v>
      </c>
      <c r="J108" s="19">
        <v>175</v>
      </c>
      <c r="K108" s="19">
        <v>288</v>
      </c>
      <c r="L108" s="20">
        <v>0.33695652173913043</v>
      </c>
      <c r="M108" s="20">
        <v>0.35353535353535354</v>
      </c>
      <c r="N108" s="20">
        <v>0.29357798165137616</v>
      </c>
      <c r="P108" s="19">
        <v>235</v>
      </c>
      <c r="Q108" s="19">
        <v>219</v>
      </c>
      <c r="R108" s="19">
        <v>722</v>
      </c>
      <c r="S108" s="20">
        <v>0.42572463768115942</v>
      </c>
      <c r="T108" s="20">
        <v>0.44242424242424244</v>
      </c>
      <c r="U108" s="20">
        <v>0.7359836901121305</v>
      </c>
    </row>
    <row r="109" spans="1:21" customFormat="1" ht="15" x14ac:dyDescent="0.25">
      <c r="A109" s="18" t="s">
        <v>40</v>
      </c>
      <c r="B109" s="19">
        <v>0</v>
      </c>
      <c r="C109" s="19">
        <v>0</v>
      </c>
      <c r="D109" s="19">
        <v>0</v>
      </c>
      <c r="E109" s="20">
        <v>0</v>
      </c>
      <c r="F109" s="20">
        <v>0</v>
      </c>
      <c r="G109" s="20">
        <v>0</v>
      </c>
      <c r="I109" s="19">
        <v>6</v>
      </c>
      <c r="J109" s="19">
        <v>7</v>
      </c>
      <c r="K109" s="19">
        <v>6</v>
      </c>
      <c r="L109" s="20">
        <v>1.2295081967213115E-2</v>
      </c>
      <c r="M109" s="20">
        <v>1.4403292181069959E-2</v>
      </c>
      <c r="N109" s="20">
        <v>1.2219959266802444E-2</v>
      </c>
      <c r="P109" s="19">
        <v>6</v>
      </c>
      <c r="Q109" s="19">
        <v>7</v>
      </c>
      <c r="R109" s="19">
        <v>6</v>
      </c>
      <c r="S109" s="20">
        <v>1.2295081967213115E-2</v>
      </c>
      <c r="T109" s="20">
        <v>1.4403292181069959E-2</v>
      </c>
      <c r="U109" s="20">
        <v>1.2219959266802444E-2</v>
      </c>
    </row>
    <row r="110" spans="1:21" customFormat="1" ht="15" x14ac:dyDescent="0.25">
      <c r="A110" s="18" t="s">
        <v>41</v>
      </c>
      <c r="B110" s="19">
        <v>0</v>
      </c>
      <c r="C110" s="19">
        <v>4</v>
      </c>
      <c r="D110" s="19">
        <v>0</v>
      </c>
      <c r="E110" s="20">
        <v>0</v>
      </c>
      <c r="F110" s="20">
        <v>4.4943820224719105E-3</v>
      </c>
      <c r="G110" s="20">
        <v>0</v>
      </c>
      <c r="I110" s="19">
        <v>57</v>
      </c>
      <c r="J110" s="19">
        <v>57</v>
      </c>
      <c r="K110" s="19">
        <v>1</v>
      </c>
      <c r="L110" s="20">
        <v>7.4607329842931933E-2</v>
      </c>
      <c r="M110" s="20">
        <v>6.4044943820224715E-2</v>
      </c>
      <c r="N110" s="20">
        <v>9.9601593625498006E-4</v>
      </c>
      <c r="P110" s="19">
        <v>57</v>
      </c>
      <c r="Q110" s="19">
        <v>61</v>
      </c>
      <c r="R110" s="19">
        <v>1</v>
      </c>
      <c r="S110" s="20">
        <v>7.4607329842931933E-2</v>
      </c>
      <c r="T110" s="20">
        <v>6.8539325842696619E-2</v>
      </c>
      <c r="U110" s="20">
        <v>9.9601593625498006E-4</v>
      </c>
    </row>
    <row r="111" spans="1:21" customFormat="1" ht="15" x14ac:dyDescent="0.25">
      <c r="A111" s="18" t="s">
        <v>42</v>
      </c>
      <c r="B111" s="19">
        <v>29</v>
      </c>
      <c r="C111" s="19">
        <v>31</v>
      </c>
      <c r="D111" s="19">
        <v>0</v>
      </c>
      <c r="E111" s="20">
        <v>2.8431372549019607E-2</v>
      </c>
      <c r="F111" s="20">
        <v>2.883720930232558E-2</v>
      </c>
      <c r="G111" s="20">
        <v>0</v>
      </c>
      <c r="I111" s="19">
        <v>0</v>
      </c>
      <c r="J111" s="19">
        <v>0</v>
      </c>
      <c r="K111" s="19">
        <v>0</v>
      </c>
      <c r="L111" s="20">
        <v>0</v>
      </c>
      <c r="M111" s="20">
        <v>0</v>
      </c>
      <c r="N111" s="20">
        <v>0</v>
      </c>
      <c r="P111" s="19">
        <v>29</v>
      </c>
      <c r="Q111" s="19">
        <v>31</v>
      </c>
      <c r="R111" s="19">
        <v>0</v>
      </c>
      <c r="S111" s="20">
        <v>2.8431372549019607E-2</v>
      </c>
      <c r="T111" s="20">
        <v>2.883720930232558E-2</v>
      </c>
      <c r="U111" s="20">
        <v>0</v>
      </c>
    </row>
    <row r="112" spans="1:21" customFormat="1" ht="15" x14ac:dyDescent="0.25">
      <c r="A112" s="18" t="s">
        <v>43</v>
      </c>
      <c r="B112" s="19">
        <v>80941</v>
      </c>
      <c r="C112" s="19">
        <v>79160</v>
      </c>
      <c r="D112" s="19">
        <v>77394</v>
      </c>
      <c r="E112" s="20">
        <v>0.12206086379539148</v>
      </c>
      <c r="F112" s="20">
        <v>0.1206808497663676</v>
      </c>
      <c r="G112" s="20">
        <v>0.11942707593928807</v>
      </c>
      <c r="I112" s="19">
        <v>81145</v>
      </c>
      <c r="J112" s="19">
        <v>83013</v>
      </c>
      <c r="K112" s="19">
        <v>86502</v>
      </c>
      <c r="L112" s="20">
        <v>0.12236850042224635</v>
      </c>
      <c r="M112" s="20">
        <v>0.12655481785820458</v>
      </c>
      <c r="N112" s="20">
        <v>0.1334816771700687</v>
      </c>
      <c r="P112" s="19">
        <v>162086</v>
      </c>
      <c r="Q112" s="19">
        <v>162173</v>
      </c>
      <c r="R112" s="19">
        <v>163896</v>
      </c>
      <c r="S112" s="20">
        <v>0.24442936421763783</v>
      </c>
      <c r="T112" s="20">
        <v>0.24723566762457216</v>
      </c>
      <c r="U112" s="20">
        <v>0.25290875310935679</v>
      </c>
    </row>
    <row r="113" spans="1:21" customFormat="1" ht="15" x14ac:dyDescent="0.25">
      <c r="A113" s="18" t="s">
        <v>44</v>
      </c>
      <c r="B113" s="19">
        <v>0</v>
      </c>
      <c r="C113" s="19">
        <v>0</v>
      </c>
      <c r="D113" s="19">
        <v>0</v>
      </c>
      <c r="E113" s="20">
        <v>0</v>
      </c>
      <c r="F113" s="20">
        <v>0</v>
      </c>
      <c r="G113" s="20">
        <v>0</v>
      </c>
      <c r="I113" s="19">
        <v>15</v>
      </c>
      <c r="J113" s="19">
        <v>12</v>
      </c>
      <c r="K113" s="19">
        <v>90</v>
      </c>
      <c r="L113" s="20">
        <v>0.13513513513513514</v>
      </c>
      <c r="M113" s="20">
        <v>0.1111111111111111</v>
      </c>
      <c r="N113" s="20">
        <v>0.92783505154639179</v>
      </c>
      <c r="P113" s="19">
        <v>15</v>
      </c>
      <c r="Q113" s="19">
        <v>12</v>
      </c>
      <c r="R113" s="19">
        <v>90</v>
      </c>
      <c r="S113" s="20">
        <v>0.13513513513513514</v>
      </c>
      <c r="T113" s="20">
        <v>0.1111111111111111</v>
      </c>
      <c r="U113" s="20">
        <v>0.92783505154639179</v>
      </c>
    </row>
    <row r="114" spans="1:21" customFormat="1" ht="15" x14ac:dyDescent="0.25">
      <c r="A114" s="18" t="s">
        <v>46</v>
      </c>
      <c r="B114" s="19">
        <v>0</v>
      </c>
      <c r="C114" s="19">
        <v>0</v>
      </c>
      <c r="D114" s="19">
        <v>2</v>
      </c>
      <c r="E114" s="20">
        <v>0</v>
      </c>
      <c r="F114" s="20">
        <v>0</v>
      </c>
      <c r="G114" s="20">
        <v>1.098901098901099E-2</v>
      </c>
      <c r="I114" s="19">
        <v>0</v>
      </c>
      <c r="J114" s="19">
        <v>5</v>
      </c>
      <c r="K114" s="19">
        <v>9</v>
      </c>
      <c r="L114" s="20">
        <v>0</v>
      </c>
      <c r="M114" s="20">
        <v>6.8493150684931503E-2</v>
      </c>
      <c r="N114" s="20">
        <v>4.9450549450549448E-2</v>
      </c>
      <c r="P114" s="19">
        <v>0</v>
      </c>
      <c r="Q114" s="19">
        <v>5</v>
      </c>
      <c r="R114" s="19">
        <v>11</v>
      </c>
      <c r="S114" s="20">
        <v>0</v>
      </c>
      <c r="T114" s="20">
        <v>6.8493150684931503E-2</v>
      </c>
      <c r="U114" s="20">
        <v>6.043956043956044E-2</v>
      </c>
    </row>
    <row r="115" spans="1:21" customFormat="1" ht="15" x14ac:dyDescent="0.25">
      <c r="A115" s="18" t="s">
        <v>126</v>
      </c>
      <c r="B115" s="19">
        <v>831</v>
      </c>
      <c r="C115" s="19">
        <v>843</v>
      </c>
      <c r="D115" s="19">
        <v>831</v>
      </c>
      <c r="E115" s="20">
        <v>5.7873110940873322E-2</v>
      </c>
      <c r="F115" s="20">
        <v>5.9416408232308995E-2</v>
      </c>
      <c r="G115" s="20">
        <v>5.6472986748216103E-2</v>
      </c>
      <c r="I115" s="19">
        <v>1209</v>
      </c>
      <c r="J115" s="19">
        <v>1298</v>
      </c>
      <c r="K115" s="19">
        <v>1386</v>
      </c>
      <c r="L115" s="20">
        <v>8.4198063932028694E-2</v>
      </c>
      <c r="M115" s="20">
        <v>9.1485762616295457E-2</v>
      </c>
      <c r="N115" s="20">
        <v>9.4189602446483181E-2</v>
      </c>
      <c r="P115" s="19">
        <v>2040</v>
      </c>
      <c r="Q115" s="19">
        <v>2141</v>
      </c>
      <c r="R115" s="19">
        <v>2217</v>
      </c>
      <c r="S115" s="20">
        <v>0.14207117487290202</v>
      </c>
      <c r="T115" s="20">
        <v>0.15090217084860447</v>
      </c>
      <c r="U115" s="20">
        <v>0.15066258919469927</v>
      </c>
    </row>
    <row r="116" spans="1:21" customFormat="1" ht="15" x14ac:dyDescent="0.25">
      <c r="A116" s="18" t="s">
        <v>48</v>
      </c>
      <c r="B116" s="19">
        <v>584</v>
      </c>
      <c r="C116" s="19">
        <v>586</v>
      </c>
      <c r="D116" s="19">
        <v>626</v>
      </c>
      <c r="E116" s="20">
        <v>7.1947763952199095E-2</v>
      </c>
      <c r="F116" s="20">
        <v>6.2808145766345122E-2</v>
      </c>
      <c r="G116" s="20">
        <v>6.8760984182776805E-2</v>
      </c>
      <c r="I116" s="19">
        <v>1827</v>
      </c>
      <c r="J116" s="19">
        <v>1923</v>
      </c>
      <c r="K116" s="19">
        <v>2356</v>
      </c>
      <c r="L116" s="20">
        <v>0.22508315880251326</v>
      </c>
      <c r="M116" s="20">
        <v>0.20610932475884244</v>
      </c>
      <c r="N116" s="20">
        <v>0.25878734622144112</v>
      </c>
      <c r="P116" s="19">
        <v>2411</v>
      </c>
      <c r="Q116" s="19">
        <v>2509</v>
      </c>
      <c r="R116" s="19">
        <v>2982</v>
      </c>
      <c r="S116" s="20">
        <v>0.29703092275471232</v>
      </c>
      <c r="T116" s="20">
        <v>0.26891747052518755</v>
      </c>
      <c r="U116" s="20">
        <v>0.32754833040421794</v>
      </c>
    </row>
    <row r="117" spans="1:21" customFormat="1" ht="15" x14ac:dyDescent="0.25">
      <c r="A117" s="18" t="s">
        <v>49</v>
      </c>
      <c r="B117" s="19">
        <v>328</v>
      </c>
      <c r="C117" s="19">
        <v>311</v>
      </c>
      <c r="D117" s="19">
        <v>325</v>
      </c>
      <c r="E117" s="20">
        <v>5.9109749504415207E-2</v>
      </c>
      <c r="F117" s="20">
        <v>5.048701298701299E-2</v>
      </c>
      <c r="G117" s="20">
        <v>5.3035248041775458E-2</v>
      </c>
      <c r="I117" s="19">
        <v>625</v>
      </c>
      <c r="J117" s="19">
        <v>645</v>
      </c>
      <c r="K117" s="19">
        <v>680</v>
      </c>
      <c r="L117" s="20">
        <v>0.11263290683005947</v>
      </c>
      <c r="M117" s="20">
        <v>0.10470779220779221</v>
      </c>
      <c r="N117" s="20">
        <v>0.11096605744125326</v>
      </c>
      <c r="P117" s="19">
        <v>953</v>
      </c>
      <c r="Q117" s="19">
        <v>956</v>
      </c>
      <c r="R117" s="19">
        <v>1005</v>
      </c>
      <c r="S117" s="20">
        <v>0.17174265633447466</v>
      </c>
      <c r="T117" s="20">
        <v>0.15519480519480519</v>
      </c>
      <c r="U117" s="20">
        <v>0.16400130548302871</v>
      </c>
    </row>
    <row r="118" spans="1:21" customFormat="1" ht="15" x14ac:dyDescent="0.25">
      <c r="A118" s="18" t="s">
        <v>51</v>
      </c>
      <c r="B118" s="19">
        <v>3</v>
      </c>
      <c r="C118" s="19">
        <v>10</v>
      </c>
      <c r="D118" s="19">
        <v>25</v>
      </c>
      <c r="E118" s="20">
        <v>1.3392857142857142E-2</v>
      </c>
      <c r="F118" s="20">
        <v>1.9157088122605363E-2</v>
      </c>
      <c r="G118" s="20">
        <v>1.9157088122605363E-2</v>
      </c>
      <c r="I118" s="19">
        <v>20</v>
      </c>
      <c r="J118" s="19">
        <v>66</v>
      </c>
      <c r="K118" s="19">
        <v>186</v>
      </c>
      <c r="L118" s="20">
        <v>8.9285714285714288E-2</v>
      </c>
      <c r="M118" s="20">
        <v>0.12643678160919541</v>
      </c>
      <c r="N118" s="20">
        <v>0.14252873563218391</v>
      </c>
      <c r="P118" s="19">
        <v>23</v>
      </c>
      <c r="Q118" s="19">
        <v>76</v>
      </c>
      <c r="R118" s="19">
        <v>211</v>
      </c>
      <c r="S118" s="20">
        <v>0.10267857142857142</v>
      </c>
      <c r="T118" s="20">
        <v>0.14559386973180077</v>
      </c>
      <c r="U118" s="20">
        <v>0.16168582375478927</v>
      </c>
    </row>
    <row r="119" spans="1:21" customFormat="1" ht="15" x14ac:dyDescent="0.25">
      <c r="A119" s="18" t="s">
        <v>52</v>
      </c>
      <c r="B119" s="19">
        <v>4936</v>
      </c>
      <c r="C119" s="19">
        <v>4903</v>
      </c>
      <c r="D119" s="19">
        <v>4921</v>
      </c>
      <c r="E119" s="20">
        <v>0.10257262790407713</v>
      </c>
      <c r="F119" s="20">
        <v>0.10201406516582748</v>
      </c>
      <c r="G119" s="20">
        <v>0.1018524267825727</v>
      </c>
      <c r="I119" s="19">
        <v>5580</v>
      </c>
      <c r="J119" s="19">
        <v>5940</v>
      </c>
      <c r="K119" s="19">
        <v>6391</v>
      </c>
      <c r="L119" s="20">
        <v>0.11595528032916337</v>
      </c>
      <c r="M119" s="20">
        <v>0.12359036244850402</v>
      </c>
      <c r="N119" s="20">
        <v>0.13227776052985615</v>
      </c>
      <c r="P119" s="19">
        <v>10516</v>
      </c>
      <c r="Q119" s="19">
        <v>10843</v>
      </c>
      <c r="R119" s="19">
        <v>11312</v>
      </c>
      <c r="S119" s="20">
        <v>0.2185279082332405</v>
      </c>
      <c r="T119" s="20">
        <v>0.2256044276143315</v>
      </c>
      <c r="U119" s="20">
        <v>0.23413018731242885</v>
      </c>
    </row>
    <row r="120" spans="1:21" customFormat="1" ht="15" x14ac:dyDescent="0.25">
      <c r="A120" s="18" t="s">
        <v>53</v>
      </c>
      <c r="B120" s="19">
        <v>526</v>
      </c>
      <c r="C120" s="19">
        <v>526</v>
      </c>
      <c r="D120" s="19">
        <v>279</v>
      </c>
      <c r="E120" s="20">
        <v>0.56988082340195012</v>
      </c>
      <c r="F120" s="20">
        <v>0.61020881670533644</v>
      </c>
      <c r="G120" s="20">
        <v>0.53244274809160308</v>
      </c>
      <c r="I120" s="19">
        <v>140</v>
      </c>
      <c r="J120" s="19">
        <v>140</v>
      </c>
      <c r="K120" s="19">
        <v>221</v>
      </c>
      <c r="L120" s="20">
        <v>0.15167930660888407</v>
      </c>
      <c r="M120" s="20">
        <v>0.16241299303944315</v>
      </c>
      <c r="N120" s="20">
        <v>0.4217557251908397</v>
      </c>
      <c r="P120" s="19">
        <v>666</v>
      </c>
      <c r="Q120" s="19">
        <v>666</v>
      </c>
      <c r="R120" s="19">
        <v>500</v>
      </c>
      <c r="S120" s="20">
        <v>0.72156013001083419</v>
      </c>
      <c r="T120" s="20">
        <v>0.77262180974477956</v>
      </c>
      <c r="U120" s="20">
        <v>0.95419847328244278</v>
      </c>
    </row>
    <row r="121" spans="1:21" customFormat="1" ht="15" x14ac:dyDescent="0.25">
      <c r="A121" s="18" t="s">
        <v>55</v>
      </c>
      <c r="B121" s="19">
        <v>599</v>
      </c>
      <c r="C121" s="19">
        <v>569</v>
      </c>
      <c r="D121" s="19">
        <v>547</v>
      </c>
      <c r="E121" s="20">
        <v>3.9232381451401621E-2</v>
      </c>
      <c r="F121" s="20">
        <v>3.8396652945542883E-2</v>
      </c>
      <c r="G121" s="20">
        <v>3.86272155921192E-2</v>
      </c>
      <c r="I121" s="19">
        <v>2158</v>
      </c>
      <c r="J121" s="19">
        <v>2161</v>
      </c>
      <c r="K121" s="19">
        <v>2144</v>
      </c>
      <c r="L121" s="20">
        <v>0.14134136756615143</v>
      </c>
      <c r="M121" s="20">
        <v>0.14582630406910047</v>
      </c>
      <c r="N121" s="20">
        <v>0.15140173716545441</v>
      </c>
      <c r="P121" s="19">
        <v>2757</v>
      </c>
      <c r="Q121" s="19">
        <v>2730</v>
      </c>
      <c r="R121" s="19">
        <v>2691</v>
      </c>
      <c r="S121" s="20">
        <v>0.18057374901755305</v>
      </c>
      <c r="T121" s="20">
        <v>0.18422295701464336</v>
      </c>
      <c r="U121" s="20">
        <v>0.19002895275757362</v>
      </c>
    </row>
    <row r="122" spans="1:21" s="43" customFormat="1" ht="15" x14ac:dyDescent="0.25">
      <c r="A122" s="29" t="s">
        <v>69</v>
      </c>
      <c r="B122" s="27">
        <v>306879</v>
      </c>
      <c r="C122" s="27">
        <v>305267</v>
      </c>
      <c r="D122" s="27">
        <v>218528</v>
      </c>
      <c r="E122" s="22">
        <v>0.13785877066843844</v>
      </c>
      <c r="F122" s="22">
        <v>0.13703033532294939</v>
      </c>
      <c r="G122" s="22">
        <v>9.7236566053435433E-2</v>
      </c>
      <c r="I122" s="27">
        <v>212398</v>
      </c>
      <c r="J122" s="27">
        <v>224394</v>
      </c>
      <c r="K122" s="27">
        <v>332192</v>
      </c>
      <c r="L122" s="22">
        <v>9.5415219589593897E-2</v>
      </c>
      <c r="M122" s="22">
        <v>0.10072751088213892</v>
      </c>
      <c r="N122" s="22">
        <v>0.14781268007039292</v>
      </c>
      <c r="P122" s="21">
        <v>519277</v>
      </c>
      <c r="Q122" s="21">
        <v>529661</v>
      </c>
      <c r="R122" s="21">
        <v>550720</v>
      </c>
      <c r="S122" s="22">
        <v>0.23327399025803233</v>
      </c>
      <c r="T122" s="22">
        <v>0.23775784620508833</v>
      </c>
      <c r="U122" s="22">
        <v>0.24504924612382833</v>
      </c>
    </row>
    <row r="123" spans="1:21" customFormat="1" ht="15" x14ac:dyDescent="0.25">
      <c r="A123" s="18"/>
      <c r="B123" s="19"/>
      <c r="C123" s="19"/>
      <c r="D123" s="19"/>
      <c r="E123" s="19"/>
      <c r="F123" s="19"/>
      <c r="G123" s="19"/>
      <c r="I123" s="19"/>
      <c r="J123" s="19"/>
      <c r="K123" s="19"/>
      <c r="L123" s="19"/>
      <c r="M123" s="19"/>
      <c r="N123" s="19"/>
      <c r="P123" s="19"/>
      <c r="Q123" s="19"/>
      <c r="R123" s="19"/>
      <c r="S123" s="20"/>
      <c r="T123" s="20"/>
      <c r="U123" s="20"/>
    </row>
    <row r="124" spans="1:21" customFormat="1" ht="15" x14ac:dyDescent="0.25">
      <c r="A124" s="28" t="s">
        <v>70</v>
      </c>
      <c r="B124" s="25"/>
      <c r="C124" s="25"/>
      <c r="D124" s="25"/>
      <c r="E124" s="25"/>
      <c r="F124" s="25"/>
      <c r="G124" s="25"/>
      <c r="I124" s="25"/>
      <c r="J124" s="25"/>
      <c r="K124" s="25"/>
      <c r="L124" s="25"/>
      <c r="M124" s="25"/>
      <c r="N124" s="25"/>
      <c r="P124" s="19"/>
      <c r="Q124" s="19"/>
      <c r="R124" s="19"/>
      <c r="S124" s="20"/>
      <c r="T124" s="20"/>
      <c r="U124" s="20"/>
    </row>
    <row r="125" spans="1:21" customFormat="1" ht="15" x14ac:dyDescent="0.25">
      <c r="A125" s="18" t="s">
        <v>19</v>
      </c>
      <c r="B125" s="19">
        <v>37704</v>
      </c>
      <c r="C125" s="19">
        <v>37416</v>
      </c>
      <c r="D125" s="19">
        <v>37547</v>
      </c>
      <c r="E125" s="20">
        <v>0.11139671340695964</v>
      </c>
      <c r="F125" s="20">
        <v>0.11141882113312726</v>
      </c>
      <c r="G125" s="20">
        <v>0.11264381609540239</v>
      </c>
      <c r="I125" s="19">
        <v>48347</v>
      </c>
      <c r="J125" s="19">
        <v>51474</v>
      </c>
      <c r="K125" s="19">
        <v>53912</v>
      </c>
      <c r="L125" s="20">
        <v>0.14284152617988216</v>
      </c>
      <c r="M125" s="20">
        <v>0.15328128070896388</v>
      </c>
      <c r="N125" s="20">
        <v>0.16174004350108753</v>
      </c>
      <c r="P125" s="19">
        <v>86051</v>
      </c>
      <c r="Q125" s="19">
        <v>88890</v>
      </c>
      <c r="R125" s="19">
        <v>91459</v>
      </c>
      <c r="S125" s="20">
        <v>0.25423823958684177</v>
      </c>
      <c r="T125" s="20">
        <v>0.26470010184209114</v>
      </c>
      <c r="U125" s="20">
        <v>0.27438385959648992</v>
      </c>
    </row>
    <row r="126" spans="1:21" customFormat="1" ht="15" x14ac:dyDescent="0.25">
      <c r="A126" s="18" t="s">
        <v>20</v>
      </c>
      <c r="B126" s="19">
        <v>1678</v>
      </c>
      <c r="C126" s="19">
        <v>1684</v>
      </c>
      <c r="D126" s="19">
        <v>1725</v>
      </c>
      <c r="E126" s="20">
        <v>2.8387271404645496E-2</v>
      </c>
      <c r="F126" s="20">
        <v>2.8888050228153841E-2</v>
      </c>
      <c r="G126" s="20">
        <v>2.8313500205170292E-2</v>
      </c>
      <c r="I126" s="19">
        <v>4836</v>
      </c>
      <c r="J126" s="19">
        <v>5174</v>
      </c>
      <c r="K126" s="19">
        <v>5449</v>
      </c>
      <c r="L126" s="20">
        <v>8.1812183857488452E-2</v>
      </c>
      <c r="M126" s="20">
        <v>8.8756990427831334E-2</v>
      </c>
      <c r="N126" s="20">
        <v>8.9437833401723427E-2</v>
      </c>
      <c r="P126" s="19">
        <v>6514</v>
      </c>
      <c r="Q126" s="19">
        <v>6858</v>
      </c>
      <c r="R126" s="19">
        <v>7174</v>
      </c>
      <c r="S126" s="20">
        <v>0.11019945526213396</v>
      </c>
      <c r="T126" s="20">
        <v>0.11764504065598518</v>
      </c>
      <c r="U126" s="20">
        <v>0.11775133360689372</v>
      </c>
    </row>
    <row r="127" spans="1:21" customFormat="1" ht="15" x14ac:dyDescent="0.25">
      <c r="A127" s="18" t="s">
        <v>21</v>
      </c>
      <c r="B127" s="19">
        <v>470</v>
      </c>
      <c r="C127" s="19">
        <v>467</v>
      </c>
      <c r="D127" s="19">
        <v>424</v>
      </c>
      <c r="E127" s="20">
        <v>7.2207712398217855E-2</v>
      </c>
      <c r="F127" s="20">
        <v>7.1846153846153851E-2</v>
      </c>
      <c r="G127" s="20">
        <v>6.9955452895561793E-2</v>
      </c>
      <c r="I127" s="19">
        <v>2192</v>
      </c>
      <c r="J127" s="19">
        <v>2244</v>
      </c>
      <c r="K127" s="19">
        <v>2177</v>
      </c>
      <c r="L127" s="20">
        <v>0.3367644799508373</v>
      </c>
      <c r="M127" s="20">
        <v>0.34523076923076923</v>
      </c>
      <c r="N127" s="20">
        <v>0.35918165319254247</v>
      </c>
      <c r="P127" s="19">
        <v>2662</v>
      </c>
      <c r="Q127" s="19">
        <v>2711</v>
      </c>
      <c r="R127" s="19">
        <v>2601</v>
      </c>
      <c r="S127" s="20">
        <v>0.40897219234905513</v>
      </c>
      <c r="T127" s="20">
        <v>0.41707692307692307</v>
      </c>
      <c r="U127" s="20">
        <v>0.42913710608810429</v>
      </c>
    </row>
    <row r="128" spans="1:21" customFormat="1" ht="15" x14ac:dyDescent="0.25">
      <c r="A128" s="18" t="s">
        <v>24</v>
      </c>
      <c r="B128" s="19">
        <v>0</v>
      </c>
      <c r="C128" s="19">
        <v>0</v>
      </c>
      <c r="D128" s="19">
        <v>0</v>
      </c>
      <c r="E128" s="20">
        <v>0</v>
      </c>
      <c r="F128" s="20">
        <v>0</v>
      </c>
      <c r="G128" s="20">
        <v>0</v>
      </c>
      <c r="I128" s="19">
        <v>14</v>
      </c>
      <c r="J128" s="19">
        <v>0</v>
      </c>
      <c r="K128" s="19">
        <v>49</v>
      </c>
      <c r="L128" s="20">
        <v>0.1037037037037037</v>
      </c>
      <c r="M128" s="20">
        <v>0</v>
      </c>
      <c r="N128" s="20">
        <v>0.3081761006289308</v>
      </c>
      <c r="P128" s="19">
        <v>14</v>
      </c>
      <c r="Q128" s="19">
        <v>0</v>
      </c>
      <c r="R128" s="19">
        <v>49</v>
      </c>
      <c r="S128" s="20">
        <v>0.1037037037037037</v>
      </c>
      <c r="T128" s="20">
        <v>0</v>
      </c>
      <c r="U128" s="20">
        <v>0.3081761006289308</v>
      </c>
    </row>
    <row r="129" spans="1:21" customFormat="1" ht="15" x14ac:dyDescent="0.25">
      <c r="A129" s="18" t="s">
        <v>26</v>
      </c>
      <c r="B129" s="19">
        <v>360</v>
      </c>
      <c r="C129" s="19">
        <v>362</v>
      </c>
      <c r="D129" s="19">
        <v>356</v>
      </c>
      <c r="E129" s="20">
        <v>0.1702127659574468</v>
      </c>
      <c r="F129" s="20">
        <v>0.173621103117506</v>
      </c>
      <c r="G129" s="20">
        <v>0.17408312958435207</v>
      </c>
      <c r="I129" s="19">
        <v>865</v>
      </c>
      <c r="J129" s="19">
        <v>849</v>
      </c>
      <c r="K129" s="19">
        <v>833</v>
      </c>
      <c r="L129" s="20">
        <v>0.40898345153664301</v>
      </c>
      <c r="M129" s="20">
        <v>0.40719424460431652</v>
      </c>
      <c r="N129" s="20">
        <v>0.40733496332518337</v>
      </c>
      <c r="P129" s="19">
        <v>1225</v>
      </c>
      <c r="Q129" s="19">
        <v>1211</v>
      </c>
      <c r="R129" s="19">
        <v>1189</v>
      </c>
      <c r="S129" s="20">
        <v>0.57919621749408978</v>
      </c>
      <c r="T129" s="20">
        <v>0.58081534772182253</v>
      </c>
      <c r="U129" s="20">
        <v>0.58141809290953539</v>
      </c>
    </row>
    <row r="130" spans="1:21" customFormat="1" ht="15" x14ac:dyDescent="0.25">
      <c r="A130" s="18" t="s">
        <v>28</v>
      </c>
      <c r="B130" s="19">
        <v>399</v>
      </c>
      <c r="C130" s="19">
        <v>117</v>
      </c>
      <c r="D130" s="19">
        <v>101</v>
      </c>
      <c r="E130" s="20">
        <v>7.1428571428571425E-2</v>
      </c>
      <c r="F130" s="20">
        <v>2.180395080134178E-2</v>
      </c>
      <c r="G130" s="20">
        <v>1.9498069498069499E-2</v>
      </c>
      <c r="I130" s="19">
        <v>639</v>
      </c>
      <c r="J130" s="19">
        <v>218</v>
      </c>
      <c r="K130" s="19">
        <v>226</v>
      </c>
      <c r="L130" s="20">
        <v>0.11439312567132116</v>
      </c>
      <c r="M130" s="20">
        <v>4.0626164740961611E-2</v>
      </c>
      <c r="N130" s="20">
        <v>4.3629343629343627E-2</v>
      </c>
      <c r="P130" s="19">
        <v>1038</v>
      </c>
      <c r="Q130" s="19">
        <v>335</v>
      </c>
      <c r="R130" s="19">
        <v>327</v>
      </c>
      <c r="S130" s="20">
        <v>0.1858216970998926</v>
      </c>
      <c r="T130" s="20">
        <v>6.2430115542303391E-2</v>
      </c>
      <c r="U130" s="20">
        <v>6.3127413127413129E-2</v>
      </c>
    </row>
    <row r="131" spans="1:21" customFormat="1" ht="15" x14ac:dyDescent="0.25">
      <c r="A131" s="18" t="s">
        <v>29</v>
      </c>
      <c r="B131" s="19">
        <v>18</v>
      </c>
      <c r="C131" s="19">
        <v>38</v>
      </c>
      <c r="D131" s="19">
        <v>37</v>
      </c>
      <c r="E131" s="20">
        <v>1.4162077104642014E-2</v>
      </c>
      <c r="F131" s="20">
        <v>2.1064301552106431E-2</v>
      </c>
      <c r="G131" s="20">
        <v>1.6810540663334848E-2</v>
      </c>
      <c r="I131" s="19">
        <v>128</v>
      </c>
      <c r="J131" s="19">
        <v>186</v>
      </c>
      <c r="K131" s="19">
        <v>158</v>
      </c>
      <c r="L131" s="20">
        <v>0.1007081038552321</v>
      </c>
      <c r="M131" s="20">
        <v>0.10310421286031042</v>
      </c>
      <c r="N131" s="20">
        <v>7.1785552021808266E-2</v>
      </c>
      <c r="P131" s="19">
        <v>146</v>
      </c>
      <c r="Q131" s="19">
        <v>224</v>
      </c>
      <c r="R131" s="19">
        <v>195</v>
      </c>
      <c r="S131" s="20">
        <v>0.11487018095987411</v>
      </c>
      <c r="T131" s="20">
        <v>0.12416851441241686</v>
      </c>
      <c r="U131" s="20">
        <v>8.859609268514311E-2</v>
      </c>
    </row>
    <row r="132" spans="1:21" customFormat="1" ht="15" x14ac:dyDescent="0.25">
      <c r="A132" s="18" t="s">
        <v>30</v>
      </c>
      <c r="B132" s="19">
        <v>8246</v>
      </c>
      <c r="C132" s="19">
        <v>8054</v>
      </c>
      <c r="D132" s="19">
        <v>7830</v>
      </c>
      <c r="E132" s="20">
        <v>0.11617848035279034</v>
      </c>
      <c r="F132" s="20">
        <v>0.12376869054753892</v>
      </c>
      <c r="G132" s="20">
        <v>0.12233037011576858</v>
      </c>
      <c r="I132" s="19">
        <v>10415</v>
      </c>
      <c r="J132" s="19">
        <v>10434</v>
      </c>
      <c r="K132" s="19">
        <v>10490</v>
      </c>
      <c r="L132" s="20">
        <v>0.14673767558504869</v>
      </c>
      <c r="M132" s="20">
        <v>0.16034299940067309</v>
      </c>
      <c r="N132" s="20">
        <v>0.16388832471448436</v>
      </c>
      <c r="P132" s="19">
        <v>18661</v>
      </c>
      <c r="Q132" s="19">
        <v>18488</v>
      </c>
      <c r="R132" s="19">
        <v>18320</v>
      </c>
      <c r="S132" s="20">
        <v>0.26291615593783901</v>
      </c>
      <c r="T132" s="20">
        <v>0.28411168994821201</v>
      </c>
      <c r="U132" s="20">
        <v>0.28621869483025297</v>
      </c>
    </row>
    <row r="133" spans="1:21" customFormat="1" ht="15" x14ac:dyDescent="0.25">
      <c r="A133" s="18" t="s">
        <v>80</v>
      </c>
      <c r="B133" s="19">
        <v>0</v>
      </c>
      <c r="C133" s="19">
        <v>0</v>
      </c>
      <c r="D133" s="19">
        <v>0</v>
      </c>
      <c r="E133" s="20">
        <v>0</v>
      </c>
      <c r="F133" s="20">
        <v>0</v>
      </c>
      <c r="G133" s="20">
        <v>0</v>
      </c>
      <c r="I133" s="19">
        <v>6</v>
      </c>
      <c r="J133" s="19">
        <v>7</v>
      </c>
      <c r="K133" s="19">
        <v>7</v>
      </c>
      <c r="L133" s="20">
        <v>5.128205128205128E-2</v>
      </c>
      <c r="M133" s="20">
        <v>6.4220183486238536E-2</v>
      </c>
      <c r="N133" s="20">
        <v>5.9829059829059832E-2</v>
      </c>
      <c r="P133" s="19">
        <v>6</v>
      </c>
      <c r="Q133" s="19">
        <v>7</v>
      </c>
      <c r="R133" s="19">
        <v>7</v>
      </c>
      <c r="S133" s="20">
        <v>5.128205128205128E-2</v>
      </c>
      <c r="T133" s="20">
        <v>6.4220183486238536E-2</v>
      </c>
      <c r="U133" s="20">
        <v>5.9829059829059832E-2</v>
      </c>
    </row>
    <row r="134" spans="1:21" customFormat="1" ht="15" x14ac:dyDescent="0.25">
      <c r="A134" s="18" t="s">
        <v>37</v>
      </c>
      <c r="B134" s="19">
        <v>5581</v>
      </c>
      <c r="C134" s="19">
        <v>5563</v>
      </c>
      <c r="D134" s="19">
        <v>6094</v>
      </c>
      <c r="E134" s="20">
        <v>0.14536504050217489</v>
      </c>
      <c r="F134" s="20">
        <v>0.1405649888821508</v>
      </c>
      <c r="G134" s="20">
        <v>0.14908139051300243</v>
      </c>
      <c r="I134" s="19">
        <v>6746</v>
      </c>
      <c r="J134" s="19">
        <v>6859</v>
      </c>
      <c r="K134" s="19">
        <v>7921</v>
      </c>
      <c r="L134" s="20">
        <v>0.1757091136405074</v>
      </c>
      <c r="M134" s="20">
        <v>0.17331210834849403</v>
      </c>
      <c r="N134" s="20">
        <v>0.19377645130513491</v>
      </c>
      <c r="P134" s="19">
        <v>12327</v>
      </c>
      <c r="Q134" s="19">
        <v>12422</v>
      </c>
      <c r="R134" s="19">
        <v>14015</v>
      </c>
      <c r="S134" s="20">
        <v>0.32107415414268226</v>
      </c>
      <c r="T134" s="20">
        <v>0.31387709723064483</v>
      </c>
      <c r="U134" s="20">
        <v>0.34285784181813733</v>
      </c>
    </row>
    <row r="135" spans="1:21" customFormat="1" ht="15" x14ac:dyDescent="0.25">
      <c r="A135" s="18" t="s">
        <v>39</v>
      </c>
      <c r="B135" s="19">
        <v>0</v>
      </c>
      <c r="C135" s="19">
        <v>0</v>
      </c>
      <c r="D135" s="19">
        <v>2</v>
      </c>
      <c r="E135" s="20">
        <v>0</v>
      </c>
      <c r="F135" s="20">
        <v>0</v>
      </c>
      <c r="G135" s="20">
        <v>4.0816326530612242E-2</v>
      </c>
      <c r="I135" s="19">
        <v>0</v>
      </c>
      <c r="J135" s="19">
        <v>0</v>
      </c>
      <c r="K135" s="19">
        <v>44</v>
      </c>
      <c r="L135" s="20">
        <v>0</v>
      </c>
      <c r="M135" s="20">
        <v>0</v>
      </c>
      <c r="N135" s="20">
        <v>0.89795918367346939</v>
      </c>
      <c r="P135" s="19">
        <v>0</v>
      </c>
      <c r="Q135" s="19">
        <v>0</v>
      </c>
      <c r="R135" s="19">
        <v>46</v>
      </c>
      <c r="S135" s="20">
        <v>0</v>
      </c>
      <c r="T135" s="20">
        <v>0</v>
      </c>
      <c r="U135" s="20">
        <v>0.93877551020408168</v>
      </c>
    </row>
    <row r="136" spans="1:21" customFormat="1" ht="15" x14ac:dyDescent="0.25">
      <c r="A136" s="18" t="s">
        <v>40</v>
      </c>
      <c r="B136" s="19">
        <v>543</v>
      </c>
      <c r="C136" s="19">
        <v>485</v>
      </c>
      <c r="D136" s="19">
        <v>500</v>
      </c>
      <c r="E136" s="20">
        <v>8.0301685891748006E-2</v>
      </c>
      <c r="F136" s="20">
        <v>7.2398865502313781E-2</v>
      </c>
      <c r="G136" s="20">
        <v>7.2139662386380032E-2</v>
      </c>
      <c r="I136" s="19">
        <v>846</v>
      </c>
      <c r="J136" s="19">
        <v>771</v>
      </c>
      <c r="K136" s="19">
        <v>821</v>
      </c>
      <c r="L136" s="20">
        <v>0.12511091393078971</v>
      </c>
      <c r="M136" s="20">
        <v>0.11509180474697717</v>
      </c>
      <c r="N136" s="20">
        <v>0.11845332563843601</v>
      </c>
      <c r="P136" s="19">
        <v>1389</v>
      </c>
      <c r="Q136" s="19">
        <v>1256</v>
      </c>
      <c r="R136" s="19">
        <v>1321</v>
      </c>
      <c r="S136" s="20">
        <v>0.20541259982253773</v>
      </c>
      <c r="T136" s="20">
        <v>0.18749067024929095</v>
      </c>
      <c r="U136" s="20">
        <v>0.19059298802481606</v>
      </c>
    </row>
    <row r="137" spans="1:21" customFormat="1" ht="15" x14ac:dyDescent="0.25">
      <c r="A137" s="18" t="s">
        <v>41</v>
      </c>
      <c r="B137" s="19">
        <v>0</v>
      </c>
      <c r="C137" s="19">
        <v>1</v>
      </c>
      <c r="D137" s="19">
        <v>0</v>
      </c>
      <c r="E137" s="20">
        <v>0</v>
      </c>
      <c r="F137" s="20">
        <v>3.8610038610038611E-3</v>
      </c>
      <c r="G137" s="20">
        <v>0</v>
      </c>
      <c r="I137" s="19">
        <v>26</v>
      </c>
      <c r="J137" s="19">
        <v>26</v>
      </c>
      <c r="K137" s="19">
        <v>31</v>
      </c>
      <c r="L137" s="20">
        <v>9.5940959409594101E-2</v>
      </c>
      <c r="M137" s="20">
        <v>0.10038610038610038</v>
      </c>
      <c r="N137" s="20">
        <v>0.1297071129707113</v>
      </c>
      <c r="P137" s="19">
        <v>26</v>
      </c>
      <c r="Q137" s="19">
        <v>27</v>
      </c>
      <c r="R137" s="19">
        <v>31</v>
      </c>
      <c r="S137" s="20">
        <v>9.5940959409594101E-2</v>
      </c>
      <c r="T137" s="20">
        <v>0.10424710424710425</v>
      </c>
      <c r="U137" s="20">
        <v>0.1297071129707113</v>
      </c>
    </row>
    <row r="138" spans="1:21" customFormat="1" ht="15" x14ac:dyDescent="0.25">
      <c r="A138" s="18" t="s">
        <v>43</v>
      </c>
      <c r="B138" s="19">
        <v>22473</v>
      </c>
      <c r="C138" s="19">
        <v>22321</v>
      </c>
      <c r="D138" s="19">
        <v>22230</v>
      </c>
      <c r="E138" s="20">
        <v>9.9130135596509961E-2</v>
      </c>
      <c r="F138" s="20">
        <v>9.8038009987833644E-2</v>
      </c>
      <c r="G138" s="20">
        <v>9.5911569791522849E-2</v>
      </c>
      <c r="I138" s="19">
        <v>34455</v>
      </c>
      <c r="J138" s="19">
        <v>35686</v>
      </c>
      <c r="K138" s="19">
        <v>38132</v>
      </c>
      <c r="L138" s="20">
        <v>0.15198366137043343</v>
      </c>
      <c r="M138" s="20">
        <v>0.15673959161443624</v>
      </c>
      <c r="N138" s="20">
        <v>0.1645209167472042</v>
      </c>
      <c r="P138" s="19">
        <v>56928</v>
      </c>
      <c r="Q138" s="19">
        <v>58007</v>
      </c>
      <c r="R138" s="19">
        <v>60362</v>
      </c>
      <c r="S138" s="20">
        <v>0.25111379696694336</v>
      </c>
      <c r="T138" s="20">
        <v>0.25477760160226987</v>
      </c>
      <c r="U138" s="20">
        <v>0.26043248653872708</v>
      </c>
    </row>
    <row r="139" spans="1:21" customFormat="1" ht="15" x14ac:dyDescent="0.25">
      <c r="A139" s="18" t="s">
        <v>44</v>
      </c>
      <c r="B139" s="19">
        <v>0</v>
      </c>
      <c r="C139" s="19">
        <v>0</v>
      </c>
      <c r="D139" s="19">
        <v>0</v>
      </c>
      <c r="E139" s="20">
        <v>0</v>
      </c>
      <c r="F139" s="20">
        <v>0</v>
      </c>
      <c r="G139" s="20">
        <v>0</v>
      </c>
      <c r="I139" s="19">
        <v>5</v>
      </c>
      <c r="J139" s="19">
        <v>11</v>
      </c>
      <c r="K139" s="19">
        <v>6</v>
      </c>
      <c r="L139" s="20">
        <v>0.35714285714285715</v>
      </c>
      <c r="M139" s="20">
        <v>0.7857142857142857</v>
      </c>
      <c r="N139" s="20">
        <v>0.6</v>
      </c>
      <c r="P139" s="19">
        <v>5</v>
      </c>
      <c r="Q139" s="19">
        <v>11</v>
      </c>
      <c r="R139" s="19">
        <v>6</v>
      </c>
      <c r="S139" s="20">
        <v>0.35714285714285715</v>
      </c>
      <c r="T139" s="20">
        <v>0.7857142857142857</v>
      </c>
      <c r="U139" s="20">
        <v>0.6</v>
      </c>
    </row>
    <row r="140" spans="1:21" customFormat="1" ht="15" x14ac:dyDescent="0.25">
      <c r="A140" s="18" t="s">
        <v>46</v>
      </c>
      <c r="B140" s="19">
        <v>0</v>
      </c>
      <c r="C140" s="19">
        <v>3</v>
      </c>
      <c r="D140" s="19">
        <v>5</v>
      </c>
      <c r="E140" s="20">
        <v>0</v>
      </c>
      <c r="F140" s="20">
        <v>5.5555555555555552E-2</v>
      </c>
      <c r="G140" s="20">
        <v>3.1847133757961783E-2</v>
      </c>
      <c r="I140" s="19">
        <v>0</v>
      </c>
      <c r="J140" s="19">
        <v>6</v>
      </c>
      <c r="K140" s="19">
        <v>10</v>
      </c>
      <c r="L140" s="20">
        <v>0</v>
      </c>
      <c r="M140" s="20">
        <v>0.1111111111111111</v>
      </c>
      <c r="N140" s="20">
        <v>6.3694267515923567E-2</v>
      </c>
      <c r="P140" s="19">
        <v>0</v>
      </c>
      <c r="Q140" s="19">
        <v>9</v>
      </c>
      <c r="R140" s="19">
        <v>15</v>
      </c>
      <c r="S140" s="20">
        <v>0</v>
      </c>
      <c r="T140" s="20">
        <v>0.16666666666666666</v>
      </c>
      <c r="U140" s="20">
        <v>9.5541401273885357E-2</v>
      </c>
    </row>
    <row r="141" spans="1:21" customFormat="1" ht="15" x14ac:dyDescent="0.25">
      <c r="A141" s="18" t="s">
        <v>126</v>
      </c>
      <c r="B141" s="19">
        <v>2954</v>
      </c>
      <c r="C141" s="19">
        <v>3069</v>
      </c>
      <c r="D141" s="19">
        <v>3098</v>
      </c>
      <c r="E141" s="20">
        <v>0.11939212674803977</v>
      </c>
      <c r="F141" s="20">
        <v>0.12541888026154474</v>
      </c>
      <c r="G141" s="20">
        <v>0.1282337845109483</v>
      </c>
      <c r="I141" s="19">
        <v>5693</v>
      </c>
      <c r="J141" s="19">
        <v>6254</v>
      </c>
      <c r="K141" s="19">
        <v>6525</v>
      </c>
      <c r="L141" s="20">
        <v>0.23009457602457359</v>
      </c>
      <c r="M141" s="20">
        <v>0.25557825909276666</v>
      </c>
      <c r="N141" s="20">
        <v>0.27008568235440211</v>
      </c>
      <c r="P141" s="19">
        <v>8647</v>
      </c>
      <c r="Q141" s="19">
        <v>9323</v>
      </c>
      <c r="R141" s="19">
        <v>9623</v>
      </c>
      <c r="S141" s="20">
        <v>0.34948670277261334</v>
      </c>
      <c r="T141" s="20">
        <v>0.3809971393543114</v>
      </c>
      <c r="U141" s="20">
        <v>0.39831946686535041</v>
      </c>
    </row>
    <row r="142" spans="1:21" customFormat="1" ht="15" x14ac:dyDescent="0.25">
      <c r="A142" s="18" t="s">
        <v>48</v>
      </c>
      <c r="B142" s="19">
        <v>0</v>
      </c>
      <c r="C142" s="19">
        <v>28</v>
      </c>
      <c r="D142" s="19">
        <v>38</v>
      </c>
      <c r="E142" s="20">
        <v>0</v>
      </c>
      <c r="F142" s="20">
        <v>0.11618257261410789</v>
      </c>
      <c r="G142" s="20">
        <v>0.12418300653594772</v>
      </c>
      <c r="I142" s="19">
        <v>5</v>
      </c>
      <c r="J142" s="19">
        <v>15</v>
      </c>
      <c r="K142" s="19">
        <v>73</v>
      </c>
      <c r="L142" s="20">
        <v>0.1388888888888889</v>
      </c>
      <c r="M142" s="20">
        <v>6.2240663900414939E-2</v>
      </c>
      <c r="N142" s="20">
        <v>0.23856209150326799</v>
      </c>
      <c r="P142" s="19">
        <v>5</v>
      </c>
      <c r="Q142" s="19">
        <v>43</v>
      </c>
      <c r="R142" s="19">
        <v>111</v>
      </c>
      <c r="S142" s="20">
        <v>0.1388888888888889</v>
      </c>
      <c r="T142" s="20">
        <v>0.17842323651452283</v>
      </c>
      <c r="U142" s="20">
        <v>0.36274509803921573</v>
      </c>
    </row>
    <row r="143" spans="1:21" customFormat="1" ht="15" x14ac:dyDescent="0.25">
      <c r="A143" s="18" t="s">
        <v>49</v>
      </c>
      <c r="B143" s="19">
        <v>0</v>
      </c>
      <c r="C143" s="19">
        <v>0</v>
      </c>
      <c r="D143" s="19">
        <v>8</v>
      </c>
      <c r="E143" s="20">
        <v>0</v>
      </c>
      <c r="F143" s="20">
        <v>0</v>
      </c>
      <c r="G143" s="20">
        <v>3.125E-2</v>
      </c>
      <c r="I143" s="19">
        <v>11</v>
      </c>
      <c r="J143" s="19">
        <v>13</v>
      </c>
      <c r="K143" s="19">
        <v>8</v>
      </c>
      <c r="L143" s="20">
        <v>3.9855072463768113E-2</v>
      </c>
      <c r="M143" s="20">
        <v>4.9056603773584909E-2</v>
      </c>
      <c r="N143" s="20">
        <v>3.125E-2</v>
      </c>
      <c r="P143" s="19">
        <v>11</v>
      </c>
      <c r="Q143" s="19">
        <v>13</v>
      </c>
      <c r="R143" s="19">
        <v>16</v>
      </c>
      <c r="S143" s="20">
        <v>3.9855072463768113E-2</v>
      </c>
      <c r="T143" s="20">
        <v>4.9056603773584909E-2</v>
      </c>
      <c r="U143" s="20">
        <v>6.25E-2</v>
      </c>
    </row>
    <row r="144" spans="1:21" customFormat="1" ht="15" x14ac:dyDescent="0.25">
      <c r="A144" s="18" t="s">
        <v>52</v>
      </c>
      <c r="B144" s="19">
        <v>162</v>
      </c>
      <c r="C144" s="19">
        <v>176</v>
      </c>
      <c r="D144" s="19">
        <v>184</v>
      </c>
      <c r="E144" s="20">
        <v>3.0646992054483541E-2</v>
      </c>
      <c r="F144" s="20">
        <v>3.3511043412033509E-2</v>
      </c>
      <c r="G144" s="20">
        <v>3.3904551317486639E-2</v>
      </c>
      <c r="I144" s="19">
        <v>361</v>
      </c>
      <c r="J144" s="19">
        <v>430</v>
      </c>
      <c r="K144" s="19">
        <v>511</v>
      </c>
      <c r="L144" s="20">
        <v>6.8293605751040487E-2</v>
      </c>
      <c r="M144" s="20">
        <v>8.1873571972581868E-2</v>
      </c>
      <c r="N144" s="20">
        <v>9.4158835452367792E-2</v>
      </c>
      <c r="P144" s="19">
        <v>523</v>
      </c>
      <c r="Q144" s="19">
        <v>606</v>
      </c>
      <c r="R144" s="19">
        <v>695</v>
      </c>
      <c r="S144" s="20">
        <v>9.8940597805524028E-2</v>
      </c>
      <c r="T144" s="20">
        <v>0.11538461538461538</v>
      </c>
      <c r="U144" s="20">
        <v>0.12806338676985443</v>
      </c>
    </row>
    <row r="145" spans="1:21" customFormat="1" ht="15" x14ac:dyDescent="0.25">
      <c r="A145" s="18" t="s">
        <v>53</v>
      </c>
      <c r="B145" s="19">
        <v>0</v>
      </c>
      <c r="C145" s="19">
        <v>0</v>
      </c>
      <c r="D145" s="19">
        <v>0</v>
      </c>
      <c r="E145" s="20">
        <v>0</v>
      </c>
      <c r="F145" s="20">
        <v>0</v>
      </c>
      <c r="G145" s="20">
        <v>0</v>
      </c>
      <c r="I145" s="19">
        <v>232</v>
      </c>
      <c r="J145" s="19">
        <v>232</v>
      </c>
      <c r="K145" s="19">
        <v>153</v>
      </c>
      <c r="L145" s="20">
        <v>0.93927125506072873</v>
      </c>
      <c r="M145" s="20">
        <v>1.0311111111111111</v>
      </c>
      <c r="N145" s="20">
        <v>0.796875</v>
      </c>
      <c r="P145" s="19">
        <v>232</v>
      </c>
      <c r="Q145" s="19">
        <v>232</v>
      </c>
      <c r="R145" s="19">
        <v>153</v>
      </c>
      <c r="S145" s="20">
        <v>0.93927125506072873</v>
      </c>
      <c r="T145" s="20">
        <v>1.0311111111111111</v>
      </c>
      <c r="U145" s="20">
        <v>0.796875</v>
      </c>
    </row>
    <row r="146" spans="1:21" customFormat="1" ht="15" x14ac:dyDescent="0.25">
      <c r="A146" s="18" t="s">
        <v>54</v>
      </c>
      <c r="B146" s="19">
        <v>0</v>
      </c>
      <c r="C146" s="19">
        <v>0</v>
      </c>
      <c r="D146" s="19">
        <v>0</v>
      </c>
      <c r="E146" s="20">
        <v>0</v>
      </c>
      <c r="F146" s="20">
        <v>0</v>
      </c>
      <c r="G146" s="20">
        <v>0</v>
      </c>
      <c r="I146" s="19">
        <v>374</v>
      </c>
      <c r="J146" s="19">
        <v>377</v>
      </c>
      <c r="K146" s="19">
        <v>380</v>
      </c>
      <c r="L146" s="20">
        <v>0.21201814058956917</v>
      </c>
      <c r="M146" s="20">
        <v>0.21704087507196315</v>
      </c>
      <c r="N146" s="20">
        <v>0.19009504752376188</v>
      </c>
      <c r="P146" s="19">
        <v>374</v>
      </c>
      <c r="Q146" s="19">
        <v>377</v>
      </c>
      <c r="R146" s="19">
        <v>380</v>
      </c>
      <c r="S146" s="20">
        <v>0.21201814058956917</v>
      </c>
      <c r="T146" s="20">
        <v>0.21704087507196315</v>
      </c>
      <c r="U146" s="20">
        <v>0.19009504752376188</v>
      </c>
    </row>
    <row r="147" spans="1:21" customFormat="1" ht="15" x14ac:dyDescent="0.25">
      <c r="A147" s="18" t="s">
        <v>90</v>
      </c>
      <c r="B147" s="19">
        <v>0</v>
      </c>
      <c r="C147" s="19">
        <v>0</v>
      </c>
      <c r="D147" s="19">
        <v>0</v>
      </c>
      <c r="E147" s="20">
        <v>0</v>
      </c>
      <c r="F147" s="20">
        <v>0</v>
      </c>
      <c r="G147" s="20">
        <v>0</v>
      </c>
      <c r="I147" s="19">
        <v>0</v>
      </c>
      <c r="J147" s="19">
        <v>370</v>
      </c>
      <c r="K147" s="19">
        <v>370</v>
      </c>
      <c r="L147" s="20">
        <v>0</v>
      </c>
      <c r="M147" s="20">
        <v>6.6968325791855202E-2</v>
      </c>
      <c r="N147" s="20">
        <v>6.6968325791855202E-2</v>
      </c>
      <c r="P147" s="19">
        <v>0</v>
      </c>
      <c r="Q147" s="19">
        <v>370</v>
      </c>
      <c r="R147" s="19">
        <v>370</v>
      </c>
      <c r="S147" s="20">
        <v>0</v>
      </c>
      <c r="T147" s="20">
        <v>6.6968325791855202E-2</v>
      </c>
      <c r="U147" s="20">
        <v>6.6968325791855202E-2</v>
      </c>
    </row>
    <row r="148" spans="1:21" customFormat="1" ht="15" x14ac:dyDescent="0.25">
      <c r="A148" s="18" t="s">
        <v>55</v>
      </c>
      <c r="B148" s="19">
        <v>10010</v>
      </c>
      <c r="C148" s="19">
        <v>9614</v>
      </c>
      <c r="D148" s="19">
        <v>10053</v>
      </c>
      <c r="E148" s="20">
        <v>0.11961236512242045</v>
      </c>
      <c r="F148" s="20">
        <v>0.10978896400511602</v>
      </c>
      <c r="G148" s="20">
        <v>0.11375517686197298</v>
      </c>
      <c r="I148" s="19">
        <v>14785</v>
      </c>
      <c r="J148" s="19">
        <v>14324</v>
      </c>
      <c r="K148" s="19">
        <v>15728</v>
      </c>
      <c r="L148" s="20">
        <v>0.17667021162187677</v>
      </c>
      <c r="M148" s="20">
        <v>0.16357573542846701</v>
      </c>
      <c r="N148" s="20">
        <v>0.17797089641749836</v>
      </c>
      <c r="P148" s="19">
        <v>24795</v>
      </c>
      <c r="Q148" s="19">
        <v>23938</v>
      </c>
      <c r="R148" s="19">
        <v>25781</v>
      </c>
      <c r="S148" s="20">
        <v>0.2962825767442972</v>
      </c>
      <c r="T148" s="20">
        <v>0.27336469943358305</v>
      </c>
      <c r="U148" s="20">
        <v>0.29172607327947131</v>
      </c>
    </row>
    <row r="149" spans="1:21" s="43" customFormat="1" ht="15" x14ac:dyDescent="0.25">
      <c r="A149" s="29" t="s">
        <v>71</v>
      </c>
      <c r="B149" s="27">
        <v>90598</v>
      </c>
      <c r="C149" s="27">
        <v>89398</v>
      </c>
      <c r="D149" s="27">
        <v>90232</v>
      </c>
      <c r="E149" s="22">
        <v>0.10311420890534909</v>
      </c>
      <c r="F149" s="22">
        <v>0.10210811138028356</v>
      </c>
      <c r="G149" s="22">
        <v>0.10243381342088205</v>
      </c>
      <c r="I149" s="27">
        <v>130981</v>
      </c>
      <c r="J149" s="27">
        <v>135960</v>
      </c>
      <c r="K149" s="27">
        <v>144014</v>
      </c>
      <c r="L149" s="22">
        <v>0.1490761627920211</v>
      </c>
      <c r="M149" s="22">
        <v>0.15529003806867439</v>
      </c>
      <c r="N149" s="22">
        <v>0.16348859834642818</v>
      </c>
      <c r="P149" s="21">
        <v>221579</v>
      </c>
      <c r="Q149" s="21">
        <v>225358</v>
      </c>
      <c r="R149" s="21">
        <v>234246</v>
      </c>
      <c r="S149" s="22">
        <v>0.25219037169737019</v>
      </c>
      <c r="T149" s="22">
        <v>0.25739814944895795</v>
      </c>
      <c r="U149" s="22">
        <v>0.26592241176731024</v>
      </c>
    </row>
    <row r="150" spans="1:21" customFormat="1" ht="15" x14ac:dyDescent="0.25">
      <c r="A150" s="18"/>
      <c r="B150" s="19"/>
      <c r="C150" s="19"/>
      <c r="D150" s="19"/>
      <c r="E150" s="19"/>
      <c r="F150" s="19"/>
      <c r="G150" s="19"/>
      <c r="I150" s="19"/>
      <c r="J150" s="19"/>
      <c r="K150" s="19"/>
      <c r="L150" s="19"/>
      <c r="M150" s="19"/>
      <c r="N150" s="19"/>
      <c r="P150" s="19"/>
      <c r="Q150" s="19"/>
      <c r="R150" s="19"/>
      <c r="S150" s="20"/>
      <c r="T150" s="20"/>
      <c r="U150" s="20"/>
    </row>
    <row r="151" spans="1:21" customFormat="1" ht="15" x14ac:dyDescent="0.25">
      <c r="A151" s="28" t="s">
        <v>72</v>
      </c>
      <c r="B151" s="25"/>
      <c r="C151" s="25"/>
      <c r="D151" s="25"/>
      <c r="E151" s="25"/>
      <c r="F151" s="25"/>
      <c r="G151" s="25"/>
      <c r="I151" s="25"/>
      <c r="J151" s="25"/>
      <c r="K151" s="25"/>
      <c r="L151" s="25"/>
      <c r="M151" s="25"/>
      <c r="N151" s="25"/>
      <c r="P151" s="19"/>
      <c r="Q151" s="19"/>
      <c r="R151" s="19"/>
      <c r="S151" s="20"/>
      <c r="T151" s="20"/>
      <c r="U151" s="20"/>
    </row>
    <row r="152" spans="1:21" customFormat="1" ht="15" x14ac:dyDescent="0.25">
      <c r="A152" s="18" t="s">
        <v>17</v>
      </c>
      <c r="B152" s="19">
        <v>0</v>
      </c>
      <c r="C152" s="19">
        <v>1</v>
      </c>
      <c r="D152" s="19">
        <v>41</v>
      </c>
      <c r="E152" s="20">
        <v>0</v>
      </c>
      <c r="F152" s="20">
        <v>1.0695187165775401E-3</v>
      </c>
      <c r="G152" s="20">
        <v>2.0408163265306121E-2</v>
      </c>
      <c r="I152" s="19">
        <v>0</v>
      </c>
      <c r="J152" s="19">
        <v>60</v>
      </c>
      <c r="K152" s="19">
        <v>206</v>
      </c>
      <c r="L152" s="20">
        <v>0</v>
      </c>
      <c r="M152" s="20">
        <v>6.4171122994652413E-2</v>
      </c>
      <c r="N152" s="20">
        <v>0.10253857640617223</v>
      </c>
      <c r="P152" s="19">
        <v>0</v>
      </c>
      <c r="Q152" s="19">
        <v>61</v>
      </c>
      <c r="R152" s="19">
        <v>247</v>
      </c>
      <c r="S152" s="20">
        <v>0</v>
      </c>
      <c r="T152" s="20">
        <v>6.5240641711229952E-2</v>
      </c>
      <c r="U152" s="20">
        <v>0.12294673967147834</v>
      </c>
    </row>
    <row r="153" spans="1:21" customFormat="1" ht="15" x14ac:dyDescent="0.25">
      <c r="A153" s="18" t="s">
        <v>22</v>
      </c>
      <c r="B153" s="19">
        <v>14772</v>
      </c>
      <c r="C153" s="19">
        <v>14430</v>
      </c>
      <c r="D153" s="19">
        <v>14038</v>
      </c>
      <c r="E153" s="20">
        <v>5.2427411884540441E-2</v>
      </c>
      <c r="F153" s="20">
        <v>5.1139021589668709E-2</v>
      </c>
      <c r="G153" s="20">
        <v>4.9410613532130276E-2</v>
      </c>
      <c r="I153" s="19">
        <v>13607</v>
      </c>
      <c r="J153" s="19">
        <v>14396</v>
      </c>
      <c r="K153" s="19">
        <v>14931</v>
      </c>
      <c r="L153" s="20">
        <v>4.8292701970819238E-2</v>
      </c>
      <c r="M153" s="20">
        <v>5.1018527706505251E-2</v>
      </c>
      <c r="N153" s="20">
        <v>5.2553773375711432E-2</v>
      </c>
      <c r="P153" s="19">
        <v>28379</v>
      </c>
      <c r="Q153" s="19">
        <v>28826</v>
      </c>
      <c r="R153" s="19">
        <v>28969</v>
      </c>
      <c r="S153" s="20">
        <v>0.10072011385535967</v>
      </c>
      <c r="T153" s="20">
        <v>0.10215754929617396</v>
      </c>
      <c r="U153" s="20">
        <v>0.10196438690784171</v>
      </c>
    </row>
    <row r="154" spans="1:21" customFormat="1" ht="15" x14ac:dyDescent="0.25">
      <c r="A154" s="18" t="s">
        <v>80</v>
      </c>
      <c r="B154" s="19">
        <v>1</v>
      </c>
      <c r="C154" s="19">
        <v>1</v>
      </c>
      <c r="D154" s="19">
        <v>0</v>
      </c>
      <c r="E154" s="20">
        <v>2E-3</v>
      </c>
      <c r="F154" s="20">
        <v>2.0964360587002098E-3</v>
      </c>
      <c r="G154" s="20">
        <v>0</v>
      </c>
      <c r="I154" s="19">
        <v>3</v>
      </c>
      <c r="J154" s="19">
        <v>5</v>
      </c>
      <c r="K154" s="19">
        <v>5</v>
      </c>
      <c r="L154" s="20">
        <v>6.0000000000000001E-3</v>
      </c>
      <c r="M154" s="20">
        <v>1.0482180293501049E-2</v>
      </c>
      <c r="N154" s="20">
        <v>1.2626262626262626E-2</v>
      </c>
      <c r="P154" s="19">
        <v>4</v>
      </c>
      <c r="Q154" s="19">
        <v>6</v>
      </c>
      <c r="R154" s="19">
        <v>5</v>
      </c>
      <c r="S154" s="20">
        <v>8.0000000000000002E-3</v>
      </c>
      <c r="T154" s="20">
        <v>1.2578616352201259E-2</v>
      </c>
      <c r="U154" s="20">
        <v>1.2626262626262626E-2</v>
      </c>
    </row>
    <row r="155" spans="1:21" s="43" customFormat="1" ht="15" x14ac:dyDescent="0.25">
      <c r="A155" s="29" t="s">
        <v>73</v>
      </c>
      <c r="B155" s="27">
        <v>14773</v>
      </c>
      <c r="C155" s="27">
        <v>14432</v>
      </c>
      <c r="D155" s="27">
        <v>14079</v>
      </c>
      <c r="E155" s="22">
        <v>5.2322883868202857E-2</v>
      </c>
      <c r="F155" s="22">
        <v>5.0890549351350019E-2</v>
      </c>
      <c r="G155" s="22">
        <v>4.9136730569893934E-2</v>
      </c>
      <c r="I155" s="27">
        <v>13610</v>
      </c>
      <c r="J155" s="27">
        <v>14461</v>
      </c>
      <c r="K155" s="27">
        <v>15142</v>
      </c>
      <c r="L155" s="22">
        <v>4.8203780508105393E-2</v>
      </c>
      <c r="M155" s="22">
        <v>5.0992810017313789E-2</v>
      </c>
      <c r="N155" s="22">
        <v>5.2846677625494283E-2</v>
      </c>
      <c r="P155" s="21">
        <v>28383</v>
      </c>
      <c r="Q155" s="21">
        <v>28893</v>
      </c>
      <c r="R155" s="21">
        <v>29221</v>
      </c>
      <c r="S155" s="22">
        <v>0.10052666437630825</v>
      </c>
      <c r="T155" s="22">
        <v>0.1018833593686638</v>
      </c>
      <c r="U155" s="22">
        <v>0.10198340819538822</v>
      </c>
    </row>
  </sheetData>
  <mergeCells count="10">
    <mergeCell ref="B4:S4"/>
    <mergeCell ref="I5:N5"/>
    <mergeCell ref="B5:G5"/>
    <mergeCell ref="P5:U5"/>
    <mergeCell ref="B6:D6"/>
    <mergeCell ref="E6:G6"/>
    <mergeCell ref="I6:K6"/>
    <mergeCell ref="L6:N6"/>
    <mergeCell ref="P6:R6"/>
    <mergeCell ref="S6:U6"/>
  </mergeCells>
  <conditionalFormatting sqref="A6">
    <cfRule type="duplicateValues" dxfId="1" priority="1"/>
  </conditionalFormatting>
  <conditionalFormatting sqref="A5 A7">
    <cfRule type="duplicateValues" dxfId="0" priority="4"/>
  </conditionalFormatting>
  <hyperlinks>
    <hyperlink ref="B1" location="Contents!A1" display="Back to Contents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3326AADB1661428B75887252665160" ma:contentTypeVersion="16" ma:contentTypeDescription="Create a new document." ma:contentTypeScope="" ma:versionID="94cd8d2d0a93e27ee064b31920224737">
  <xsd:schema xmlns:xsd="http://www.w3.org/2001/XMLSchema" xmlns:xs="http://www.w3.org/2001/XMLSchema" xmlns:p="http://schemas.microsoft.com/office/2006/metadata/properties" xmlns:ns2="6837e078-1056-4a0c-892e-13de3485103d" xmlns:ns3="31ffb1d3-5ba9-4e40-84e1-21a883f21aca" targetNamespace="http://schemas.microsoft.com/office/2006/metadata/properties" ma:root="true" ma:fieldsID="6b4c38dcb443fa4cdf11cc663a213ce4" ns2:_="" ns3:_="">
    <xsd:import namespace="6837e078-1056-4a0c-892e-13de3485103d"/>
    <xsd:import namespace="31ffb1d3-5ba9-4e40-84e1-21a883f21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7e078-1056-4a0c-892e-13de34851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f16d4df-2d5f-41ed-892e-b301218b5b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b1d3-5ba9-4e40-84e1-21a883f21ac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d7dd35c-9c66-4ae4-8f02-a6548f42e926}" ma:internalName="TaxCatchAll" ma:showField="CatchAllData" ma:web="31ffb1d3-5ba9-4e40-84e1-21a883f21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fb1d3-5ba9-4e40-84e1-21a883f21aca" xsi:nil="true"/>
    <lcf76f155ced4ddcb4097134ff3c332f xmlns="6837e078-1056-4a0c-892e-13de348510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024F72-5BEA-4A8B-BA35-DA2BA6234AA0}"/>
</file>

<file path=customXml/itemProps2.xml><?xml version="1.0" encoding="utf-8"?>
<ds:datastoreItem xmlns:ds="http://schemas.openxmlformats.org/officeDocument/2006/customXml" ds:itemID="{E54EFACD-2F5D-4568-A71A-28093FAADF5C}"/>
</file>

<file path=customXml/itemProps3.xml><?xml version="1.0" encoding="utf-8"?>
<ds:datastoreItem xmlns:ds="http://schemas.openxmlformats.org/officeDocument/2006/customXml" ds:itemID="{6150B7D3-1A0D-4043-B5BD-92700FA5F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Contents</vt:lpstr>
      <vt:lpstr>Res Elec Cust #s &amp; Mkt Contr</vt:lpstr>
      <vt:lpstr>SmlBiz Elec Cust #s &amp; Mkt Contr</vt:lpstr>
      <vt:lpstr>Lrg Elec Cust #s &amp; Mkt Contr</vt:lpstr>
      <vt:lpstr>Res Gas Cust #s &amp; Mkt Contr</vt:lpstr>
      <vt:lpstr>SmlBiz Gas Cust #s &amp; Mkt Contr</vt:lpstr>
      <vt:lpstr>Lrg Gas Cust #s &amp; Mkt Contr</vt:lpstr>
      <vt:lpstr>Switching</vt:lpstr>
      <vt:lpstr>Types of contracts Q4 2018 19</vt:lpstr>
      <vt:lpstr>Switch# Standard to Market</vt:lpstr>
      <vt:lpstr>Switch# Market to Standard</vt:lpstr>
      <vt:lpstr>Sheet7</vt:lpstr>
      <vt:lpstr>Expired - Changed benefits</vt:lpstr>
      <vt:lpstr>Deemed without contract</vt:lpstr>
      <vt:lpstr>Meter installation</vt:lpstr>
      <vt:lpstr>Tariff Structure</vt:lpstr>
      <vt:lpstr>Solar Tariffs -Gov &amp; Retailer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2019-12-11T03:11:58Z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0x0101000C3326AADB1661428B75887252665160</vt:lpwstr>
  </property>
</Properties>
</file>