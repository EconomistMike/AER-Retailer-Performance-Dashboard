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19200" windowHeight="6900"/>
  </bookViews>
  <sheets>
    <sheet name="Contents" sheetId="19" r:id="rId1"/>
    <sheet name="Res Elec Cust #s &amp; Mkt Contr" sheetId="1" r:id="rId2"/>
    <sheet name="SmlBiz Elec Cust #s &amp; Mkt Contr" sheetId="2" r:id="rId3"/>
    <sheet name="Lrg Elec Cust #s &amp; Mkt Contr" sheetId="3" r:id="rId4"/>
    <sheet name="Res Gas Cust #s &amp; Mkt Contr" sheetId="6" r:id="rId5"/>
    <sheet name="SmlBiz Gas Cust #s &amp; Mkt Contr" sheetId="5" r:id="rId6"/>
    <sheet name="Lrg Gas Cust #s &amp; Mkt Contr" sheetId="4" r:id="rId7"/>
    <sheet name="Switching" sheetId="20" r:id="rId8"/>
    <sheet name="Types of contracts Q3 2018 19" sheetId="17" r:id="rId9"/>
    <sheet name="Standard to Market Switch" sheetId="11" r:id="rId10"/>
    <sheet name="Market to Standard Switch" sheetId="10" r:id="rId11"/>
    <sheet name="Expired or changed benefits" sheetId="9" r:id="rId12"/>
    <sheet name="Deemed without contract" sheetId="7" r:id="rId13"/>
    <sheet name="Meters" sheetId="13" r:id="rId14"/>
    <sheet name="Tariff Structures" sheetId="18" r:id="rId15"/>
    <sheet name="Solar Tariffs" sheetId="12" r:id="rId16"/>
  </sheets>
  <definedNames>
    <definedName name="_xlnm._FilterDatabase" localSheetId="12" hidden="1">'Deemed without contract'!#REF!</definedName>
    <definedName name="_xlnm._FilterDatabase" localSheetId="11" hidden="1">'Expired or changed benefits'!$N$1:$N$114</definedName>
    <definedName name="_xlnm._FilterDatabase" localSheetId="10" hidden="1">'Market to Standard Switch'!$R$1:$R$71</definedName>
    <definedName name="_xlnm._FilterDatabase" localSheetId="13" hidden="1">Meters!$I$1:$I$129</definedName>
    <definedName name="_xlnm._FilterDatabase" localSheetId="15" hidden="1">'Solar Tariffs'!$H$1:$H$43</definedName>
    <definedName name="_xlnm._FilterDatabase" localSheetId="9" hidden="1">'Standard to Market Switch'!$U$1:$U$79</definedName>
    <definedName name="_xlnm._FilterDatabase" localSheetId="14" hidden="1">'Tariff Structures'!$G$1:$G$155</definedName>
    <definedName name="_xlnm._FilterDatabase" localSheetId="8" hidden="1">'Types of contracts Q3 2018 19'!$BA$1:$BA$209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20" l="1"/>
  <c r="I7" i="18" l="1"/>
  <c r="J7" i="18"/>
  <c r="K7" i="18"/>
  <c r="L7" i="18"/>
  <c r="I8" i="18"/>
  <c r="J8" i="18"/>
  <c r="K8" i="18"/>
  <c r="L8" i="18"/>
  <c r="I9" i="18"/>
  <c r="J9" i="18"/>
  <c r="K9" i="18"/>
  <c r="L9" i="18"/>
  <c r="I10" i="18"/>
  <c r="J10" i="18"/>
  <c r="K10" i="18"/>
  <c r="L10" i="18"/>
  <c r="I11" i="18"/>
  <c r="J11" i="18"/>
  <c r="K11" i="18"/>
  <c r="L11" i="18"/>
  <c r="I12" i="18"/>
  <c r="J12" i="18"/>
  <c r="K12" i="18"/>
  <c r="L12" i="18"/>
  <c r="I13" i="18"/>
  <c r="J13" i="18"/>
  <c r="K13" i="18"/>
  <c r="L13" i="18"/>
  <c r="I14" i="18"/>
  <c r="J14" i="18"/>
  <c r="K14" i="18"/>
  <c r="L14" i="18"/>
  <c r="I15" i="18"/>
  <c r="J15" i="18"/>
  <c r="K15" i="18"/>
  <c r="L15" i="18"/>
  <c r="I16" i="18"/>
  <c r="J16" i="18"/>
  <c r="K16" i="18"/>
  <c r="L16" i="18"/>
  <c r="I17" i="18"/>
  <c r="J17" i="18"/>
  <c r="K17" i="18"/>
  <c r="L17" i="18"/>
  <c r="I18" i="18"/>
  <c r="J18" i="18"/>
  <c r="K18" i="18"/>
  <c r="L18" i="18"/>
  <c r="I19" i="18"/>
  <c r="J19" i="18"/>
  <c r="K19" i="18"/>
  <c r="L19" i="18"/>
  <c r="I20" i="18"/>
  <c r="J20" i="18"/>
  <c r="K20" i="18"/>
  <c r="L20" i="18"/>
  <c r="I21" i="18"/>
  <c r="J21" i="18"/>
  <c r="K21" i="18"/>
  <c r="L21" i="18"/>
  <c r="I22" i="18"/>
  <c r="J22" i="18"/>
  <c r="K22" i="18"/>
  <c r="L22" i="18"/>
  <c r="I23" i="18"/>
  <c r="J23" i="18"/>
  <c r="K23" i="18"/>
  <c r="L23" i="18"/>
  <c r="I24" i="18"/>
  <c r="J24" i="18"/>
  <c r="K24" i="18"/>
  <c r="L24" i="18"/>
  <c r="I25" i="18"/>
  <c r="J25" i="18"/>
  <c r="K25" i="18"/>
  <c r="L25" i="18"/>
  <c r="I26" i="18"/>
  <c r="J26" i="18"/>
  <c r="K26" i="18"/>
  <c r="L26" i="18"/>
  <c r="I27" i="18"/>
  <c r="J27" i="18"/>
  <c r="K27" i="18"/>
  <c r="L27" i="18"/>
  <c r="I28" i="18"/>
  <c r="J28" i="18"/>
  <c r="K28" i="18"/>
  <c r="L28" i="18"/>
  <c r="I29" i="18"/>
  <c r="J29" i="18"/>
  <c r="K29" i="18"/>
  <c r="L29" i="18"/>
  <c r="I30" i="18"/>
  <c r="J30" i="18"/>
  <c r="K30" i="18"/>
  <c r="L30" i="18"/>
  <c r="I31" i="18"/>
  <c r="J31" i="18"/>
  <c r="K31" i="18"/>
  <c r="L31" i="18"/>
  <c r="I32" i="18"/>
  <c r="J32" i="18"/>
  <c r="K32" i="18"/>
  <c r="L32" i="18"/>
  <c r="I33" i="18"/>
  <c r="J33" i="18"/>
  <c r="K33" i="18"/>
  <c r="L33" i="18"/>
  <c r="I34" i="18"/>
  <c r="J34" i="18"/>
  <c r="K34" i="18"/>
  <c r="L34" i="18"/>
  <c r="I35" i="18"/>
  <c r="J35" i="18"/>
  <c r="K35" i="18"/>
  <c r="L35" i="18"/>
  <c r="I36" i="18"/>
  <c r="J36" i="18"/>
  <c r="K36" i="18"/>
  <c r="L36" i="18"/>
  <c r="I37" i="18"/>
  <c r="J37" i="18"/>
  <c r="K37" i="18"/>
  <c r="L37" i="18"/>
  <c r="I38" i="18"/>
  <c r="J38" i="18"/>
  <c r="K38" i="18"/>
  <c r="L38" i="18"/>
  <c r="I39" i="18"/>
  <c r="J39" i="18"/>
  <c r="K39" i="18"/>
  <c r="L39" i="18"/>
  <c r="I40" i="18"/>
  <c r="J40" i="18"/>
  <c r="K40" i="18"/>
  <c r="L40" i="18"/>
  <c r="I41" i="18"/>
  <c r="J41" i="18"/>
  <c r="K41" i="18"/>
  <c r="L41" i="18"/>
  <c r="I42" i="18"/>
  <c r="J42" i="18"/>
  <c r="K42" i="18"/>
  <c r="L42" i="18"/>
  <c r="I43" i="18"/>
  <c r="J43" i="18"/>
  <c r="K43" i="18"/>
  <c r="L43" i="18"/>
  <c r="I44" i="18"/>
  <c r="J44" i="18"/>
  <c r="K44" i="18"/>
  <c r="L44" i="18"/>
  <c r="I48" i="18"/>
  <c r="J48" i="18"/>
  <c r="K48" i="18"/>
  <c r="L48" i="18"/>
  <c r="I49" i="18"/>
  <c r="J49" i="18"/>
  <c r="K49" i="18"/>
  <c r="L49" i="18"/>
  <c r="I50" i="18"/>
  <c r="J50" i="18"/>
  <c r="K50" i="18"/>
  <c r="L50" i="18"/>
  <c r="I51" i="18"/>
  <c r="J51" i="18"/>
  <c r="K51" i="18"/>
  <c r="L51" i="18"/>
  <c r="I52" i="18"/>
  <c r="J52" i="18"/>
  <c r="K52" i="18"/>
  <c r="L52" i="18"/>
  <c r="I53" i="18"/>
  <c r="J53" i="18"/>
  <c r="K53" i="18"/>
  <c r="L53" i="18"/>
  <c r="I54" i="18"/>
  <c r="J54" i="18"/>
  <c r="K54" i="18"/>
  <c r="L54" i="18"/>
  <c r="I55" i="18"/>
  <c r="J55" i="18"/>
  <c r="K55" i="18"/>
  <c r="L55" i="18"/>
  <c r="I56" i="18"/>
  <c r="J56" i="18"/>
  <c r="K56" i="18"/>
  <c r="L56" i="18"/>
  <c r="I57" i="18"/>
  <c r="J57" i="18"/>
  <c r="K57" i="18"/>
  <c r="L57" i="18"/>
  <c r="I60" i="18"/>
  <c r="J60" i="18"/>
  <c r="K60" i="18"/>
  <c r="L60" i="18"/>
  <c r="I61" i="18"/>
  <c r="J61" i="18"/>
  <c r="K61" i="18"/>
  <c r="L61" i="18"/>
  <c r="I62" i="18"/>
  <c r="J62" i="18"/>
  <c r="K62" i="18"/>
  <c r="L62" i="18"/>
  <c r="I63" i="18"/>
  <c r="J63" i="18"/>
  <c r="K63" i="18"/>
  <c r="L63" i="18"/>
  <c r="I64" i="18"/>
  <c r="J64" i="18"/>
  <c r="K64" i="18"/>
  <c r="L64" i="18"/>
  <c r="I65" i="18"/>
  <c r="J65" i="18"/>
  <c r="K65" i="18"/>
  <c r="L65" i="18"/>
  <c r="I66" i="18"/>
  <c r="J66" i="18"/>
  <c r="K66" i="18"/>
  <c r="L66" i="18"/>
  <c r="I67" i="18"/>
  <c r="J67" i="18"/>
  <c r="K67" i="18"/>
  <c r="L67" i="18"/>
  <c r="I68" i="18"/>
  <c r="J68" i="18"/>
  <c r="K68" i="18"/>
  <c r="L68" i="18"/>
  <c r="I69" i="18"/>
  <c r="J69" i="18"/>
  <c r="K69" i="18"/>
  <c r="L69" i="18"/>
  <c r="I70" i="18"/>
  <c r="J70" i="18"/>
  <c r="K70" i="18"/>
  <c r="L70" i="18"/>
  <c r="I71" i="18"/>
  <c r="J71" i="18"/>
  <c r="K71" i="18"/>
  <c r="L71" i="18"/>
  <c r="I72" i="18"/>
  <c r="J72" i="18"/>
  <c r="K72" i="18"/>
  <c r="L72" i="18"/>
  <c r="I73" i="18"/>
  <c r="J73" i="18"/>
  <c r="K73" i="18"/>
  <c r="L73" i="18"/>
  <c r="I74" i="18"/>
  <c r="J74" i="18"/>
  <c r="K74" i="18"/>
  <c r="L74" i="18"/>
  <c r="I75" i="18"/>
  <c r="J75" i="18"/>
  <c r="K75" i="18"/>
  <c r="L75" i="18"/>
  <c r="I76" i="18"/>
  <c r="J76" i="18"/>
  <c r="K76" i="18"/>
  <c r="L76" i="18"/>
  <c r="I77" i="18"/>
  <c r="J77" i="18"/>
  <c r="K77" i="18"/>
  <c r="L77" i="18"/>
  <c r="I78" i="18"/>
  <c r="J78" i="18"/>
  <c r="K78" i="18"/>
  <c r="L78" i="18"/>
  <c r="I79" i="18"/>
  <c r="J79" i="18"/>
  <c r="K79" i="18"/>
  <c r="L79" i="18"/>
  <c r="I80" i="18"/>
  <c r="J80" i="18"/>
  <c r="K80" i="18"/>
  <c r="L80" i="18"/>
  <c r="I81" i="18"/>
  <c r="J81" i="18"/>
  <c r="K81" i="18"/>
  <c r="L81" i="18"/>
  <c r="I82" i="18"/>
  <c r="J82" i="18"/>
  <c r="K82" i="18"/>
  <c r="L82" i="18"/>
  <c r="I83" i="18"/>
  <c r="J83" i="18"/>
  <c r="K83" i="18"/>
  <c r="L83" i="18"/>
  <c r="I84" i="18"/>
  <c r="J84" i="18"/>
  <c r="K84" i="18"/>
  <c r="L84" i="18"/>
  <c r="I85" i="18"/>
  <c r="J85" i="18"/>
  <c r="K85" i="18"/>
  <c r="L85" i="18"/>
  <c r="I86" i="18"/>
  <c r="J86" i="18"/>
  <c r="K86" i="18"/>
  <c r="L86" i="18"/>
  <c r="I87" i="18"/>
  <c r="J87" i="18"/>
  <c r="K87" i="18"/>
  <c r="L87" i="18"/>
  <c r="I88" i="18"/>
  <c r="J88" i="18"/>
  <c r="K88" i="18"/>
  <c r="L88" i="18"/>
  <c r="I89" i="18"/>
  <c r="J89" i="18"/>
  <c r="K89" i="18"/>
  <c r="L89" i="18"/>
  <c r="I90" i="18"/>
  <c r="J90" i="18"/>
  <c r="K90" i="18"/>
  <c r="L90" i="18"/>
  <c r="I91" i="18"/>
  <c r="J91" i="18"/>
  <c r="K91" i="18"/>
  <c r="L91" i="18"/>
  <c r="I92" i="18"/>
  <c r="J92" i="18"/>
  <c r="K92" i="18"/>
  <c r="L92" i="18"/>
  <c r="I95" i="18"/>
  <c r="J95" i="18"/>
  <c r="K95" i="18"/>
  <c r="L95" i="18"/>
  <c r="I96" i="18"/>
  <c r="J96" i="18"/>
  <c r="K96" i="18"/>
  <c r="L96" i="18"/>
  <c r="I97" i="18"/>
  <c r="J97" i="18"/>
  <c r="K97" i="18"/>
  <c r="L97" i="18"/>
  <c r="I98" i="18"/>
  <c r="J98" i="18"/>
  <c r="K98" i="18"/>
  <c r="L98" i="18"/>
  <c r="I99" i="18"/>
  <c r="J99" i="18"/>
  <c r="K99" i="18"/>
  <c r="L99" i="18"/>
  <c r="I100" i="18"/>
  <c r="J100" i="18"/>
  <c r="K100" i="18"/>
  <c r="L100" i="18"/>
  <c r="I101" i="18"/>
  <c r="J101" i="18"/>
  <c r="K101" i="18"/>
  <c r="L101" i="18"/>
  <c r="I102" i="18"/>
  <c r="J102" i="18"/>
  <c r="K102" i="18"/>
  <c r="L102" i="18"/>
  <c r="I103" i="18"/>
  <c r="J103" i="18"/>
  <c r="K103" i="18"/>
  <c r="L103" i="18"/>
  <c r="I104" i="18"/>
  <c r="J104" i="18"/>
  <c r="K104" i="18"/>
  <c r="L104" i="18"/>
  <c r="I105" i="18"/>
  <c r="J105" i="18"/>
  <c r="K105" i="18"/>
  <c r="L105" i="18"/>
  <c r="I106" i="18"/>
  <c r="J106" i="18"/>
  <c r="K106" i="18"/>
  <c r="L106" i="18"/>
  <c r="I107" i="18"/>
  <c r="J107" i="18"/>
  <c r="K107" i="18"/>
  <c r="L107" i="18"/>
  <c r="I108" i="18"/>
  <c r="J108" i="18"/>
  <c r="K108" i="18"/>
  <c r="L108" i="18"/>
  <c r="I109" i="18"/>
  <c r="J109" i="18"/>
  <c r="K109" i="18"/>
  <c r="L109" i="18"/>
  <c r="I110" i="18"/>
  <c r="J110" i="18"/>
  <c r="K110" i="18"/>
  <c r="L110" i="18"/>
  <c r="I111" i="18"/>
  <c r="J111" i="18"/>
  <c r="K111" i="18"/>
  <c r="L111" i="18"/>
  <c r="I112" i="18"/>
  <c r="J112" i="18"/>
  <c r="K112" i="18"/>
  <c r="L112" i="18"/>
  <c r="I113" i="18"/>
  <c r="J113" i="18"/>
  <c r="K113" i="18"/>
  <c r="L113" i="18"/>
  <c r="I114" i="18"/>
  <c r="J114" i="18"/>
  <c r="K114" i="18"/>
  <c r="L114" i="18"/>
  <c r="I115" i="18"/>
  <c r="J115" i="18"/>
  <c r="K115" i="18"/>
  <c r="L115" i="18"/>
  <c r="I116" i="18"/>
  <c r="J116" i="18"/>
  <c r="K116" i="18"/>
  <c r="L116" i="18"/>
  <c r="I117" i="18"/>
  <c r="J117" i="18"/>
  <c r="K117" i="18"/>
  <c r="L117" i="18"/>
  <c r="I118" i="18"/>
  <c r="J118" i="18"/>
  <c r="K118" i="18"/>
  <c r="L118" i="18"/>
  <c r="I119" i="18"/>
  <c r="J119" i="18"/>
  <c r="K119" i="18"/>
  <c r="L119" i="18"/>
  <c r="I120" i="18"/>
  <c r="J120" i="18"/>
  <c r="K120" i="18"/>
  <c r="L120" i="18"/>
  <c r="I121" i="18"/>
  <c r="J121" i="18"/>
  <c r="K121" i="18"/>
  <c r="L121" i="18"/>
  <c r="I122" i="18"/>
  <c r="J122" i="18"/>
  <c r="K122" i="18"/>
  <c r="L122" i="18"/>
  <c r="I123" i="18"/>
  <c r="J123" i="18"/>
  <c r="K123" i="18"/>
  <c r="L123" i="18"/>
  <c r="I124" i="18"/>
  <c r="J124" i="18"/>
  <c r="K124" i="18"/>
  <c r="L124" i="18"/>
  <c r="I127" i="18"/>
  <c r="J127" i="18"/>
  <c r="K127" i="18"/>
  <c r="L127" i="18"/>
  <c r="I128" i="18"/>
  <c r="J128" i="18"/>
  <c r="K128" i="18"/>
  <c r="L128" i="18"/>
  <c r="I129" i="18"/>
  <c r="J129" i="18"/>
  <c r="K129" i="18"/>
  <c r="L129" i="18"/>
  <c r="I130" i="18"/>
  <c r="J130" i="18"/>
  <c r="K130" i="18"/>
  <c r="L130" i="18"/>
  <c r="I131" i="18"/>
  <c r="J131" i="18"/>
  <c r="K131" i="18"/>
  <c r="L131" i="18"/>
  <c r="I132" i="18"/>
  <c r="J132" i="18"/>
  <c r="K132" i="18"/>
  <c r="L132" i="18"/>
  <c r="I133" i="18"/>
  <c r="J133" i="18"/>
  <c r="K133" i="18"/>
  <c r="L133" i="18"/>
  <c r="I134" i="18"/>
  <c r="J134" i="18"/>
  <c r="K134" i="18"/>
  <c r="L134" i="18"/>
  <c r="I135" i="18"/>
  <c r="J135" i="18"/>
  <c r="K135" i="18"/>
  <c r="L135" i="18"/>
  <c r="I136" i="18"/>
  <c r="J136" i="18"/>
  <c r="K136" i="18"/>
  <c r="L136" i="18"/>
  <c r="I137" i="18"/>
  <c r="J137" i="18"/>
  <c r="K137" i="18"/>
  <c r="L137" i="18"/>
  <c r="I138" i="18"/>
  <c r="J138" i="18"/>
  <c r="K138" i="18"/>
  <c r="L138" i="18"/>
  <c r="I139" i="18"/>
  <c r="J139" i="18"/>
  <c r="K139" i="18"/>
  <c r="L139" i="18"/>
  <c r="I140" i="18"/>
  <c r="J140" i="18"/>
  <c r="K140" i="18"/>
  <c r="L140" i="18"/>
  <c r="I141" i="18"/>
  <c r="J141" i="18"/>
  <c r="K141" i="18"/>
  <c r="L141" i="18"/>
  <c r="I142" i="18"/>
  <c r="J142" i="18"/>
  <c r="K142" i="18"/>
  <c r="L142" i="18"/>
  <c r="I143" i="18"/>
  <c r="J143" i="18"/>
  <c r="K143" i="18"/>
  <c r="L143" i="18"/>
  <c r="I144" i="18"/>
  <c r="J144" i="18"/>
  <c r="K144" i="18"/>
  <c r="L144" i="18"/>
  <c r="I145" i="18"/>
  <c r="J145" i="18"/>
  <c r="K145" i="18"/>
  <c r="L145" i="18"/>
  <c r="I146" i="18"/>
  <c r="J146" i="18"/>
  <c r="K146" i="18"/>
  <c r="L146" i="18"/>
  <c r="I147" i="18"/>
  <c r="J147" i="18"/>
  <c r="K147" i="18"/>
  <c r="L147" i="18"/>
  <c r="I148" i="18"/>
  <c r="J148" i="18"/>
  <c r="K148" i="18"/>
  <c r="L148" i="18"/>
  <c r="I151" i="18"/>
  <c r="J151" i="18"/>
  <c r="K151" i="18"/>
  <c r="L151" i="18"/>
  <c r="I152" i="18"/>
  <c r="J152" i="18"/>
  <c r="K152" i="18"/>
  <c r="L152" i="18"/>
  <c r="I153" i="18"/>
  <c r="J153" i="18"/>
  <c r="K153" i="18"/>
  <c r="L153" i="18"/>
  <c r="I154" i="18"/>
  <c r="J154" i="18"/>
  <c r="K154" i="18"/>
  <c r="L154" i="18"/>
  <c r="J6" i="18"/>
  <c r="K6" i="18"/>
  <c r="L6" i="18"/>
  <c r="I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8" i="18"/>
  <c r="G49" i="18"/>
  <c r="G50" i="18"/>
  <c r="G51" i="18"/>
  <c r="G52" i="18"/>
  <c r="G53" i="18"/>
  <c r="G54" i="18"/>
  <c r="G55" i="18"/>
  <c r="G56" i="18"/>
  <c r="G57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51" i="18"/>
  <c r="G152" i="18"/>
  <c r="G153" i="18"/>
  <c r="G154" i="18"/>
  <c r="G6" i="18"/>
  <c r="I7" i="13"/>
  <c r="J7" i="13"/>
  <c r="K7" i="13"/>
  <c r="L7" i="13"/>
  <c r="I8" i="13"/>
  <c r="J8" i="13"/>
  <c r="K8" i="13"/>
  <c r="L8" i="13"/>
  <c r="I9" i="13"/>
  <c r="J9" i="13"/>
  <c r="K9" i="13"/>
  <c r="L9" i="13"/>
  <c r="I10" i="13"/>
  <c r="J10" i="13"/>
  <c r="K10" i="13"/>
  <c r="L10" i="13"/>
  <c r="I11" i="13"/>
  <c r="J11" i="13"/>
  <c r="K11" i="13"/>
  <c r="L11" i="13"/>
  <c r="I12" i="13"/>
  <c r="J12" i="13"/>
  <c r="K12" i="13"/>
  <c r="L12" i="13"/>
  <c r="I13" i="13"/>
  <c r="J13" i="13"/>
  <c r="K13" i="13"/>
  <c r="L13" i="13"/>
  <c r="I14" i="13"/>
  <c r="J14" i="13"/>
  <c r="K14" i="13"/>
  <c r="L14" i="13"/>
  <c r="I15" i="13"/>
  <c r="J15" i="13"/>
  <c r="K15" i="13"/>
  <c r="L15" i="13"/>
  <c r="I16" i="13"/>
  <c r="J16" i="13"/>
  <c r="K16" i="13"/>
  <c r="L16" i="13"/>
  <c r="I17" i="13"/>
  <c r="J17" i="13"/>
  <c r="K17" i="13"/>
  <c r="L17" i="13"/>
  <c r="I18" i="13"/>
  <c r="J18" i="13"/>
  <c r="K18" i="13"/>
  <c r="L18" i="13"/>
  <c r="I19" i="13"/>
  <c r="J19" i="13"/>
  <c r="K19" i="13"/>
  <c r="L19" i="13"/>
  <c r="I20" i="13"/>
  <c r="J20" i="13"/>
  <c r="K20" i="13"/>
  <c r="L20" i="13"/>
  <c r="I21" i="13"/>
  <c r="J21" i="13"/>
  <c r="K21" i="13"/>
  <c r="L21" i="13"/>
  <c r="I22" i="13"/>
  <c r="J22" i="13"/>
  <c r="K22" i="13"/>
  <c r="L22" i="13"/>
  <c r="I23" i="13"/>
  <c r="J23" i="13"/>
  <c r="K23" i="13"/>
  <c r="L23" i="13"/>
  <c r="I24" i="13"/>
  <c r="J24" i="13"/>
  <c r="K24" i="13"/>
  <c r="L24" i="13"/>
  <c r="I25" i="13"/>
  <c r="J25" i="13"/>
  <c r="K25" i="13"/>
  <c r="L25" i="13"/>
  <c r="I26" i="13"/>
  <c r="J26" i="13"/>
  <c r="K26" i="13"/>
  <c r="L26" i="13"/>
  <c r="I27" i="13"/>
  <c r="J27" i="13"/>
  <c r="K27" i="13"/>
  <c r="L27" i="13"/>
  <c r="I28" i="13"/>
  <c r="J28" i="13"/>
  <c r="K28" i="13"/>
  <c r="L28" i="13"/>
  <c r="I29" i="13"/>
  <c r="J29" i="13"/>
  <c r="K29" i="13"/>
  <c r="L29" i="13"/>
  <c r="I30" i="13"/>
  <c r="J30" i="13"/>
  <c r="K30" i="13"/>
  <c r="L30" i="13"/>
  <c r="I31" i="13"/>
  <c r="J31" i="13"/>
  <c r="K31" i="13"/>
  <c r="L31" i="13"/>
  <c r="I32" i="13"/>
  <c r="J32" i="13"/>
  <c r="K32" i="13"/>
  <c r="L32" i="13"/>
  <c r="I33" i="13"/>
  <c r="J33" i="13"/>
  <c r="K33" i="13"/>
  <c r="L33" i="13"/>
  <c r="I34" i="13"/>
  <c r="J34" i="13"/>
  <c r="K34" i="13"/>
  <c r="L34" i="13"/>
  <c r="I35" i="13"/>
  <c r="J35" i="13"/>
  <c r="K35" i="13"/>
  <c r="L35" i="13"/>
  <c r="I36" i="13"/>
  <c r="J36" i="13"/>
  <c r="K36" i="13"/>
  <c r="L36" i="13"/>
  <c r="I37" i="13"/>
  <c r="J37" i="13"/>
  <c r="K37" i="13"/>
  <c r="L37" i="13"/>
  <c r="I38" i="13"/>
  <c r="J38" i="13"/>
  <c r="K38" i="13"/>
  <c r="L38" i="13"/>
  <c r="I39" i="13"/>
  <c r="J39" i="13"/>
  <c r="K39" i="13"/>
  <c r="L39" i="13"/>
  <c r="I40" i="13"/>
  <c r="J40" i="13"/>
  <c r="K40" i="13"/>
  <c r="L40" i="13"/>
  <c r="I44" i="13"/>
  <c r="J44" i="13"/>
  <c r="K44" i="13"/>
  <c r="L44" i="13"/>
  <c r="I45" i="13"/>
  <c r="J45" i="13"/>
  <c r="K45" i="13"/>
  <c r="L45" i="13"/>
  <c r="I46" i="13"/>
  <c r="J46" i="13"/>
  <c r="K46" i="13"/>
  <c r="L46" i="13"/>
  <c r="I47" i="13"/>
  <c r="J47" i="13"/>
  <c r="K47" i="13"/>
  <c r="L47" i="13"/>
  <c r="I48" i="13"/>
  <c r="J48" i="13"/>
  <c r="K48" i="13"/>
  <c r="L48" i="13"/>
  <c r="I51" i="13"/>
  <c r="J51" i="13"/>
  <c r="K51" i="13"/>
  <c r="L51" i="13"/>
  <c r="I52" i="13"/>
  <c r="J52" i="13"/>
  <c r="K52" i="13"/>
  <c r="L52" i="13"/>
  <c r="I53" i="13"/>
  <c r="J53" i="13"/>
  <c r="K53" i="13"/>
  <c r="L53" i="13"/>
  <c r="I54" i="13"/>
  <c r="J54" i="13"/>
  <c r="K54" i="13"/>
  <c r="L54" i="13"/>
  <c r="I55" i="13"/>
  <c r="J55" i="13"/>
  <c r="K55" i="13"/>
  <c r="L55" i="13"/>
  <c r="I56" i="13"/>
  <c r="J56" i="13"/>
  <c r="K56" i="13"/>
  <c r="L56" i="13"/>
  <c r="I57" i="13"/>
  <c r="J57" i="13"/>
  <c r="K57" i="13"/>
  <c r="L57" i="13"/>
  <c r="I58" i="13"/>
  <c r="J58" i="13"/>
  <c r="K58" i="13"/>
  <c r="L58" i="13"/>
  <c r="I59" i="13"/>
  <c r="J59" i="13"/>
  <c r="K59" i="13"/>
  <c r="L59" i="13"/>
  <c r="I60" i="13"/>
  <c r="J60" i="13"/>
  <c r="K60" i="13"/>
  <c r="L60" i="13"/>
  <c r="I61" i="13"/>
  <c r="J61" i="13"/>
  <c r="K61" i="13"/>
  <c r="L61" i="13"/>
  <c r="I62" i="13"/>
  <c r="J62" i="13"/>
  <c r="K62" i="13"/>
  <c r="L62" i="13"/>
  <c r="I63" i="13"/>
  <c r="J63" i="13"/>
  <c r="K63" i="13"/>
  <c r="L63" i="13"/>
  <c r="I64" i="13"/>
  <c r="J64" i="13"/>
  <c r="K64" i="13"/>
  <c r="L64" i="13"/>
  <c r="I65" i="13"/>
  <c r="J65" i="13"/>
  <c r="K65" i="13"/>
  <c r="L65" i="13"/>
  <c r="I66" i="13"/>
  <c r="J66" i="13"/>
  <c r="K66" i="13"/>
  <c r="L66" i="13"/>
  <c r="I67" i="13"/>
  <c r="J67" i="13"/>
  <c r="K67" i="13"/>
  <c r="L67" i="13"/>
  <c r="I68" i="13"/>
  <c r="J68" i="13"/>
  <c r="K68" i="13"/>
  <c r="L68" i="13"/>
  <c r="I69" i="13"/>
  <c r="J69" i="13"/>
  <c r="K69" i="13"/>
  <c r="L69" i="13"/>
  <c r="I70" i="13"/>
  <c r="J70" i="13"/>
  <c r="K70" i="13"/>
  <c r="L70" i="13"/>
  <c r="I71" i="13"/>
  <c r="J71" i="13"/>
  <c r="K71" i="13"/>
  <c r="L71" i="13"/>
  <c r="I72" i="13"/>
  <c r="J72" i="13"/>
  <c r="K72" i="13"/>
  <c r="L72" i="13"/>
  <c r="I73" i="13"/>
  <c r="J73" i="13"/>
  <c r="K73" i="13"/>
  <c r="L73" i="13"/>
  <c r="I74" i="13"/>
  <c r="J74" i="13"/>
  <c r="K74" i="13"/>
  <c r="L74" i="13"/>
  <c r="I75" i="13"/>
  <c r="J75" i="13"/>
  <c r="K75" i="13"/>
  <c r="L75" i="13"/>
  <c r="I76" i="13"/>
  <c r="J76" i="13"/>
  <c r="K76" i="13"/>
  <c r="L76" i="13"/>
  <c r="I77" i="13"/>
  <c r="J77" i="13"/>
  <c r="K77" i="13"/>
  <c r="L77" i="13"/>
  <c r="I78" i="13"/>
  <c r="J78" i="13"/>
  <c r="K78" i="13"/>
  <c r="L78" i="13"/>
  <c r="I81" i="13"/>
  <c r="J81" i="13"/>
  <c r="K81" i="13"/>
  <c r="L81" i="13"/>
  <c r="I82" i="13"/>
  <c r="J82" i="13"/>
  <c r="K82" i="13"/>
  <c r="L82" i="13"/>
  <c r="I83" i="13"/>
  <c r="J83" i="13"/>
  <c r="K83" i="13"/>
  <c r="L83" i="13"/>
  <c r="I84" i="13"/>
  <c r="J84" i="13"/>
  <c r="K84" i="13"/>
  <c r="L84" i="13"/>
  <c r="I85" i="13"/>
  <c r="J85" i="13"/>
  <c r="K85" i="13"/>
  <c r="L85" i="13"/>
  <c r="I86" i="13"/>
  <c r="J86" i="13"/>
  <c r="K86" i="13"/>
  <c r="L86" i="13"/>
  <c r="I87" i="13"/>
  <c r="J87" i="13"/>
  <c r="K87" i="13"/>
  <c r="L87" i="13"/>
  <c r="I88" i="13"/>
  <c r="J88" i="13"/>
  <c r="K88" i="13"/>
  <c r="L88" i="13"/>
  <c r="I89" i="13"/>
  <c r="J89" i="13"/>
  <c r="K89" i="13"/>
  <c r="L89" i="13"/>
  <c r="I90" i="13"/>
  <c r="J90" i="13"/>
  <c r="K90" i="13"/>
  <c r="L90" i="13"/>
  <c r="I91" i="13"/>
  <c r="J91" i="13"/>
  <c r="K91" i="13"/>
  <c r="L91" i="13"/>
  <c r="I92" i="13"/>
  <c r="J92" i="13"/>
  <c r="K92" i="13"/>
  <c r="L92" i="13"/>
  <c r="I93" i="13"/>
  <c r="J93" i="13"/>
  <c r="K93" i="13"/>
  <c r="L93" i="13"/>
  <c r="I94" i="13"/>
  <c r="J94" i="13"/>
  <c r="K94" i="13"/>
  <c r="L94" i="13"/>
  <c r="I95" i="13"/>
  <c r="J95" i="13"/>
  <c r="K95" i="13"/>
  <c r="L95" i="13"/>
  <c r="I96" i="13"/>
  <c r="J96" i="13"/>
  <c r="K96" i="13"/>
  <c r="L96" i="13"/>
  <c r="I97" i="13"/>
  <c r="J97" i="13"/>
  <c r="K97" i="13"/>
  <c r="L97" i="13"/>
  <c r="I98" i="13"/>
  <c r="J98" i="13"/>
  <c r="K98" i="13"/>
  <c r="L98" i="13"/>
  <c r="I99" i="13"/>
  <c r="J99" i="13"/>
  <c r="K99" i="13"/>
  <c r="L99" i="13"/>
  <c r="I100" i="13"/>
  <c r="J100" i="13"/>
  <c r="K100" i="13"/>
  <c r="L100" i="13"/>
  <c r="I101" i="13"/>
  <c r="J101" i="13"/>
  <c r="K101" i="13"/>
  <c r="L101" i="13"/>
  <c r="I102" i="13"/>
  <c r="J102" i="13"/>
  <c r="K102" i="13"/>
  <c r="L102" i="13"/>
  <c r="I103" i="13"/>
  <c r="J103" i="13"/>
  <c r="K103" i="13"/>
  <c r="L103" i="13"/>
  <c r="I104" i="13"/>
  <c r="J104" i="13"/>
  <c r="K104" i="13"/>
  <c r="L104" i="13"/>
  <c r="I105" i="13"/>
  <c r="J105" i="13"/>
  <c r="K105" i="13"/>
  <c r="L105" i="13"/>
  <c r="I106" i="13"/>
  <c r="J106" i="13"/>
  <c r="K106" i="13"/>
  <c r="L106" i="13"/>
  <c r="I109" i="13"/>
  <c r="J109" i="13"/>
  <c r="K109" i="13"/>
  <c r="L109" i="13"/>
  <c r="I110" i="13"/>
  <c r="J110" i="13"/>
  <c r="K110" i="13"/>
  <c r="L110" i="13"/>
  <c r="I111" i="13"/>
  <c r="J111" i="13"/>
  <c r="K111" i="13"/>
  <c r="L111" i="13"/>
  <c r="I112" i="13"/>
  <c r="J112" i="13"/>
  <c r="K112" i="13"/>
  <c r="L112" i="13"/>
  <c r="I113" i="13"/>
  <c r="J113" i="13"/>
  <c r="K113" i="13"/>
  <c r="L113" i="13"/>
  <c r="I114" i="13"/>
  <c r="J114" i="13"/>
  <c r="K114" i="13"/>
  <c r="L114" i="13"/>
  <c r="I115" i="13"/>
  <c r="J115" i="13"/>
  <c r="K115" i="13"/>
  <c r="L115" i="13"/>
  <c r="I116" i="13"/>
  <c r="J116" i="13"/>
  <c r="K116" i="13"/>
  <c r="L116" i="13"/>
  <c r="I117" i="13"/>
  <c r="J117" i="13"/>
  <c r="K117" i="13"/>
  <c r="L117" i="13"/>
  <c r="I118" i="13"/>
  <c r="J118" i="13"/>
  <c r="K118" i="13"/>
  <c r="L118" i="13"/>
  <c r="I119" i="13"/>
  <c r="J119" i="13"/>
  <c r="K119" i="13"/>
  <c r="L119" i="13"/>
  <c r="I120" i="13"/>
  <c r="J120" i="13"/>
  <c r="K120" i="13"/>
  <c r="L120" i="13"/>
  <c r="I121" i="13"/>
  <c r="J121" i="13"/>
  <c r="K121" i="13"/>
  <c r="L121" i="13"/>
  <c r="I122" i="13"/>
  <c r="J122" i="13"/>
  <c r="K122" i="13"/>
  <c r="L122" i="13"/>
  <c r="I123" i="13"/>
  <c r="J123" i="13"/>
  <c r="K123" i="13"/>
  <c r="L123" i="13"/>
  <c r="I124" i="13"/>
  <c r="J124" i="13"/>
  <c r="K124" i="13"/>
  <c r="L124" i="13"/>
  <c r="I125" i="13"/>
  <c r="J125" i="13"/>
  <c r="K125" i="13"/>
  <c r="L125" i="13"/>
  <c r="I126" i="13"/>
  <c r="J126" i="13"/>
  <c r="K126" i="13"/>
  <c r="L126" i="13"/>
  <c r="I127" i="13"/>
  <c r="J127" i="13"/>
  <c r="K127" i="13"/>
  <c r="L127" i="13"/>
  <c r="I128" i="13"/>
  <c r="J128" i="13"/>
  <c r="K128" i="13"/>
  <c r="L128" i="13"/>
  <c r="I129" i="13"/>
  <c r="J129" i="13"/>
  <c r="K129" i="13"/>
  <c r="L129" i="13"/>
  <c r="I132" i="13"/>
  <c r="J132" i="13"/>
  <c r="K132" i="13"/>
  <c r="L132" i="13"/>
  <c r="I133" i="13"/>
  <c r="J133" i="13"/>
  <c r="K133" i="13"/>
  <c r="L133" i="13"/>
  <c r="I134" i="13"/>
  <c r="J134" i="13"/>
  <c r="K134" i="13"/>
  <c r="L134" i="13"/>
  <c r="J6" i="13"/>
  <c r="K6" i="13"/>
  <c r="L6" i="13"/>
  <c r="I6" i="13"/>
  <c r="G44" i="13"/>
  <c r="G45" i="13"/>
  <c r="G46" i="13"/>
  <c r="G47" i="13"/>
  <c r="G48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2" i="13"/>
  <c r="G133" i="13"/>
  <c r="G134" i="13"/>
  <c r="G40" i="13"/>
  <c r="G29" i="13"/>
  <c r="G30" i="13"/>
  <c r="G31" i="13"/>
  <c r="G32" i="13"/>
  <c r="G33" i="13"/>
  <c r="G34" i="13"/>
  <c r="G35" i="13"/>
  <c r="G36" i="13"/>
  <c r="G37" i="13"/>
  <c r="G38" i="13"/>
  <c r="G39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6" i="13"/>
  <c r="E5" i="11" l="1"/>
  <c r="H5" i="11" s="1"/>
  <c r="L5" i="11" s="1"/>
  <c r="O5" i="11" s="1"/>
  <c r="R5" i="11" s="1"/>
  <c r="E5" i="10" l="1"/>
  <c r="H5" i="10" s="1"/>
  <c r="L5" i="10" s="1"/>
  <c r="O5" i="10" s="1"/>
</calcChain>
</file>

<file path=xl/sharedStrings.xml><?xml version="1.0" encoding="utf-8"?>
<sst xmlns="http://schemas.openxmlformats.org/spreadsheetml/2006/main" count="4926" uniqueCount="208">
  <si>
    <t xml:space="preserve">Quarterly </t>
  </si>
  <si>
    <t>Annual</t>
  </si>
  <si>
    <t>Q3 2017-18 to Q3 2018-19</t>
  </si>
  <si>
    <t>Electricity</t>
  </si>
  <si>
    <t>Residential</t>
  </si>
  <si>
    <t>2013-14 to 2017-18</t>
  </si>
  <si>
    <t>National</t>
  </si>
  <si>
    <t>Customer numbers</t>
  </si>
  <si>
    <t>Market share</t>
  </si>
  <si>
    <t>Number of customers on market contracts</t>
  </si>
  <si>
    <t>Customers on market contracts %</t>
  </si>
  <si>
    <t>Retailer</t>
  </si>
  <si>
    <t>Q3 2017-18</t>
  </si>
  <si>
    <t>Q4 2017-18</t>
  </si>
  <si>
    <t>Q1 2018-19</t>
  </si>
  <si>
    <t>Q2 2018-19</t>
  </si>
  <si>
    <t>Q3 2018-19</t>
  </si>
  <si>
    <t>2013-14</t>
  </si>
  <si>
    <t>2014-15</t>
  </si>
  <si>
    <t>2015-16</t>
  </si>
  <si>
    <t>2016-17</t>
  </si>
  <si>
    <t>2017-18</t>
  </si>
  <si>
    <t>1st Energy</t>
  </si>
  <si>
    <t>ActewAGL</t>
  </si>
  <si>
    <t>AGL</t>
  </si>
  <si>
    <t>Alinta Energy</t>
  </si>
  <si>
    <t>amaysim Energy</t>
  </si>
  <si>
    <t>Aurora Energy</t>
  </si>
  <si>
    <t>Australian Power and Gas</t>
  </si>
  <si>
    <t>BlueNRG</t>
  </si>
  <si>
    <t>CovaU</t>
  </si>
  <si>
    <t>Diamond Energy</t>
  </si>
  <si>
    <t>Discover Energy</t>
  </si>
  <si>
    <t>Dodo</t>
  </si>
  <si>
    <t>Energy Locals</t>
  </si>
  <si>
    <t>EnergyAustralia</t>
  </si>
  <si>
    <t>Enova Energy</t>
  </si>
  <si>
    <t>Ergon Energy</t>
  </si>
  <si>
    <t>Evergy</t>
  </si>
  <si>
    <t>Flow Systems</t>
  </si>
  <si>
    <t>GoEnergy</t>
  </si>
  <si>
    <t>Locality Planning Energy</t>
  </si>
  <si>
    <t>Lumo Energy</t>
  </si>
  <si>
    <t>Metered Energy</t>
  </si>
  <si>
    <t>Mojo Power</t>
  </si>
  <si>
    <t>Momentum Energy</t>
  </si>
  <si>
    <t>Next Business Energy</t>
  </si>
  <si>
    <t>OC Energy</t>
  </si>
  <si>
    <t>Origin Energy</t>
  </si>
  <si>
    <t>People Energy</t>
  </si>
  <si>
    <t>Pooled Energy</t>
  </si>
  <si>
    <t>Power Club</t>
  </si>
  <si>
    <t>PowerHub</t>
  </si>
  <si>
    <t>Powershop</t>
  </si>
  <si>
    <t>Qenergy</t>
  </si>
  <si>
    <t>Real Utilities</t>
  </si>
  <si>
    <t>ReAmped Energy</t>
  </si>
  <si>
    <t>Red Energy</t>
  </si>
  <si>
    <t>Sanctuary Energy</t>
  </si>
  <si>
    <t>Savant Energy</t>
  </si>
  <si>
    <t>Simply Energy</t>
  </si>
  <si>
    <t>Sumo Power</t>
  </si>
  <si>
    <t>Sun Retail</t>
  </si>
  <si>
    <t>Tango Energy</t>
  </si>
  <si>
    <t>The Embedded Networks Company</t>
  </si>
  <si>
    <t>Urth Energy</t>
  </si>
  <si>
    <t>Winenergy</t>
  </si>
  <si>
    <t>National Total</t>
  </si>
  <si>
    <t>Jurisdictions</t>
  </si>
  <si>
    <t>ACT</t>
  </si>
  <si>
    <t>ACT Total</t>
  </si>
  <si>
    <t>NSW</t>
  </si>
  <si>
    <t>NSW Total</t>
  </si>
  <si>
    <t>QLD</t>
  </si>
  <si>
    <t>QLD Total</t>
  </si>
  <si>
    <t>SA</t>
  </si>
  <si>
    <t>SA Total</t>
  </si>
  <si>
    <t>TAS</t>
  </si>
  <si>
    <t>TAS Total</t>
  </si>
  <si>
    <t>Tier 1 Retailers</t>
  </si>
  <si>
    <t xml:space="preserve">National </t>
  </si>
  <si>
    <t>Tier 2 Retailers</t>
  </si>
  <si>
    <t>Total</t>
  </si>
  <si>
    <t>Small</t>
  </si>
  <si>
    <t>Enwave Mascot</t>
  </si>
  <si>
    <t>ERM Power</t>
  </si>
  <si>
    <t>Large</t>
  </si>
  <si>
    <t>COzero Energy</t>
  </si>
  <si>
    <t>CS Energy</t>
  </si>
  <si>
    <t>Delta Electricity</t>
  </si>
  <si>
    <t>Infigen Energy</t>
  </si>
  <si>
    <t>Macquarie Bank</t>
  </si>
  <si>
    <t>OzGen</t>
  </si>
  <si>
    <t>Progressive Green</t>
  </si>
  <si>
    <t>ReNu Energy</t>
  </si>
  <si>
    <t>SIMEC ZEN Energy</t>
  </si>
  <si>
    <t>Stanwell</t>
  </si>
  <si>
    <t>Gas</t>
  </si>
  <si>
    <t>Weston Energy</t>
  </si>
  <si>
    <t xml:space="preserve">% of customer </t>
  </si>
  <si>
    <t>% of customers</t>
  </si>
  <si>
    <t>Small Business</t>
  </si>
  <si>
    <t>Quarterly</t>
  </si>
  <si>
    <t xml:space="preserve">Market to Standard </t>
  </si>
  <si>
    <t>Standard to Market</t>
  </si>
  <si>
    <t xml:space="preserve">Solar customers that receive government funded feed-in tariff </t>
  </si>
  <si>
    <t>Solar customers that receive retailer (only) funded feed-in tariff</t>
  </si>
  <si>
    <t>Total number of installations</t>
  </si>
  <si>
    <t>Under the New Meter Deployment</t>
  </si>
  <si>
    <t xml:space="preserve"> As part of a meter repair or replacement schedule</t>
  </si>
  <si>
    <t xml:space="preserve"> As part of a new connection</t>
  </si>
  <si>
    <t xml:space="preserve"> As per a customer's request </t>
  </si>
  <si>
    <t xml:space="preserve">% of standard customer </t>
  </si>
  <si>
    <t xml:space="preserve">% of market customer </t>
  </si>
  <si>
    <t>Market</t>
  </si>
  <si>
    <t xml:space="preserve">Standard </t>
  </si>
  <si>
    <t>Deeming</t>
  </si>
  <si>
    <t>Residential Contracts</t>
  </si>
  <si>
    <t>Small Business Contracts</t>
  </si>
  <si>
    <t>Large Contracts</t>
  </si>
  <si>
    <t>a flat or block retail tariff with no controlled load retail tariff</t>
  </si>
  <si>
    <t>a flat or block retail tariff with a controlled load retail tariff</t>
  </si>
  <si>
    <t>Tariff structures</t>
  </si>
  <si>
    <t>Contents</t>
  </si>
  <si>
    <t xml:space="preserve">Switching </t>
  </si>
  <si>
    <t>This document contains data for the Retail energy market performance update for Quarter 3, 2018-19. Note that it only includes Schedule 2 data.</t>
  </si>
  <si>
    <t>Deemed</t>
  </si>
  <si>
    <t xml:space="preserve">Contracts </t>
  </si>
  <si>
    <t>Customers who have switched from a standard contract to a market contract</t>
  </si>
  <si>
    <t>Customers who have moved from a market contract to a standard contract</t>
  </si>
  <si>
    <t>Customers with expired or changed benefits on their contracts</t>
  </si>
  <si>
    <t>Meters</t>
  </si>
  <si>
    <t xml:space="preserve">Reasons for a Type 4 or 4A meter installation: </t>
  </si>
  <si>
    <t xml:space="preserve">Reasons for a Type 4 or 4A meter installation </t>
  </si>
  <si>
    <t xml:space="preserve">Tariffs </t>
  </si>
  <si>
    <t xml:space="preserve">Tariff structures </t>
  </si>
  <si>
    <t xml:space="preserve">Solar Tariffs  - government or retailer funded </t>
  </si>
  <si>
    <t>Customers who are deemed without a contract</t>
  </si>
  <si>
    <t>This includes new data for Schedule 2, as defined in the new Retail Market Performance Guidelines.</t>
  </si>
  <si>
    <t>Powerdirect</t>
  </si>
  <si>
    <t>Residential/Small Business/Large</t>
  </si>
  <si>
    <t>Residential Contracts %</t>
  </si>
  <si>
    <t>Small Business Contracts %</t>
  </si>
  <si>
    <t>Large Contracts %</t>
  </si>
  <si>
    <t>% of market customers</t>
  </si>
  <si>
    <t>% of installations</t>
  </si>
  <si>
    <t>a time of use or flexible retail tariff with no underlying distributor based time of use or flexible network tariff</t>
  </si>
  <si>
    <t>a time of use or flexible retail tariff with an underlying distributor based time of use or flexible network tariff</t>
  </si>
  <si>
    <t>As a % of tariff structures reported</t>
  </si>
  <si>
    <t xml:space="preserve">Total Solar customers that receive tariffs </t>
  </si>
  <si>
    <t>Indicators s2.1 s2.2 s2.6</t>
  </si>
  <si>
    <t>Indicator s2.3</t>
  </si>
  <si>
    <t>Indicators s2.1.aii &amp; s2.2.aii</t>
  </si>
  <si>
    <t>Indicators s2.1.ai &amp; s2.2.ai</t>
  </si>
  <si>
    <t>Indicators s2.1.aiii &amp; s2.2.aiii</t>
  </si>
  <si>
    <t>Indicators s2.1.bi &amp; s2.2.bi</t>
  </si>
  <si>
    <t>Indicators s2.1.bii &amp; s2.2.bii</t>
  </si>
  <si>
    <t>Indicators s2.1.biii &amp; s2.2.biii</t>
  </si>
  <si>
    <t>Indicators s2.4</t>
  </si>
  <si>
    <t>Indicators s2.5</t>
  </si>
  <si>
    <t>Indicators s2.6</t>
  </si>
  <si>
    <t>Indicators s2.7</t>
  </si>
  <si>
    <t>Indicators s2.8</t>
  </si>
  <si>
    <t>Indicators s2.9</t>
  </si>
  <si>
    <t>Spreadsheet includes</t>
  </si>
  <si>
    <t xml:space="preserve">Contract with changed / expired benefit </t>
  </si>
  <si>
    <t xml:space="preserve">Deemed arrangment  without Contract </t>
  </si>
  <si>
    <t xml:space="preserve">Electricity customers reasons for a Type 4 or 4A meter installation [B - E]; Total installations [G]; % of installations [I - L] </t>
  </si>
  <si>
    <t>Electricity customers on a flat tariff with no controlled load [B]; Electricity customers on a flat tariff with a controlled load [C]; Electricity customers on a time of use or flexible retail tariff with no underlying distributor time of use or flexible network tariff [D]; Electricity customers on a time of use or flexible retail tariff with an underlying distributor based time of use or flexible network tariff [E]; % of electricity customers on a flat tariff with no controlled load [I]; % of electricity customers on a flat tariff with a controlled load [J]; % electricity customers on a time of use or flexible retail tariff with no underlying distributor time of use or flexible network tariff [K]; Electricity customers on a time of use or flexible retail tariff with an underlying distributor based time of use or flexible network tariff [L]</t>
  </si>
  <si>
    <t>Solar customers that receive government funded feed-in tariff [B]; % of customers [C]; Solar customers that receive retailer (only) funded feed-in tariff [E]; % of customers [F]; Total solar customers that receive tariffs [H]; % of customers [I]</t>
  </si>
  <si>
    <t>Origin Energy*</t>
  </si>
  <si>
    <t xml:space="preserve">*Energy Australia Q3 2018-19 small business numbers have decreased due to a change in their reporting methodology </t>
  </si>
  <si>
    <t>EnergyAustralia*</t>
  </si>
  <si>
    <t>Electricity residential customers</t>
  </si>
  <si>
    <t xml:space="preserve">Electricity small business customers </t>
  </si>
  <si>
    <t xml:space="preserve">Electricity large customers </t>
  </si>
  <si>
    <t>Gas residential customers</t>
  </si>
  <si>
    <t xml:space="preserve">Gas small business customers </t>
  </si>
  <si>
    <t>Gas large customers</t>
  </si>
  <si>
    <r>
      <rPr>
        <b/>
        <sz val="10"/>
        <color theme="1"/>
        <rFont val="Calibri"/>
        <family val="2"/>
        <scheme val="minor"/>
      </rPr>
      <t>Quarterly</t>
    </r>
    <r>
      <rPr>
        <sz val="10"/>
        <color theme="1"/>
        <rFont val="Calibri"/>
        <family val="2"/>
        <scheme val="minor"/>
      </rPr>
      <t xml:space="preserve">
Small business electricity customer numbers by retailer and quarter [B - F]; retailer market share [G - K]; Number of customers on market contracts [L - P]; Customers on market contracts % [Q - U]; 
</t>
    </r>
    <r>
      <rPr>
        <b/>
        <sz val="10"/>
        <color theme="1"/>
        <rFont val="Calibri"/>
        <family val="2"/>
        <scheme val="minor"/>
      </rPr>
      <t>Annual</t>
    </r>
    <r>
      <rPr>
        <sz val="10"/>
        <color theme="1"/>
        <rFont val="Calibri"/>
        <family val="2"/>
        <scheme val="minor"/>
      </rPr>
      <t xml:space="preserve">
Small business electricity customer numbers [W - AA]; Market share [AB - AF];  Number of customers on market contracts [AG - AK]; Customers on market contracts % [AL - AP]</t>
    </r>
  </si>
  <si>
    <r>
      <rPr>
        <b/>
        <sz val="10"/>
        <color theme="1"/>
        <rFont val="Calibri"/>
        <family val="2"/>
        <scheme val="minor"/>
      </rPr>
      <t>Quarterly:</t>
    </r>
    <r>
      <rPr>
        <sz val="10"/>
        <color theme="1"/>
        <rFont val="Calibri"/>
        <family val="2"/>
        <scheme val="minor"/>
      </rPr>
      <t xml:space="preserve"> 
Large customer electricity customer numbers by retailer and quarter [B - F]; retailer market share [G - K]; Number of customers on market contracts [L - P]; Customers on market contracts % [Q - U]; 
</t>
    </r>
    <r>
      <rPr>
        <b/>
        <sz val="10"/>
        <color theme="1"/>
        <rFont val="Calibri"/>
        <family val="2"/>
        <scheme val="minor"/>
      </rPr>
      <t>Annual:
L</t>
    </r>
    <r>
      <rPr>
        <sz val="10"/>
        <color theme="1"/>
        <rFont val="Calibri"/>
        <family val="2"/>
        <scheme val="minor"/>
      </rPr>
      <t>arge business electricity customer numbers [W - AA]; Market share [AB - AF];  Number of customers on market contracts [AG - AK]; Customers on market contracts % [AL - AP]</t>
    </r>
  </si>
  <si>
    <r>
      <rPr>
        <b/>
        <sz val="10"/>
        <color theme="1"/>
        <rFont val="Calibri"/>
        <family val="2"/>
        <scheme val="minor"/>
      </rPr>
      <t xml:space="preserve">Quarterly: </t>
    </r>
    <r>
      <rPr>
        <sz val="10"/>
        <color theme="1"/>
        <rFont val="Calibri"/>
        <family val="2"/>
        <scheme val="minor"/>
      </rPr>
      <t xml:space="preserve">
Residential gas customer numbers  by retailer and quarter [row B - F]; retailer market share [G - K]; Number of customers on market contracts [L - P]; Customers on market contracts % [Q - U]; 
</t>
    </r>
    <r>
      <rPr>
        <b/>
        <sz val="10"/>
        <color theme="1"/>
        <rFont val="Calibri"/>
        <family val="2"/>
        <scheme val="minor"/>
      </rPr>
      <t>Annual:
R</t>
    </r>
    <r>
      <rPr>
        <sz val="10"/>
        <color theme="1"/>
        <rFont val="Calibri"/>
        <family val="2"/>
        <scheme val="minor"/>
      </rPr>
      <t xml:space="preserve">esidential gas customer numbers [W - AA]; market share by retailer [AB - AF]; Numbers of customers on market contracts [AG - AK]; Customers on market contracts % [AL - AP]     </t>
    </r>
  </si>
  <si>
    <r>
      <rPr>
        <b/>
        <sz val="10"/>
        <color theme="1"/>
        <rFont val="Calibri"/>
        <family val="2"/>
        <scheme val="minor"/>
      </rPr>
      <t xml:space="preserve">Quarterly:
</t>
    </r>
    <r>
      <rPr>
        <sz val="10"/>
        <color theme="1"/>
        <rFont val="Calibri"/>
        <family val="2"/>
        <scheme val="minor"/>
      </rPr>
      <t xml:space="preserve">Small business gas customer numbers  by retailer and quarter [row B - F]; retailer market share [G - K]; Number of customers on market contracts [L - P]; Customers on market contracts % [Q - U]; 
</t>
    </r>
    <r>
      <rPr>
        <b/>
        <sz val="10"/>
        <color theme="1"/>
        <rFont val="Calibri"/>
        <family val="2"/>
        <scheme val="minor"/>
      </rPr>
      <t>Annual:</t>
    </r>
    <r>
      <rPr>
        <sz val="10"/>
        <color theme="1"/>
        <rFont val="Calibri"/>
        <family val="2"/>
        <scheme val="minor"/>
      </rPr>
      <t xml:space="preserve">
Small business gas customer numbers [W - AA]; market share by retailer [AB - AF]; Numbers of customers on market contracts [AG - AK]; Customers on market contracts % [AL - AP]     </t>
    </r>
  </si>
  <si>
    <r>
      <rPr>
        <b/>
        <sz val="10"/>
        <color theme="1"/>
        <rFont val="Calibri"/>
        <family val="2"/>
        <scheme val="minor"/>
      </rPr>
      <t xml:space="preserve">Quarterly:
</t>
    </r>
    <r>
      <rPr>
        <sz val="10"/>
        <color theme="1"/>
        <rFont val="Calibri"/>
        <family val="2"/>
        <scheme val="minor"/>
      </rPr>
      <t xml:space="preserve">Large customer gas customer numbers by retailer and quarter [B - F]; retailer market share [G - K]; Number of customers on market contracts [L - P]; Customers on market contracts % [Q - U]; 
</t>
    </r>
    <r>
      <rPr>
        <b/>
        <sz val="10"/>
        <color theme="1"/>
        <rFont val="Calibri"/>
        <family val="2"/>
        <scheme val="minor"/>
      </rPr>
      <t>Annual:
L</t>
    </r>
    <r>
      <rPr>
        <sz val="10"/>
        <color theme="1"/>
        <rFont val="Calibri"/>
        <family val="2"/>
        <scheme val="minor"/>
      </rPr>
      <t>arge business gas customer numbers [W - AA]; Market share [AB - AF];  Number of customers on market contracts [AG - AK]; Customers on market contracts % [AL - AP]</t>
    </r>
  </si>
  <si>
    <r>
      <rPr>
        <b/>
        <sz val="10"/>
        <color theme="1"/>
        <rFont val="Calibri"/>
        <family val="2"/>
        <scheme val="minor"/>
      </rPr>
      <t>Electricity</t>
    </r>
    <r>
      <rPr>
        <sz val="10"/>
        <color theme="1"/>
        <rFont val="Calibri"/>
        <family val="2"/>
        <scheme val="minor"/>
      </rPr>
      <t xml:space="preserve">
Numbers of residential electricity contracts - total, market, standard and deemed [B - E]; % market, standard and deemed residential contracts [G - I]; Numbers of small business electricity contracts - total, market, standard and deemed [K - M]; % market, standard and deemed small business contracts [P - R]; Numbers of large business electricity contracts - total, market, standard and deemed [T - W]; % market, standard and deemed large business contracts [Y - AA]; 
</t>
    </r>
    <r>
      <rPr>
        <b/>
        <sz val="10"/>
        <color theme="1"/>
        <rFont val="Calibri"/>
        <family val="2"/>
        <scheme val="minor"/>
      </rPr>
      <t xml:space="preserve">Gas:
</t>
    </r>
    <r>
      <rPr>
        <sz val="10"/>
        <color theme="1"/>
        <rFont val="Calibri"/>
        <family val="2"/>
        <scheme val="minor"/>
      </rPr>
      <t xml:space="preserve">Numbers of residential gas contracts - total, market, standard and deemed [AD - AG]; % market, standard and deemed residential contracts [AI - AK]; Numbers of small business gas contracts - total, market, standard and deemed [AM - AP]; % market, standard and deemed small business contracts [AR - AT]; Numbers of large business gas contracts - total, market, standard and deemed [AV - AY]; % market, standard and deemed large business contracts [BA - BC] </t>
    </r>
  </si>
  <si>
    <r>
      <rPr>
        <b/>
        <sz val="10"/>
        <color theme="1"/>
        <rFont val="Calibri"/>
        <family val="2"/>
        <scheme val="minor"/>
      </rPr>
      <t>Electricity:</t>
    </r>
    <r>
      <rPr>
        <sz val="10"/>
        <color theme="1"/>
        <rFont val="Calibri"/>
        <family val="2"/>
        <scheme val="minor"/>
      </rPr>
      <t xml:space="preserve">
Residential customers  customers who have switched from a standard to market offer and as a % of standard customers [B - C]; Small business customers who have switched from a standard to market offer and as a % of standard customers [E - F]; Large  customers who have switched from a standard to market offer and as a % of standard customers [H - I]; 
</t>
    </r>
    <r>
      <rPr>
        <b/>
        <sz val="10"/>
        <color theme="1"/>
        <rFont val="Calibri"/>
        <family val="2"/>
        <scheme val="minor"/>
      </rPr>
      <t>Gas:</t>
    </r>
    <r>
      <rPr>
        <sz val="10"/>
        <color theme="1"/>
        <rFont val="Calibri"/>
        <family val="2"/>
        <scheme val="minor"/>
      </rPr>
      <t xml:space="preserve">
Residential customers  customers who have switched from a standard to market offer and as a % of standard customers [B - C]; Small business customers who have switched from a standard to market offer and as a % of standard customers [E - F]; Large  customers who have switched from a standard to market offer and as a % of standard customers [H - I]; </t>
    </r>
  </si>
  <si>
    <r>
      <rPr>
        <b/>
        <sz val="10"/>
        <color theme="1"/>
        <rFont val="Calibri"/>
        <family val="2"/>
        <scheme val="minor"/>
      </rPr>
      <t>Electricity:</t>
    </r>
    <r>
      <rPr>
        <sz val="10"/>
        <color theme="1"/>
        <rFont val="Calibri"/>
        <family val="2"/>
        <scheme val="minor"/>
      </rPr>
      <t xml:space="preserve">
Residential customers by total numbers and % of market customers [B - C]; Small business customers by total numbers and % of market customers [E - F]; Large customers by total numbers and % of market customers [H - I]; 
</t>
    </r>
    <r>
      <rPr>
        <b/>
        <sz val="10"/>
        <color theme="1"/>
        <rFont val="Calibri"/>
        <family val="2"/>
        <scheme val="minor"/>
      </rPr>
      <t xml:space="preserve">Gas:
</t>
    </r>
    <r>
      <rPr>
        <sz val="10"/>
        <color theme="1"/>
        <rFont val="Calibri"/>
        <family val="2"/>
        <scheme val="minor"/>
      </rPr>
      <t>Residential customers by total numbers and % of market customers [L - M]; Small business customers by total numbers and % of market customers [O - P]</t>
    </r>
  </si>
  <si>
    <r>
      <rPr>
        <b/>
        <sz val="10"/>
        <color theme="1"/>
        <rFont val="Calibri"/>
        <family val="2"/>
        <scheme val="minor"/>
      </rPr>
      <t>Electricity:</t>
    </r>
    <r>
      <rPr>
        <sz val="10"/>
        <color theme="1"/>
        <rFont val="Calibri"/>
        <family val="2"/>
        <scheme val="minor"/>
      </rPr>
      <t xml:space="preserve">
Residential customers with contract with changed / expired benefit [B]; % of market customers [C]; Small business customers with contract with changed / expired benefit [E]; % of market customers [F]; 
</t>
    </r>
    <r>
      <rPr>
        <b/>
        <sz val="10"/>
        <color theme="1"/>
        <rFont val="Calibri"/>
        <family val="2"/>
        <scheme val="minor"/>
      </rPr>
      <t xml:space="preserve">Gas:
</t>
    </r>
    <r>
      <rPr>
        <sz val="10"/>
        <color theme="1"/>
        <rFont val="Calibri"/>
        <family val="2"/>
        <scheme val="minor"/>
      </rPr>
      <t xml:space="preserve">Residential customers with contract with changed / expired benefit [I]; % of market customers [J]; Small business customers with contract with changed / expired benefit [L]; % of market customers [M]   </t>
    </r>
  </si>
  <si>
    <r>
      <rPr>
        <b/>
        <sz val="10"/>
        <color theme="1"/>
        <rFont val="Calibri"/>
        <family val="2"/>
        <scheme val="minor"/>
      </rPr>
      <t>Electricity:</t>
    </r>
    <r>
      <rPr>
        <sz val="10"/>
        <color theme="1"/>
        <rFont val="Calibri"/>
        <family val="2"/>
        <scheme val="minor"/>
      </rPr>
      <t xml:space="preserve">
Residential customers deemed without a contract [B]; % of market customers [C]; Small business customers deemed without a contract [E]; % of market customers [F]; Large customers deemed without a contract [H]; % of market customers [I]; 
</t>
    </r>
    <r>
      <rPr>
        <b/>
        <sz val="10"/>
        <color theme="1"/>
        <rFont val="Calibri"/>
        <family val="2"/>
        <scheme val="minor"/>
      </rPr>
      <t>Gas:</t>
    </r>
    <r>
      <rPr>
        <sz val="10"/>
        <color theme="1"/>
        <rFont val="Calibri"/>
        <family val="2"/>
        <scheme val="minor"/>
      </rPr>
      <t xml:space="preserve">
Residential customers deemed without a contract [L]; % of market customers [M]; Small business customers deemed without a contract [O]; % of market customers [P]; Large customers deemed without a contract [R]; % of market customers [S]  </t>
    </r>
  </si>
  <si>
    <t>Back to Contents</t>
  </si>
  <si>
    <t>Percentage of electricity residential and small business customers switching *</t>
  </si>
  <si>
    <t>Percentage of gas residential and small business customers switching *</t>
  </si>
  <si>
    <t>Quarter</t>
  </si>
  <si>
    <t>VIC</t>
  </si>
  <si>
    <t>NSW/ACT</t>
  </si>
  <si>
    <t xml:space="preserve">ACT </t>
  </si>
  <si>
    <t xml:space="preserve">Electricity </t>
  </si>
  <si>
    <t xml:space="preserve">* Note that the AER uses publically available data from AEMO combined with AER data for analysis </t>
  </si>
  <si>
    <t>Electricity switching data from AEMO can be found here</t>
  </si>
  <si>
    <t xml:space="preserve">Gas switching data from AEMO can be found here </t>
  </si>
  <si>
    <t xml:space="preserve"> </t>
  </si>
  <si>
    <t xml:space="preserve">Percentage of electricity residential and small business customers switching </t>
  </si>
  <si>
    <t>Switching</t>
  </si>
  <si>
    <t>Q3 2018-19^</t>
  </si>
  <si>
    <t>^ Note that this includes deemed customers for Q3 2018-19</t>
  </si>
  <si>
    <r>
      <rPr>
        <b/>
        <sz val="10"/>
        <color theme="1"/>
        <rFont val="Calibri"/>
        <family val="2"/>
        <scheme val="minor"/>
      </rPr>
      <t>Quarterly:</t>
    </r>
    <r>
      <rPr>
        <sz val="10"/>
        <color theme="1"/>
        <rFont val="Calibri"/>
        <family val="2"/>
        <scheme val="minor"/>
      </rPr>
      <t xml:space="preserve">
Residential electricity customer numbers  by retailer and quarter [column B - F]; retailer market share [G - K]; Number of customers on market contracts [L - P]; Customers on market contracts % [Q - U]; 
</t>
    </r>
    <r>
      <rPr>
        <b/>
        <sz val="10"/>
        <color theme="1"/>
        <rFont val="Calibri"/>
        <family val="2"/>
        <scheme val="minor"/>
      </rPr>
      <t>Annual:</t>
    </r>
    <r>
      <rPr>
        <sz val="10"/>
        <color theme="1"/>
        <rFont val="Calibri"/>
        <family val="2"/>
        <scheme val="minor"/>
      </rPr>
      <t xml:space="preserve">
Residential electricity customer numbers [W - AA];  market share by retailer [AB - AF]; Numbers of customers on market contracts [AG - AK]; Customers on market contracts % [AL - AP]     </t>
    </r>
  </si>
  <si>
    <r>
      <t>*</t>
    </r>
    <r>
      <rPr>
        <sz val="10"/>
        <color theme="1"/>
        <rFont val="Calibri"/>
        <family val="2"/>
        <scheme val="minor"/>
      </rPr>
      <t xml:space="preserve">Origin customer numbers for Q3 2018-19 have decreased due to a change in their reporting methodology. This is largely due to Sun Retail now being reported separately in Queensland. </t>
    </r>
  </si>
  <si>
    <t xml:space="preserve">Types of contracts for  Q3 2018 19 - including market, standard and deemed customers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</si>
</sst>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0.0%"/>
    <numFmt numFmtId="165" formatCode="0.0"/>
    <numFmt numFmtId="166" formatCode="_-* #,##0.0_-;\-* #,##0.0_-;_-* &quot;-&quot;??_-;_-@_-"/>
  </numFmts>
  <fonts count="1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C00000"/>
      <name val="Calibri"/>
      <family val="2"/>
      <scheme val="minor"/>
    </font>
    <font>
      <b/>
      <i/>
      <sz val="10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43" fontId="16" fillId="0" borderId="0" applyFont="0" applyFill="0" applyBorder="0" applyAlignment="0" applyProtection="0"/>
  </cellStyleXfs>
  <cellXfs count="130">
    <xf numFmtId="0" fontId="0" fillId="0" borderId="0" xfId="0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1" fontId="4" fillId="0" borderId="0" xfId="0" applyNumberFormat="1" applyFont="1" applyBorder="1"/>
    <xf numFmtId="1" fontId="2" fillId="0" borderId="0" xfId="0" applyNumberFormat="1" applyFont="1" applyBorder="1"/>
    <xf numFmtId="10" fontId="2" fillId="0" borderId="0" xfId="0" applyNumberFormat="1" applyFont="1" applyBorder="1"/>
    <xf numFmtId="164" fontId="2" fillId="0" borderId="0" xfId="0" applyNumberFormat="1" applyFont="1" applyBorder="1"/>
    <xf numFmtId="0" fontId="5" fillId="0" borderId="0" xfId="0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14" fontId="7" fillId="0" borderId="0" xfId="0" applyNumberFormat="1" applyFont="1" applyBorder="1"/>
    <xf numFmtId="0" fontId="7" fillId="0" borderId="0" xfId="0" applyFont="1" applyBorder="1"/>
    <xf numFmtId="1" fontId="6" fillId="0" borderId="0" xfId="0" applyNumberFormat="1" applyFont="1" applyBorder="1"/>
    <xf numFmtId="10" fontId="7" fillId="0" borderId="0" xfId="0" applyNumberFormat="1" applyFont="1" applyBorder="1"/>
    <xf numFmtId="1" fontId="7" fillId="0" borderId="0" xfId="0" applyNumberFormat="1" applyFont="1" applyBorder="1"/>
    <xf numFmtId="164" fontId="7" fillId="0" borderId="0" xfId="0" applyNumberFormat="1" applyFont="1" applyBorder="1"/>
    <xf numFmtId="0" fontId="1" fillId="0" borderId="0" xfId="0" applyFont="1" applyBorder="1" applyAlignment="1">
      <alignment horizontal="center"/>
    </xf>
    <xf numFmtId="164" fontId="6" fillId="0" borderId="0" xfId="0" applyNumberFormat="1" applyFont="1" applyBorder="1"/>
    <xf numFmtId="0" fontId="2" fillId="0" borderId="0" xfId="0" applyFont="1" applyAlignment="1">
      <alignment horizontal="left"/>
    </xf>
    <xf numFmtId="0" fontId="2" fillId="0" borderId="0" xfId="0" applyFont="1"/>
    <xf numFmtId="164" fontId="2" fillId="0" borderId="0" xfId="0" applyNumberFormat="1" applyFont="1"/>
    <xf numFmtId="0" fontId="1" fillId="0" borderId="0" xfId="0" applyFont="1"/>
    <xf numFmtId="164" fontId="1" fillId="0" borderId="0" xfId="0" applyNumberFormat="1" applyFont="1"/>
    <xf numFmtId="0" fontId="8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/>
    <xf numFmtId="0" fontId="6" fillId="0" borderId="0" xfId="0" applyFont="1" applyBorder="1" applyAlignment="1">
      <alignment horizontal="left" wrapText="1"/>
    </xf>
    <xf numFmtId="0" fontId="0" fillId="0" borderId="0" xfId="0" applyAlignment="1">
      <alignment wrapText="1"/>
    </xf>
    <xf numFmtId="0" fontId="6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0" fontId="6" fillId="0" borderId="0" xfId="0" applyFont="1" applyAlignment="1">
      <alignment horizontal="center" vertical="center" wrapText="1"/>
    </xf>
    <xf numFmtId="1" fontId="9" fillId="0" borderId="0" xfId="0" applyNumberFormat="1" applyFont="1"/>
    <xf numFmtId="1" fontId="10" fillId="0" borderId="0" xfId="0" applyNumberFormat="1" applyFont="1"/>
    <xf numFmtId="0" fontId="1" fillId="0" borderId="0" xfId="0" applyFont="1" applyAlignment="1"/>
    <xf numFmtId="0" fontId="6" fillId="0" borderId="0" xfId="0" applyFont="1" applyBorder="1" applyAlignment="1"/>
    <xf numFmtId="0" fontId="6" fillId="0" borderId="0" xfId="0" applyFont="1" applyBorder="1" applyAlignment="1">
      <alignment vertical="center" wrapText="1"/>
    </xf>
    <xf numFmtId="0" fontId="4" fillId="0" borderId="0" xfId="0" applyFont="1" applyBorder="1" applyAlignment="1"/>
    <xf numFmtId="0" fontId="6" fillId="0" borderId="0" xfId="0" applyFont="1" applyFill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1" fillId="0" borderId="0" xfId="0" applyFont="1"/>
    <xf numFmtId="0" fontId="6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0" fontId="2" fillId="0" borderId="0" xfId="0" applyNumberFormat="1" applyFont="1"/>
    <xf numFmtId="0" fontId="6" fillId="0" borderId="0" xfId="0" applyFont="1" applyAlignment="1">
      <alignment horizontal="center" vertical="center"/>
    </xf>
    <xf numFmtId="10" fontId="1" fillId="0" borderId="0" xfId="0" applyNumberFormat="1" applyFont="1"/>
    <xf numFmtId="10" fontId="6" fillId="0" borderId="0" xfId="0" applyNumberFormat="1" applyFont="1"/>
    <xf numFmtId="0" fontId="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64" fontId="0" fillId="0" borderId="0" xfId="0" applyNumberFormat="1"/>
    <xf numFmtId="164" fontId="6" fillId="0" borderId="0" xfId="0" applyNumberFormat="1" applyFont="1"/>
    <xf numFmtId="164" fontId="1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164" fontId="5" fillId="0" borderId="0" xfId="0" applyNumberFormat="1" applyFont="1"/>
    <xf numFmtId="164" fontId="4" fillId="0" borderId="0" xfId="0" applyNumberFormat="1" applyFont="1"/>
    <xf numFmtId="164" fontId="11" fillId="0" borderId="0" xfId="0" applyNumberFormat="1" applyFont="1"/>
    <xf numFmtId="164" fontId="0" fillId="0" borderId="0" xfId="0" applyNumberFormat="1" applyFont="1"/>
    <xf numFmtId="164" fontId="6" fillId="0" borderId="0" xfId="0" applyNumberFormat="1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3" fillId="0" borderId="0" xfId="1" applyFont="1" applyAlignment="1">
      <alignment vertical="center"/>
    </xf>
    <xf numFmtId="0" fontId="14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15" fillId="0" borderId="0" xfId="1" applyFont="1"/>
    <xf numFmtId="0" fontId="2" fillId="0" borderId="4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7" fontId="2" fillId="0" borderId="0" xfId="0" applyNumberFormat="1" applyFont="1" applyAlignment="1">
      <alignment horizontal="left"/>
    </xf>
    <xf numFmtId="165" fontId="2" fillId="0" borderId="0" xfId="2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7" fillId="0" borderId="0" xfId="0" applyFont="1"/>
    <xf numFmtId="43" fontId="2" fillId="0" borderId="0" xfId="2" applyNumberFormat="1" applyFont="1" applyAlignment="1">
      <alignment horizontal="center" vertical="center"/>
    </xf>
    <xf numFmtId="0" fontId="13" fillId="0" borderId="0" xfId="1" applyFont="1"/>
    <xf numFmtId="165" fontId="2" fillId="0" borderId="0" xfId="0" applyNumberFormat="1" applyFont="1"/>
    <xf numFmtId="17" fontId="2" fillId="0" borderId="0" xfId="0" applyNumberFormat="1" applyFont="1"/>
    <xf numFmtId="165" fontId="5" fillId="0" borderId="0" xfId="2" applyNumberFormat="1" applyFont="1"/>
    <xf numFmtId="43" fontId="5" fillId="0" borderId="0" xfId="2" applyNumberFormat="1" applyFont="1"/>
    <xf numFmtId="2" fontId="2" fillId="0" borderId="0" xfId="0" applyNumberFormat="1" applyFont="1"/>
    <xf numFmtId="43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7" fontId="17" fillId="0" borderId="0" xfId="0" applyNumberFormat="1" applyFont="1"/>
    <xf numFmtId="43" fontId="17" fillId="0" borderId="0" xfId="2" applyNumberFormat="1" applyFont="1"/>
    <xf numFmtId="17" fontId="6" fillId="0" borderId="0" xfId="0" applyNumberFormat="1" applyFont="1" applyAlignment="1">
      <alignment horizontal="left"/>
    </xf>
    <xf numFmtId="17" fontId="6" fillId="0" borderId="0" xfId="0" applyNumberFormat="1" applyFont="1" applyAlignment="1">
      <alignment horizontal="center" vertical="center"/>
    </xf>
    <xf numFmtId="0" fontId="7" fillId="0" borderId="0" xfId="0" applyFont="1"/>
    <xf numFmtId="17" fontId="6" fillId="0" borderId="0" xfId="0" applyNumberFormat="1" applyFont="1" applyAlignment="1">
      <alignment horizontal="center"/>
    </xf>
    <xf numFmtId="0" fontId="12" fillId="0" borderId="1" xfId="1" applyBorder="1" applyAlignment="1">
      <alignment vertical="center"/>
    </xf>
    <xf numFmtId="0" fontId="12" fillId="0" borderId="0" xfId="1" applyBorder="1" applyAlignment="1">
      <alignment vertical="center"/>
    </xf>
    <xf numFmtId="0" fontId="12" fillId="0" borderId="2" xfId="1" applyBorder="1" applyAlignment="1">
      <alignment vertical="center"/>
    </xf>
    <xf numFmtId="0" fontId="12" fillId="0" borderId="8" xfId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10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3933825</xdr:colOff>
      <xdr:row>7</xdr:row>
      <xdr:rowOff>103253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933825" cy="1297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3933825</xdr:colOff>
      <xdr:row>7</xdr:row>
      <xdr:rowOff>103253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933825" cy="1297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er.gov.au/system/files/AER%20Retail%20Law%20Performance%20Reporting%20Procedures%20and%20Guidelines%20-%20January%202019%20%E2%80%93%20from%20Q3%202018-19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://www.aemo.com.au/Gas/Retail-markets-and-metering/Data" TargetMode="External"/><Relationship Id="rId1" Type="http://schemas.openxmlformats.org/officeDocument/2006/relationships/hyperlink" Target="http://www.aemo.com.au/Electricity/National-Electricity-Market-NEM/Data/Metering/Retail-Transfer-Statistical-Dat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38"/>
  <sheetViews>
    <sheetView tabSelected="1" workbookViewId="0">
      <selection activeCell="A12" sqref="A12"/>
    </sheetView>
  </sheetViews>
  <sheetFormatPr defaultColWidth="9.140625" defaultRowHeight="12.75" x14ac:dyDescent="0.25"/>
  <cols>
    <col min="1" max="1" width="81.140625" style="74" bestFit="1" customWidth="1"/>
    <col min="2" max="2" width="152.140625" style="72" customWidth="1"/>
    <col min="3" max="16384" width="9.140625" style="74"/>
  </cols>
  <sheetData>
    <row r="1" spans="1:3" x14ac:dyDescent="0.25">
      <c r="A1" s="71"/>
      <c r="C1" s="73"/>
    </row>
    <row r="2" spans="1:3" x14ac:dyDescent="0.25">
      <c r="A2" s="71"/>
      <c r="C2" s="73"/>
    </row>
    <row r="3" spans="1:3" x14ac:dyDescent="0.25">
      <c r="A3" s="71"/>
      <c r="C3" s="73"/>
    </row>
    <row r="4" spans="1:3" x14ac:dyDescent="0.25">
      <c r="A4" s="71"/>
      <c r="C4" s="73"/>
    </row>
    <row r="5" spans="1:3" x14ac:dyDescent="0.25">
      <c r="A5" s="71"/>
      <c r="C5" s="73"/>
    </row>
    <row r="6" spans="1:3" x14ac:dyDescent="0.25">
      <c r="A6" s="71"/>
      <c r="C6" s="73"/>
    </row>
    <row r="7" spans="1:3" x14ac:dyDescent="0.25">
      <c r="A7" s="71"/>
    </row>
    <row r="8" spans="1:3" x14ac:dyDescent="0.25">
      <c r="A8" s="71"/>
    </row>
    <row r="9" spans="1:3" ht="25.5" x14ac:dyDescent="0.25">
      <c r="A9" s="75" t="s">
        <v>125</v>
      </c>
    </row>
    <row r="10" spans="1:3" x14ac:dyDescent="0.25">
      <c r="A10" s="76" t="s">
        <v>138</v>
      </c>
    </row>
    <row r="11" spans="1:3" x14ac:dyDescent="0.25">
      <c r="A11" s="71"/>
    </row>
    <row r="12" spans="1:3" x14ac:dyDescent="0.25">
      <c r="A12" s="77" t="s">
        <v>123</v>
      </c>
    </row>
    <row r="13" spans="1:3" x14ac:dyDescent="0.25">
      <c r="A13" s="71"/>
    </row>
    <row r="14" spans="1:3" x14ac:dyDescent="0.25">
      <c r="A14" s="78" t="s">
        <v>7</v>
      </c>
      <c r="B14" s="79" t="s">
        <v>164</v>
      </c>
    </row>
    <row r="15" spans="1:3" ht="63.75" x14ac:dyDescent="0.25">
      <c r="A15" s="109" t="s">
        <v>173</v>
      </c>
      <c r="B15" s="80" t="s">
        <v>205</v>
      </c>
      <c r="C15" s="73"/>
    </row>
    <row r="16" spans="1:3" ht="63.75" x14ac:dyDescent="0.25">
      <c r="A16" s="109" t="s">
        <v>174</v>
      </c>
      <c r="B16" s="80" t="s">
        <v>179</v>
      </c>
      <c r="C16" s="73"/>
    </row>
    <row r="17" spans="1:3" ht="63.75" x14ac:dyDescent="0.25">
      <c r="A17" s="110" t="s">
        <v>175</v>
      </c>
      <c r="B17" s="81" t="s">
        <v>180</v>
      </c>
      <c r="C17" s="73"/>
    </row>
    <row r="18" spans="1:3" ht="63.75" x14ac:dyDescent="0.25">
      <c r="A18" s="109" t="s">
        <v>176</v>
      </c>
      <c r="B18" s="80" t="s">
        <v>181</v>
      </c>
      <c r="C18" s="73"/>
    </row>
    <row r="19" spans="1:3" ht="63.75" x14ac:dyDescent="0.25">
      <c r="A19" s="109" t="s">
        <v>177</v>
      </c>
      <c r="B19" s="80" t="s">
        <v>182</v>
      </c>
      <c r="C19" s="73"/>
    </row>
    <row r="20" spans="1:3" ht="63.75" x14ac:dyDescent="0.25">
      <c r="A20" s="111" t="s">
        <v>178</v>
      </c>
      <c r="B20" s="82" t="s">
        <v>183</v>
      </c>
      <c r="C20" s="73"/>
    </row>
    <row r="21" spans="1:3" x14ac:dyDescent="0.25">
      <c r="A21" s="120"/>
      <c r="B21" s="117"/>
    </row>
    <row r="22" spans="1:3" x14ac:dyDescent="0.25">
      <c r="A22" s="113" t="s">
        <v>124</v>
      </c>
      <c r="B22" s="119"/>
    </row>
    <row r="23" spans="1:3" ht="15" x14ac:dyDescent="0.25">
      <c r="A23" s="112" t="s">
        <v>124</v>
      </c>
      <c r="B23" s="118" t="s">
        <v>201</v>
      </c>
      <c r="C23" s="73"/>
    </row>
    <row r="24" spans="1:3" x14ac:dyDescent="0.25">
      <c r="B24" s="88"/>
      <c r="C24" s="73"/>
    </row>
    <row r="25" spans="1:3" x14ac:dyDescent="0.25">
      <c r="A25" s="83" t="s">
        <v>127</v>
      </c>
      <c r="B25" s="84"/>
      <c r="C25" s="73"/>
    </row>
    <row r="26" spans="1:3" ht="102" x14ac:dyDescent="0.25">
      <c r="A26" s="109" t="s">
        <v>207</v>
      </c>
      <c r="B26" s="80" t="s">
        <v>184</v>
      </c>
      <c r="C26" s="73"/>
    </row>
    <row r="27" spans="1:3" ht="76.5" x14ac:dyDescent="0.25">
      <c r="A27" s="109" t="s">
        <v>128</v>
      </c>
      <c r="B27" s="80" t="s">
        <v>185</v>
      </c>
      <c r="C27" s="73"/>
    </row>
    <row r="28" spans="1:3" ht="63.75" x14ac:dyDescent="0.25">
      <c r="A28" s="109" t="s">
        <v>129</v>
      </c>
      <c r="B28" s="80" t="s">
        <v>186</v>
      </c>
      <c r="C28" s="73"/>
    </row>
    <row r="29" spans="1:3" ht="76.5" x14ac:dyDescent="0.25">
      <c r="A29" s="109" t="s">
        <v>130</v>
      </c>
      <c r="B29" s="80" t="s">
        <v>187</v>
      </c>
      <c r="C29" s="73"/>
    </row>
    <row r="30" spans="1:3" ht="76.5" x14ac:dyDescent="0.25">
      <c r="A30" s="111" t="s">
        <v>137</v>
      </c>
      <c r="B30" s="82" t="s">
        <v>188</v>
      </c>
      <c r="C30" s="73"/>
    </row>
    <row r="31" spans="1:3" x14ac:dyDescent="0.25">
      <c r="A31" s="114"/>
      <c r="B31" s="117"/>
    </row>
    <row r="32" spans="1:3" x14ac:dyDescent="0.25">
      <c r="A32" s="115" t="s">
        <v>131</v>
      </c>
      <c r="B32" s="116"/>
    </row>
    <row r="33" spans="1:3" ht="15" x14ac:dyDescent="0.25">
      <c r="A33" s="110" t="s">
        <v>133</v>
      </c>
      <c r="B33" s="81" t="s">
        <v>167</v>
      </c>
      <c r="C33" s="73"/>
    </row>
    <row r="34" spans="1:3" x14ac:dyDescent="0.25">
      <c r="A34" s="85"/>
      <c r="B34" s="117"/>
      <c r="C34" s="73"/>
    </row>
    <row r="35" spans="1:3" x14ac:dyDescent="0.25">
      <c r="A35" s="83" t="s">
        <v>134</v>
      </c>
      <c r="B35" s="119"/>
      <c r="C35" s="113"/>
    </row>
    <row r="36" spans="1:3" ht="63.75" x14ac:dyDescent="0.25">
      <c r="A36" s="110" t="s">
        <v>135</v>
      </c>
      <c r="B36" s="81" t="s">
        <v>168</v>
      </c>
      <c r="C36" s="73"/>
    </row>
    <row r="37" spans="1:3" ht="25.5" x14ac:dyDescent="0.25">
      <c r="A37" s="110" t="s">
        <v>136</v>
      </c>
      <c r="B37" s="81" t="s">
        <v>169</v>
      </c>
      <c r="C37" s="73"/>
    </row>
    <row r="38" spans="1:3" x14ac:dyDescent="0.25">
      <c r="A38" s="85"/>
      <c r="B38" s="86"/>
    </row>
  </sheetData>
  <hyperlinks>
    <hyperlink ref="A15" location="'Res Elec Cust #s &amp; Mkt Contr'!A1" display="Electricity residential customers"/>
    <hyperlink ref="A18" location="'Res Gas Cust #s &amp; Mkt Contr'!A1" display="Gas residential customers"/>
    <hyperlink ref="A16" location="'SmlBiz Elec Cust #s &amp; Mkt Contr'!A1" display="Electricity small business customers "/>
    <hyperlink ref="A19" location="'SmlBiz Gas Cust #s &amp; Mkt Contr'!A1" display="Gas small business customers "/>
    <hyperlink ref="A17" location="'Lrg Elec Cust #s &amp; Mkt Contr'!A1" display="Electricity large customers "/>
    <hyperlink ref="A20" location="'Lrg Gas Cust #s &amp; Mkt Contr'!A1" display="Gas large customers"/>
    <hyperlink ref="A26" location="'Types of contracts Q3 2018 19'!A1" display="Types of customers for  Q3 2018 19 - including market, standard and deemed customers "/>
    <hyperlink ref="A27" location="'Standard to Market Switch'!A1" display="Customers who have switched from a standard contract to a market contract"/>
    <hyperlink ref="A28" location="'Market to Standard Switch'!A1" display="Customers who have moved from a market contract to a standard contract"/>
    <hyperlink ref="A29" location="'Expired or changed benefits'!A1" display="Customers with expired or changed benefits on their contracts"/>
    <hyperlink ref="A30" location="'Deemed without contract'!A1" display="Customers who are deemed without a contract"/>
    <hyperlink ref="A33" location="Meters!A1" display="Reasons for a Type 4 or 4A meter installation "/>
    <hyperlink ref="A36" location="'Tariff Structures'!A1" display="Tariff structures "/>
    <hyperlink ref="A37" location="'Solar Tariffs'!A1" display="Solar Tariffs  - government or retailer funded "/>
    <hyperlink ref="A10" r:id="rId1"/>
    <hyperlink ref="A23" location="Switching!A1" display="Switching 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C216"/>
  <sheetViews>
    <sheetView workbookViewId="0">
      <pane xSplit="1" ySplit="7" topLeftCell="B53" activePane="bottomRight" state="frozen"/>
      <selection pane="topRight" activeCell="B1" sqref="B1"/>
      <selection pane="bottomLeft" activeCell="A6" sqref="A6"/>
      <selection pane="bottomRight" activeCell="A4" sqref="A4"/>
    </sheetView>
  </sheetViews>
  <sheetFormatPr defaultRowHeight="15" x14ac:dyDescent="0.25"/>
  <cols>
    <col min="1" max="1" width="25.28515625" customWidth="1"/>
    <col min="2" max="42" width="12.5703125" customWidth="1"/>
  </cols>
  <sheetData>
    <row r="1" spans="1:42" x14ac:dyDescent="0.25">
      <c r="A1" s="29" t="s">
        <v>102</v>
      </c>
      <c r="B1" s="87" t="s">
        <v>189</v>
      </c>
      <c r="C1" s="23"/>
      <c r="W1" s="5" t="s">
        <v>1</v>
      </c>
    </row>
    <row r="2" spans="1:42" x14ac:dyDescent="0.25">
      <c r="A2" s="1" t="s">
        <v>153</v>
      </c>
      <c r="B2" s="2"/>
      <c r="C2" s="2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5"/>
      <c r="X2" s="6"/>
      <c r="Y2" s="6"/>
      <c r="Z2" s="6"/>
      <c r="AA2" s="7"/>
      <c r="AB2" s="7"/>
      <c r="AC2" s="7"/>
      <c r="AD2" s="7"/>
      <c r="AE2" s="6"/>
      <c r="AF2" s="6"/>
      <c r="AG2" s="6"/>
      <c r="AH2" s="3"/>
      <c r="AI2" s="8"/>
      <c r="AJ2" s="8"/>
      <c r="AK2" s="8"/>
      <c r="AL2" s="8"/>
      <c r="AM2" s="9"/>
      <c r="AN2" s="9"/>
      <c r="AO2" s="9"/>
      <c r="AP2" s="9"/>
    </row>
    <row r="3" spans="1:42" x14ac:dyDescent="0.25">
      <c r="A3" s="1" t="s">
        <v>204</v>
      </c>
      <c r="B3" s="2"/>
      <c r="C3" s="2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3"/>
      <c r="P3" s="3"/>
      <c r="Q3" s="3"/>
      <c r="R3" s="3"/>
      <c r="S3" s="3"/>
      <c r="T3" s="3"/>
      <c r="U3" s="3"/>
      <c r="V3" s="3"/>
      <c r="W3" s="5"/>
      <c r="X3" s="6"/>
      <c r="Y3" s="6"/>
      <c r="Z3" s="6"/>
      <c r="AA3" s="7"/>
      <c r="AB3" s="7"/>
      <c r="AC3" s="7"/>
      <c r="AD3" s="7"/>
      <c r="AE3" s="6"/>
      <c r="AF3" s="6"/>
      <c r="AG3" s="6"/>
      <c r="AH3" s="3"/>
      <c r="AI3" s="8"/>
      <c r="AJ3" s="8"/>
      <c r="AK3" s="8"/>
      <c r="AL3" s="8"/>
      <c r="AM3" s="9"/>
      <c r="AN3" s="9"/>
      <c r="AO3" s="9"/>
      <c r="AP3" s="9"/>
    </row>
    <row r="4" spans="1:42" x14ac:dyDescent="0.25">
      <c r="A4" s="1" t="s">
        <v>206</v>
      </c>
      <c r="B4" s="2"/>
      <c r="C4" s="2"/>
      <c r="D4" s="3"/>
      <c r="E4" s="3"/>
      <c r="F4" s="3"/>
      <c r="G4" s="3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5"/>
      <c r="X4" s="6"/>
      <c r="Y4" s="6"/>
      <c r="Z4" s="6"/>
      <c r="AA4" s="7"/>
      <c r="AB4" s="7"/>
      <c r="AC4" s="7"/>
      <c r="AD4" s="7"/>
      <c r="AE4" s="6"/>
      <c r="AF4" s="6"/>
      <c r="AG4" s="6"/>
      <c r="AH4" s="3"/>
      <c r="AI4" s="8"/>
      <c r="AJ4" s="8"/>
      <c r="AK4" s="8"/>
      <c r="AL4" s="8"/>
      <c r="AM4" s="9"/>
      <c r="AN4" s="9"/>
      <c r="AO4" s="9"/>
      <c r="AP4" s="9"/>
    </row>
    <row r="5" spans="1:42" x14ac:dyDescent="0.25">
      <c r="A5" s="10" t="s">
        <v>2</v>
      </c>
      <c r="B5" s="11" t="s">
        <v>3</v>
      </c>
      <c r="C5" s="11" t="s">
        <v>4</v>
      </c>
      <c r="D5" s="4"/>
      <c r="E5" s="12"/>
      <c r="F5" s="13"/>
      <c r="G5" s="13"/>
      <c r="H5" s="4"/>
      <c r="I5" s="4"/>
      <c r="J5" s="4"/>
      <c r="K5" s="4"/>
      <c r="L5" s="4"/>
      <c r="M5" s="4"/>
      <c r="N5" s="4"/>
      <c r="O5" s="13"/>
      <c r="P5" s="13"/>
      <c r="Q5" s="13"/>
      <c r="R5" s="13"/>
      <c r="S5" s="13"/>
      <c r="T5" s="13"/>
      <c r="U5" s="13"/>
      <c r="V5" s="13"/>
      <c r="W5" s="14" t="s">
        <v>5</v>
      </c>
      <c r="X5" s="14"/>
      <c r="Y5" s="14" t="s">
        <v>3</v>
      </c>
      <c r="Z5" s="14" t="s">
        <v>4</v>
      </c>
      <c r="AA5" s="15"/>
      <c r="AB5" s="15"/>
      <c r="AC5" s="15"/>
      <c r="AD5" s="15"/>
      <c r="AE5" s="16"/>
      <c r="AF5" s="16"/>
      <c r="AG5" s="16"/>
      <c r="AH5" s="13"/>
      <c r="AI5" s="17"/>
      <c r="AJ5" s="17"/>
      <c r="AK5" s="17"/>
      <c r="AL5" s="17"/>
      <c r="AM5" s="9"/>
      <c r="AN5" s="9"/>
      <c r="AO5" s="9"/>
      <c r="AP5" s="9"/>
    </row>
    <row r="6" spans="1:42" x14ac:dyDescent="0.25">
      <c r="A6" s="1" t="s">
        <v>6</v>
      </c>
      <c r="B6" s="122" t="s">
        <v>7</v>
      </c>
      <c r="C6" s="122"/>
      <c r="D6" s="122"/>
      <c r="E6" s="122"/>
      <c r="F6" s="122"/>
      <c r="G6" s="122" t="s">
        <v>8</v>
      </c>
      <c r="H6" s="122"/>
      <c r="I6" s="122"/>
      <c r="J6" s="122"/>
      <c r="K6" s="122"/>
      <c r="L6" s="122" t="s">
        <v>9</v>
      </c>
      <c r="M6" s="122"/>
      <c r="N6" s="122"/>
      <c r="O6" s="122"/>
      <c r="P6" s="122"/>
      <c r="Q6" s="122" t="s">
        <v>10</v>
      </c>
      <c r="R6" s="122"/>
      <c r="S6" s="122"/>
      <c r="T6" s="122"/>
      <c r="U6" s="122"/>
      <c r="V6" s="18"/>
      <c r="W6" s="121" t="s">
        <v>7</v>
      </c>
      <c r="X6" s="121"/>
      <c r="Y6" s="121"/>
      <c r="Z6" s="121"/>
      <c r="AA6" s="121"/>
      <c r="AB6" s="121" t="s">
        <v>8</v>
      </c>
      <c r="AC6" s="121"/>
      <c r="AD6" s="121"/>
      <c r="AE6" s="121"/>
      <c r="AF6" s="121"/>
      <c r="AG6" s="121" t="s">
        <v>9</v>
      </c>
      <c r="AH6" s="121"/>
      <c r="AI6" s="121"/>
      <c r="AJ6" s="121"/>
      <c r="AK6" s="121"/>
      <c r="AL6" s="121" t="s">
        <v>10</v>
      </c>
      <c r="AM6" s="121"/>
      <c r="AN6" s="121"/>
      <c r="AO6" s="121"/>
      <c r="AP6" s="121"/>
    </row>
    <row r="7" spans="1:42" x14ac:dyDescent="0.25">
      <c r="A7" s="10" t="s">
        <v>11</v>
      </c>
      <c r="B7" s="11" t="s">
        <v>12</v>
      </c>
      <c r="C7" s="11" t="s">
        <v>13</v>
      </c>
      <c r="D7" s="11" t="s">
        <v>14</v>
      </c>
      <c r="E7" s="11" t="s">
        <v>15</v>
      </c>
      <c r="F7" s="11" t="s">
        <v>203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203</v>
      </c>
      <c r="L7" s="11" t="s">
        <v>12</v>
      </c>
      <c r="M7" s="11" t="s">
        <v>13</v>
      </c>
      <c r="N7" s="11" t="s">
        <v>14</v>
      </c>
      <c r="O7" s="11" t="s">
        <v>15</v>
      </c>
      <c r="P7" s="11" t="s">
        <v>16</v>
      </c>
      <c r="Q7" s="11" t="s">
        <v>12</v>
      </c>
      <c r="R7" s="11" t="s">
        <v>13</v>
      </c>
      <c r="S7" s="11" t="s">
        <v>14</v>
      </c>
      <c r="T7" s="11" t="s">
        <v>15</v>
      </c>
      <c r="U7" s="11" t="s">
        <v>16</v>
      </c>
      <c r="V7" s="11"/>
      <c r="W7" s="14" t="s">
        <v>17</v>
      </c>
      <c r="X7" s="14" t="s">
        <v>18</v>
      </c>
      <c r="Y7" s="14" t="s">
        <v>19</v>
      </c>
      <c r="Z7" s="14" t="s">
        <v>20</v>
      </c>
      <c r="AA7" s="14" t="s">
        <v>21</v>
      </c>
      <c r="AB7" s="19" t="s">
        <v>17</v>
      </c>
      <c r="AC7" s="19" t="s">
        <v>18</v>
      </c>
      <c r="AD7" s="19" t="s">
        <v>19</v>
      </c>
      <c r="AE7" s="19" t="s">
        <v>20</v>
      </c>
      <c r="AF7" s="19" t="s">
        <v>21</v>
      </c>
      <c r="AG7" s="14" t="s">
        <v>17</v>
      </c>
      <c r="AH7" s="14" t="s">
        <v>18</v>
      </c>
      <c r="AI7" s="14" t="s">
        <v>19</v>
      </c>
      <c r="AJ7" s="14" t="s">
        <v>20</v>
      </c>
      <c r="AK7" s="14" t="s">
        <v>21</v>
      </c>
      <c r="AL7" s="14" t="s">
        <v>17</v>
      </c>
      <c r="AM7" s="14" t="s">
        <v>18</v>
      </c>
      <c r="AN7" s="14" t="s">
        <v>19</v>
      </c>
      <c r="AO7" s="14" t="s">
        <v>20</v>
      </c>
      <c r="AP7" s="14" t="s">
        <v>21</v>
      </c>
    </row>
    <row r="8" spans="1:42" x14ac:dyDescent="0.25">
      <c r="A8" s="20" t="s">
        <v>22</v>
      </c>
      <c r="B8" s="21">
        <v>11252</v>
      </c>
      <c r="C8" s="21">
        <v>13118</v>
      </c>
      <c r="D8" s="21">
        <v>14757</v>
      </c>
      <c r="E8" s="21">
        <v>14716</v>
      </c>
      <c r="F8" s="21">
        <v>13760</v>
      </c>
      <c r="G8" s="22">
        <v>1.7971001715646111E-3</v>
      </c>
      <c r="H8" s="22">
        <v>2.0809171898702895E-3</v>
      </c>
      <c r="I8" s="22">
        <v>2.3282727283484598E-3</v>
      </c>
      <c r="J8" s="22">
        <v>2.3099995541995969E-3</v>
      </c>
      <c r="K8" s="22">
        <v>2.1562548235624121E-3</v>
      </c>
      <c r="L8" s="21">
        <v>10876</v>
      </c>
      <c r="M8" s="21">
        <v>12675</v>
      </c>
      <c r="N8" s="21">
        <v>14235</v>
      </c>
      <c r="O8" s="21">
        <v>14149</v>
      </c>
      <c r="P8" s="21">
        <v>13169</v>
      </c>
      <c r="Q8" s="22">
        <v>0.96658371845005331</v>
      </c>
      <c r="R8" s="22">
        <v>0.96622960817197745</v>
      </c>
      <c r="S8" s="22">
        <v>0.96462695669851595</v>
      </c>
      <c r="T8" s="22">
        <v>0.96147050829029623</v>
      </c>
      <c r="U8" s="22">
        <v>0.9570494186046512</v>
      </c>
      <c r="V8" s="21"/>
      <c r="W8" s="21">
        <v>0</v>
      </c>
      <c r="X8" s="21">
        <v>0</v>
      </c>
      <c r="Y8" s="21">
        <v>4078</v>
      </c>
      <c r="Z8" s="21">
        <v>9482</v>
      </c>
      <c r="AA8" s="21">
        <v>13118</v>
      </c>
      <c r="AB8" s="22">
        <v>0</v>
      </c>
      <c r="AC8" s="22">
        <v>0</v>
      </c>
      <c r="AD8" s="22">
        <v>6.6858892814767581E-4</v>
      </c>
      <c r="AE8" s="22">
        <v>1.5336458313283958E-3</v>
      </c>
      <c r="AF8" s="22">
        <v>2.0809171898702895E-3</v>
      </c>
      <c r="AG8" s="21">
        <v>0</v>
      </c>
      <c r="AH8" s="21">
        <v>0</v>
      </c>
      <c r="AI8" s="21">
        <v>4078</v>
      </c>
      <c r="AJ8" s="21">
        <v>9468</v>
      </c>
      <c r="AK8" s="21">
        <v>12675</v>
      </c>
      <c r="AL8" s="22">
        <v>0</v>
      </c>
      <c r="AM8" s="22">
        <v>0</v>
      </c>
      <c r="AN8" s="22">
        <v>1</v>
      </c>
      <c r="AO8" s="22">
        <v>0.998523518245096</v>
      </c>
      <c r="AP8" s="22">
        <v>0.96622960817197745</v>
      </c>
    </row>
    <row r="9" spans="1:42" x14ac:dyDescent="0.25">
      <c r="A9" s="20" t="s">
        <v>23</v>
      </c>
      <c r="B9" s="21">
        <v>181318</v>
      </c>
      <c r="C9" s="21">
        <v>180579</v>
      </c>
      <c r="D9" s="21">
        <v>178744</v>
      </c>
      <c r="E9" s="21">
        <v>175714</v>
      </c>
      <c r="F9" s="21">
        <v>173678</v>
      </c>
      <c r="G9" s="22">
        <v>2.8958994748289384E-2</v>
      </c>
      <c r="H9" s="22">
        <v>2.8645368595028736E-2</v>
      </c>
      <c r="I9" s="22">
        <v>2.8201177783825786E-2</v>
      </c>
      <c r="J9" s="22">
        <v>2.7582173258129106E-2</v>
      </c>
      <c r="K9" s="22">
        <v>2.7216135555717485E-2</v>
      </c>
      <c r="L9" s="21">
        <v>61391</v>
      </c>
      <c r="M9" s="21">
        <v>71987</v>
      </c>
      <c r="N9" s="21">
        <v>84268</v>
      </c>
      <c r="O9" s="21">
        <v>86911</v>
      </c>
      <c r="P9" s="21">
        <v>68828</v>
      </c>
      <c r="Q9" s="22">
        <v>0.33858193891395227</v>
      </c>
      <c r="R9" s="22">
        <v>0.39864546818843832</v>
      </c>
      <c r="S9" s="22">
        <v>0.47144519536320101</v>
      </c>
      <c r="T9" s="22">
        <v>0.49461625140853888</v>
      </c>
      <c r="U9" s="22">
        <v>0.396296594847937</v>
      </c>
      <c r="V9" s="21"/>
      <c r="W9" s="21">
        <v>180095</v>
      </c>
      <c r="X9" s="21">
        <v>182478</v>
      </c>
      <c r="Y9" s="21">
        <v>181283</v>
      </c>
      <c r="Z9" s="21">
        <v>180567</v>
      </c>
      <c r="AA9" s="21">
        <v>180579</v>
      </c>
      <c r="AB9" s="22">
        <v>4.336516262507862E-2</v>
      </c>
      <c r="AC9" s="22">
        <v>4.3934639525188661E-2</v>
      </c>
      <c r="AD9" s="22">
        <v>2.9721384664393113E-2</v>
      </c>
      <c r="AE9" s="22">
        <v>2.9205423626394687E-2</v>
      </c>
      <c r="AF9" s="22">
        <v>2.8645368595028736E-2</v>
      </c>
      <c r="AG9" s="21">
        <v>41777</v>
      </c>
      <c r="AH9" s="21">
        <v>51974</v>
      </c>
      <c r="AI9" s="21">
        <v>47420</v>
      </c>
      <c r="AJ9" s="21">
        <v>34719</v>
      </c>
      <c r="AK9" s="21">
        <v>71987</v>
      </c>
      <c r="AL9" s="22">
        <v>0.2319720147699825</v>
      </c>
      <c r="AM9" s="22">
        <v>0.2848233759686099</v>
      </c>
      <c r="AN9" s="22">
        <v>0.26157996061406752</v>
      </c>
      <c r="AO9" s="22">
        <v>0.19227765870840186</v>
      </c>
      <c r="AP9" s="22">
        <v>0.39864546818843832</v>
      </c>
    </row>
    <row r="10" spans="1:42" x14ac:dyDescent="0.25">
      <c r="A10" s="20" t="s">
        <v>24</v>
      </c>
      <c r="B10" s="21">
        <v>1397526</v>
      </c>
      <c r="C10" s="21">
        <v>1378777</v>
      </c>
      <c r="D10" s="21">
        <v>1375803</v>
      </c>
      <c r="E10" s="21">
        <v>1373750</v>
      </c>
      <c r="F10" s="21">
        <v>1381988</v>
      </c>
      <c r="G10" s="22">
        <v>0.22320424941041633</v>
      </c>
      <c r="H10" s="22">
        <v>0.2187163256821</v>
      </c>
      <c r="I10" s="22">
        <v>0.21706611130175485</v>
      </c>
      <c r="J10" s="22">
        <v>0.2156402478650242</v>
      </c>
      <c r="K10" s="22">
        <v>0.21656382929544843</v>
      </c>
      <c r="L10" s="21">
        <v>1236899</v>
      </c>
      <c r="M10" s="21">
        <v>1231097</v>
      </c>
      <c r="N10" s="21">
        <v>1232875</v>
      </c>
      <c r="O10" s="21">
        <v>1231128</v>
      </c>
      <c r="P10" s="21">
        <v>1238710</v>
      </c>
      <c r="Q10" s="22">
        <v>0.88506331903664048</v>
      </c>
      <c r="R10" s="22">
        <v>0.89289058346636185</v>
      </c>
      <c r="S10" s="22">
        <v>0.89611303362472683</v>
      </c>
      <c r="T10" s="22">
        <v>0.89618052775250223</v>
      </c>
      <c r="U10" s="22">
        <v>0.89632471483109843</v>
      </c>
      <c r="V10" s="21"/>
      <c r="W10" s="21">
        <v>1070223</v>
      </c>
      <c r="X10" s="21">
        <v>1055795</v>
      </c>
      <c r="Y10" s="21">
        <v>1406541</v>
      </c>
      <c r="Z10" s="21">
        <v>1411503</v>
      </c>
      <c r="AA10" s="21">
        <v>1378777</v>
      </c>
      <c r="AB10" s="22">
        <v>0.25769951658901974</v>
      </c>
      <c r="AC10" s="22">
        <v>0.25420035696082027</v>
      </c>
      <c r="AD10" s="22">
        <v>0.2306026825860128</v>
      </c>
      <c r="AE10" s="22">
        <v>0.22830053700248099</v>
      </c>
      <c r="AF10" s="22">
        <v>0.2187163256821</v>
      </c>
      <c r="AG10" s="21">
        <v>946062</v>
      </c>
      <c r="AH10" s="21">
        <v>916965</v>
      </c>
      <c r="AI10" s="21">
        <v>1183474</v>
      </c>
      <c r="AJ10" s="21">
        <v>1218814</v>
      </c>
      <c r="AK10" s="21">
        <v>1231097</v>
      </c>
      <c r="AL10" s="22">
        <v>0.88398586089067421</v>
      </c>
      <c r="AM10" s="22">
        <v>0.86850667032899376</v>
      </c>
      <c r="AN10" s="22">
        <v>0.8414073958739916</v>
      </c>
      <c r="AO10" s="22">
        <v>0.86348665217147957</v>
      </c>
      <c r="AP10" s="22">
        <v>0.89289058346636185</v>
      </c>
    </row>
    <row r="11" spans="1:42" x14ac:dyDescent="0.25">
      <c r="A11" s="20" t="s">
        <v>25</v>
      </c>
      <c r="B11" s="21">
        <v>171157</v>
      </c>
      <c r="C11" s="21">
        <v>240936</v>
      </c>
      <c r="D11" s="21">
        <v>267474</v>
      </c>
      <c r="E11" s="21">
        <v>290734</v>
      </c>
      <c r="F11" s="21">
        <v>299992</v>
      </c>
      <c r="G11" s="22">
        <v>2.7336142380419849E-2</v>
      </c>
      <c r="H11" s="22">
        <v>3.821984022401189E-2</v>
      </c>
      <c r="I11" s="22">
        <v>4.2200475688979874E-2</v>
      </c>
      <c r="J11" s="22">
        <v>4.5637089588928079E-2</v>
      </c>
      <c r="K11" s="22">
        <v>4.7010116063236559E-2</v>
      </c>
      <c r="L11" s="21">
        <v>169466</v>
      </c>
      <c r="M11" s="21">
        <v>239807</v>
      </c>
      <c r="N11" s="21">
        <v>265692</v>
      </c>
      <c r="O11" s="21">
        <v>288880</v>
      </c>
      <c r="P11" s="21">
        <v>296729</v>
      </c>
      <c r="Q11" s="22">
        <v>0.99012018205507224</v>
      </c>
      <c r="R11" s="22">
        <v>0.99531410831092071</v>
      </c>
      <c r="S11" s="22">
        <v>0.99333767020345898</v>
      </c>
      <c r="T11" s="22">
        <v>0.99362303686531328</v>
      </c>
      <c r="U11" s="22">
        <v>0.98912304328115419</v>
      </c>
      <c r="V11" s="21"/>
      <c r="W11" s="21">
        <v>24008</v>
      </c>
      <c r="X11" s="21">
        <v>32230</v>
      </c>
      <c r="Y11" s="21">
        <v>45405</v>
      </c>
      <c r="Z11" s="21">
        <v>64903</v>
      </c>
      <c r="AA11" s="21">
        <v>240936</v>
      </c>
      <c r="AB11" s="22">
        <v>5.7808979944078817E-3</v>
      </c>
      <c r="AC11" s="22">
        <v>7.7599131506090073E-3</v>
      </c>
      <c r="AD11" s="22">
        <v>7.4441589707075094E-3</v>
      </c>
      <c r="AE11" s="22">
        <v>1.0497597067149006E-2</v>
      </c>
      <c r="AF11" s="22">
        <v>3.821984022401189E-2</v>
      </c>
      <c r="AG11" s="21">
        <v>23667</v>
      </c>
      <c r="AH11" s="21">
        <v>30878</v>
      </c>
      <c r="AI11" s="21">
        <v>43563</v>
      </c>
      <c r="AJ11" s="21">
        <v>64145</v>
      </c>
      <c r="AK11" s="21">
        <v>239807</v>
      </c>
      <c r="AL11" s="22">
        <v>0.9857964011996001</v>
      </c>
      <c r="AM11" s="22">
        <v>0.958051504809184</v>
      </c>
      <c r="AN11" s="22">
        <v>0.95943178064089862</v>
      </c>
      <c r="AO11" s="22">
        <v>0.98832103292605888</v>
      </c>
      <c r="AP11" s="22">
        <v>0.99531410831092071</v>
      </c>
    </row>
    <row r="12" spans="1:42" x14ac:dyDescent="0.25">
      <c r="A12" s="20" t="s">
        <v>26</v>
      </c>
      <c r="B12" s="21">
        <v>97301</v>
      </c>
      <c r="C12" s="21">
        <v>97198</v>
      </c>
      <c r="D12" s="21">
        <v>95983</v>
      </c>
      <c r="E12" s="21">
        <v>94348</v>
      </c>
      <c r="F12" s="21">
        <v>96273</v>
      </c>
      <c r="G12" s="22">
        <v>1.5540316725329562E-2</v>
      </c>
      <c r="H12" s="22">
        <v>1.5418584313234668E-2</v>
      </c>
      <c r="I12" s="22">
        <v>1.514363361693232E-2</v>
      </c>
      <c r="J12" s="22">
        <v>1.4809991705600949E-2</v>
      </c>
      <c r="K12" s="22">
        <v>1.5086418650350587E-2</v>
      </c>
      <c r="L12" s="21">
        <v>95878</v>
      </c>
      <c r="M12" s="21">
        <v>95535</v>
      </c>
      <c r="N12" s="21">
        <v>94295</v>
      </c>
      <c r="O12" s="21">
        <v>92675</v>
      </c>
      <c r="P12" s="21">
        <v>93626</v>
      </c>
      <c r="Q12" s="22">
        <v>0.98537527877411335</v>
      </c>
      <c r="R12" s="22">
        <v>0.98289059445667604</v>
      </c>
      <c r="S12" s="22">
        <v>0.98241355239990413</v>
      </c>
      <c r="T12" s="22">
        <v>0.98226777462161363</v>
      </c>
      <c r="U12" s="22">
        <v>0.97250527146759735</v>
      </c>
      <c r="V12" s="21"/>
      <c r="W12" s="21">
        <v>15208</v>
      </c>
      <c r="X12" s="21">
        <v>21410</v>
      </c>
      <c r="Y12" s="21">
        <v>81064</v>
      </c>
      <c r="Z12" s="21">
        <v>96889</v>
      </c>
      <c r="AA12" s="21">
        <v>97198</v>
      </c>
      <c r="AB12" s="22">
        <v>3.6619417152180551E-3</v>
      </c>
      <c r="AC12" s="22">
        <v>5.1548166476741812E-3</v>
      </c>
      <c r="AD12" s="22">
        <v>1.3290459262227366E-2</v>
      </c>
      <c r="AE12" s="22">
        <v>1.5671104297782845E-2</v>
      </c>
      <c r="AF12" s="22">
        <v>1.5418584313234668E-2</v>
      </c>
      <c r="AG12" s="21">
        <v>15113</v>
      </c>
      <c r="AH12" s="21">
        <v>21214</v>
      </c>
      <c r="AI12" s="21">
        <v>79949</v>
      </c>
      <c r="AJ12" s="21">
        <v>95446</v>
      </c>
      <c r="AK12" s="21">
        <v>95535</v>
      </c>
      <c r="AL12" s="22">
        <v>0.99375328774329297</v>
      </c>
      <c r="AM12" s="22">
        <v>0.99084539934609994</v>
      </c>
      <c r="AN12" s="22">
        <v>0.98624543570512191</v>
      </c>
      <c r="AO12" s="22">
        <v>0.98510666845565542</v>
      </c>
      <c r="AP12" s="22">
        <v>0.98289059445667604</v>
      </c>
    </row>
    <row r="13" spans="1:42" x14ac:dyDescent="0.25">
      <c r="A13" s="20" t="s">
        <v>27</v>
      </c>
      <c r="B13" s="21">
        <v>240081</v>
      </c>
      <c r="C13" s="21">
        <v>241125</v>
      </c>
      <c r="D13" s="21">
        <v>242198</v>
      </c>
      <c r="E13" s="21">
        <v>242752</v>
      </c>
      <c r="F13" s="21">
        <v>243938</v>
      </c>
      <c r="G13" s="22">
        <v>3.8344259357394543E-2</v>
      </c>
      <c r="H13" s="22">
        <v>3.8249821421518032E-2</v>
      </c>
      <c r="I13" s="22">
        <v>3.821257696418922E-2</v>
      </c>
      <c r="J13" s="22">
        <v>3.8105260381969319E-2</v>
      </c>
      <c r="K13" s="22">
        <v>3.8226198339401718E-2</v>
      </c>
      <c r="L13" s="21">
        <v>21496</v>
      </c>
      <c r="M13" s="21">
        <v>21076</v>
      </c>
      <c r="N13" s="21">
        <v>20479</v>
      </c>
      <c r="O13" s="21">
        <v>19711</v>
      </c>
      <c r="P13" s="21">
        <v>14549</v>
      </c>
      <c r="Q13" s="22">
        <v>8.9536448115427714E-2</v>
      </c>
      <c r="R13" s="22">
        <v>8.7406946604458274E-2</v>
      </c>
      <c r="S13" s="22">
        <v>8.4554785753804734E-2</v>
      </c>
      <c r="T13" s="22">
        <v>8.1198095175322962E-2</v>
      </c>
      <c r="U13" s="22">
        <v>5.9642204166632504E-2</v>
      </c>
      <c r="V13" s="21"/>
      <c r="W13" s="21">
        <v>230127</v>
      </c>
      <c r="X13" s="21">
        <v>234548</v>
      </c>
      <c r="Y13" s="21">
        <v>236432</v>
      </c>
      <c r="Z13" s="21">
        <v>238374</v>
      </c>
      <c r="AA13" s="21">
        <v>241125</v>
      </c>
      <c r="AB13" s="22">
        <v>5.5412392234217872E-2</v>
      </c>
      <c r="AC13" s="22">
        <v>5.6471365487094055E-2</v>
      </c>
      <c r="AD13" s="22">
        <v>3.8763074413882125E-2</v>
      </c>
      <c r="AE13" s="22">
        <v>3.8555293334431029E-2</v>
      </c>
      <c r="AF13" s="22">
        <v>3.8249821421518032E-2</v>
      </c>
      <c r="AG13" s="21">
        <v>30640</v>
      </c>
      <c r="AH13" s="21">
        <v>29612</v>
      </c>
      <c r="AI13" s="21">
        <v>26670</v>
      </c>
      <c r="AJ13" s="21">
        <v>23641</v>
      </c>
      <c r="AK13" s="21">
        <v>21076</v>
      </c>
      <c r="AL13" s="22">
        <v>0.13314387273114411</v>
      </c>
      <c r="AM13" s="22">
        <v>0.12625134300868052</v>
      </c>
      <c r="AN13" s="22">
        <v>0.11280198957839886</v>
      </c>
      <c r="AO13" s="22">
        <v>9.9176084640103371E-2</v>
      </c>
      <c r="AP13" s="22">
        <v>8.7406946604458274E-2</v>
      </c>
    </row>
    <row r="14" spans="1:42" x14ac:dyDescent="0.25">
      <c r="A14" s="20" t="s">
        <v>28</v>
      </c>
      <c r="B14" s="21">
        <v>0</v>
      </c>
      <c r="C14" s="21">
        <v>0</v>
      </c>
      <c r="D14" s="21">
        <v>0</v>
      </c>
      <c r="E14" s="21">
        <v>0</v>
      </c>
      <c r="F14" s="21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1"/>
      <c r="W14" s="21">
        <v>64270</v>
      </c>
      <c r="X14" s="21">
        <v>0</v>
      </c>
      <c r="Y14" s="21">
        <v>0</v>
      </c>
      <c r="Z14" s="21">
        <v>0</v>
      </c>
      <c r="AA14" s="21">
        <v>0</v>
      </c>
      <c r="AB14" s="22">
        <v>1.5475604552673883E-2</v>
      </c>
      <c r="AC14" s="22">
        <v>0</v>
      </c>
      <c r="AD14" s="22">
        <v>0</v>
      </c>
      <c r="AE14" s="22">
        <v>0</v>
      </c>
      <c r="AF14" s="22">
        <v>0</v>
      </c>
      <c r="AG14" s="21">
        <v>62405</v>
      </c>
      <c r="AH14" s="21">
        <v>0</v>
      </c>
      <c r="AI14" s="21">
        <v>0</v>
      </c>
      <c r="AJ14" s="21">
        <v>0</v>
      </c>
      <c r="AK14" s="21">
        <v>0</v>
      </c>
      <c r="AL14" s="22">
        <v>0.97098179555002329</v>
      </c>
      <c r="AM14" s="22">
        <v>0</v>
      </c>
      <c r="AN14" s="22">
        <v>0</v>
      </c>
      <c r="AO14" s="22">
        <v>0</v>
      </c>
      <c r="AP14" s="22">
        <v>0</v>
      </c>
    </row>
    <row r="15" spans="1:42" x14ac:dyDescent="0.25">
      <c r="A15" s="20" t="s">
        <v>29</v>
      </c>
      <c r="B15" s="21">
        <v>1</v>
      </c>
      <c r="C15" s="21">
        <v>0</v>
      </c>
      <c r="D15" s="21">
        <v>0</v>
      </c>
      <c r="E15" s="21">
        <v>0</v>
      </c>
      <c r="F15" s="21">
        <v>0</v>
      </c>
      <c r="G15" s="22">
        <v>1.5971384390016095E-7</v>
      </c>
      <c r="H15" s="22">
        <v>0</v>
      </c>
      <c r="I15" s="22">
        <v>0</v>
      </c>
      <c r="J15" s="22">
        <v>0</v>
      </c>
      <c r="K15" s="22">
        <v>0</v>
      </c>
      <c r="L15" s="21">
        <v>1</v>
      </c>
      <c r="M15" s="21">
        <v>0</v>
      </c>
      <c r="N15" s="21">
        <v>0</v>
      </c>
      <c r="O15" s="21">
        <v>0</v>
      </c>
      <c r="P15" s="21">
        <v>0</v>
      </c>
      <c r="Q15" s="22">
        <v>1</v>
      </c>
      <c r="R15" s="22">
        <v>0</v>
      </c>
      <c r="S15" s="22">
        <v>0</v>
      </c>
      <c r="T15" s="22">
        <v>0</v>
      </c>
      <c r="U15" s="22">
        <v>0</v>
      </c>
      <c r="V15" s="21"/>
      <c r="W15" s="21">
        <v>0</v>
      </c>
      <c r="X15" s="21">
        <v>0</v>
      </c>
      <c r="Y15" s="21">
        <v>0</v>
      </c>
      <c r="Z15" s="21">
        <v>1</v>
      </c>
      <c r="AA15" s="21">
        <v>0</v>
      </c>
      <c r="AB15" s="22">
        <v>0</v>
      </c>
      <c r="AC15" s="22">
        <v>0</v>
      </c>
      <c r="AD15" s="22">
        <v>0</v>
      </c>
      <c r="AE15" s="22">
        <v>1.6174286346007127E-7</v>
      </c>
      <c r="AF15" s="22">
        <v>0</v>
      </c>
      <c r="AG15" s="21">
        <v>0</v>
      </c>
      <c r="AH15" s="21">
        <v>0</v>
      </c>
      <c r="AI15" s="21">
        <v>0</v>
      </c>
      <c r="AJ15" s="21">
        <v>1</v>
      </c>
      <c r="AK15" s="21">
        <v>0</v>
      </c>
      <c r="AL15" s="22">
        <v>0</v>
      </c>
      <c r="AM15" s="22">
        <v>0</v>
      </c>
      <c r="AN15" s="22">
        <v>0</v>
      </c>
      <c r="AO15" s="22">
        <v>1</v>
      </c>
      <c r="AP15" s="22">
        <v>0</v>
      </c>
    </row>
    <row r="16" spans="1:42" x14ac:dyDescent="0.25">
      <c r="A16" s="20" t="s">
        <v>30</v>
      </c>
      <c r="B16" s="21">
        <v>3206</v>
      </c>
      <c r="C16" s="21">
        <v>3307</v>
      </c>
      <c r="D16" s="21">
        <v>3390</v>
      </c>
      <c r="E16" s="21">
        <v>5115</v>
      </c>
      <c r="F16" s="21">
        <v>3639</v>
      </c>
      <c r="G16" s="22">
        <v>5.1204258354391608E-4</v>
      </c>
      <c r="H16" s="22">
        <v>5.2459164102005239E-4</v>
      </c>
      <c r="I16" s="22">
        <v>5.3485427587594218E-4</v>
      </c>
      <c r="J16" s="22">
        <v>8.0291164173219203E-4</v>
      </c>
      <c r="K16" s="22">
        <v>5.7024791445811174E-4</v>
      </c>
      <c r="L16" s="21">
        <v>3124</v>
      </c>
      <c r="M16" s="21">
        <v>3217</v>
      </c>
      <c r="N16" s="21">
        <v>3285</v>
      </c>
      <c r="O16" s="21">
        <v>4869</v>
      </c>
      <c r="P16" s="21">
        <v>3528</v>
      </c>
      <c r="Q16" s="22">
        <v>0.97442295695570802</v>
      </c>
      <c r="R16" s="22">
        <v>0.97278500151194436</v>
      </c>
      <c r="S16" s="22">
        <v>0.96902654867256632</v>
      </c>
      <c r="T16" s="22">
        <v>0.95190615835777126</v>
      </c>
      <c r="U16" s="22">
        <v>0.96949711459192089</v>
      </c>
      <c r="V16" s="21"/>
      <c r="W16" s="21">
        <v>274</v>
      </c>
      <c r="X16" s="21">
        <v>2883</v>
      </c>
      <c r="Y16" s="21">
        <v>3972</v>
      </c>
      <c r="Z16" s="21">
        <v>3016</v>
      </c>
      <c r="AA16" s="21">
        <v>3307</v>
      </c>
      <c r="AB16" s="22">
        <v>6.597659323841051E-5</v>
      </c>
      <c r="AC16" s="22">
        <v>6.9413061164150692E-4</v>
      </c>
      <c r="AD16" s="22">
        <v>6.5121020662152246E-4</v>
      </c>
      <c r="AE16" s="22">
        <v>4.8781647619557496E-4</v>
      </c>
      <c r="AF16" s="22">
        <v>5.2459164102005239E-4</v>
      </c>
      <c r="AG16" s="21">
        <v>274</v>
      </c>
      <c r="AH16" s="21">
        <v>2883</v>
      </c>
      <c r="AI16" s="21">
        <v>3926</v>
      </c>
      <c r="AJ16" s="21">
        <v>2971</v>
      </c>
      <c r="AK16" s="21">
        <v>3217</v>
      </c>
      <c r="AL16" s="22">
        <v>1</v>
      </c>
      <c r="AM16" s="22">
        <v>1</v>
      </c>
      <c r="AN16" s="22">
        <v>0.98841893252769386</v>
      </c>
      <c r="AO16" s="22">
        <v>0.98507957559681703</v>
      </c>
      <c r="AP16" s="22">
        <v>0.97278500151194436</v>
      </c>
    </row>
    <row r="17" spans="1:42" x14ac:dyDescent="0.25">
      <c r="A17" s="20" t="s">
        <v>31</v>
      </c>
      <c r="B17" s="21">
        <v>10361</v>
      </c>
      <c r="C17" s="21">
        <v>10158</v>
      </c>
      <c r="D17" s="21">
        <v>9996</v>
      </c>
      <c r="E17" s="21">
        <v>10061</v>
      </c>
      <c r="F17" s="21">
        <v>10101</v>
      </c>
      <c r="G17" s="22">
        <v>1.6547951366495677E-3</v>
      </c>
      <c r="H17" s="22">
        <v>1.611370392948803E-3</v>
      </c>
      <c r="I17" s="22">
        <v>1.5771101302819819E-3</v>
      </c>
      <c r="J17" s="22">
        <v>1.5792950200327631E-3</v>
      </c>
      <c r="K17" s="22">
        <v>1.5828728177909826E-3</v>
      </c>
      <c r="L17" s="21">
        <v>6142</v>
      </c>
      <c r="M17" s="21">
        <v>6056</v>
      </c>
      <c r="N17" s="21">
        <v>6148</v>
      </c>
      <c r="O17" s="21">
        <v>6340</v>
      </c>
      <c r="P17" s="21">
        <v>6502</v>
      </c>
      <c r="Q17" s="22">
        <v>0.5927999227873757</v>
      </c>
      <c r="R17" s="22">
        <v>0.59618035046268947</v>
      </c>
      <c r="S17" s="22">
        <v>0.61504601840736295</v>
      </c>
      <c r="T17" s="22">
        <v>0.63015604810655002</v>
      </c>
      <c r="U17" s="22">
        <v>0.64369864369864371</v>
      </c>
      <c r="V17" s="21"/>
      <c r="W17" s="21">
        <v>1954</v>
      </c>
      <c r="X17" s="21">
        <v>3792</v>
      </c>
      <c r="Y17" s="21">
        <v>9540</v>
      </c>
      <c r="Z17" s="21">
        <v>11588</v>
      </c>
      <c r="AA17" s="21">
        <v>10158</v>
      </c>
      <c r="AB17" s="22">
        <v>4.7050461017465018E-4</v>
      </c>
      <c r="AC17" s="22">
        <v>9.1298760990100392E-4</v>
      </c>
      <c r="AD17" s="22">
        <v>1.5640849373538077E-3</v>
      </c>
      <c r="AE17" s="22">
        <v>1.8742763017753059E-3</v>
      </c>
      <c r="AF17" s="22">
        <v>1.611370392948803E-3</v>
      </c>
      <c r="AG17" s="21">
        <v>1954</v>
      </c>
      <c r="AH17" s="21">
        <v>3789</v>
      </c>
      <c r="AI17" s="21">
        <v>5779</v>
      </c>
      <c r="AJ17" s="21">
        <v>6097</v>
      </c>
      <c r="AK17" s="21">
        <v>6056</v>
      </c>
      <c r="AL17" s="22">
        <v>1</v>
      </c>
      <c r="AM17" s="22">
        <v>0.99920886075949367</v>
      </c>
      <c r="AN17" s="22">
        <v>0.60576519916142557</v>
      </c>
      <c r="AO17" s="22">
        <v>0.52614773904038659</v>
      </c>
      <c r="AP17" s="22">
        <v>0.59618035046268947</v>
      </c>
    </row>
    <row r="18" spans="1:42" x14ac:dyDescent="0.25">
      <c r="A18" s="20" t="s">
        <v>32</v>
      </c>
      <c r="B18" s="21">
        <v>0</v>
      </c>
      <c r="C18" s="21">
        <v>0</v>
      </c>
      <c r="D18" s="21">
        <v>1</v>
      </c>
      <c r="E18" s="21">
        <v>2</v>
      </c>
      <c r="F18" s="21">
        <v>2</v>
      </c>
      <c r="G18" s="22">
        <v>0</v>
      </c>
      <c r="H18" s="22">
        <v>0</v>
      </c>
      <c r="I18" s="22">
        <v>1.5777412267726908E-7</v>
      </c>
      <c r="J18" s="22">
        <v>3.1394394593634096E-7</v>
      </c>
      <c r="K18" s="22">
        <v>3.1340913133174593E-7</v>
      </c>
      <c r="L18" s="21">
        <v>0</v>
      </c>
      <c r="M18" s="21">
        <v>0</v>
      </c>
      <c r="N18" s="21">
        <v>0</v>
      </c>
      <c r="O18" s="21">
        <v>0</v>
      </c>
      <c r="P18" s="21">
        <v>2</v>
      </c>
      <c r="Q18" s="22">
        <v>0</v>
      </c>
      <c r="R18" s="22">
        <v>0</v>
      </c>
      <c r="S18" s="22">
        <v>0</v>
      </c>
      <c r="T18" s="22">
        <v>0</v>
      </c>
      <c r="U18" s="22">
        <v>1</v>
      </c>
      <c r="V18" s="21"/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</row>
    <row r="19" spans="1:42" x14ac:dyDescent="0.25">
      <c r="A19" s="20" t="s">
        <v>33</v>
      </c>
      <c r="B19" s="21">
        <v>51351</v>
      </c>
      <c r="C19" s="21">
        <v>49269</v>
      </c>
      <c r="D19" s="21">
        <v>47726</v>
      </c>
      <c r="E19" s="21">
        <v>46949</v>
      </c>
      <c r="F19" s="21">
        <v>48095</v>
      </c>
      <c r="G19" s="22">
        <v>8.201465598117165E-3</v>
      </c>
      <c r="H19" s="22">
        <v>7.8155747086232109E-3</v>
      </c>
      <c r="I19" s="22">
        <v>7.5299277788953446E-3</v>
      </c>
      <c r="J19" s="22">
        <v>7.369677158882636E-3</v>
      </c>
      <c r="K19" s="22">
        <v>7.5367060857001603E-3</v>
      </c>
      <c r="L19" s="21">
        <v>50176</v>
      </c>
      <c r="M19" s="21">
        <v>48085</v>
      </c>
      <c r="N19" s="21">
        <v>46299</v>
      </c>
      <c r="O19" s="21">
        <v>45744</v>
      </c>
      <c r="P19" s="21">
        <v>46897</v>
      </c>
      <c r="Q19" s="22">
        <v>0.97711826449338868</v>
      </c>
      <c r="R19" s="22">
        <v>0.97596866183604292</v>
      </c>
      <c r="S19" s="22">
        <v>0.97010015505175373</v>
      </c>
      <c r="T19" s="22">
        <v>0.97433385162623276</v>
      </c>
      <c r="U19" s="22">
        <v>0.97509096579686039</v>
      </c>
      <c r="V19" s="21"/>
      <c r="W19" s="21">
        <v>21403</v>
      </c>
      <c r="X19" s="21">
        <v>24729</v>
      </c>
      <c r="Y19" s="21">
        <v>49193</v>
      </c>
      <c r="Z19" s="21">
        <v>57268</v>
      </c>
      <c r="AA19" s="21">
        <v>49269</v>
      </c>
      <c r="AB19" s="22">
        <v>5.1536387776704388E-3</v>
      </c>
      <c r="AC19" s="22">
        <v>5.9539215731123224E-3</v>
      </c>
      <c r="AD19" s="22">
        <v>8.0652023399628778E-3</v>
      </c>
      <c r="AE19" s="22">
        <v>9.2626903046313606E-3</v>
      </c>
      <c r="AF19" s="22">
        <v>7.8155747086232109E-3</v>
      </c>
      <c r="AG19" s="21">
        <v>21251</v>
      </c>
      <c r="AH19" s="21">
        <v>24390</v>
      </c>
      <c r="AI19" s="21">
        <v>48703</v>
      </c>
      <c r="AJ19" s="21">
        <v>56040</v>
      </c>
      <c r="AK19" s="21">
        <v>48085</v>
      </c>
      <c r="AL19" s="22">
        <v>0.99289819184226513</v>
      </c>
      <c r="AM19" s="22">
        <v>0.98629139876258642</v>
      </c>
      <c r="AN19" s="22">
        <v>0.99003923322423926</v>
      </c>
      <c r="AO19" s="22">
        <v>0.97855696025703709</v>
      </c>
      <c r="AP19" s="22">
        <v>0.97596866183604292</v>
      </c>
    </row>
    <row r="20" spans="1:42" x14ac:dyDescent="0.25">
      <c r="A20" s="20" t="s">
        <v>34</v>
      </c>
      <c r="B20" s="21">
        <v>4343</v>
      </c>
      <c r="C20" s="21">
        <v>5084</v>
      </c>
      <c r="D20" s="21">
        <v>5576</v>
      </c>
      <c r="E20" s="21">
        <v>6345</v>
      </c>
      <c r="F20" s="21">
        <v>7804</v>
      </c>
      <c r="G20" s="22">
        <v>6.936372240583991E-4</v>
      </c>
      <c r="H20" s="22">
        <v>8.0647834984757974E-4</v>
      </c>
      <c r="I20" s="22">
        <v>8.7974850804845245E-4</v>
      </c>
      <c r="J20" s="22">
        <v>9.9598716848304158E-4</v>
      </c>
      <c r="K20" s="22">
        <v>1.2229224304564725E-3</v>
      </c>
      <c r="L20" s="21">
        <v>4317</v>
      </c>
      <c r="M20" s="21">
        <v>5039</v>
      </c>
      <c r="N20" s="21">
        <v>5512</v>
      </c>
      <c r="O20" s="21">
        <v>6245</v>
      </c>
      <c r="P20" s="21">
        <v>7725</v>
      </c>
      <c r="Q20" s="22">
        <v>0.99401335482385444</v>
      </c>
      <c r="R20" s="22">
        <v>0.99114870180959869</v>
      </c>
      <c r="S20" s="22">
        <v>0.98852223816355811</v>
      </c>
      <c r="T20" s="22">
        <v>0.98423955870764379</v>
      </c>
      <c r="U20" s="22">
        <v>0.98987698616094311</v>
      </c>
      <c r="V20" s="21"/>
      <c r="W20" s="21">
        <v>0</v>
      </c>
      <c r="X20" s="21">
        <v>0</v>
      </c>
      <c r="Y20" s="21">
        <v>0</v>
      </c>
      <c r="Z20" s="21">
        <v>312</v>
      </c>
      <c r="AA20" s="21">
        <v>5084</v>
      </c>
      <c r="AB20" s="22">
        <v>0</v>
      </c>
      <c r="AC20" s="22">
        <v>0</v>
      </c>
      <c r="AD20" s="22">
        <v>0</v>
      </c>
      <c r="AE20" s="22">
        <v>5.0463773399542238E-5</v>
      </c>
      <c r="AF20" s="22">
        <v>8.0647834984757974E-4</v>
      </c>
      <c r="AG20" s="21">
        <v>0</v>
      </c>
      <c r="AH20" s="21">
        <v>0</v>
      </c>
      <c r="AI20" s="21">
        <v>0</v>
      </c>
      <c r="AJ20" s="21">
        <v>312</v>
      </c>
      <c r="AK20" s="21">
        <v>5039</v>
      </c>
      <c r="AL20" s="22">
        <v>0</v>
      </c>
      <c r="AM20" s="22">
        <v>0</v>
      </c>
      <c r="AN20" s="22">
        <v>0</v>
      </c>
      <c r="AO20" s="22">
        <v>1</v>
      </c>
      <c r="AP20" s="22">
        <v>0.99114870180959869</v>
      </c>
    </row>
    <row r="21" spans="1:42" x14ac:dyDescent="0.25">
      <c r="A21" s="20" t="s">
        <v>35</v>
      </c>
      <c r="B21" s="21">
        <v>1075606</v>
      </c>
      <c r="C21" s="21">
        <v>1062092</v>
      </c>
      <c r="D21" s="21">
        <v>1067221</v>
      </c>
      <c r="E21" s="21">
        <v>1075326</v>
      </c>
      <c r="F21" s="21">
        <v>1051685</v>
      </c>
      <c r="G21" s="22">
        <v>0.17178916878207653</v>
      </c>
      <c r="H21" s="22">
        <v>0.16848037048511322</v>
      </c>
      <c r="I21" s="22">
        <v>0.16837985697775779</v>
      </c>
      <c r="J21" s="22">
        <v>0.1687960438039709</v>
      </c>
      <c r="K21" s="22">
        <v>0.16480384114231361</v>
      </c>
      <c r="L21" s="21">
        <v>887797</v>
      </c>
      <c r="M21" s="21">
        <v>884920</v>
      </c>
      <c r="N21" s="21">
        <v>905008</v>
      </c>
      <c r="O21" s="21">
        <v>921594</v>
      </c>
      <c r="P21" s="21">
        <v>905618</v>
      </c>
      <c r="Q21" s="22">
        <v>0.82539238345639576</v>
      </c>
      <c r="R21" s="22">
        <v>0.83318582571001387</v>
      </c>
      <c r="S21" s="22">
        <v>0.84800430276390737</v>
      </c>
      <c r="T21" s="22">
        <v>0.85703684278070091</v>
      </c>
      <c r="U21" s="22">
        <v>0.86111145447543702</v>
      </c>
      <c r="V21" s="21"/>
      <c r="W21" s="21">
        <v>987413</v>
      </c>
      <c r="X21" s="21">
        <v>1006609</v>
      </c>
      <c r="Y21" s="21">
        <v>1112349</v>
      </c>
      <c r="Z21" s="21">
        <v>1108680</v>
      </c>
      <c r="AA21" s="21">
        <v>1062092</v>
      </c>
      <c r="AB21" s="22">
        <v>0.23775965642087094</v>
      </c>
      <c r="AC21" s="22">
        <v>0.24235800237733113</v>
      </c>
      <c r="AD21" s="22">
        <v>0.18236984444240781</v>
      </c>
      <c r="AE21" s="22">
        <v>0.17932107786091181</v>
      </c>
      <c r="AF21" s="22">
        <v>0.16848037048511322</v>
      </c>
      <c r="AG21" s="21">
        <v>495206</v>
      </c>
      <c r="AH21" s="21">
        <v>662019</v>
      </c>
      <c r="AI21" s="21">
        <v>831273</v>
      </c>
      <c r="AJ21" s="21">
        <v>873273</v>
      </c>
      <c r="AK21" s="21">
        <v>884920</v>
      </c>
      <c r="AL21" s="22">
        <v>0.50151861480454485</v>
      </c>
      <c r="AM21" s="22">
        <v>0.65767244282536719</v>
      </c>
      <c r="AN21" s="22">
        <v>0.74731311845472959</v>
      </c>
      <c r="AO21" s="22">
        <v>0.78766912003463574</v>
      </c>
      <c r="AP21" s="22">
        <v>0.83318582571001387</v>
      </c>
    </row>
    <row r="22" spans="1:42" x14ac:dyDescent="0.25">
      <c r="A22" s="20" t="s">
        <v>36</v>
      </c>
      <c r="B22" s="21">
        <v>3691</v>
      </c>
      <c r="C22" s="21">
        <v>4144</v>
      </c>
      <c r="D22" s="21">
        <v>4561</v>
      </c>
      <c r="E22" s="21">
        <v>4561</v>
      </c>
      <c r="F22" s="21">
        <v>5217</v>
      </c>
      <c r="G22" s="22">
        <v>5.8950379783549408E-4</v>
      </c>
      <c r="H22" s="22">
        <v>6.5736551569008073E-4</v>
      </c>
      <c r="I22" s="22">
        <v>7.1960777353102432E-4</v>
      </c>
      <c r="J22" s="22">
        <v>7.1594916870782561E-4</v>
      </c>
      <c r="K22" s="22">
        <v>8.1752771907885925E-4</v>
      </c>
      <c r="L22" s="21">
        <v>3691</v>
      </c>
      <c r="M22" s="21">
        <v>4060</v>
      </c>
      <c r="N22" s="21">
        <v>4472</v>
      </c>
      <c r="O22" s="21">
        <v>4472</v>
      </c>
      <c r="P22" s="21">
        <v>5169</v>
      </c>
      <c r="Q22" s="22">
        <v>1</v>
      </c>
      <c r="R22" s="22">
        <v>0.97972972972972971</v>
      </c>
      <c r="S22" s="22">
        <v>0.98048673536505149</v>
      </c>
      <c r="T22" s="22">
        <v>0.98048673536505149</v>
      </c>
      <c r="U22" s="22">
        <v>0.99079930994824617</v>
      </c>
      <c r="V22" s="21"/>
      <c r="W22" s="21">
        <v>0</v>
      </c>
      <c r="X22" s="21">
        <v>0</v>
      </c>
      <c r="Y22" s="21">
        <v>32</v>
      </c>
      <c r="Z22" s="21">
        <v>2435</v>
      </c>
      <c r="AA22" s="21">
        <v>4144</v>
      </c>
      <c r="AB22" s="22">
        <v>0</v>
      </c>
      <c r="AC22" s="22">
        <v>0</v>
      </c>
      <c r="AD22" s="22">
        <v>5.2464064984614093E-6</v>
      </c>
      <c r="AE22" s="22">
        <v>3.9384387252527355E-4</v>
      </c>
      <c r="AF22" s="22">
        <v>6.5736551569008073E-4</v>
      </c>
      <c r="AG22" s="21">
        <v>0</v>
      </c>
      <c r="AH22" s="21">
        <v>0</v>
      </c>
      <c r="AI22" s="21">
        <v>32</v>
      </c>
      <c r="AJ22" s="21">
        <v>2435</v>
      </c>
      <c r="AK22" s="21">
        <v>4060</v>
      </c>
      <c r="AL22" s="22">
        <v>0</v>
      </c>
      <c r="AM22" s="22">
        <v>0</v>
      </c>
      <c r="AN22" s="22">
        <v>1</v>
      </c>
      <c r="AO22" s="22">
        <v>1</v>
      </c>
      <c r="AP22" s="22">
        <v>0.97972972972972971</v>
      </c>
    </row>
    <row r="23" spans="1:42" x14ac:dyDescent="0.25">
      <c r="A23" s="20" t="s">
        <v>37</v>
      </c>
      <c r="B23" s="21">
        <v>608566</v>
      </c>
      <c r="C23" s="21">
        <v>613300</v>
      </c>
      <c r="D23" s="21">
        <v>611879</v>
      </c>
      <c r="E23" s="21">
        <v>614172</v>
      </c>
      <c r="F23" s="21">
        <v>613919</v>
      </c>
      <c r="G23" s="22">
        <v>9.7196415126945351E-2</v>
      </c>
      <c r="H23" s="22">
        <v>9.7288192754036315E-2</v>
      </c>
      <c r="I23" s="22">
        <v>9.6538672409644727E-2</v>
      </c>
      <c r="J23" s="22">
        <v>9.6407790581807193E-2</v>
      </c>
      <c r="K23" s="22">
        <v>9.6203910249027066E-2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1"/>
      <c r="W23" s="21">
        <v>0</v>
      </c>
      <c r="X23" s="21">
        <v>0</v>
      </c>
      <c r="Y23" s="21">
        <v>596617</v>
      </c>
      <c r="Z23" s="21">
        <v>598848</v>
      </c>
      <c r="AA23" s="21">
        <v>613300</v>
      </c>
      <c r="AB23" s="22">
        <v>0</v>
      </c>
      <c r="AC23" s="22">
        <v>0</v>
      </c>
      <c r="AD23" s="22">
        <v>9.7815478309142209E-2</v>
      </c>
      <c r="AE23" s="22">
        <v>9.6859390297336756E-2</v>
      </c>
      <c r="AF23" s="22">
        <v>9.7288192754036315E-2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</row>
    <row r="24" spans="1:42" x14ac:dyDescent="0.25">
      <c r="A24" s="20" t="s">
        <v>38</v>
      </c>
      <c r="B24" s="21">
        <v>0</v>
      </c>
      <c r="C24" s="21">
        <v>0</v>
      </c>
      <c r="D24" s="21">
        <v>124</v>
      </c>
      <c r="E24" s="21">
        <v>400</v>
      </c>
      <c r="F24" s="21">
        <v>601</v>
      </c>
      <c r="G24" s="22">
        <v>0</v>
      </c>
      <c r="H24" s="22">
        <v>0</v>
      </c>
      <c r="I24" s="22">
        <v>1.9563991211981365E-5</v>
      </c>
      <c r="J24" s="22">
        <v>6.2788789187268198E-5</v>
      </c>
      <c r="K24" s="22">
        <v>9.4179443965189652E-5</v>
      </c>
      <c r="L24" s="21">
        <v>0</v>
      </c>
      <c r="M24" s="21">
        <v>0</v>
      </c>
      <c r="N24" s="21">
        <v>124</v>
      </c>
      <c r="O24" s="21">
        <v>400</v>
      </c>
      <c r="P24" s="21">
        <v>601</v>
      </c>
      <c r="Q24" s="22">
        <v>0</v>
      </c>
      <c r="R24" s="22">
        <v>0</v>
      </c>
      <c r="S24" s="22">
        <v>1</v>
      </c>
      <c r="T24" s="22">
        <v>1</v>
      </c>
      <c r="U24" s="22">
        <v>1</v>
      </c>
      <c r="V24" s="21"/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</row>
    <row r="25" spans="1:42" x14ac:dyDescent="0.25">
      <c r="A25" s="20" t="s">
        <v>39</v>
      </c>
      <c r="B25" s="21">
        <v>0</v>
      </c>
      <c r="C25" s="21">
        <v>244</v>
      </c>
      <c r="D25" s="21">
        <v>523</v>
      </c>
      <c r="E25" s="21">
        <v>2219</v>
      </c>
      <c r="F25" s="21">
        <v>2819</v>
      </c>
      <c r="G25" s="22">
        <v>0</v>
      </c>
      <c r="H25" s="22">
        <v>3.8705884611095485E-5</v>
      </c>
      <c r="I25" s="22">
        <v>8.2515866160211729E-5</v>
      </c>
      <c r="J25" s="22">
        <v>3.4832080801637028E-4</v>
      </c>
      <c r="K25" s="22">
        <v>4.4175017061209588E-4</v>
      </c>
      <c r="L25" s="21">
        <v>0</v>
      </c>
      <c r="M25" s="21">
        <v>244</v>
      </c>
      <c r="N25" s="21">
        <v>523</v>
      </c>
      <c r="O25" s="21">
        <v>2219</v>
      </c>
      <c r="P25" s="21">
        <v>2453</v>
      </c>
      <c r="Q25" s="22">
        <v>0</v>
      </c>
      <c r="R25" s="22">
        <v>1</v>
      </c>
      <c r="S25" s="22">
        <v>1</v>
      </c>
      <c r="T25" s="22">
        <v>1</v>
      </c>
      <c r="U25" s="22">
        <v>0.870166725789287</v>
      </c>
      <c r="V25" s="21"/>
      <c r="W25" s="21">
        <v>0</v>
      </c>
      <c r="X25" s="21">
        <v>0</v>
      </c>
      <c r="Y25" s="21">
        <v>0</v>
      </c>
      <c r="Z25" s="21">
        <v>0</v>
      </c>
      <c r="AA25" s="21">
        <v>244</v>
      </c>
      <c r="AB25" s="22">
        <v>0</v>
      </c>
      <c r="AC25" s="22">
        <v>0</v>
      </c>
      <c r="AD25" s="22">
        <v>0</v>
      </c>
      <c r="AE25" s="22">
        <v>0</v>
      </c>
      <c r="AF25" s="22">
        <v>3.8705884611095485E-5</v>
      </c>
      <c r="AG25" s="21">
        <v>0</v>
      </c>
      <c r="AH25" s="21">
        <v>0</v>
      </c>
      <c r="AI25" s="21">
        <v>0</v>
      </c>
      <c r="AJ25" s="21">
        <v>0</v>
      </c>
      <c r="AK25" s="21">
        <v>244</v>
      </c>
      <c r="AL25" s="22">
        <v>0</v>
      </c>
      <c r="AM25" s="22">
        <v>0</v>
      </c>
      <c r="AN25" s="22">
        <v>0</v>
      </c>
      <c r="AO25" s="22">
        <v>0</v>
      </c>
      <c r="AP25" s="22">
        <v>1</v>
      </c>
    </row>
    <row r="26" spans="1:42" x14ac:dyDescent="0.25">
      <c r="A26" s="20" t="s">
        <v>40</v>
      </c>
      <c r="B26" s="21">
        <v>0</v>
      </c>
      <c r="C26" s="21">
        <v>0</v>
      </c>
      <c r="D26" s="21">
        <v>0</v>
      </c>
      <c r="E26" s="21">
        <v>0</v>
      </c>
      <c r="F26" s="21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1"/>
      <c r="W26" s="21">
        <v>2</v>
      </c>
      <c r="X26" s="21">
        <v>3</v>
      </c>
      <c r="Y26" s="21">
        <v>0</v>
      </c>
      <c r="Z26" s="21">
        <v>0</v>
      </c>
      <c r="AA26" s="21">
        <v>0</v>
      </c>
      <c r="AB26" s="22">
        <v>4.8158097254314239E-7</v>
      </c>
      <c r="AC26" s="22">
        <v>7.2230032428876895E-7</v>
      </c>
      <c r="AD26" s="22">
        <v>0</v>
      </c>
      <c r="AE26" s="22">
        <v>0</v>
      </c>
      <c r="AF26" s="22">
        <v>0</v>
      </c>
      <c r="AG26" s="21">
        <v>2</v>
      </c>
      <c r="AH26" s="21">
        <v>3</v>
      </c>
      <c r="AI26" s="21">
        <v>0</v>
      </c>
      <c r="AJ26" s="21">
        <v>0</v>
      </c>
      <c r="AK26" s="21">
        <v>0</v>
      </c>
      <c r="AL26" s="22">
        <v>1</v>
      </c>
      <c r="AM26" s="22">
        <v>1</v>
      </c>
      <c r="AN26" s="22">
        <v>0</v>
      </c>
      <c r="AO26" s="22">
        <v>0</v>
      </c>
      <c r="AP26" s="22">
        <v>0</v>
      </c>
    </row>
    <row r="27" spans="1:42" x14ac:dyDescent="0.25">
      <c r="A27" s="20" t="s">
        <v>41</v>
      </c>
      <c r="B27" s="21">
        <v>13249</v>
      </c>
      <c r="C27" s="21">
        <v>15120</v>
      </c>
      <c r="D27" s="21">
        <v>16448</v>
      </c>
      <c r="E27" s="21">
        <v>18115</v>
      </c>
      <c r="F27" s="21">
        <v>18671</v>
      </c>
      <c r="G27" s="22">
        <v>2.1160487178332327E-3</v>
      </c>
      <c r="H27" s="22">
        <v>2.3984958004908351E-3</v>
      </c>
      <c r="I27" s="22">
        <v>2.5950687697957218E-3</v>
      </c>
      <c r="J27" s="22">
        <v>2.8435472903184083E-3</v>
      </c>
      <c r="K27" s="22">
        <v>2.9258309455475139E-3</v>
      </c>
      <c r="L27" s="21">
        <v>13249</v>
      </c>
      <c r="M27" s="21">
        <v>15120</v>
      </c>
      <c r="N27" s="21">
        <v>16448</v>
      </c>
      <c r="O27" s="21">
        <v>18115</v>
      </c>
      <c r="P27" s="21">
        <v>18671</v>
      </c>
      <c r="Q27" s="22">
        <v>1</v>
      </c>
      <c r="R27" s="22">
        <v>1</v>
      </c>
      <c r="S27" s="22">
        <v>1</v>
      </c>
      <c r="T27" s="22">
        <v>1</v>
      </c>
      <c r="U27" s="22">
        <v>1</v>
      </c>
      <c r="V27" s="21"/>
      <c r="W27" s="21">
        <v>0</v>
      </c>
      <c r="X27" s="21">
        <v>0</v>
      </c>
      <c r="Y27" s="21">
        <v>2961</v>
      </c>
      <c r="Z27" s="21">
        <v>8166</v>
      </c>
      <c r="AA27" s="21">
        <v>15120</v>
      </c>
      <c r="AB27" s="22">
        <v>0</v>
      </c>
      <c r="AC27" s="22">
        <v>0</v>
      </c>
      <c r="AD27" s="22">
        <v>4.854565513107573E-4</v>
      </c>
      <c r="AE27" s="22">
        <v>1.3207922230149419E-3</v>
      </c>
      <c r="AF27" s="22">
        <v>2.3984958004908351E-3</v>
      </c>
      <c r="AG27" s="21">
        <v>0</v>
      </c>
      <c r="AH27" s="21">
        <v>0</v>
      </c>
      <c r="AI27" s="21">
        <v>2961</v>
      </c>
      <c r="AJ27" s="21">
        <v>8166</v>
      </c>
      <c r="AK27" s="21">
        <v>15120</v>
      </c>
      <c r="AL27" s="22">
        <v>0</v>
      </c>
      <c r="AM27" s="22">
        <v>0</v>
      </c>
      <c r="AN27" s="22">
        <v>1</v>
      </c>
      <c r="AO27" s="22">
        <v>1</v>
      </c>
      <c r="AP27" s="22">
        <v>1</v>
      </c>
    </row>
    <row r="28" spans="1:42" x14ac:dyDescent="0.25">
      <c r="A28" s="20" t="s">
        <v>42</v>
      </c>
      <c r="B28" s="21">
        <v>37546</v>
      </c>
      <c r="C28" s="21">
        <v>35082</v>
      </c>
      <c r="D28" s="21">
        <v>34500</v>
      </c>
      <c r="E28" s="21">
        <v>34903</v>
      </c>
      <c r="F28" s="21">
        <v>35939</v>
      </c>
      <c r="G28" s="22">
        <v>5.9966159830754434E-3</v>
      </c>
      <c r="H28" s="22">
        <v>5.5650813275674258E-3</v>
      </c>
      <c r="I28" s="22">
        <v>5.4432072323657831E-3</v>
      </c>
      <c r="J28" s="22">
        <v>5.4787927725080546E-3</v>
      </c>
      <c r="K28" s="22">
        <v>5.6318053854658079E-3</v>
      </c>
      <c r="L28" s="21">
        <v>36415</v>
      </c>
      <c r="M28" s="21">
        <v>34327</v>
      </c>
      <c r="N28" s="21">
        <v>33814</v>
      </c>
      <c r="O28" s="21">
        <v>34337</v>
      </c>
      <c r="P28" s="21">
        <v>35426</v>
      </c>
      <c r="Q28" s="22">
        <v>0.96987695094018</v>
      </c>
      <c r="R28" s="22">
        <v>0.97847899207570832</v>
      </c>
      <c r="S28" s="22">
        <v>0.98011594202898555</v>
      </c>
      <c r="T28" s="22">
        <v>0.98378362891441995</v>
      </c>
      <c r="U28" s="22">
        <v>0.98572581318344976</v>
      </c>
      <c r="V28" s="21"/>
      <c r="W28" s="21">
        <v>87839</v>
      </c>
      <c r="X28" s="21">
        <v>93166</v>
      </c>
      <c r="Y28" s="21">
        <v>119481</v>
      </c>
      <c r="Z28" s="21">
        <v>47488</v>
      </c>
      <c r="AA28" s="21">
        <v>35082</v>
      </c>
      <c r="AB28" s="22">
        <v>2.1150795523608545E-2</v>
      </c>
      <c r="AC28" s="22">
        <v>2.2431277337562481E-2</v>
      </c>
      <c r="AD28" s="22">
        <v>1.9588934213833363E-2</v>
      </c>
      <c r="AE28" s="22">
        <v>7.6808450999918641E-3</v>
      </c>
      <c r="AF28" s="22">
        <v>5.5650813275674258E-3</v>
      </c>
      <c r="AG28" s="21">
        <v>83783</v>
      </c>
      <c r="AH28" s="21">
        <v>88343</v>
      </c>
      <c r="AI28" s="21">
        <v>111961</v>
      </c>
      <c r="AJ28" s="21">
        <v>45738</v>
      </c>
      <c r="AK28" s="21">
        <v>34327</v>
      </c>
      <c r="AL28" s="22">
        <v>0.95382461093591686</v>
      </c>
      <c r="AM28" s="22">
        <v>0.94823218770796214</v>
      </c>
      <c r="AN28" s="22">
        <v>0.93706112268896313</v>
      </c>
      <c r="AO28" s="22">
        <v>0.96314858490566035</v>
      </c>
      <c r="AP28" s="22">
        <v>0.97847899207570832</v>
      </c>
    </row>
    <row r="29" spans="1:42" x14ac:dyDescent="0.25">
      <c r="A29" s="20" t="s">
        <v>43</v>
      </c>
      <c r="B29" s="21">
        <v>11143</v>
      </c>
      <c r="C29" s="21">
        <v>11598</v>
      </c>
      <c r="D29" s="21">
        <v>12262</v>
      </c>
      <c r="E29" s="21">
        <v>12628</v>
      </c>
      <c r="F29" s="21">
        <v>14002</v>
      </c>
      <c r="G29" s="22">
        <v>1.7796913625794935E-3</v>
      </c>
      <c r="H29" s="22">
        <v>1.8397985644241206E-3</v>
      </c>
      <c r="I29" s="22">
        <v>1.9346262922686735E-3</v>
      </c>
      <c r="J29" s="22">
        <v>1.9822420746420568E-3</v>
      </c>
      <c r="K29" s="22">
        <v>2.1941773284535533E-3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1"/>
      <c r="W29" s="21">
        <v>0</v>
      </c>
      <c r="X29" s="21">
        <v>0</v>
      </c>
      <c r="Y29" s="21">
        <v>9305</v>
      </c>
      <c r="Z29" s="21">
        <v>10939</v>
      </c>
      <c r="AA29" s="21">
        <v>11598</v>
      </c>
      <c r="AB29" s="22">
        <v>0</v>
      </c>
      <c r="AC29" s="22">
        <v>0</v>
      </c>
      <c r="AD29" s="22">
        <v>1.5255566396307316E-3</v>
      </c>
      <c r="AE29" s="22">
        <v>1.7693051833897195E-3</v>
      </c>
      <c r="AF29" s="22">
        <v>1.8397985644241206E-3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</row>
    <row r="30" spans="1:42" x14ac:dyDescent="0.25">
      <c r="A30" s="20" t="s">
        <v>44</v>
      </c>
      <c r="B30" s="21">
        <v>4272</v>
      </c>
      <c r="C30" s="21">
        <v>3787</v>
      </c>
      <c r="D30" s="21">
        <v>3384</v>
      </c>
      <c r="E30" s="21">
        <v>3054</v>
      </c>
      <c r="F30" s="21">
        <v>2786</v>
      </c>
      <c r="G30" s="22">
        <v>6.8229754114148763E-4</v>
      </c>
      <c r="H30" s="22">
        <v>6.0073436484515822E-4</v>
      </c>
      <c r="I30" s="22">
        <v>5.3390763113987856E-4</v>
      </c>
      <c r="J30" s="22">
        <v>4.7939240544479263E-4</v>
      </c>
      <c r="K30" s="22">
        <v>4.3657891994512205E-4</v>
      </c>
      <c r="L30" s="21">
        <v>4180</v>
      </c>
      <c r="M30" s="21">
        <v>3694</v>
      </c>
      <c r="N30" s="21">
        <v>3302</v>
      </c>
      <c r="O30" s="21">
        <v>2994</v>
      </c>
      <c r="P30" s="21">
        <v>2735</v>
      </c>
      <c r="Q30" s="22">
        <v>0.97846441947565543</v>
      </c>
      <c r="R30" s="22">
        <v>0.9754423026142065</v>
      </c>
      <c r="S30" s="22">
        <v>0.97576832151300241</v>
      </c>
      <c r="T30" s="22">
        <v>0.98035363457760316</v>
      </c>
      <c r="U30" s="22">
        <v>0.9816941852117731</v>
      </c>
      <c r="V30" s="21"/>
      <c r="W30" s="21">
        <v>0</v>
      </c>
      <c r="X30" s="21">
        <v>0</v>
      </c>
      <c r="Y30" s="21">
        <v>722</v>
      </c>
      <c r="Z30" s="21">
        <v>6464</v>
      </c>
      <c r="AA30" s="21">
        <v>3787</v>
      </c>
      <c r="AB30" s="22">
        <v>0</v>
      </c>
      <c r="AC30" s="22">
        <v>0</v>
      </c>
      <c r="AD30" s="22">
        <v>1.1837204662153554E-4</v>
      </c>
      <c r="AE30" s="22">
        <v>1.0455058694059007E-3</v>
      </c>
      <c r="AF30" s="22">
        <v>6.0073436484515822E-4</v>
      </c>
      <c r="AG30" s="21">
        <v>0</v>
      </c>
      <c r="AH30" s="21">
        <v>0</v>
      </c>
      <c r="AI30" s="21">
        <v>722</v>
      </c>
      <c r="AJ30" s="21">
        <v>6406</v>
      </c>
      <c r="AK30" s="21">
        <v>3694</v>
      </c>
      <c r="AL30" s="22">
        <v>0</v>
      </c>
      <c r="AM30" s="22">
        <v>0</v>
      </c>
      <c r="AN30" s="22">
        <v>1</v>
      </c>
      <c r="AO30" s="22">
        <v>0.9910272277227723</v>
      </c>
      <c r="AP30" s="22">
        <v>0.9754423026142065</v>
      </c>
    </row>
    <row r="31" spans="1:42" x14ac:dyDescent="0.25">
      <c r="A31" s="20" t="s">
        <v>45</v>
      </c>
      <c r="B31" s="21">
        <v>10261</v>
      </c>
      <c r="C31" s="21">
        <v>9444</v>
      </c>
      <c r="D31" s="21">
        <v>9496</v>
      </c>
      <c r="E31" s="21">
        <v>11352</v>
      </c>
      <c r="F31" s="21">
        <v>15178</v>
      </c>
      <c r="G31" s="22">
        <v>1.6388237522595515E-3</v>
      </c>
      <c r="H31" s="22">
        <v>1.498108091258958E-3</v>
      </c>
      <c r="I31" s="22">
        <v>1.4982230689433473E-3</v>
      </c>
      <c r="J31" s="22">
        <v>1.7819458371346713E-3</v>
      </c>
      <c r="K31" s="22">
        <v>2.3784618976766198E-3</v>
      </c>
      <c r="L31" s="21">
        <v>9955</v>
      </c>
      <c r="M31" s="21">
        <v>9130</v>
      </c>
      <c r="N31" s="21">
        <v>9182</v>
      </c>
      <c r="O31" s="21">
        <v>11046</v>
      </c>
      <c r="P31" s="21">
        <v>15127</v>
      </c>
      <c r="Q31" s="22">
        <v>0.97017834519052726</v>
      </c>
      <c r="R31" s="22">
        <v>0.96675137653536636</v>
      </c>
      <c r="S31" s="22">
        <v>0.9669334456613311</v>
      </c>
      <c r="T31" s="22">
        <v>0.97304439746300209</v>
      </c>
      <c r="U31" s="22">
        <v>0.99663987350112004</v>
      </c>
      <c r="V31" s="21"/>
      <c r="W31" s="21">
        <v>10997</v>
      </c>
      <c r="X31" s="21">
        <v>13731</v>
      </c>
      <c r="Y31" s="21">
        <v>13858</v>
      </c>
      <c r="Z31" s="21">
        <v>12073</v>
      </c>
      <c r="AA31" s="21">
        <v>9444</v>
      </c>
      <c r="AB31" s="22">
        <v>2.6479729775284685E-3</v>
      </c>
      <c r="AC31" s="22">
        <v>3.3059685842696954E-3</v>
      </c>
      <c r="AD31" s="22">
        <v>2.2720219142399441E-3</v>
      </c>
      <c r="AE31" s="22">
        <v>1.9527215905534405E-3</v>
      </c>
      <c r="AF31" s="22">
        <v>1.498108091258958E-3</v>
      </c>
      <c r="AG31" s="21">
        <v>10941</v>
      </c>
      <c r="AH31" s="21">
        <v>13616</v>
      </c>
      <c r="AI31" s="21">
        <v>13529</v>
      </c>
      <c r="AJ31" s="21">
        <v>11681</v>
      </c>
      <c r="AK31" s="21">
        <v>9130</v>
      </c>
      <c r="AL31" s="22">
        <v>0.99490770210057289</v>
      </c>
      <c r="AM31" s="22">
        <v>0.99162479061976549</v>
      </c>
      <c r="AN31" s="22">
        <v>0.97625920046182713</v>
      </c>
      <c r="AO31" s="22">
        <v>0.96753085397167238</v>
      </c>
      <c r="AP31" s="22">
        <v>0.96675137653536636</v>
      </c>
    </row>
    <row r="32" spans="1:42" x14ac:dyDescent="0.25">
      <c r="A32" s="20" t="s">
        <v>46</v>
      </c>
      <c r="B32" s="21">
        <v>149</v>
      </c>
      <c r="C32" s="21">
        <v>135</v>
      </c>
      <c r="D32" s="21">
        <v>126</v>
      </c>
      <c r="E32" s="21">
        <v>126</v>
      </c>
      <c r="F32" s="21">
        <v>102</v>
      </c>
      <c r="G32" s="22">
        <v>2.3797362741123982E-5</v>
      </c>
      <c r="H32" s="22">
        <v>2.1415141075811027E-5</v>
      </c>
      <c r="I32" s="22">
        <v>1.9879539457335906E-5</v>
      </c>
      <c r="J32" s="22">
        <v>1.9778468593989481E-5</v>
      </c>
      <c r="K32" s="22">
        <v>1.5983865697919043E-5</v>
      </c>
      <c r="L32" s="21">
        <v>145</v>
      </c>
      <c r="M32" s="21">
        <v>132</v>
      </c>
      <c r="N32" s="21">
        <v>125</v>
      </c>
      <c r="O32" s="21">
        <v>124</v>
      </c>
      <c r="P32" s="21">
        <v>98</v>
      </c>
      <c r="Q32" s="22">
        <v>0.97315436241610742</v>
      </c>
      <c r="R32" s="22">
        <v>0.97777777777777775</v>
      </c>
      <c r="S32" s="22">
        <v>0.99206349206349209</v>
      </c>
      <c r="T32" s="22">
        <v>0.98412698412698407</v>
      </c>
      <c r="U32" s="22">
        <v>0.96078431372549022</v>
      </c>
      <c r="V32" s="21"/>
      <c r="W32" s="21">
        <v>0</v>
      </c>
      <c r="X32" s="21">
        <v>71</v>
      </c>
      <c r="Y32" s="21">
        <v>170</v>
      </c>
      <c r="Z32" s="21">
        <v>199</v>
      </c>
      <c r="AA32" s="21">
        <v>135</v>
      </c>
      <c r="AB32" s="22">
        <v>0</v>
      </c>
      <c r="AC32" s="22">
        <v>1.7094441008167531E-5</v>
      </c>
      <c r="AD32" s="22">
        <v>2.7871534523076237E-5</v>
      </c>
      <c r="AE32" s="22">
        <v>3.2186829828554179E-5</v>
      </c>
      <c r="AF32" s="22">
        <v>2.1415141075811027E-5</v>
      </c>
      <c r="AG32" s="21">
        <v>0</v>
      </c>
      <c r="AH32" s="21">
        <v>71</v>
      </c>
      <c r="AI32" s="21">
        <v>163</v>
      </c>
      <c r="AJ32" s="21">
        <v>196</v>
      </c>
      <c r="AK32" s="21">
        <v>132</v>
      </c>
      <c r="AL32" s="22">
        <v>0</v>
      </c>
      <c r="AM32" s="22">
        <v>1</v>
      </c>
      <c r="AN32" s="22">
        <v>0.95882352941176474</v>
      </c>
      <c r="AO32" s="22">
        <v>0.98492462311557794</v>
      </c>
      <c r="AP32" s="22">
        <v>0.97777777777777775</v>
      </c>
    </row>
    <row r="33" spans="1:42" x14ac:dyDescent="0.25">
      <c r="A33" s="20" t="s">
        <v>47</v>
      </c>
      <c r="B33" s="21">
        <v>3486</v>
      </c>
      <c r="C33" s="21">
        <v>4062</v>
      </c>
      <c r="D33" s="21">
        <v>4804</v>
      </c>
      <c r="E33" s="21">
        <v>5739</v>
      </c>
      <c r="F33" s="21">
        <v>6284</v>
      </c>
      <c r="G33" s="22">
        <v>5.5676245983596112E-4</v>
      </c>
      <c r="H33" s="22">
        <v>6.4435780036995848E-4</v>
      </c>
      <c r="I33" s="22">
        <v>7.5794688534160071E-4</v>
      </c>
      <c r="J33" s="22">
        <v>9.0086215286433035E-4</v>
      </c>
      <c r="K33" s="22">
        <v>9.8473149064434566E-4</v>
      </c>
      <c r="L33" s="21">
        <v>788</v>
      </c>
      <c r="M33" s="21">
        <v>1656</v>
      </c>
      <c r="N33" s="21">
        <v>2699</v>
      </c>
      <c r="O33" s="21">
        <v>3838</v>
      </c>
      <c r="P33" s="21">
        <v>4596</v>
      </c>
      <c r="Q33" s="22">
        <v>0.22604704532415376</v>
      </c>
      <c r="R33" s="22">
        <v>0.40768094534711963</v>
      </c>
      <c r="S33" s="22">
        <v>0.56182348043297248</v>
      </c>
      <c r="T33" s="22">
        <v>0.66875762327931698</v>
      </c>
      <c r="U33" s="22">
        <v>0.73138128580521966</v>
      </c>
      <c r="V33" s="21"/>
      <c r="W33" s="21">
        <v>0</v>
      </c>
      <c r="X33" s="21">
        <v>0</v>
      </c>
      <c r="Y33" s="21">
        <v>0</v>
      </c>
      <c r="Z33" s="21">
        <v>1532</v>
      </c>
      <c r="AA33" s="21">
        <v>4062</v>
      </c>
      <c r="AB33" s="22">
        <v>0</v>
      </c>
      <c r="AC33" s="22">
        <v>0</v>
      </c>
      <c r="AD33" s="22">
        <v>0</v>
      </c>
      <c r="AE33" s="22">
        <v>2.4779006682082915E-4</v>
      </c>
      <c r="AF33" s="22">
        <v>6.4435780036995848E-4</v>
      </c>
      <c r="AG33" s="21">
        <v>0</v>
      </c>
      <c r="AH33" s="21">
        <v>0</v>
      </c>
      <c r="AI33" s="21">
        <v>0</v>
      </c>
      <c r="AJ33" s="21">
        <v>1532</v>
      </c>
      <c r="AK33" s="21">
        <v>1656</v>
      </c>
      <c r="AL33" s="22">
        <v>0</v>
      </c>
      <c r="AM33" s="22">
        <v>0</v>
      </c>
      <c r="AN33" s="22">
        <v>0</v>
      </c>
      <c r="AO33" s="22">
        <v>1</v>
      </c>
      <c r="AP33" s="22">
        <v>0.40768094534711963</v>
      </c>
    </row>
    <row r="34" spans="1:42" x14ac:dyDescent="0.25">
      <c r="A34" s="20" t="s">
        <v>170</v>
      </c>
      <c r="B34" s="21">
        <v>1874378</v>
      </c>
      <c r="C34" s="21">
        <v>1869626</v>
      </c>
      <c r="D34" s="21">
        <v>1860728</v>
      </c>
      <c r="E34" s="21">
        <v>1844710</v>
      </c>
      <c r="F34" s="21">
        <v>1753239</v>
      </c>
      <c r="G34" s="22">
        <v>0.29936411530189588</v>
      </c>
      <c r="H34" s="22">
        <v>0.2965800336963279</v>
      </c>
      <c r="I34" s="22">
        <v>0.29357472774102955</v>
      </c>
      <c r="J34" s="22">
        <v>0.28956776825411379</v>
      </c>
      <c r="K34" s="22">
        <v>0.27474055600346942</v>
      </c>
      <c r="L34" s="21">
        <v>1435127</v>
      </c>
      <c r="M34" s="21">
        <v>1467824</v>
      </c>
      <c r="N34" s="21">
        <v>1480533</v>
      </c>
      <c r="O34" s="21">
        <v>1485393</v>
      </c>
      <c r="P34" s="21">
        <v>1444888</v>
      </c>
      <c r="Q34" s="22">
        <v>0.76565505997189465</v>
      </c>
      <c r="R34" s="22">
        <v>0.78508963824850531</v>
      </c>
      <c r="S34" s="22">
        <v>0.79567405875549779</v>
      </c>
      <c r="T34" s="22">
        <v>0.80521762228209315</v>
      </c>
      <c r="U34" s="22">
        <v>0.82412494816736337</v>
      </c>
      <c r="V34" s="21"/>
      <c r="W34" s="21">
        <v>1285307</v>
      </c>
      <c r="X34" s="21">
        <v>1270132</v>
      </c>
      <c r="Y34" s="21">
        <v>1932530</v>
      </c>
      <c r="Z34" s="21">
        <v>1903767</v>
      </c>
      <c r="AA34" s="21">
        <v>1869626</v>
      </c>
      <c r="AB34" s="22">
        <v>0.30948969753825439</v>
      </c>
      <c r="AC34" s="22">
        <v>0.3058055851631809</v>
      </c>
      <c r="AD34" s="22">
        <v>0.31683868595223835</v>
      </c>
      <c r="AE34" s="22">
        <v>0.30792072594078951</v>
      </c>
      <c r="AF34" s="22">
        <v>0.2965800336963279</v>
      </c>
      <c r="AG34" s="21">
        <v>718678</v>
      </c>
      <c r="AH34" s="21">
        <v>758575</v>
      </c>
      <c r="AI34" s="21">
        <v>1261468</v>
      </c>
      <c r="AJ34" s="21">
        <v>1337392</v>
      </c>
      <c r="AK34" s="21">
        <v>1467824</v>
      </c>
      <c r="AL34" s="22">
        <v>0.55914890372494663</v>
      </c>
      <c r="AM34" s="22">
        <v>0.59724107415607197</v>
      </c>
      <c r="AN34" s="22">
        <v>0.65275467909941887</v>
      </c>
      <c r="AO34" s="22">
        <v>0.70249773212793376</v>
      </c>
      <c r="AP34" s="22">
        <v>0.78508963824850531</v>
      </c>
    </row>
    <row r="35" spans="1:42" x14ac:dyDescent="0.25">
      <c r="A35" s="20" t="s">
        <v>49</v>
      </c>
      <c r="B35" s="21">
        <v>598</v>
      </c>
      <c r="C35" s="21">
        <v>569</v>
      </c>
      <c r="D35" s="21">
        <v>542</v>
      </c>
      <c r="E35" s="21">
        <v>531</v>
      </c>
      <c r="F35" s="21">
        <v>510</v>
      </c>
      <c r="G35" s="22">
        <v>9.550887865229626E-5</v>
      </c>
      <c r="H35" s="22">
        <v>9.0260853867677593E-5</v>
      </c>
      <c r="I35" s="22">
        <v>8.5513574491079849E-5</v>
      </c>
      <c r="J35" s="22">
        <v>8.3352117646098522E-5</v>
      </c>
      <c r="K35" s="22">
        <v>7.9919328489595203E-5</v>
      </c>
      <c r="L35" s="21">
        <v>572</v>
      </c>
      <c r="M35" s="21">
        <v>555</v>
      </c>
      <c r="N35" s="21">
        <v>530</v>
      </c>
      <c r="O35" s="21">
        <v>485</v>
      </c>
      <c r="P35" s="21">
        <v>499</v>
      </c>
      <c r="Q35" s="22">
        <v>0.95652173913043481</v>
      </c>
      <c r="R35" s="22">
        <v>0.97539543057996481</v>
      </c>
      <c r="S35" s="22">
        <v>0.97785977859778594</v>
      </c>
      <c r="T35" s="22">
        <v>0.91337099811676081</v>
      </c>
      <c r="U35" s="22">
        <v>0.97843137254901957</v>
      </c>
      <c r="V35" s="21"/>
      <c r="W35" s="21">
        <v>0</v>
      </c>
      <c r="X35" s="21">
        <v>0</v>
      </c>
      <c r="Y35" s="21">
        <v>0</v>
      </c>
      <c r="Z35" s="21">
        <v>677</v>
      </c>
      <c r="AA35" s="21">
        <v>569</v>
      </c>
      <c r="AB35" s="22">
        <v>0</v>
      </c>
      <c r="AC35" s="22">
        <v>0</v>
      </c>
      <c r="AD35" s="22">
        <v>0</v>
      </c>
      <c r="AE35" s="22">
        <v>1.0949991856246825E-4</v>
      </c>
      <c r="AF35" s="22">
        <v>9.0260853867677593E-5</v>
      </c>
      <c r="AG35" s="21">
        <v>0</v>
      </c>
      <c r="AH35" s="21">
        <v>0</v>
      </c>
      <c r="AI35" s="21">
        <v>0</v>
      </c>
      <c r="AJ35" s="21">
        <v>649</v>
      </c>
      <c r="AK35" s="21">
        <v>555</v>
      </c>
      <c r="AL35" s="22">
        <v>0</v>
      </c>
      <c r="AM35" s="22">
        <v>0</v>
      </c>
      <c r="AN35" s="22">
        <v>0</v>
      </c>
      <c r="AO35" s="22">
        <v>0.95864106351550959</v>
      </c>
      <c r="AP35" s="22">
        <v>0.97539543057996481</v>
      </c>
    </row>
    <row r="36" spans="1:42" x14ac:dyDescent="0.25">
      <c r="A36" s="20" t="s">
        <v>50</v>
      </c>
      <c r="B36" s="21">
        <v>446</v>
      </c>
      <c r="C36" s="21">
        <v>518</v>
      </c>
      <c r="D36" s="21">
        <v>652</v>
      </c>
      <c r="E36" s="21">
        <v>854</v>
      </c>
      <c r="F36" s="21">
        <v>1110</v>
      </c>
      <c r="G36" s="22">
        <v>7.1232374379471785E-5</v>
      </c>
      <c r="H36" s="22">
        <v>8.2170689461260091E-5</v>
      </c>
      <c r="I36" s="22">
        <v>1.0286872798557944E-4</v>
      </c>
      <c r="J36" s="22">
        <v>1.340540649148176E-4</v>
      </c>
      <c r="K36" s="22">
        <v>1.7394206788911898E-4</v>
      </c>
      <c r="L36" s="21">
        <v>446</v>
      </c>
      <c r="M36" s="21">
        <v>518</v>
      </c>
      <c r="N36" s="21">
        <v>652</v>
      </c>
      <c r="O36" s="21">
        <v>854</v>
      </c>
      <c r="P36" s="21">
        <v>1110</v>
      </c>
      <c r="Q36" s="22">
        <v>1</v>
      </c>
      <c r="R36" s="22">
        <v>1</v>
      </c>
      <c r="S36" s="22">
        <v>1</v>
      </c>
      <c r="T36" s="22">
        <v>1</v>
      </c>
      <c r="U36" s="22">
        <v>1</v>
      </c>
      <c r="V36" s="21"/>
      <c r="W36" s="21">
        <v>20</v>
      </c>
      <c r="X36" s="21">
        <v>51</v>
      </c>
      <c r="Y36" s="21">
        <v>172</v>
      </c>
      <c r="Z36" s="21">
        <v>221</v>
      </c>
      <c r="AA36" s="21">
        <v>518</v>
      </c>
      <c r="AB36" s="22">
        <v>4.8158097254314245E-6</v>
      </c>
      <c r="AC36" s="22">
        <v>1.2279105512909073E-5</v>
      </c>
      <c r="AD36" s="22">
        <v>2.8199434929230074E-5</v>
      </c>
      <c r="AE36" s="22">
        <v>3.5745172824675751E-5</v>
      </c>
      <c r="AF36" s="22">
        <v>8.2170689461260091E-5</v>
      </c>
      <c r="AG36" s="21">
        <v>20</v>
      </c>
      <c r="AH36" s="21">
        <v>51</v>
      </c>
      <c r="AI36" s="21">
        <v>172</v>
      </c>
      <c r="AJ36" s="21">
        <v>221</v>
      </c>
      <c r="AK36" s="21">
        <v>518</v>
      </c>
      <c r="AL36" s="22">
        <v>1</v>
      </c>
      <c r="AM36" s="22">
        <v>1</v>
      </c>
      <c r="AN36" s="22">
        <v>1</v>
      </c>
      <c r="AO36" s="22">
        <v>1</v>
      </c>
      <c r="AP36" s="22">
        <v>1</v>
      </c>
    </row>
    <row r="37" spans="1:42" x14ac:dyDescent="0.25">
      <c r="A37" s="20" t="s">
        <v>51</v>
      </c>
      <c r="B37" s="21">
        <v>0</v>
      </c>
      <c r="C37" s="21">
        <v>0</v>
      </c>
      <c r="D37" s="21">
        <v>0</v>
      </c>
      <c r="E37" s="21">
        <v>5</v>
      </c>
      <c r="F37" s="21">
        <v>0</v>
      </c>
      <c r="G37" s="22">
        <v>0</v>
      </c>
      <c r="H37" s="22">
        <v>0</v>
      </c>
      <c r="I37" s="22">
        <v>0</v>
      </c>
      <c r="J37" s="22">
        <v>7.8485986484085234E-7</v>
      </c>
      <c r="K37" s="22">
        <v>0</v>
      </c>
      <c r="L37" s="21">
        <v>0</v>
      </c>
      <c r="M37" s="21">
        <v>0</v>
      </c>
      <c r="N37" s="21">
        <v>0</v>
      </c>
      <c r="O37" s="21">
        <v>5</v>
      </c>
      <c r="P37" s="21">
        <v>0</v>
      </c>
      <c r="Q37" s="22">
        <v>0</v>
      </c>
      <c r="R37" s="22">
        <v>0</v>
      </c>
      <c r="S37" s="22">
        <v>0</v>
      </c>
      <c r="T37" s="22">
        <v>1</v>
      </c>
      <c r="U37" s="22">
        <v>0</v>
      </c>
      <c r="V37" s="21"/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</row>
    <row r="38" spans="1:42" x14ac:dyDescent="0.25">
      <c r="A38" s="20" t="s">
        <v>139</v>
      </c>
      <c r="B38" s="21">
        <v>36826</v>
      </c>
      <c r="C38" s="21">
        <v>35748</v>
      </c>
      <c r="D38" s="21">
        <v>40507</v>
      </c>
      <c r="E38" s="21">
        <v>44714</v>
      </c>
      <c r="F38" s="21">
        <v>46969</v>
      </c>
      <c r="G38" s="22">
        <v>5.8816220154673275E-3</v>
      </c>
      <c r="H38" s="22">
        <v>5.67072935687476E-3</v>
      </c>
      <c r="I38" s="22">
        <v>6.3909563872881388E-3</v>
      </c>
      <c r="J38" s="22">
        <v>7.0188447992987745E-3</v>
      </c>
      <c r="K38" s="22">
        <v>7.360256744760387E-3</v>
      </c>
      <c r="L38" s="21">
        <v>35278</v>
      </c>
      <c r="M38" s="21">
        <v>34477</v>
      </c>
      <c r="N38" s="21">
        <v>39372</v>
      </c>
      <c r="O38" s="21">
        <v>43612</v>
      </c>
      <c r="P38" s="21">
        <v>45798</v>
      </c>
      <c r="Q38" s="22">
        <v>0.95796448161624936</v>
      </c>
      <c r="R38" s="22">
        <v>0.96444556338816156</v>
      </c>
      <c r="S38" s="22">
        <v>0.97198015157873952</v>
      </c>
      <c r="T38" s="22">
        <v>0.97535447510846718</v>
      </c>
      <c r="U38" s="22">
        <v>0.97506866230918265</v>
      </c>
      <c r="V38" s="21"/>
      <c r="W38" s="21">
        <v>31846</v>
      </c>
      <c r="X38" s="21">
        <v>33537</v>
      </c>
      <c r="Y38" s="21">
        <v>45458</v>
      </c>
      <c r="Z38" s="21">
        <v>38490</v>
      </c>
      <c r="AA38" s="21">
        <v>35748</v>
      </c>
      <c r="AB38" s="22">
        <v>7.668213825804457E-3</v>
      </c>
      <c r="AC38" s="22">
        <v>8.0745953252241483E-3</v>
      </c>
      <c r="AD38" s="22">
        <v>7.452848331470586E-3</v>
      </c>
      <c r="AE38" s="22">
        <v>6.2254828145781428E-3</v>
      </c>
      <c r="AF38" s="22">
        <v>5.67072935687476E-3</v>
      </c>
      <c r="AG38" s="21">
        <v>31170</v>
      </c>
      <c r="AH38" s="21">
        <v>32522</v>
      </c>
      <c r="AI38" s="21">
        <v>44177</v>
      </c>
      <c r="AJ38" s="21">
        <v>37026</v>
      </c>
      <c r="AK38" s="21">
        <v>34477</v>
      </c>
      <c r="AL38" s="22">
        <v>0.97877284431325751</v>
      </c>
      <c r="AM38" s="22">
        <v>0.96973491964099356</v>
      </c>
      <c r="AN38" s="22">
        <v>0.97182014166923314</v>
      </c>
      <c r="AO38" s="22">
        <v>0.96196414653156659</v>
      </c>
      <c r="AP38" s="22">
        <v>0.96444556338816156</v>
      </c>
    </row>
    <row r="39" spans="1:42" x14ac:dyDescent="0.25">
      <c r="A39" s="20" t="s">
        <v>52</v>
      </c>
      <c r="B39" s="21">
        <v>0</v>
      </c>
      <c r="C39" s="21">
        <v>0</v>
      </c>
      <c r="D39" s="21">
        <v>0</v>
      </c>
      <c r="E39" s="21">
        <v>38</v>
      </c>
      <c r="F39" s="21">
        <v>40</v>
      </c>
      <c r="G39" s="22">
        <v>0</v>
      </c>
      <c r="H39" s="22">
        <v>0</v>
      </c>
      <c r="I39" s="22">
        <v>0</v>
      </c>
      <c r="J39" s="22">
        <v>5.9649349727904779E-6</v>
      </c>
      <c r="K39" s="22">
        <v>6.268182626634918E-6</v>
      </c>
      <c r="L39" s="21">
        <v>0</v>
      </c>
      <c r="M39" s="21">
        <v>0</v>
      </c>
      <c r="N39" s="21">
        <v>0</v>
      </c>
      <c r="O39" s="21">
        <v>38</v>
      </c>
      <c r="P39" s="21">
        <v>40</v>
      </c>
      <c r="Q39" s="22">
        <v>0</v>
      </c>
      <c r="R39" s="22">
        <v>0</v>
      </c>
      <c r="S39" s="22">
        <v>0</v>
      </c>
      <c r="T39" s="22">
        <v>1</v>
      </c>
      <c r="U39" s="22">
        <v>1</v>
      </c>
      <c r="V39" s="21"/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</row>
    <row r="40" spans="1:42" x14ac:dyDescent="0.25">
      <c r="A40" s="20" t="s">
        <v>53</v>
      </c>
      <c r="B40" s="21">
        <v>35284</v>
      </c>
      <c r="C40" s="21">
        <v>34748</v>
      </c>
      <c r="D40" s="21">
        <v>36663</v>
      </c>
      <c r="E40" s="21">
        <v>35636</v>
      </c>
      <c r="F40" s="21">
        <v>37520</v>
      </c>
      <c r="G40" s="22">
        <v>5.6353432681732797E-3</v>
      </c>
      <c r="H40" s="22">
        <v>5.5120986822391228E-3</v>
      </c>
      <c r="I40" s="22">
        <v>5.7844726597167167E-3</v>
      </c>
      <c r="J40" s="22">
        <v>5.593853228693723E-3</v>
      </c>
      <c r="K40" s="22">
        <v>5.8795553037835537E-3</v>
      </c>
      <c r="L40" s="21">
        <v>35284</v>
      </c>
      <c r="M40" s="21">
        <v>34748</v>
      </c>
      <c r="N40" s="21">
        <v>36663</v>
      </c>
      <c r="O40" s="21">
        <v>35636</v>
      </c>
      <c r="P40" s="21">
        <v>37364</v>
      </c>
      <c r="Q40" s="22">
        <v>1</v>
      </c>
      <c r="R40" s="22">
        <v>1</v>
      </c>
      <c r="S40" s="22">
        <v>1</v>
      </c>
      <c r="T40" s="22">
        <v>1</v>
      </c>
      <c r="U40" s="22">
        <v>0.99584221748400847</v>
      </c>
      <c r="V40" s="21"/>
      <c r="W40" s="21">
        <v>0</v>
      </c>
      <c r="X40" s="21">
        <v>8199</v>
      </c>
      <c r="Y40" s="21">
        <v>21776</v>
      </c>
      <c r="Z40" s="21">
        <v>34807</v>
      </c>
      <c r="AA40" s="21">
        <v>34748</v>
      </c>
      <c r="AB40" s="22">
        <v>0</v>
      </c>
      <c r="AC40" s="22">
        <v>1.9740467862812056E-3</v>
      </c>
      <c r="AD40" s="22">
        <v>3.5701796222029889E-3</v>
      </c>
      <c r="AE40" s="22">
        <v>5.6297838484547008E-3</v>
      </c>
      <c r="AF40" s="22">
        <v>5.5120986822391228E-3</v>
      </c>
      <c r="AG40" s="21">
        <v>0</v>
      </c>
      <c r="AH40" s="21">
        <v>8199</v>
      </c>
      <c r="AI40" s="21">
        <v>21776</v>
      </c>
      <c r="AJ40" s="21">
        <v>34807</v>
      </c>
      <c r="AK40" s="21">
        <v>34748</v>
      </c>
      <c r="AL40" s="22">
        <v>0</v>
      </c>
      <c r="AM40" s="22">
        <v>1</v>
      </c>
      <c r="AN40" s="22">
        <v>1</v>
      </c>
      <c r="AO40" s="22">
        <v>1</v>
      </c>
      <c r="AP40" s="22">
        <v>1</v>
      </c>
    </row>
    <row r="41" spans="1:42" x14ac:dyDescent="0.25">
      <c r="A41" s="20" t="s">
        <v>54</v>
      </c>
      <c r="B41" s="21">
        <v>3791</v>
      </c>
      <c r="C41" s="21">
        <v>4396</v>
      </c>
      <c r="D41" s="21">
        <v>5728</v>
      </c>
      <c r="E41" s="21">
        <v>6196</v>
      </c>
      <c r="F41" s="21">
        <v>6021</v>
      </c>
      <c r="G41" s="22">
        <v>6.0547518222551025E-4</v>
      </c>
      <c r="H41" s="22">
        <v>6.9734044569826124E-4</v>
      </c>
      <c r="I41" s="22">
        <v>9.037301746953973E-4</v>
      </c>
      <c r="J41" s="22">
        <v>9.7259834451078424E-4</v>
      </c>
      <c r="K41" s="22">
        <v>9.4351818987422112E-4</v>
      </c>
      <c r="L41" s="21">
        <v>3209</v>
      </c>
      <c r="M41" s="21">
        <v>3904</v>
      </c>
      <c r="N41" s="21">
        <v>5313</v>
      </c>
      <c r="O41" s="21">
        <v>5816</v>
      </c>
      <c r="P41" s="21">
        <v>5565</v>
      </c>
      <c r="Q41" s="22">
        <v>0.84647850171458716</v>
      </c>
      <c r="R41" s="22">
        <v>0.88808007279344858</v>
      </c>
      <c r="S41" s="22">
        <v>0.92754888268156421</v>
      </c>
      <c r="T41" s="22">
        <v>0.93867010974822462</v>
      </c>
      <c r="U41" s="22">
        <v>0.92426507224713506</v>
      </c>
      <c r="V41" s="21"/>
      <c r="W41" s="21">
        <v>1132</v>
      </c>
      <c r="X41" s="21">
        <v>1068</v>
      </c>
      <c r="Y41" s="21">
        <v>2335</v>
      </c>
      <c r="Z41" s="21">
        <v>1852</v>
      </c>
      <c r="AA41" s="21">
        <v>4396</v>
      </c>
      <c r="AB41" s="22">
        <v>2.7257483045941861E-4</v>
      </c>
      <c r="AC41" s="22">
        <v>2.5713891544680171E-4</v>
      </c>
      <c r="AD41" s="22">
        <v>3.8282372418460596E-4</v>
      </c>
      <c r="AE41" s="22">
        <v>2.9954778312805199E-4</v>
      </c>
      <c r="AF41" s="22">
        <v>6.9734044569826124E-4</v>
      </c>
      <c r="AG41" s="21">
        <v>1132</v>
      </c>
      <c r="AH41" s="21">
        <v>763</v>
      </c>
      <c r="AI41" s="21">
        <v>797</v>
      </c>
      <c r="AJ41" s="21">
        <v>872</v>
      </c>
      <c r="AK41" s="21">
        <v>3904</v>
      </c>
      <c r="AL41" s="22">
        <v>1</v>
      </c>
      <c r="AM41" s="22">
        <v>0.71441947565543074</v>
      </c>
      <c r="AN41" s="22">
        <v>0.34132762312633835</v>
      </c>
      <c r="AO41" s="22">
        <v>0.47084233261339092</v>
      </c>
      <c r="AP41" s="22">
        <v>0.88808007279344858</v>
      </c>
    </row>
    <row r="42" spans="1:42" x14ac:dyDescent="0.25">
      <c r="A42" s="20" t="s">
        <v>55</v>
      </c>
      <c r="B42" s="21">
        <v>0</v>
      </c>
      <c r="C42" s="21">
        <v>363</v>
      </c>
      <c r="D42" s="21">
        <v>394</v>
      </c>
      <c r="E42" s="21">
        <v>523</v>
      </c>
      <c r="F42" s="21">
        <v>598</v>
      </c>
      <c r="G42" s="22">
        <v>0</v>
      </c>
      <c r="H42" s="22">
        <v>5.7582934892736318E-5</v>
      </c>
      <c r="I42" s="22">
        <v>6.2163004334844015E-5</v>
      </c>
      <c r="J42" s="22">
        <v>8.2096341862353158E-5</v>
      </c>
      <c r="K42" s="22">
        <v>9.3709330268192033E-5</v>
      </c>
      <c r="L42" s="21">
        <v>0</v>
      </c>
      <c r="M42" s="21">
        <v>363</v>
      </c>
      <c r="N42" s="21">
        <v>394</v>
      </c>
      <c r="O42" s="21">
        <v>523</v>
      </c>
      <c r="P42" s="21">
        <v>554</v>
      </c>
      <c r="Q42" s="22">
        <v>0</v>
      </c>
      <c r="R42" s="22">
        <v>1</v>
      </c>
      <c r="S42" s="22">
        <v>1</v>
      </c>
      <c r="T42" s="22">
        <v>1</v>
      </c>
      <c r="U42" s="22">
        <v>0.9264214046822743</v>
      </c>
      <c r="V42" s="21"/>
      <c r="W42" s="21">
        <v>0</v>
      </c>
      <c r="X42" s="21">
        <v>0</v>
      </c>
      <c r="Y42" s="21">
        <v>0</v>
      </c>
      <c r="Z42" s="21">
        <v>0</v>
      </c>
      <c r="AA42" s="21">
        <v>363</v>
      </c>
      <c r="AB42" s="22">
        <v>0</v>
      </c>
      <c r="AC42" s="22">
        <v>0</v>
      </c>
      <c r="AD42" s="22">
        <v>0</v>
      </c>
      <c r="AE42" s="22">
        <v>0</v>
      </c>
      <c r="AF42" s="22">
        <v>5.7582934892736318E-5</v>
      </c>
      <c r="AG42" s="21">
        <v>0</v>
      </c>
      <c r="AH42" s="21">
        <v>0</v>
      </c>
      <c r="AI42" s="21">
        <v>0</v>
      </c>
      <c r="AJ42" s="21">
        <v>0</v>
      </c>
      <c r="AK42" s="21">
        <v>363</v>
      </c>
      <c r="AL42" s="22">
        <v>0</v>
      </c>
      <c r="AM42" s="22">
        <v>0</v>
      </c>
      <c r="AN42" s="22">
        <v>0</v>
      </c>
      <c r="AO42" s="22">
        <v>0</v>
      </c>
      <c r="AP42" s="22">
        <v>1</v>
      </c>
    </row>
    <row r="43" spans="1:42" x14ac:dyDescent="0.25">
      <c r="A43" s="20" t="s">
        <v>56</v>
      </c>
      <c r="B43" s="21">
        <v>0</v>
      </c>
      <c r="C43" s="21">
        <v>0</v>
      </c>
      <c r="D43" s="21">
        <v>5</v>
      </c>
      <c r="E43" s="21">
        <v>20</v>
      </c>
      <c r="F43" s="21">
        <v>397</v>
      </c>
      <c r="G43" s="22">
        <v>0</v>
      </c>
      <c r="H43" s="22">
        <v>0</v>
      </c>
      <c r="I43" s="22">
        <v>7.8887061338634549E-7</v>
      </c>
      <c r="J43" s="22">
        <v>3.1394394593634094E-6</v>
      </c>
      <c r="K43" s="22">
        <v>6.2211712569351565E-5</v>
      </c>
      <c r="L43" s="21">
        <v>0</v>
      </c>
      <c r="M43" s="21">
        <v>0</v>
      </c>
      <c r="N43" s="21">
        <v>5</v>
      </c>
      <c r="O43" s="21">
        <v>20</v>
      </c>
      <c r="P43" s="21">
        <v>397</v>
      </c>
      <c r="Q43" s="22">
        <v>0</v>
      </c>
      <c r="R43" s="22">
        <v>0</v>
      </c>
      <c r="S43" s="22">
        <v>1</v>
      </c>
      <c r="T43" s="22">
        <v>1</v>
      </c>
      <c r="U43" s="22">
        <v>1</v>
      </c>
      <c r="V43" s="21"/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</row>
    <row r="44" spans="1:42" x14ac:dyDescent="0.25">
      <c r="A44" s="20" t="s">
        <v>57</v>
      </c>
      <c r="B44" s="21">
        <v>241960</v>
      </c>
      <c r="C44" s="21">
        <v>248176</v>
      </c>
      <c r="D44" s="21">
        <v>255211</v>
      </c>
      <c r="E44" s="21">
        <v>261198</v>
      </c>
      <c r="F44" s="21">
        <v>271879</v>
      </c>
      <c r="G44" s="22">
        <v>3.8644361670082943E-2</v>
      </c>
      <c r="H44" s="22">
        <v>3.9368326308373905E-2</v>
      </c>
      <c r="I44" s="22">
        <v>4.0265691622588522E-2</v>
      </c>
      <c r="J44" s="22">
        <v>4.1000765395340193E-2</v>
      </c>
      <c r="K44" s="22">
        <v>4.2604680608671876E-2</v>
      </c>
      <c r="L44" s="21">
        <v>240912</v>
      </c>
      <c r="M44" s="21">
        <v>247258</v>
      </c>
      <c r="N44" s="21">
        <v>254412</v>
      </c>
      <c r="O44" s="21">
        <v>260455</v>
      </c>
      <c r="P44" s="21">
        <v>271176</v>
      </c>
      <c r="Q44" s="22">
        <v>0.99566870557116882</v>
      </c>
      <c r="R44" s="22">
        <v>0.99630101218490108</v>
      </c>
      <c r="S44" s="22">
        <v>0.99686925720286357</v>
      </c>
      <c r="T44" s="22">
        <v>0.99715541466626845</v>
      </c>
      <c r="U44" s="22">
        <v>0.99741429091617961</v>
      </c>
      <c r="V44" s="21"/>
      <c r="W44" s="21">
        <v>48833</v>
      </c>
      <c r="X44" s="21">
        <v>70074</v>
      </c>
      <c r="Y44" s="21">
        <v>113955</v>
      </c>
      <c r="Z44" s="21">
        <v>214698</v>
      </c>
      <c r="AA44" s="21">
        <v>248176</v>
      </c>
      <c r="AB44" s="22">
        <v>1.1758521816099637E-2</v>
      </c>
      <c r="AC44" s="22">
        <v>1.6871490974737065E-2</v>
      </c>
      <c r="AD44" s="22">
        <v>1.8682945391630311E-2</v>
      </c>
      <c r="AE44" s="22">
        <v>3.4725869299150378E-2</v>
      </c>
      <c r="AF44" s="22">
        <v>3.9368326308373905E-2</v>
      </c>
      <c r="AG44" s="21">
        <v>48775</v>
      </c>
      <c r="AH44" s="21">
        <v>69973</v>
      </c>
      <c r="AI44" s="21">
        <v>113735</v>
      </c>
      <c r="AJ44" s="21">
        <v>212630</v>
      </c>
      <c r="AK44" s="21">
        <v>247258</v>
      </c>
      <c r="AL44" s="22">
        <v>0.99881227858210642</v>
      </c>
      <c r="AM44" s="22">
        <v>0.99855866655250169</v>
      </c>
      <c r="AN44" s="22">
        <v>0.99806941336492472</v>
      </c>
      <c r="AO44" s="22">
        <v>0.9903678655599959</v>
      </c>
      <c r="AP44" s="22">
        <v>0.99630101218490108</v>
      </c>
    </row>
    <row r="45" spans="1:42" x14ac:dyDescent="0.25">
      <c r="A45" s="20" t="s">
        <v>58</v>
      </c>
      <c r="B45" s="21">
        <v>3423</v>
      </c>
      <c r="C45" s="21">
        <v>3393</v>
      </c>
      <c r="D45" s="21">
        <v>2863</v>
      </c>
      <c r="E45" s="21">
        <v>2896</v>
      </c>
      <c r="F45" s="21">
        <v>2387</v>
      </c>
      <c r="G45" s="22">
        <v>5.4670048767025098E-4</v>
      </c>
      <c r="H45" s="22">
        <v>5.3823387903871719E-4</v>
      </c>
      <c r="I45" s="22">
        <v>4.5170731322502142E-4</v>
      </c>
      <c r="J45" s="22">
        <v>4.5459083371582169E-4</v>
      </c>
      <c r="K45" s="22">
        <v>3.7405379824443876E-4</v>
      </c>
      <c r="L45" s="21">
        <v>2746</v>
      </c>
      <c r="M45" s="21">
        <v>2847</v>
      </c>
      <c r="N45" s="21">
        <v>2393</v>
      </c>
      <c r="O45" s="21">
        <v>2432</v>
      </c>
      <c r="P45" s="21">
        <v>2078</v>
      </c>
      <c r="Q45" s="22">
        <v>0.80222027461291268</v>
      </c>
      <c r="R45" s="22">
        <v>0.83908045977011492</v>
      </c>
      <c r="S45" s="22">
        <v>0.83583653510303879</v>
      </c>
      <c r="T45" s="22">
        <v>0.83977900552486184</v>
      </c>
      <c r="U45" s="22">
        <v>0.87054880603267704</v>
      </c>
      <c r="V45" s="21"/>
      <c r="W45" s="21">
        <v>5807</v>
      </c>
      <c r="X45" s="21">
        <v>5356</v>
      </c>
      <c r="Y45" s="21">
        <v>6215</v>
      </c>
      <c r="Z45" s="21">
        <v>3939</v>
      </c>
      <c r="AA45" s="21">
        <v>3393</v>
      </c>
      <c r="AB45" s="22">
        <v>1.398270353779014E-3</v>
      </c>
      <c r="AC45" s="22">
        <v>1.2895468456302155E-3</v>
      </c>
      <c r="AD45" s="22">
        <v>1.0189505121230519E-3</v>
      </c>
      <c r="AE45" s="22">
        <v>6.3710513916922075E-4</v>
      </c>
      <c r="AF45" s="22">
        <v>5.3823387903871719E-4</v>
      </c>
      <c r="AG45" s="21">
        <v>5733</v>
      </c>
      <c r="AH45" s="21">
        <v>5247</v>
      </c>
      <c r="AI45" s="21">
        <v>5156</v>
      </c>
      <c r="AJ45" s="21">
        <v>2483</v>
      </c>
      <c r="AK45" s="21">
        <v>2847</v>
      </c>
      <c r="AL45" s="22">
        <v>0.98725675908386434</v>
      </c>
      <c r="AM45" s="22">
        <v>0.97964899178491416</v>
      </c>
      <c r="AN45" s="22">
        <v>0.82960579243765087</v>
      </c>
      <c r="AO45" s="22">
        <v>0.63036303630363033</v>
      </c>
      <c r="AP45" s="22">
        <v>0.83908045977011492</v>
      </c>
    </row>
    <row r="46" spans="1:42" x14ac:dyDescent="0.25">
      <c r="A46" s="20" t="s">
        <v>59</v>
      </c>
      <c r="B46" s="21">
        <v>1748</v>
      </c>
      <c r="C46" s="21">
        <v>1781</v>
      </c>
      <c r="D46" s="21">
        <v>1897</v>
      </c>
      <c r="E46" s="21">
        <v>2073</v>
      </c>
      <c r="F46" s="21">
        <v>2465</v>
      </c>
      <c r="G46" s="22">
        <v>2.7917979913748135E-4</v>
      </c>
      <c r="H46" s="22">
        <v>2.825212315260699E-4</v>
      </c>
      <c r="I46" s="22">
        <v>2.9929751071877946E-4</v>
      </c>
      <c r="J46" s="22">
        <v>3.2540289996301738E-4</v>
      </c>
      <c r="K46" s="22">
        <v>3.8627675436637683E-4</v>
      </c>
      <c r="L46" s="21">
        <v>1748</v>
      </c>
      <c r="M46" s="21">
        <v>1781</v>
      </c>
      <c r="N46" s="21">
        <v>1897</v>
      </c>
      <c r="O46" s="21">
        <v>2073</v>
      </c>
      <c r="P46" s="21">
        <v>2361</v>
      </c>
      <c r="Q46" s="22">
        <v>1</v>
      </c>
      <c r="R46" s="22">
        <v>1</v>
      </c>
      <c r="S46" s="22">
        <v>1</v>
      </c>
      <c r="T46" s="22">
        <v>1</v>
      </c>
      <c r="U46" s="22">
        <v>0.95780933062880325</v>
      </c>
      <c r="V46" s="21"/>
      <c r="W46" s="21">
        <v>0</v>
      </c>
      <c r="X46" s="21">
        <v>0</v>
      </c>
      <c r="Y46" s="21">
        <v>1183</v>
      </c>
      <c r="Z46" s="21">
        <v>1408</v>
      </c>
      <c r="AA46" s="21">
        <v>1781</v>
      </c>
      <c r="AB46" s="22">
        <v>0</v>
      </c>
      <c r="AC46" s="22">
        <v>0</v>
      </c>
      <c r="AD46" s="22">
        <v>1.9395309023999524E-4</v>
      </c>
      <c r="AE46" s="22">
        <v>2.2773395175178034E-4</v>
      </c>
      <c r="AF46" s="22">
        <v>2.825212315260699E-4</v>
      </c>
      <c r="AG46" s="21">
        <v>0</v>
      </c>
      <c r="AH46" s="21">
        <v>0</v>
      </c>
      <c r="AI46" s="21">
        <v>1183</v>
      </c>
      <c r="AJ46" s="21">
        <v>0</v>
      </c>
      <c r="AK46" s="21">
        <v>1781</v>
      </c>
      <c r="AL46" s="22">
        <v>0</v>
      </c>
      <c r="AM46" s="22">
        <v>0</v>
      </c>
      <c r="AN46" s="22">
        <v>1</v>
      </c>
      <c r="AO46" s="22">
        <v>0</v>
      </c>
      <c r="AP46" s="22">
        <v>1</v>
      </c>
    </row>
    <row r="47" spans="1:42" x14ac:dyDescent="0.25">
      <c r="A47" s="20" t="s">
        <v>60</v>
      </c>
      <c r="B47" s="21">
        <v>126260</v>
      </c>
      <c r="C47" s="21">
        <v>125240</v>
      </c>
      <c r="D47" s="21">
        <v>124922</v>
      </c>
      <c r="E47" s="21">
        <v>124783</v>
      </c>
      <c r="F47" s="21">
        <v>125678</v>
      </c>
      <c r="G47" s="22">
        <v>2.0165469930834321E-2</v>
      </c>
      <c r="H47" s="22">
        <v>1.9866905691367207E-2</v>
      </c>
      <c r="I47" s="22">
        <v>1.9709458953089808E-2</v>
      </c>
      <c r="J47" s="22">
        <v>1.9587433702887218E-2</v>
      </c>
      <c r="K47" s="22">
        <v>1.9694316403755581E-2</v>
      </c>
      <c r="L47" s="21">
        <v>125304</v>
      </c>
      <c r="M47" s="21">
        <v>124421</v>
      </c>
      <c r="N47" s="21">
        <v>124170</v>
      </c>
      <c r="O47" s="21">
        <v>124095</v>
      </c>
      <c r="P47" s="21">
        <v>124900</v>
      </c>
      <c r="Q47" s="22">
        <v>0.99242832250910817</v>
      </c>
      <c r="R47" s="22">
        <v>0.99346055573299263</v>
      </c>
      <c r="S47" s="22">
        <v>0.9939802436720514</v>
      </c>
      <c r="T47" s="22">
        <v>0.99448642843977142</v>
      </c>
      <c r="U47" s="22">
        <v>0.99380957685513771</v>
      </c>
      <c r="V47" s="21"/>
      <c r="W47" s="21">
        <v>86230</v>
      </c>
      <c r="X47" s="21">
        <v>93497</v>
      </c>
      <c r="Y47" s="21">
        <v>102435</v>
      </c>
      <c r="Z47" s="21">
        <v>112044</v>
      </c>
      <c r="AA47" s="21">
        <v>125240</v>
      </c>
      <c r="AB47" s="22">
        <v>2.0763363631197587E-2</v>
      </c>
      <c r="AC47" s="22">
        <v>2.2510971140009009E-2</v>
      </c>
      <c r="AD47" s="22">
        <v>1.67942390521842E-2</v>
      </c>
      <c r="AE47" s="22">
        <v>1.8122317393520226E-2</v>
      </c>
      <c r="AF47" s="22">
        <v>1.9866905691367207E-2</v>
      </c>
      <c r="AG47" s="21">
        <v>85516</v>
      </c>
      <c r="AH47" s="21">
        <v>92451</v>
      </c>
      <c r="AI47" s="21">
        <v>101399</v>
      </c>
      <c r="AJ47" s="21">
        <v>110973</v>
      </c>
      <c r="AK47" s="21">
        <v>124421</v>
      </c>
      <c r="AL47" s="22">
        <v>0.99171981908848428</v>
      </c>
      <c r="AM47" s="22">
        <v>0.98881247526658611</v>
      </c>
      <c r="AN47" s="22">
        <v>0.98988626934153368</v>
      </c>
      <c r="AO47" s="22">
        <v>0.99044125522116311</v>
      </c>
      <c r="AP47" s="22">
        <v>0.99346055573299263</v>
      </c>
    </row>
    <row r="48" spans="1:42" x14ac:dyDescent="0.25">
      <c r="A48" s="20" t="s">
        <v>61</v>
      </c>
      <c r="B48" s="21">
        <v>0</v>
      </c>
      <c r="C48" s="21">
        <v>0</v>
      </c>
      <c r="D48" s="21">
        <v>25</v>
      </c>
      <c r="E48" s="21">
        <v>1942</v>
      </c>
      <c r="F48" s="21">
        <v>5440</v>
      </c>
      <c r="G48" s="22">
        <v>0</v>
      </c>
      <c r="H48" s="22">
        <v>0</v>
      </c>
      <c r="I48" s="22">
        <v>3.9443530669317274E-6</v>
      </c>
      <c r="J48" s="22">
        <v>3.0483957150418707E-4</v>
      </c>
      <c r="K48" s="22">
        <v>8.5247283722234891E-4</v>
      </c>
      <c r="L48" s="21">
        <v>0</v>
      </c>
      <c r="M48" s="21">
        <v>0</v>
      </c>
      <c r="N48" s="21">
        <v>25</v>
      </c>
      <c r="O48" s="21">
        <v>1942</v>
      </c>
      <c r="P48" s="21">
        <v>5263</v>
      </c>
      <c r="Q48" s="22">
        <v>0</v>
      </c>
      <c r="R48" s="22">
        <v>0</v>
      </c>
      <c r="S48" s="22">
        <v>1</v>
      </c>
      <c r="T48" s="22">
        <v>1</v>
      </c>
      <c r="U48" s="22">
        <v>0.9674632352941176</v>
      </c>
      <c r="V48" s="21"/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</row>
    <row r="49" spans="1:42" x14ac:dyDescent="0.25">
      <c r="A49" s="20" t="s">
        <v>62</v>
      </c>
      <c r="B49" s="21">
        <v>0</v>
      </c>
      <c r="C49" s="21">
        <v>0</v>
      </c>
      <c r="D49" s="21">
        <v>0</v>
      </c>
      <c r="E49" s="21">
        <v>0</v>
      </c>
      <c r="F49" s="21">
        <v>79134</v>
      </c>
      <c r="G49" s="22">
        <v>0</v>
      </c>
      <c r="H49" s="22">
        <v>0</v>
      </c>
      <c r="I49" s="22">
        <v>0</v>
      </c>
      <c r="J49" s="22">
        <v>0</v>
      </c>
      <c r="K49" s="22">
        <v>1.240065909940319E-2</v>
      </c>
      <c r="L49" s="21">
        <v>0</v>
      </c>
      <c r="M49" s="21">
        <v>0</v>
      </c>
      <c r="N49" s="21">
        <v>0</v>
      </c>
      <c r="O49" s="21">
        <v>0</v>
      </c>
      <c r="P49" s="21">
        <v>36635</v>
      </c>
      <c r="Q49" s="22">
        <v>0</v>
      </c>
      <c r="R49" s="22">
        <v>0</v>
      </c>
      <c r="S49" s="22">
        <v>0</v>
      </c>
      <c r="T49" s="22">
        <v>0</v>
      </c>
      <c r="U49" s="22">
        <v>0.4629489220815326</v>
      </c>
      <c r="V49" s="21"/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</row>
    <row r="50" spans="1:42" x14ac:dyDescent="0.25">
      <c r="A50" s="20" t="s">
        <v>63</v>
      </c>
      <c r="B50" s="21">
        <v>21</v>
      </c>
      <c r="C50" s="21">
        <v>21</v>
      </c>
      <c r="D50" s="21">
        <v>109</v>
      </c>
      <c r="E50" s="21">
        <v>15</v>
      </c>
      <c r="F50" s="21">
        <v>39</v>
      </c>
      <c r="G50" s="22">
        <v>3.3539907219033802E-6</v>
      </c>
      <c r="H50" s="22">
        <v>3.3312441673483819E-6</v>
      </c>
      <c r="I50" s="22">
        <v>1.7197379371822329E-5</v>
      </c>
      <c r="J50" s="22">
        <v>2.3545795945225572E-6</v>
      </c>
      <c r="K50" s="22">
        <v>6.111478060969045E-6</v>
      </c>
      <c r="L50" s="21">
        <v>21</v>
      </c>
      <c r="M50" s="21">
        <v>21</v>
      </c>
      <c r="N50" s="21">
        <v>57</v>
      </c>
      <c r="O50" s="21">
        <v>0</v>
      </c>
      <c r="P50" s="21">
        <v>28</v>
      </c>
      <c r="Q50" s="22">
        <v>1</v>
      </c>
      <c r="R50" s="22">
        <v>1</v>
      </c>
      <c r="S50" s="22">
        <v>0.52293577981651373</v>
      </c>
      <c r="T50" s="22">
        <v>0</v>
      </c>
      <c r="U50" s="22">
        <v>0.71794871794871795</v>
      </c>
      <c r="V50" s="21"/>
      <c r="W50" s="21">
        <v>0</v>
      </c>
      <c r="X50" s="21">
        <v>38</v>
      </c>
      <c r="Y50" s="21">
        <v>46</v>
      </c>
      <c r="Z50" s="21">
        <v>23</v>
      </c>
      <c r="AA50" s="21">
        <v>21</v>
      </c>
      <c r="AB50" s="22">
        <v>0</v>
      </c>
      <c r="AC50" s="22">
        <v>9.1491374409910731E-6</v>
      </c>
      <c r="AD50" s="22">
        <v>7.5417093415382759E-6</v>
      </c>
      <c r="AE50" s="22">
        <v>3.7200858595816391E-6</v>
      </c>
      <c r="AF50" s="22">
        <v>3.3312441673483819E-6</v>
      </c>
      <c r="AG50" s="21">
        <v>0</v>
      </c>
      <c r="AH50" s="21">
        <v>38</v>
      </c>
      <c r="AI50" s="21">
        <v>45</v>
      </c>
      <c r="AJ50" s="21">
        <v>23</v>
      </c>
      <c r="AK50" s="21">
        <v>21</v>
      </c>
      <c r="AL50" s="22">
        <v>0</v>
      </c>
      <c r="AM50" s="22">
        <v>1</v>
      </c>
      <c r="AN50" s="22">
        <v>0.97826086956521741</v>
      </c>
      <c r="AO50" s="22">
        <v>1</v>
      </c>
      <c r="AP50" s="22">
        <v>1</v>
      </c>
    </row>
    <row r="51" spans="1:42" x14ac:dyDescent="0.25">
      <c r="A51" s="20" t="s">
        <v>64</v>
      </c>
      <c r="B51" s="21">
        <v>0</v>
      </c>
      <c r="C51" s="21">
        <v>0</v>
      </c>
      <c r="D51" s="21">
        <v>0</v>
      </c>
      <c r="E51" s="21">
        <v>0</v>
      </c>
      <c r="F51" s="21">
        <v>4</v>
      </c>
      <c r="G51" s="22">
        <v>0</v>
      </c>
      <c r="H51" s="22">
        <v>0</v>
      </c>
      <c r="I51" s="22">
        <v>0</v>
      </c>
      <c r="J51" s="22">
        <v>0</v>
      </c>
      <c r="K51" s="22">
        <v>6.2681826266349186E-7</v>
      </c>
      <c r="L51" s="21">
        <v>0</v>
      </c>
      <c r="M51" s="21">
        <v>0</v>
      </c>
      <c r="N51" s="21">
        <v>0</v>
      </c>
      <c r="O51" s="21">
        <v>0</v>
      </c>
      <c r="P51" s="21">
        <v>4</v>
      </c>
      <c r="Q51" s="22">
        <v>0</v>
      </c>
      <c r="R51" s="22">
        <v>0</v>
      </c>
      <c r="S51" s="22">
        <v>0</v>
      </c>
      <c r="T51" s="22">
        <v>0</v>
      </c>
      <c r="U51" s="22">
        <v>1</v>
      </c>
      <c r="V51" s="21"/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</row>
    <row r="52" spans="1:42" x14ac:dyDescent="0.25">
      <c r="A52" s="20" t="s">
        <v>65</v>
      </c>
      <c r="B52" s="21">
        <v>0</v>
      </c>
      <c r="C52" s="21">
        <v>0</v>
      </c>
      <c r="D52" s="21">
        <v>0</v>
      </c>
      <c r="E52" s="21">
        <v>0</v>
      </c>
      <c r="F52" s="21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1"/>
      <c r="W52" s="21">
        <v>0</v>
      </c>
      <c r="X52" s="21">
        <v>0</v>
      </c>
      <c r="Y52" s="21">
        <v>305</v>
      </c>
      <c r="Z52" s="21">
        <v>0</v>
      </c>
      <c r="AA52" s="21">
        <v>0</v>
      </c>
      <c r="AB52" s="22">
        <v>0</v>
      </c>
      <c r="AC52" s="22">
        <v>0</v>
      </c>
      <c r="AD52" s="22">
        <v>5.0004811938460311E-5</v>
      </c>
      <c r="AE52" s="22">
        <v>0</v>
      </c>
      <c r="AF52" s="22">
        <v>0</v>
      </c>
      <c r="AG52" s="21">
        <v>0</v>
      </c>
      <c r="AH52" s="21">
        <v>0</v>
      </c>
      <c r="AI52" s="21">
        <v>305</v>
      </c>
      <c r="AJ52" s="21">
        <v>0</v>
      </c>
      <c r="AK52" s="21">
        <v>0</v>
      </c>
      <c r="AL52" s="22">
        <v>0</v>
      </c>
      <c r="AM52" s="22">
        <v>0</v>
      </c>
      <c r="AN52" s="22">
        <v>1</v>
      </c>
      <c r="AO52" s="22">
        <v>0</v>
      </c>
      <c r="AP52" s="22">
        <v>0</v>
      </c>
    </row>
    <row r="53" spans="1:42" x14ac:dyDescent="0.25">
      <c r="A53" s="20" t="s">
        <v>66</v>
      </c>
      <c r="B53" s="21">
        <v>597</v>
      </c>
      <c r="C53" s="21">
        <v>813</v>
      </c>
      <c r="D53" s="21">
        <v>953</v>
      </c>
      <c r="E53" s="21">
        <v>1349</v>
      </c>
      <c r="F53" s="21">
        <v>1532</v>
      </c>
      <c r="G53" s="22">
        <v>9.5349164808396095E-5</v>
      </c>
      <c r="H53" s="22">
        <v>1.2896673847877309E-4</v>
      </c>
      <c r="I53" s="22">
        <v>1.5035873891143745E-4</v>
      </c>
      <c r="J53" s="22">
        <v>2.1175519153406199E-4</v>
      </c>
      <c r="K53" s="22">
        <v>2.4007139460011738E-4</v>
      </c>
      <c r="L53" s="21">
        <v>597</v>
      </c>
      <c r="M53" s="21">
        <v>813</v>
      </c>
      <c r="N53" s="21">
        <v>953</v>
      </c>
      <c r="O53" s="21">
        <v>1349</v>
      </c>
      <c r="P53" s="21">
        <v>1532</v>
      </c>
      <c r="Q53" s="22">
        <v>1</v>
      </c>
      <c r="R53" s="22">
        <v>1</v>
      </c>
      <c r="S53" s="22">
        <v>1</v>
      </c>
      <c r="T53" s="22">
        <v>1</v>
      </c>
      <c r="U53" s="22">
        <v>1</v>
      </c>
      <c r="V53" s="21"/>
      <c r="W53" s="21">
        <v>0</v>
      </c>
      <c r="X53" s="21">
        <v>0</v>
      </c>
      <c r="Y53" s="21">
        <v>0</v>
      </c>
      <c r="Z53" s="21">
        <v>0</v>
      </c>
      <c r="AA53" s="21">
        <v>813</v>
      </c>
      <c r="AB53" s="22">
        <v>0</v>
      </c>
      <c r="AC53" s="22">
        <v>0</v>
      </c>
      <c r="AD53" s="22">
        <v>0</v>
      </c>
      <c r="AE53" s="22">
        <v>0</v>
      </c>
      <c r="AF53" s="22">
        <v>1.2896673847877309E-4</v>
      </c>
      <c r="AG53" s="21">
        <v>0</v>
      </c>
      <c r="AH53" s="21">
        <v>0</v>
      </c>
      <c r="AI53" s="21">
        <v>0</v>
      </c>
      <c r="AJ53" s="21">
        <v>0</v>
      </c>
      <c r="AK53" s="21">
        <v>813</v>
      </c>
      <c r="AL53" s="22">
        <v>0</v>
      </c>
      <c r="AM53" s="22">
        <v>0</v>
      </c>
      <c r="AN53" s="22">
        <v>0</v>
      </c>
      <c r="AO53" s="22">
        <v>0</v>
      </c>
      <c r="AP53" s="22">
        <v>1</v>
      </c>
    </row>
    <row r="54" spans="1:42" x14ac:dyDescent="0.25">
      <c r="A54" s="1" t="s">
        <v>67</v>
      </c>
      <c r="B54" s="23">
        <v>6261198</v>
      </c>
      <c r="C54" s="23">
        <v>6303951</v>
      </c>
      <c r="D54" s="23">
        <v>6338175</v>
      </c>
      <c r="E54" s="23">
        <v>6370564</v>
      </c>
      <c r="F54" s="23">
        <v>6381435</v>
      </c>
      <c r="G54" s="24">
        <v>1</v>
      </c>
      <c r="H54" s="24">
        <v>1</v>
      </c>
      <c r="I54" s="24">
        <v>1</v>
      </c>
      <c r="J54" s="24">
        <v>1</v>
      </c>
      <c r="K54" s="24">
        <v>1</v>
      </c>
      <c r="L54" s="23">
        <v>4497230</v>
      </c>
      <c r="M54" s="23">
        <v>4607387</v>
      </c>
      <c r="N54" s="23">
        <v>4696154</v>
      </c>
      <c r="O54" s="23">
        <v>4760519</v>
      </c>
      <c r="P54" s="23">
        <v>4760951</v>
      </c>
      <c r="Q54" s="24">
        <v>0.71826989020312082</v>
      </c>
      <c r="R54" s="24">
        <v>0.73087290811746475</v>
      </c>
      <c r="S54" s="24">
        <v>0.74093157730734793</v>
      </c>
      <c r="T54" s="24">
        <v>0.74726805978246191</v>
      </c>
      <c r="U54" s="24">
        <v>0.74606275861150351</v>
      </c>
      <c r="V54" s="23"/>
      <c r="W54" s="23">
        <v>4152988</v>
      </c>
      <c r="X54" s="23">
        <v>4153397</v>
      </c>
      <c r="Y54" s="23">
        <v>6099413</v>
      </c>
      <c r="Z54" s="23">
        <v>6182653</v>
      </c>
      <c r="AA54" s="23">
        <v>6303951</v>
      </c>
      <c r="AB54" s="24">
        <v>1</v>
      </c>
      <c r="AC54" s="24">
        <v>1</v>
      </c>
      <c r="AD54" s="24">
        <v>1</v>
      </c>
      <c r="AE54" s="24">
        <v>1</v>
      </c>
      <c r="AF54" s="24">
        <v>1</v>
      </c>
      <c r="AG54" s="23">
        <v>2624099</v>
      </c>
      <c r="AH54" s="23">
        <v>2813576</v>
      </c>
      <c r="AI54" s="23">
        <v>3954416</v>
      </c>
      <c r="AJ54" s="23">
        <v>4198157</v>
      </c>
      <c r="AK54" s="23">
        <v>4607387</v>
      </c>
      <c r="AL54" s="24">
        <v>0.63185807423474372</v>
      </c>
      <c r="AM54" s="24">
        <v>0.67741561907036574</v>
      </c>
      <c r="AN54" s="24">
        <v>0.64832730625061785</v>
      </c>
      <c r="AO54" s="24">
        <v>0.67902193443494241</v>
      </c>
      <c r="AP54" s="24">
        <v>0.73087290811746475</v>
      </c>
    </row>
    <row r="55" spans="1:42" x14ac:dyDescent="0.25">
      <c r="A55" s="25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</row>
    <row r="56" spans="1:42" x14ac:dyDescent="0.25">
      <c r="A56" s="1" t="s">
        <v>68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</row>
    <row r="57" spans="1:42" x14ac:dyDescent="0.25">
      <c r="A57" s="26" t="s">
        <v>69</v>
      </c>
      <c r="B57" s="27" t="s">
        <v>12</v>
      </c>
      <c r="C57" s="27" t="s">
        <v>13</v>
      </c>
      <c r="D57" s="27" t="s">
        <v>14</v>
      </c>
      <c r="E57" s="27" t="s">
        <v>15</v>
      </c>
      <c r="F57" s="27" t="s">
        <v>16</v>
      </c>
      <c r="G57" s="27" t="s">
        <v>12</v>
      </c>
      <c r="H57" s="27" t="s">
        <v>13</v>
      </c>
      <c r="I57" s="27" t="s">
        <v>14</v>
      </c>
      <c r="J57" s="27" t="s">
        <v>15</v>
      </c>
      <c r="K57" s="27" t="s">
        <v>16</v>
      </c>
      <c r="L57" s="27" t="s">
        <v>12</v>
      </c>
      <c r="M57" s="27" t="s">
        <v>13</v>
      </c>
      <c r="N57" s="27" t="s">
        <v>14</v>
      </c>
      <c r="O57" s="27" t="s">
        <v>15</v>
      </c>
      <c r="P57" s="27" t="s">
        <v>16</v>
      </c>
      <c r="Q57" s="27" t="s">
        <v>12</v>
      </c>
      <c r="R57" s="27" t="s">
        <v>13</v>
      </c>
      <c r="S57" s="27" t="s">
        <v>14</v>
      </c>
      <c r="T57" s="27" t="s">
        <v>15</v>
      </c>
      <c r="U57" s="27" t="s">
        <v>16</v>
      </c>
      <c r="V57" s="27"/>
      <c r="W57" s="27" t="s">
        <v>17</v>
      </c>
      <c r="X57" s="27" t="s">
        <v>18</v>
      </c>
      <c r="Y57" s="27" t="s">
        <v>19</v>
      </c>
      <c r="Z57" s="27" t="s">
        <v>20</v>
      </c>
      <c r="AA57" s="27" t="s">
        <v>21</v>
      </c>
      <c r="AB57" s="27" t="s">
        <v>17</v>
      </c>
      <c r="AC57" s="27" t="s">
        <v>18</v>
      </c>
      <c r="AD57" s="27" t="s">
        <v>19</v>
      </c>
      <c r="AE57" s="27" t="s">
        <v>20</v>
      </c>
      <c r="AF57" s="27" t="s">
        <v>21</v>
      </c>
      <c r="AG57" s="27" t="s">
        <v>17</v>
      </c>
      <c r="AH57" s="27" t="s">
        <v>18</v>
      </c>
      <c r="AI57" s="27" t="s">
        <v>19</v>
      </c>
      <c r="AJ57" s="27" t="s">
        <v>20</v>
      </c>
      <c r="AK57" s="27" t="s">
        <v>21</v>
      </c>
      <c r="AL57" s="27" t="s">
        <v>17</v>
      </c>
      <c r="AM57" s="27" t="s">
        <v>18</v>
      </c>
      <c r="AN57" s="27" t="s">
        <v>19</v>
      </c>
      <c r="AO57" s="27" t="s">
        <v>20</v>
      </c>
      <c r="AP57" s="27" t="s">
        <v>21</v>
      </c>
    </row>
    <row r="58" spans="1:42" x14ac:dyDescent="0.25">
      <c r="A58" s="20" t="s">
        <v>23</v>
      </c>
      <c r="B58" s="21">
        <v>152613</v>
      </c>
      <c r="C58" s="21">
        <v>151987</v>
      </c>
      <c r="D58" s="21">
        <v>150283</v>
      </c>
      <c r="E58" s="21">
        <v>147730</v>
      </c>
      <c r="F58" s="21">
        <v>146008</v>
      </c>
      <c r="G58" s="22">
        <v>0.89101471275105093</v>
      </c>
      <c r="H58" s="22">
        <v>0.88329613873584867</v>
      </c>
      <c r="I58" s="22">
        <v>0.86762464494376834</v>
      </c>
      <c r="J58" s="22">
        <v>0.85018588644237525</v>
      </c>
      <c r="K58" s="22">
        <v>0.8355776329268223</v>
      </c>
      <c r="L58" s="21">
        <v>38233</v>
      </c>
      <c r="M58" s="21">
        <v>48069</v>
      </c>
      <c r="N58" s="21">
        <v>59792</v>
      </c>
      <c r="O58" s="21">
        <v>62137</v>
      </c>
      <c r="P58" s="21">
        <v>51211</v>
      </c>
      <c r="Q58" s="22">
        <v>0.25052256360860475</v>
      </c>
      <c r="R58" s="22">
        <v>0.31627047050076651</v>
      </c>
      <c r="S58" s="22">
        <v>0.39786269904114235</v>
      </c>
      <c r="T58" s="22">
        <v>0.42061192716442158</v>
      </c>
      <c r="U58" s="22">
        <v>0.35074105528464194</v>
      </c>
      <c r="V58" s="21"/>
      <c r="W58" s="21">
        <v>152762</v>
      </c>
      <c r="X58" s="21">
        <v>153235</v>
      </c>
      <c r="Y58" s="21">
        <v>152243</v>
      </c>
      <c r="Z58" s="21">
        <v>152349</v>
      </c>
      <c r="AA58" s="21">
        <v>151987</v>
      </c>
      <c r="AB58" s="22">
        <v>0.96435786071410534</v>
      </c>
      <c r="AC58" s="22">
        <v>0.95316737578064736</v>
      </c>
      <c r="AD58" s="22">
        <v>0.92674003822788198</v>
      </c>
      <c r="AE58" s="22">
        <v>0.90701744985622179</v>
      </c>
      <c r="AF58" s="22">
        <v>0.88329613873584867</v>
      </c>
      <c r="AG58" s="21">
        <v>24143</v>
      </c>
      <c r="AH58" s="21">
        <v>32780</v>
      </c>
      <c r="AI58" s="21">
        <v>28376</v>
      </c>
      <c r="AJ58" s="21">
        <v>19792</v>
      </c>
      <c r="AK58" s="21">
        <v>48069</v>
      </c>
      <c r="AL58" s="22">
        <v>0.15804323064636494</v>
      </c>
      <c r="AM58" s="22">
        <v>0.2139197963911639</v>
      </c>
      <c r="AN58" s="22">
        <v>0.18638623779090008</v>
      </c>
      <c r="AO58" s="22">
        <v>0.12991224097302903</v>
      </c>
      <c r="AP58" s="22">
        <v>0.31627047050076651</v>
      </c>
    </row>
    <row r="59" spans="1:42" x14ac:dyDescent="0.25">
      <c r="A59" s="20" t="s">
        <v>24</v>
      </c>
      <c r="B59" s="21">
        <v>0</v>
      </c>
      <c r="C59" s="21">
        <v>0</v>
      </c>
      <c r="D59" s="21">
        <v>0</v>
      </c>
      <c r="E59" s="21">
        <v>0</v>
      </c>
      <c r="F59" s="21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1"/>
      <c r="W59" s="21">
        <v>13</v>
      </c>
      <c r="X59" s="21">
        <v>0</v>
      </c>
      <c r="Y59" s="21">
        <v>0</v>
      </c>
      <c r="Z59" s="21">
        <v>0</v>
      </c>
      <c r="AA59" s="21">
        <v>0</v>
      </c>
      <c r="AB59" s="22">
        <v>8.2066562294833589E-5</v>
      </c>
      <c r="AC59" s="22">
        <v>0</v>
      </c>
      <c r="AD59" s="22">
        <v>0</v>
      </c>
      <c r="AE59" s="22">
        <v>0</v>
      </c>
      <c r="AF59" s="22">
        <v>0</v>
      </c>
      <c r="AG59" s="21">
        <v>13</v>
      </c>
      <c r="AH59" s="21">
        <v>0</v>
      </c>
      <c r="AI59" s="21">
        <v>0</v>
      </c>
      <c r="AJ59" s="21">
        <v>0</v>
      </c>
      <c r="AK59" s="21">
        <v>0</v>
      </c>
      <c r="AL59" s="22">
        <v>1</v>
      </c>
      <c r="AM59" s="22">
        <v>0</v>
      </c>
      <c r="AN59" s="22">
        <v>0</v>
      </c>
      <c r="AO59" s="22">
        <v>0</v>
      </c>
      <c r="AP59" s="22">
        <v>0</v>
      </c>
    </row>
    <row r="60" spans="1:42" x14ac:dyDescent="0.25">
      <c r="A60" s="20" t="s">
        <v>34</v>
      </c>
      <c r="B60" s="21">
        <v>9</v>
      </c>
      <c r="C60" s="21">
        <v>0</v>
      </c>
      <c r="D60" s="21">
        <v>78</v>
      </c>
      <c r="E60" s="21">
        <v>32</v>
      </c>
      <c r="F60" s="21">
        <v>259</v>
      </c>
      <c r="G60" s="22">
        <v>5.2545539467538531E-5</v>
      </c>
      <c r="H60" s="22">
        <v>0</v>
      </c>
      <c r="I60" s="22">
        <v>4.503152206544581E-4</v>
      </c>
      <c r="J60" s="22">
        <v>1.841599429104177E-4</v>
      </c>
      <c r="K60" s="22">
        <v>1.4822106112544996E-3</v>
      </c>
      <c r="L60" s="21">
        <v>9</v>
      </c>
      <c r="M60" s="21">
        <v>0</v>
      </c>
      <c r="N60" s="21">
        <v>78</v>
      </c>
      <c r="O60" s="21">
        <v>32</v>
      </c>
      <c r="P60" s="21">
        <v>257</v>
      </c>
      <c r="Q60" s="22">
        <v>1</v>
      </c>
      <c r="R60" s="22">
        <v>0</v>
      </c>
      <c r="S60" s="22">
        <v>1</v>
      </c>
      <c r="T60" s="22">
        <v>1</v>
      </c>
      <c r="U60" s="22">
        <v>0.99227799227799229</v>
      </c>
      <c r="V60" s="21"/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</row>
    <row r="61" spans="1:42" x14ac:dyDescent="0.25">
      <c r="A61" s="20" t="s">
        <v>35</v>
      </c>
      <c r="B61" s="21">
        <v>6283</v>
      </c>
      <c r="C61" s="21">
        <v>6583</v>
      </c>
      <c r="D61" s="21">
        <v>6786</v>
      </c>
      <c r="E61" s="21">
        <v>7089</v>
      </c>
      <c r="F61" s="21">
        <v>6912</v>
      </c>
      <c r="G61" s="22">
        <v>3.6682624941616067E-2</v>
      </c>
      <c r="H61" s="22">
        <v>3.8258130506543926E-2</v>
      </c>
      <c r="I61" s="22">
        <v>3.9177424196937857E-2</v>
      </c>
      <c r="J61" s="22">
        <v>4.0797182352873468E-2</v>
      </c>
      <c r="K61" s="22">
        <v>3.9556138011548655E-2</v>
      </c>
      <c r="L61" s="21">
        <v>6001</v>
      </c>
      <c r="M61" s="21">
        <v>6309</v>
      </c>
      <c r="N61" s="21">
        <v>6525</v>
      </c>
      <c r="O61" s="21">
        <v>6835</v>
      </c>
      <c r="P61" s="21">
        <v>6666</v>
      </c>
      <c r="Q61" s="22">
        <v>0.95511698233328024</v>
      </c>
      <c r="R61" s="22">
        <v>0.95837763937414555</v>
      </c>
      <c r="S61" s="22">
        <v>0.96153846153846156</v>
      </c>
      <c r="T61" s="22">
        <v>0.96416984059810973</v>
      </c>
      <c r="U61" s="22">
        <v>0.96440972222222221</v>
      </c>
      <c r="V61" s="21"/>
      <c r="W61" s="21">
        <v>5611</v>
      </c>
      <c r="X61" s="21">
        <v>5420</v>
      </c>
      <c r="Y61" s="21">
        <v>5359</v>
      </c>
      <c r="Z61" s="21">
        <v>5555</v>
      </c>
      <c r="AA61" s="21">
        <v>6583</v>
      </c>
      <c r="AB61" s="22">
        <v>3.5421190848947022E-2</v>
      </c>
      <c r="AC61" s="22">
        <v>3.3714015575626387E-2</v>
      </c>
      <c r="AD61" s="22">
        <v>3.2621531793666836E-2</v>
      </c>
      <c r="AE61" s="22">
        <v>3.3071972470782952E-2</v>
      </c>
      <c r="AF61" s="22">
        <v>3.8258130506543926E-2</v>
      </c>
      <c r="AG61" s="21">
        <v>5335</v>
      </c>
      <c r="AH61" s="21">
        <v>5012</v>
      </c>
      <c r="AI61" s="21">
        <v>4892</v>
      </c>
      <c r="AJ61" s="21">
        <v>5211</v>
      </c>
      <c r="AK61" s="21">
        <v>6309</v>
      </c>
      <c r="AL61" s="22">
        <v>0.95081090714667615</v>
      </c>
      <c r="AM61" s="22">
        <v>0.92472324723247235</v>
      </c>
      <c r="AN61" s="22">
        <v>0.91285687628288859</v>
      </c>
      <c r="AO61" s="22">
        <v>0.93807380738073809</v>
      </c>
      <c r="AP61" s="22">
        <v>0.95837763937414555</v>
      </c>
    </row>
    <row r="62" spans="1:42" x14ac:dyDescent="0.25">
      <c r="A62" s="20" t="s">
        <v>45</v>
      </c>
      <c r="B62" s="21">
        <v>0</v>
      </c>
      <c r="C62" s="21">
        <v>1</v>
      </c>
      <c r="D62" s="21">
        <v>0</v>
      </c>
      <c r="E62" s="21">
        <v>0</v>
      </c>
      <c r="F62" s="21">
        <v>1</v>
      </c>
      <c r="G62" s="22">
        <v>0</v>
      </c>
      <c r="H62" s="22">
        <v>5.8116558569867728E-6</v>
      </c>
      <c r="I62" s="22">
        <v>0</v>
      </c>
      <c r="J62" s="22">
        <v>0</v>
      </c>
      <c r="K62" s="22">
        <v>5.7228208928745154E-6</v>
      </c>
      <c r="L62" s="21">
        <v>0</v>
      </c>
      <c r="M62" s="21">
        <v>1</v>
      </c>
      <c r="N62" s="21">
        <v>0</v>
      </c>
      <c r="O62" s="21">
        <v>0</v>
      </c>
      <c r="P62" s="21">
        <v>1</v>
      </c>
      <c r="Q62" s="22">
        <v>0</v>
      </c>
      <c r="R62" s="22">
        <v>1</v>
      </c>
      <c r="S62" s="22">
        <v>0</v>
      </c>
      <c r="T62" s="22">
        <v>0</v>
      </c>
      <c r="U62" s="22">
        <v>1</v>
      </c>
      <c r="V62" s="21"/>
      <c r="W62" s="21">
        <v>0</v>
      </c>
      <c r="X62" s="21">
        <v>0</v>
      </c>
      <c r="Y62" s="21">
        <v>0</v>
      </c>
      <c r="Z62" s="21">
        <v>0</v>
      </c>
      <c r="AA62" s="21">
        <v>1</v>
      </c>
      <c r="AB62" s="22">
        <v>0</v>
      </c>
      <c r="AC62" s="22">
        <v>0</v>
      </c>
      <c r="AD62" s="22">
        <v>0</v>
      </c>
      <c r="AE62" s="22">
        <v>0</v>
      </c>
      <c r="AF62" s="22">
        <v>5.8116558569867728E-6</v>
      </c>
      <c r="AG62" s="21">
        <v>0</v>
      </c>
      <c r="AH62" s="21">
        <v>0</v>
      </c>
      <c r="AI62" s="21">
        <v>0</v>
      </c>
      <c r="AJ62" s="21">
        <v>0</v>
      </c>
      <c r="AK62" s="21">
        <v>1</v>
      </c>
      <c r="AL62" s="22">
        <v>0</v>
      </c>
      <c r="AM62" s="22">
        <v>0</v>
      </c>
      <c r="AN62" s="22">
        <v>0</v>
      </c>
      <c r="AO62" s="22">
        <v>0</v>
      </c>
      <c r="AP62" s="22">
        <v>1</v>
      </c>
    </row>
    <row r="63" spans="1:42" x14ac:dyDescent="0.25">
      <c r="A63" s="20" t="s">
        <v>48</v>
      </c>
      <c r="B63" s="21">
        <v>12326</v>
      </c>
      <c r="C63" s="21">
        <v>13445</v>
      </c>
      <c r="D63" s="21">
        <v>16014</v>
      </c>
      <c r="E63" s="21">
        <v>18862</v>
      </c>
      <c r="F63" s="21">
        <v>21515</v>
      </c>
      <c r="G63" s="22">
        <v>7.1964035497431106E-2</v>
      </c>
      <c r="H63" s="22">
        <v>7.8137712997187164E-2</v>
      </c>
      <c r="I63" s="22">
        <v>9.2453178763596058E-2</v>
      </c>
      <c r="J63" s="22">
        <v>0.10855077634925933</v>
      </c>
      <c r="K63" s="22">
        <v>0.12312649151019521</v>
      </c>
      <c r="L63" s="21">
        <v>11706</v>
      </c>
      <c r="M63" s="21">
        <v>12768</v>
      </c>
      <c r="N63" s="21">
        <v>15317</v>
      </c>
      <c r="O63" s="21">
        <v>18047</v>
      </c>
      <c r="P63" s="21">
        <v>20593</v>
      </c>
      <c r="Q63" s="22">
        <v>0.9496998215154957</v>
      </c>
      <c r="R63" s="22">
        <v>0.9496467088136854</v>
      </c>
      <c r="S63" s="22">
        <v>0.95647558386411891</v>
      </c>
      <c r="T63" s="22">
        <v>0.95679143250980803</v>
      </c>
      <c r="U63" s="22">
        <v>0.95714617708575411</v>
      </c>
      <c r="V63" s="21"/>
      <c r="W63" s="21">
        <v>17</v>
      </c>
      <c r="X63" s="21">
        <v>2104</v>
      </c>
      <c r="Y63" s="21">
        <v>6671</v>
      </c>
      <c r="Z63" s="21">
        <v>10037</v>
      </c>
      <c r="AA63" s="21">
        <v>13445</v>
      </c>
      <c r="AB63" s="22">
        <v>1.0731781223170547E-4</v>
      </c>
      <c r="AC63" s="22">
        <v>1.3087507153342788E-2</v>
      </c>
      <c r="AD63" s="22">
        <v>4.0607993766663825E-2</v>
      </c>
      <c r="AE63" s="22">
        <v>5.975578536260099E-2</v>
      </c>
      <c r="AF63" s="22">
        <v>7.8137712997187164E-2</v>
      </c>
      <c r="AG63" s="21">
        <v>0</v>
      </c>
      <c r="AH63" s="21">
        <v>2047</v>
      </c>
      <c r="AI63" s="21">
        <v>6542</v>
      </c>
      <c r="AJ63" s="21">
        <v>9704</v>
      </c>
      <c r="AK63" s="21">
        <v>12768</v>
      </c>
      <c r="AL63" s="22">
        <v>0</v>
      </c>
      <c r="AM63" s="22">
        <v>0.97290874524714832</v>
      </c>
      <c r="AN63" s="22">
        <v>0.98066256932993556</v>
      </c>
      <c r="AO63" s="22">
        <v>0.96682275580352695</v>
      </c>
      <c r="AP63" s="22">
        <v>0.9496467088136854</v>
      </c>
    </row>
    <row r="64" spans="1:42" x14ac:dyDescent="0.25">
      <c r="A64" s="20" t="s">
        <v>57</v>
      </c>
      <c r="B64" s="21">
        <v>4</v>
      </c>
      <c r="C64" s="21">
        <v>4</v>
      </c>
      <c r="D64" s="21">
        <v>4</v>
      </c>
      <c r="E64" s="21">
        <v>4</v>
      </c>
      <c r="F64" s="21">
        <v>4</v>
      </c>
      <c r="G64" s="22">
        <v>2.3353573096683792E-5</v>
      </c>
      <c r="H64" s="22">
        <v>2.3246623427947091E-5</v>
      </c>
      <c r="I64" s="22">
        <v>2.3093088238690159E-5</v>
      </c>
      <c r="J64" s="22">
        <v>2.3019992863802212E-5</v>
      </c>
      <c r="K64" s="22">
        <v>2.2891283571498062E-5</v>
      </c>
      <c r="L64" s="21">
        <v>4</v>
      </c>
      <c r="M64" s="21">
        <v>4</v>
      </c>
      <c r="N64" s="21">
        <v>4</v>
      </c>
      <c r="O64" s="21">
        <v>4</v>
      </c>
      <c r="P64" s="21">
        <v>4</v>
      </c>
      <c r="Q64" s="22">
        <v>1</v>
      </c>
      <c r="R64" s="22">
        <v>1</v>
      </c>
      <c r="S64" s="22">
        <v>1</v>
      </c>
      <c r="T64" s="22">
        <v>1</v>
      </c>
      <c r="U64" s="22">
        <v>1</v>
      </c>
      <c r="V64" s="21"/>
      <c r="W64" s="21">
        <v>5</v>
      </c>
      <c r="X64" s="21">
        <v>5</v>
      </c>
      <c r="Y64" s="21">
        <v>5</v>
      </c>
      <c r="Z64" s="21">
        <v>4</v>
      </c>
      <c r="AA64" s="21">
        <v>4</v>
      </c>
      <c r="AB64" s="22">
        <v>3.1564062421089847E-5</v>
      </c>
      <c r="AC64" s="22">
        <v>3.1101490383419174E-5</v>
      </c>
      <c r="AD64" s="22">
        <v>3.04362117873361E-5</v>
      </c>
      <c r="AE64" s="22">
        <v>2.3814201599123638E-5</v>
      </c>
      <c r="AF64" s="22">
        <v>2.3246623427947091E-5</v>
      </c>
      <c r="AG64" s="21">
        <v>5</v>
      </c>
      <c r="AH64" s="21">
        <v>5</v>
      </c>
      <c r="AI64" s="21">
        <v>5</v>
      </c>
      <c r="AJ64" s="21">
        <v>4</v>
      </c>
      <c r="AK64" s="21">
        <v>4</v>
      </c>
      <c r="AL64" s="22">
        <v>1</v>
      </c>
      <c r="AM64" s="22">
        <v>1</v>
      </c>
      <c r="AN64" s="22">
        <v>1</v>
      </c>
      <c r="AO64" s="22">
        <v>1</v>
      </c>
      <c r="AP64" s="22">
        <v>1</v>
      </c>
    </row>
    <row r="65" spans="1:42" x14ac:dyDescent="0.25">
      <c r="A65" s="20" t="s">
        <v>60</v>
      </c>
      <c r="B65" s="21">
        <v>45</v>
      </c>
      <c r="C65" s="21">
        <v>48</v>
      </c>
      <c r="D65" s="21">
        <v>47</v>
      </c>
      <c r="E65" s="21">
        <v>45</v>
      </c>
      <c r="F65" s="21">
        <v>40</v>
      </c>
      <c r="G65" s="22">
        <v>2.6272769733769267E-4</v>
      </c>
      <c r="H65" s="22">
        <v>2.7895948113536507E-4</v>
      </c>
      <c r="I65" s="22">
        <v>2.7134378680460937E-4</v>
      </c>
      <c r="J65" s="22">
        <v>2.589749197177749E-4</v>
      </c>
      <c r="K65" s="22">
        <v>2.2891283571498062E-4</v>
      </c>
      <c r="L65" s="21">
        <v>45</v>
      </c>
      <c r="M65" s="21">
        <v>48</v>
      </c>
      <c r="N65" s="21">
        <v>47</v>
      </c>
      <c r="O65" s="21">
        <v>45</v>
      </c>
      <c r="P65" s="21">
        <v>40</v>
      </c>
      <c r="Q65" s="22">
        <v>1</v>
      </c>
      <c r="R65" s="22">
        <v>1</v>
      </c>
      <c r="S65" s="22">
        <v>1</v>
      </c>
      <c r="T65" s="22">
        <v>1</v>
      </c>
      <c r="U65" s="22">
        <v>1</v>
      </c>
      <c r="V65" s="21"/>
      <c r="W65" s="21">
        <v>0</v>
      </c>
      <c r="X65" s="21">
        <v>0</v>
      </c>
      <c r="Y65" s="21">
        <v>0</v>
      </c>
      <c r="Z65" s="21">
        <v>22</v>
      </c>
      <c r="AA65" s="21">
        <v>48</v>
      </c>
      <c r="AB65" s="22">
        <v>0</v>
      </c>
      <c r="AC65" s="22">
        <v>0</v>
      </c>
      <c r="AD65" s="22">
        <v>0</v>
      </c>
      <c r="AE65" s="22">
        <v>1.3097810879518E-4</v>
      </c>
      <c r="AF65" s="22">
        <v>2.7895948113536507E-4</v>
      </c>
      <c r="AG65" s="21">
        <v>0</v>
      </c>
      <c r="AH65" s="21">
        <v>0</v>
      </c>
      <c r="AI65" s="21">
        <v>0</v>
      </c>
      <c r="AJ65" s="21">
        <v>22</v>
      </c>
      <c r="AK65" s="21">
        <v>48</v>
      </c>
      <c r="AL65" s="22">
        <v>0</v>
      </c>
      <c r="AM65" s="22">
        <v>0</v>
      </c>
      <c r="AN65" s="22">
        <v>0</v>
      </c>
      <c r="AO65" s="22">
        <v>1</v>
      </c>
      <c r="AP65" s="22">
        <v>1</v>
      </c>
    </row>
    <row r="66" spans="1:42" x14ac:dyDescent="0.25">
      <c r="A66" s="28" t="s">
        <v>70</v>
      </c>
      <c r="B66" s="29">
        <v>171280</v>
      </c>
      <c r="C66" s="29">
        <v>172068</v>
      </c>
      <c r="D66" s="29">
        <v>173212</v>
      </c>
      <c r="E66" s="29">
        <v>173762</v>
      </c>
      <c r="F66" s="29">
        <v>174739</v>
      </c>
      <c r="G66" s="24">
        <v>1</v>
      </c>
      <c r="H66" s="24">
        <v>1</v>
      </c>
      <c r="I66" s="24">
        <v>1</v>
      </c>
      <c r="J66" s="24">
        <v>1</v>
      </c>
      <c r="K66" s="24">
        <v>1</v>
      </c>
      <c r="L66" s="29">
        <v>55998</v>
      </c>
      <c r="M66" s="29">
        <v>67199</v>
      </c>
      <c r="N66" s="29">
        <v>81763</v>
      </c>
      <c r="O66" s="29">
        <v>87100</v>
      </c>
      <c r="P66" s="29">
        <v>78772</v>
      </c>
      <c r="Q66" s="24">
        <v>0.32693834656702475</v>
      </c>
      <c r="R66" s="24">
        <v>0.39053746193365413</v>
      </c>
      <c r="S66" s="24">
        <v>0.47204004341500588</v>
      </c>
      <c r="T66" s="24">
        <v>0.50126034460929314</v>
      </c>
      <c r="U66" s="24">
        <v>0.45079804737351137</v>
      </c>
      <c r="V66" s="29"/>
      <c r="W66" s="29">
        <v>158408</v>
      </c>
      <c r="X66" s="29">
        <v>160764</v>
      </c>
      <c r="Y66" s="29">
        <v>164278</v>
      </c>
      <c r="Z66" s="29">
        <v>167967</v>
      </c>
      <c r="AA66" s="29">
        <v>172068</v>
      </c>
      <c r="AB66" s="24">
        <v>1</v>
      </c>
      <c r="AC66" s="24">
        <v>1</v>
      </c>
      <c r="AD66" s="24">
        <v>1</v>
      </c>
      <c r="AE66" s="24">
        <v>1</v>
      </c>
      <c r="AF66" s="24">
        <v>1</v>
      </c>
      <c r="AG66" s="29">
        <v>29496</v>
      </c>
      <c r="AH66" s="29">
        <v>39844</v>
      </c>
      <c r="AI66" s="29">
        <v>39815</v>
      </c>
      <c r="AJ66" s="29">
        <v>34733</v>
      </c>
      <c r="AK66" s="29">
        <v>67199</v>
      </c>
      <c r="AL66" s="24">
        <v>0.1862027170344932</v>
      </c>
      <c r="AM66" s="24">
        <v>0.24784155656739071</v>
      </c>
      <c r="AN66" s="24">
        <v>0.24236355446255736</v>
      </c>
      <c r="AO66" s="24">
        <v>0.20678466603559031</v>
      </c>
      <c r="AP66" s="24">
        <v>0.39053746193365413</v>
      </c>
    </row>
    <row r="67" spans="1:42" x14ac:dyDescent="0.25">
      <c r="A67" s="20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2"/>
      <c r="AC67" s="22"/>
      <c r="AD67" s="22"/>
      <c r="AE67" s="22"/>
      <c r="AF67" s="22"/>
      <c r="AG67" s="21"/>
      <c r="AH67" s="21"/>
      <c r="AI67" s="21"/>
      <c r="AJ67" s="21"/>
      <c r="AK67" s="21"/>
      <c r="AL67" s="22"/>
      <c r="AM67" s="22"/>
      <c r="AN67" s="22"/>
      <c r="AO67" s="22"/>
      <c r="AP67" s="22"/>
    </row>
    <row r="68" spans="1:42" x14ac:dyDescent="0.25">
      <c r="A68" s="30" t="s">
        <v>71</v>
      </c>
      <c r="B68" s="27" t="s">
        <v>12</v>
      </c>
      <c r="C68" s="27" t="s">
        <v>13</v>
      </c>
      <c r="D68" s="27" t="s">
        <v>14</v>
      </c>
      <c r="E68" s="27" t="s">
        <v>15</v>
      </c>
      <c r="F68" s="27" t="s">
        <v>16</v>
      </c>
      <c r="G68" s="27" t="s">
        <v>12</v>
      </c>
      <c r="H68" s="27" t="s">
        <v>13</v>
      </c>
      <c r="I68" s="27" t="s">
        <v>14</v>
      </c>
      <c r="J68" s="27" t="s">
        <v>15</v>
      </c>
      <c r="K68" s="27" t="s">
        <v>16</v>
      </c>
      <c r="L68" s="27" t="s">
        <v>12</v>
      </c>
      <c r="M68" s="27" t="s">
        <v>13</v>
      </c>
      <c r="N68" s="27" t="s">
        <v>14</v>
      </c>
      <c r="O68" s="27" t="s">
        <v>15</v>
      </c>
      <c r="P68" s="27" t="s">
        <v>16</v>
      </c>
      <c r="Q68" s="27" t="s">
        <v>12</v>
      </c>
      <c r="R68" s="27" t="s">
        <v>13</v>
      </c>
      <c r="S68" s="27" t="s">
        <v>14</v>
      </c>
      <c r="T68" s="27" t="s">
        <v>15</v>
      </c>
      <c r="U68" s="27" t="s">
        <v>16</v>
      </c>
      <c r="V68" s="27"/>
      <c r="W68" s="27" t="s">
        <v>17</v>
      </c>
      <c r="X68" s="27" t="s">
        <v>18</v>
      </c>
      <c r="Y68" s="27" t="s">
        <v>19</v>
      </c>
      <c r="Z68" s="27" t="s">
        <v>20</v>
      </c>
      <c r="AA68" s="27" t="s">
        <v>21</v>
      </c>
      <c r="AB68" s="27" t="s">
        <v>17</v>
      </c>
      <c r="AC68" s="27" t="s">
        <v>18</v>
      </c>
      <c r="AD68" s="27" t="s">
        <v>19</v>
      </c>
      <c r="AE68" s="27" t="s">
        <v>20</v>
      </c>
      <c r="AF68" s="27" t="s">
        <v>21</v>
      </c>
      <c r="AG68" s="27" t="s">
        <v>17</v>
      </c>
      <c r="AH68" s="27" t="s">
        <v>18</v>
      </c>
      <c r="AI68" s="27" t="s">
        <v>19</v>
      </c>
      <c r="AJ68" s="27" t="s">
        <v>20</v>
      </c>
      <c r="AK68" s="27" t="s">
        <v>21</v>
      </c>
      <c r="AL68" s="27" t="s">
        <v>17</v>
      </c>
      <c r="AM68" s="27" t="s">
        <v>18</v>
      </c>
      <c r="AN68" s="27" t="s">
        <v>19</v>
      </c>
      <c r="AO68" s="27" t="s">
        <v>20</v>
      </c>
      <c r="AP68" s="27" t="s">
        <v>21</v>
      </c>
    </row>
    <row r="69" spans="1:42" x14ac:dyDescent="0.25">
      <c r="A69" s="20" t="s">
        <v>22</v>
      </c>
      <c r="B69" s="21">
        <v>9561</v>
      </c>
      <c r="C69" s="21">
        <v>9993</v>
      </c>
      <c r="D69" s="21">
        <v>10034</v>
      </c>
      <c r="E69" s="21">
        <v>9645</v>
      </c>
      <c r="F69" s="21">
        <v>8875</v>
      </c>
      <c r="G69" s="22">
        <v>3.0575563150322337E-3</v>
      </c>
      <c r="H69" s="22">
        <v>3.1828804160008461E-3</v>
      </c>
      <c r="I69" s="22">
        <v>3.1738972415182704E-3</v>
      </c>
      <c r="J69" s="22">
        <v>3.0341428365602101E-3</v>
      </c>
      <c r="K69" s="22">
        <v>2.7886084011423395E-3</v>
      </c>
      <c r="L69" s="21">
        <v>9201</v>
      </c>
      <c r="M69" s="21">
        <v>9585</v>
      </c>
      <c r="N69" s="21">
        <v>9590</v>
      </c>
      <c r="O69" s="21">
        <v>9194</v>
      </c>
      <c r="P69" s="21">
        <v>8399</v>
      </c>
      <c r="Q69" s="22">
        <v>0.96234703482899275</v>
      </c>
      <c r="R69" s="22">
        <v>0.9591714199939958</v>
      </c>
      <c r="S69" s="22">
        <v>0.95575044847518442</v>
      </c>
      <c r="T69" s="22">
        <v>0.95324002073613268</v>
      </c>
      <c r="U69" s="22">
        <v>0.94636619718309856</v>
      </c>
      <c r="V69" s="21"/>
      <c r="W69" s="21">
        <v>0</v>
      </c>
      <c r="X69" s="21">
        <v>0</v>
      </c>
      <c r="Y69" s="21">
        <v>4078</v>
      </c>
      <c r="Z69" s="21">
        <v>9482</v>
      </c>
      <c r="AA69" s="21">
        <v>9993</v>
      </c>
      <c r="AB69" s="22">
        <v>0</v>
      </c>
      <c r="AC69" s="22">
        <v>0</v>
      </c>
      <c r="AD69" s="22">
        <v>1.3390300667741918E-3</v>
      </c>
      <c r="AE69" s="22">
        <v>3.0751019547750509E-3</v>
      </c>
      <c r="AF69" s="22">
        <v>3.1828804160008461E-3</v>
      </c>
      <c r="AG69" s="21">
        <v>0</v>
      </c>
      <c r="AH69" s="21">
        <v>0</v>
      </c>
      <c r="AI69" s="21">
        <v>4078</v>
      </c>
      <c r="AJ69" s="21">
        <v>9468</v>
      </c>
      <c r="AK69" s="21">
        <v>9585</v>
      </c>
      <c r="AL69" s="22">
        <v>0</v>
      </c>
      <c r="AM69" s="22">
        <v>0</v>
      </c>
      <c r="AN69" s="22">
        <v>1</v>
      </c>
      <c r="AO69" s="22">
        <v>0.998523518245096</v>
      </c>
      <c r="AP69" s="22">
        <v>0.9591714199939958</v>
      </c>
    </row>
    <row r="70" spans="1:42" x14ac:dyDescent="0.25">
      <c r="A70" s="20" t="s">
        <v>23</v>
      </c>
      <c r="B70" s="21">
        <v>28705</v>
      </c>
      <c r="C70" s="21">
        <v>28592</v>
      </c>
      <c r="D70" s="21">
        <v>28461</v>
      </c>
      <c r="E70" s="21">
        <v>27984</v>
      </c>
      <c r="F70" s="21">
        <v>27670</v>
      </c>
      <c r="G70" s="22">
        <v>9.1797044266290415E-3</v>
      </c>
      <c r="H70" s="22">
        <v>9.1068664919740014E-3</v>
      </c>
      <c r="I70" s="22">
        <v>9.0026200309798188E-3</v>
      </c>
      <c r="J70" s="22">
        <v>8.8032610822499652E-3</v>
      </c>
      <c r="K70" s="22">
        <v>8.6941740236178636E-3</v>
      </c>
      <c r="L70" s="21">
        <v>23158</v>
      </c>
      <c r="M70" s="21">
        <v>23918</v>
      </c>
      <c r="N70" s="21">
        <v>24476</v>
      </c>
      <c r="O70" s="21">
        <v>24774</v>
      </c>
      <c r="P70" s="21">
        <v>17617</v>
      </c>
      <c r="Q70" s="22">
        <v>0.80675840445915348</v>
      </c>
      <c r="R70" s="22">
        <v>0.83652770005595967</v>
      </c>
      <c r="S70" s="22">
        <v>0.85998383753206142</v>
      </c>
      <c r="T70" s="22">
        <v>0.88529159519725553</v>
      </c>
      <c r="U70" s="22">
        <v>0.63668232743043007</v>
      </c>
      <c r="V70" s="21"/>
      <c r="W70" s="21">
        <v>27333</v>
      </c>
      <c r="X70" s="21">
        <v>29243</v>
      </c>
      <c r="Y70" s="21">
        <v>29040</v>
      </c>
      <c r="Z70" s="21">
        <v>28218</v>
      </c>
      <c r="AA70" s="21">
        <v>28592</v>
      </c>
      <c r="AB70" s="22">
        <v>9.0404812328897157E-3</v>
      </c>
      <c r="AC70" s="22">
        <v>9.7211926187682207E-3</v>
      </c>
      <c r="AD70" s="22">
        <v>9.5354176407853198E-3</v>
      </c>
      <c r="AE70" s="22">
        <v>9.1513633157395465E-3</v>
      </c>
      <c r="AF70" s="22">
        <v>9.1068664919740014E-3</v>
      </c>
      <c r="AG70" s="21">
        <v>17634</v>
      </c>
      <c r="AH70" s="21">
        <v>19194</v>
      </c>
      <c r="AI70" s="21">
        <v>19044</v>
      </c>
      <c r="AJ70" s="21">
        <v>14927</v>
      </c>
      <c r="AK70" s="21">
        <v>23918</v>
      </c>
      <c r="AL70" s="22">
        <v>0.64515420919767319</v>
      </c>
      <c r="AM70" s="22">
        <v>0.65636220633997877</v>
      </c>
      <c r="AN70" s="22">
        <v>0.65578512396694211</v>
      </c>
      <c r="AO70" s="22">
        <v>0.52898858884400024</v>
      </c>
      <c r="AP70" s="22">
        <v>0.83652770005595967</v>
      </c>
    </row>
    <row r="71" spans="1:42" x14ac:dyDescent="0.25">
      <c r="A71" s="20" t="s">
        <v>24</v>
      </c>
      <c r="B71" s="21">
        <v>746733</v>
      </c>
      <c r="C71" s="21">
        <v>742043</v>
      </c>
      <c r="D71" s="21">
        <v>742930</v>
      </c>
      <c r="E71" s="21">
        <v>742921</v>
      </c>
      <c r="F71" s="21">
        <v>747957</v>
      </c>
      <c r="G71" s="22">
        <v>0.23880119232224295</v>
      </c>
      <c r="H71" s="22">
        <v>0.23634885745326886</v>
      </c>
      <c r="I71" s="22">
        <v>0.23499934997420457</v>
      </c>
      <c r="J71" s="22">
        <v>0.23370953139244663</v>
      </c>
      <c r="K71" s="22">
        <v>0.23501511818515167</v>
      </c>
      <c r="L71" s="21">
        <v>708519</v>
      </c>
      <c r="M71" s="21">
        <v>706684</v>
      </c>
      <c r="N71" s="21">
        <v>708034</v>
      </c>
      <c r="O71" s="21">
        <v>705648</v>
      </c>
      <c r="P71" s="21">
        <v>708001</v>
      </c>
      <c r="Q71" s="22">
        <v>0.9488250820574422</v>
      </c>
      <c r="R71" s="22">
        <v>0.95234912262496918</v>
      </c>
      <c r="S71" s="22">
        <v>0.953029222133983</v>
      </c>
      <c r="T71" s="22">
        <v>0.94982912045829904</v>
      </c>
      <c r="U71" s="22">
        <v>0.94657981675417169</v>
      </c>
      <c r="V71" s="21"/>
      <c r="W71" s="21">
        <v>716998</v>
      </c>
      <c r="X71" s="21">
        <v>709348</v>
      </c>
      <c r="Y71" s="21">
        <v>720909</v>
      </c>
      <c r="Z71" s="21">
        <v>727458</v>
      </c>
      <c r="AA71" s="21">
        <v>742043</v>
      </c>
      <c r="AB71" s="22">
        <v>0.23714948827495921</v>
      </c>
      <c r="AC71" s="22">
        <v>0.2358071518564443</v>
      </c>
      <c r="AD71" s="22">
        <v>0.23671378774107796</v>
      </c>
      <c r="AE71" s="22">
        <v>0.23592148468854135</v>
      </c>
      <c r="AF71" s="22">
        <v>0.23634885745326886</v>
      </c>
      <c r="AG71" s="21">
        <v>698198</v>
      </c>
      <c r="AH71" s="21">
        <v>671155</v>
      </c>
      <c r="AI71" s="21">
        <v>671844</v>
      </c>
      <c r="AJ71" s="21">
        <v>685862</v>
      </c>
      <c r="AK71" s="21">
        <v>706684</v>
      </c>
      <c r="AL71" s="22">
        <v>0.97377956423867296</v>
      </c>
      <c r="AM71" s="22">
        <v>0.94615759824514911</v>
      </c>
      <c r="AN71" s="22">
        <v>0.93194009230013775</v>
      </c>
      <c r="AO71" s="22">
        <v>0.94282006658803674</v>
      </c>
      <c r="AP71" s="22">
        <v>0.95234912262496918</v>
      </c>
    </row>
    <row r="72" spans="1:42" x14ac:dyDescent="0.25">
      <c r="A72" s="20" t="s">
        <v>25</v>
      </c>
      <c r="B72" s="21">
        <v>54216</v>
      </c>
      <c r="C72" s="21">
        <v>66116</v>
      </c>
      <c r="D72" s="21">
        <v>73482</v>
      </c>
      <c r="E72" s="21">
        <v>80975</v>
      </c>
      <c r="F72" s="21">
        <v>81399</v>
      </c>
      <c r="G72" s="22">
        <v>1.7337984852608262E-2</v>
      </c>
      <c r="H72" s="22">
        <v>2.1058673229691977E-2</v>
      </c>
      <c r="I72" s="22">
        <v>2.3243404136061945E-2</v>
      </c>
      <c r="J72" s="22">
        <v>2.5473272803573147E-2</v>
      </c>
      <c r="K72" s="22">
        <v>2.5576330731784259E-2</v>
      </c>
      <c r="L72" s="21">
        <v>53590</v>
      </c>
      <c r="M72" s="21">
        <v>65659</v>
      </c>
      <c r="N72" s="21">
        <v>72634</v>
      </c>
      <c r="O72" s="21">
        <v>79833</v>
      </c>
      <c r="P72" s="21">
        <v>79249</v>
      </c>
      <c r="Q72" s="22">
        <v>0.98845359303526636</v>
      </c>
      <c r="R72" s="22">
        <v>0.99308790610442255</v>
      </c>
      <c r="S72" s="22">
        <v>0.98845975885250814</v>
      </c>
      <c r="T72" s="22">
        <v>0.98589688175362766</v>
      </c>
      <c r="U72" s="22">
        <v>0.97358689910195462</v>
      </c>
      <c r="V72" s="21"/>
      <c r="W72" s="21">
        <v>0</v>
      </c>
      <c r="X72" s="21">
        <v>0</v>
      </c>
      <c r="Y72" s="21">
        <v>7824</v>
      </c>
      <c r="Z72" s="21">
        <v>28710</v>
      </c>
      <c r="AA72" s="21">
        <v>66116</v>
      </c>
      <c r="AB72" s="22">
        <v>0</v>
      </c>
      <c r="AC72" s="22">
        <v>0</v>
      </c>
      <c r="AD72" s="22">
        <v>2.5690464056991854E-3</v>
      </c>
      <c r="AE72" s="22">
        <v>9.3109235521611176E-3</v>
      </c>
      <c r="AF72" s="22">
        <v>2.1058673229691977E-2</v>
      </c>
      <c r="AG72" s="21">
        <v>0</v>
      </c>
      <c r="AH72" s="21">
        <v>0</v>
      </c>
      <c r="AI72" s="21">
        <v>7762</v>
      </c>
      <c r="AJ72" s="21">
        <v>28685</v>
      </c>
      <c r="AK72" s="21">
        <v>65659</v>
      </c>
      <c r="AL72" s="22">
        <v>0</v>
      </c>
      <c r="AM72" s="22">
        <v>0</v>
      </c>
      <c r="AN72" s="22">
        <v>0.99207566462167684</v>
      </c>
      <c r="AO72" s="22">
        <v>0.99912922326715425</v>
      </c>
      <c r="AP72" s="22">
        <v>0.99308790610442255</v>
      </c>
    </row>
    <row r="73" spans="1:42" x14ac:dyDescent="0.25">
      <c r="A73" s="20" t="s">
        <v>26</v>
      </c>
      <c r="B73" s="21">
        <v>41648</v>
      </c>
      <c r="C73" s="21">
        <v>45624</v>
      </c>
      <c r="D73" s="21">
        <v>47271</v>
      </c>
      <c r="E73" s="21">
        <v>47693</v>
      </c>
      <c r="F73" s="21">
        <v>50604</v>
      </c>
      <c r="G73" s="22">
        <v>1.3318806129951101E-2</v>
      </c>
      <c r="H73" s="22">
        <v>1.4531745832044691E-2</v>
      </c>
      <c r="I73" s="22">
        <v>1.4952491180367766E-2</v>
      </c>
      <c r="J73" s="22">
        <v>1.5003356589327745E-2</v>
      </c>
      <c r="K73" s="22">
        <v>1.590025234156698E-2</v>
      </c>
      <c r="L73" s="21">
        <v>41007</v>
      </c>
      <c r="M73" s="21">
        <v>44841</v>
      </c>
      <c r="N73" s="21">
        <v>46419</v>
      </c>
      <c r="O73" s="21">
        <v>46755</v>
      </c>
      <c r="P73" s="21">
        <v>49054</v>
      </c>
      <c r="Q73" s="22">
        <v>0.98460910487898579</v>
      </c>
      <c r="R73" s="22">
        <v>0.98283798001052081</v>
      </c>
      <c r="S73" s="22">
        <v>0.98197626451735731</v>
      </c>
      <c r="T73" s="22">
        <v>0.98033254355985155</v>
      </c>
      <c r="U73" s="22">
        <v>0.96937001027586756</v>
      </c>
      <c r="V73" s="21"/>
      <c r="W73" s="21">
        <v>15208</v>
      </c>
      <c r="X73" s="21">
        <v>21410</v>
      </c>
      <c r="Y73" s="21">
        <v>25415</v>
      </c>
      <c r="Z73" s="21">
        <v>33454</v>
      </c>
      <c r="AA73" s="21">
        <v>45624</v>
      </c>
      <c r="AB73" s="22">
        <v>5.0300969008080631E-3</v>
      </c>
      <c r="AC73" s="22">
        <v>7.1172839300970361E-3</v>
      </c>
      <c r="AD73" s="22">
        <v>8.3451322086969312E-3</v>
      </c>
      <c r="AE73" s="22">
        <v>1.0849447457819506E-2</v>
      </c>
      <c r="AF73" s="22">
        <v>1.4531745832044691E-2</v>
      </c>
      <c r="AG73" s="21">
        <v>15113</v>
      </c>
      <c r="AH73" s="21">
        <v>21214</v>
      </c>
      <c r="AI73" s="21">
        <v>25078</v>
      </c>
      <c r="AJ73" s="21">
        <v>32891</v>
      </c>
      <c r="AK73" s="21">
        <v>44841</v>
      </c>
      <c r="AL73" s="22">
        <v>0.99375328774329297</v>
      </c>
      <c r="AM73" s="22">
        <v>0.99084539934609994</v>
      </c>
      <c r="AN73" s="22">
        <v>0.98674011410584306</v>
      </c>
      <c r="AO73" s="22">
        <v>0.98317092126502059</v>
      </c>
      <c r="AP73" s="22">
        <v>0.98283798001052081</v>
      </c>
    </row>
    <row r="74" spans="1:42" x14ac:dyDescent="0.25">
      <c r="A74" s="20" t="s">
        <v>28</v>
      </c>
      <c r="B74" s="21">
        <v>0</v>
      </c>
      <c r="C74" s="21">
        <v>0</v>
      </c>
      <c r="D74" s="21">
        <v>0</v>
      </c>
      <c r="E74" s="21">
        <v>0</v>
      </c>
      <c r="F74" s="21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1"/>
      <c r="W74" s="21">
        <v>64270</v>
      </c>
      <c r="X74" s="21">
        <v>0</v>
      </c>
      <c r="Y74" s="21">
        <v>0</v>
      </c>
      <c r="Z74" s="21">
        <v>0</v>
      </c>
      <c r="AA74" s="21">
        <v>0</v>
      </c>
      <c r="AB74" s="22">
        <v>2.1257517610135078E-2</v>
      </c>
      <c r="AC74" s="22">
        <v>0</v>
      </c>
      <c r="AD74" s="22">
        <v>0</v>
      </c>
      <c r="AE74" s="22">
        <v>0</v>
      </c>
      <c r="AF74" s="22">
        <v>0</v>
      </c>
      <c r="AG74" s="21">
        <v>62405</v>
      </c>
      <c r="AH74" s="21">
        <v>0</v>
      </c>
      <c r="AI74" s="21">
        <v>0</v>
      </c>
      <c r="AJ74" s="21">
        <v>0</v>
      </c>
      <c r="AK74" s="21">
        <v>0</v>
      </c>
      <c r="AL74" s="22">
        <v>0.97098179555002329</v>
      </c>
      <c r="AM74" s="22">
        <v>0</v>
      </c>
      <c r="AN74" s="22">
        <v>0</v>
      </c>
      <c r="AO74" s="22">
        <v>0</v>
      </c>
      <c r="AP74" s="22">
        <v>0</v>
      </c>
    </row>
    <row r="75" spans="1:42" x14ac:dyDescent="0.25">
      <c r="A75" s="20" t="s">
        <v>29</v>
      </c>
      <c r="B75" s="21">
        <v>1</v>
      </c>
      <c r="C75" s="21">
        <v>0</v>
      </c>
      <c r="D75" s="21">
        <v>0</v>
      </c>
      <c r="E75" s="21">
        <v>0</v>
      </c>
      <c r="F75" s="21">
        <v>0</v>
      </c>
      <c r="G75" s="22">
        <v>3.1979461510639405E-7</v>
      </c>
      <c r="H75" s="22">
        <v>0</v>
      </c>
      <c r="I75" s="22">
        <v>0</v>
      </c>
      <c r="J75" s="22">
        <v>0</v>
      </c>
      <c r="K75" s="22">
        <v>0</v>
      </c>
      <c r="L75" s="21">
        <v>1</v>
      </c>
      <c r="M75" s="21">
        <v>0</v>
      </c>
      <c r="N75" s="21">
        <v>0</v>
      </c>
      <c r="O75" s="21">
        <v>0</v>
      </c>
      <c r="P75" s="21">
        <v>0</v>
      </c>
      <c r="Q75" s="22">
        <v>1</v>
      </c>
      <c r="R75" s="22">
        <v>0</v>
      </c>
      <c r="S75" s="22">
        <v>0</v>
      </c>
      <c r="T75" s="22">
        <v>0</v>
      </c>
      <c r="U75" s="22">
        <v>0</v>
      </c>
      <c r="V75" s="21"/>
      <c r="W75" s="21">
        <v>0</v>
      </c>
      <c r="X75" s="21">
        <v>0</v>
      </c>
      <c r="Y75" s="21">
        <v>0</v>
      </c>
      <c r="Z75" s="21">
        <v>1</v>
      </c>
      <c r="AA75" s="21">
        <v>0</v>
      </c>
      <c r="AB75" s="22">
        <v>0</v>
      </c>
      <c r="AC75" s="22">
        <v>0</v>
      </c>
      <c r="AD75" s="22">
        <v>0</v>
      </c>
      <c r="AE75" s="22">
        <v>3.2430942362107685E-7</v>
      </c>
      <c r="AF75" s="22">
        <v>0</v>
      </c>
      <c r="AG75" s="21">
        <v>0</v>
      </c>
      <c r="AH75" s="21">
        <v>0</v>
      </c>
      <c r="AI75" s="21">
        <v>0</v>
      </c>
      <c r="AJ75" s="21">
        <v>1</v>
      </c>
      <c r="AK75" s="21">
        <v>0</v>
      </c>
      <c r="AL75" s="22">
        <v>0</v>
      </c>
      <c r="AM75" s="22">
        <v>0</v>
      </c>
      <c r="AN75" s="22">
        <v>0</v>
      </c>
      <c r="AO75" s="22">
        <v>1</v>
      </c>
      <c r="AP75" s="22">
        <v>0</v>
      </c>
    </row>
    <row r="76" spans="1:42" x14ac:dyDescent="0.25">
      <c r="A76" s="20" t="s">
        <v>30</v>
      </c>
      <c r="B76" s="21">
        <v>3206</v>
      </c>
      <c r="C76" s="21">
        <v>3307</v>
      </c>
      <c r="D76" s="21">
        <v>3390</v>
      </c>
      <c r="E76" s="21">
        <v>5115</v>
      </c>
      <c r="F76" s="21">
        <v>3639</v>
      </c>
      <c r="G76" s="22">
        <v>1.0252615360310995E-3</v>
      </c>
      <c r="H76" s="22">
        <v>1.0533158746837583E-3</v>
      </c>
      <c r="I76" s="22">
        <v>1.0723053267636972E-3</v>
      </c>
      <c r="J76" s="22">
        <v>1.6090866364961611E-3</v>
      </c>
      <c r="K76" s="22">
        <v>1.1434079968176871E-3</v>
      </c>
      <c r="L76" s="21">
        <v>3124</v>
      </c>
      <c r="M76" s="21">
        <v>3217</v>
      </c>
      <c r="N76" s="21">
        <v>3285</v>
      </c>
      <c r="O76" s="21">
        <v>4869</v>
      </c>
      <c r="P76" s="21">
        <v>3528</v>
      </c>
      <c r="Q76" s="22">
        <v>0.97442295695570802</v>
      </c>
      <c r="R76" s="22">
        <v>0.97278500151194436</v>
      </c>
      <c r="S76" s="22">
        <v>0.96902654867256632</v>
      </c>
      <c r="T76" s="22">
        <v>0.95190615835777126</v>
      </c>
      <c r="U76" s="22">
        <v>0.96949711459192089</v>
      </c>
      <c r="V76" s="21"/>
      <c r="W76" s="21">
        <v>274</v>
      </c>
      <c r="X76" s="21">
        <v>2883</v>
      </c>
      <c r="Y76" s="21">
        <v>3972</v>
      </c>
      <c r="Z76" s="21">
        <v>3016</v>
      </c>
      <c r="AA76" s="21">
        <v>3307</v>
      </c>
      <c r="AB76" s="22">
        <v>9.0626417071370952E-5</v>
      </c>
      <c r="AC76" s="22">
        <v>9.5838998460858263E-4</v>
      </c>
      <c r="AD76" s="22">
        <v>1.3042244789669177E-3</v>
      </c>
      <c r="AE76" s="22">
        <v>9.7811722164116779E-4</v>
      </c>
      <c r="AF76" s="22">
        <v>1.0533158746837583E-3</v>
      </c>
      <c r="AG76" s="21">
        <v>274</v>
      </c>
      <c r="AH76" s="21">
        <v>2883</v>
      </c>
      <c r="AI76" s="21">
        <v>3926</v>
      </c>
      <c r="AJ76" s="21">
        <v>2971</v>
      </c>
      <c r="AK76" s="21">
        <v>3217</v>
      </c>
      <c r="AL76" s="22">
        <v>1</v>
      </c>
      <c r="AM76" s="22">
        <v>1</v>
      </c>
      <c r="AN76" s="22">
        <v>0.98841893252769386</v>
      </c>
      <c r="AO76" s="22">
        <v>0.98507957559681703</v>
      </c>
      <c r="AP76" s="22">
        <v>0.97278500151194436</v>
      </c>
    </row>
    <row r="77" spans="1:42" x14ac:dyDescent="0.25">
      <c r="A77" s="20" t="s">
        <v>31</v>
      </c>
      <c r="B77" s="21">
        <v>3667</v>
      </c>
      <c r="C77" s="21">
        <v>3633</v>
      </c>
      <c r="D77" s="21">
        <v>3579</v>
      </c>
      <c r="E77" s="21">
        <v>3574</v>
      </c>
      <c r="F77" s="21">
        <v>3591</v>
      </c>
      <c r="G77" s="22">
        <v>1.1726868535951471E-3</v>
      </c>
      <c r="H77" s="22">
        <v>1.1571504604554262E-3</v>
      </c>
      <c r="I77" s="22">
        <v>1.1320887210876909E-3</v>
      </c>
      <c r="J77" s="22">
        <v>1.1243158629202893E-3</v>
      </c>
      <c r="K77" s="22">
        <v>1.1283259457467202E-3</v>
      </c>
      <c r="L77" s="21">
        <v>3629</v>
      </c>
      <c r="M77" s="21">
        <v>3589</v>
      </c>
      <c r="N77" s="21">
        <v>3538</v>
      </c>
      <c r="O77" s="21">
        <v>3534</v>
      </c>
      <c r="P77" s="21">
        <v>3531</v>
      </c>
      <c r="Q77" s="22">
        <v>0.98963730569948183</v>
      </c>
      <c r="R77" s="22">
        <v>0.987888797137352</v>
      </c>
      <c r="S77" s="22">
        <v>0.98854428611343947</v>
      </c>
      <c r="T77" s="22">
        <v>0.98880805819809736</v>
      </c>
      <c r="U77" s="22">
        <v>0.98329156223893066</v>
      </c>
      <c r="V77" s="21"/>
      <c r="W77" s="21">
        <v>1605</v>
      </c>
      <c r="X77" s="21">
        <v>2995</v>
      </c>
      <c r="Y77" s="21">
        <v>3885</v>
      </c>
      <c r="Z77" s="21">
        <v>4718</v>
      </c>
      <c r="AA77" s="21">
        <v>3633</v>
      </c>
      <c r="AB77" s="22">
        <v>5.3085912189616922E-4</v>
      </c>
      <c r="AC77" s="22">
        <v>9.9562192296313032E-4</v>
      </c>
      <c r="AD77" s="22">
        <v>1.2756576285967963E-3</v>
      </c>
      <c r="AE77" s="22">
        <v>1.5300918606442407E-3</v>
      </c>
      <c r="AF77" s="22">
        <v>1.1571504604554262E-3</v>
      </c>
      <c r="AG77" s="21">
        <v>1605</v>
      </c>
      <c r="AH77" s="21">
        <v>2992</v>
      </c>
      <c r="AI77" s="21">
        <v>3879</v>
      </c>
      <c r="AJ77" s="21">
        <v>4671</v>
      </c>
      <c r="AK77" s="21">
        <v>3589</v>
      </c>
      <c r="AL77" s="22">
        <v>1</v>
      </c>
      <c r="AM77" s="22">
        <v>0.99899833055091825</v>
      </c>
      <c r="AN77" s="22">
        <v>0.9984555984555985</v>
      </c>
      <c r="AO77" s="22">
        <v>0.99003815175922005</v>
      </c>
      <c r="AP77" s="22">
        <v>0.987888797137352</v>
      </c>
    </row>
    <row r="78" spans="1:42" x14ac:dyDescent="0.25">
      <c r="A78" s="20" t="s">
        <v>33</v>
      </c>
      <c r="B78" s="21">
        <v>32968</v>
      </c>
      <c r="C78" s="21">
        <v>32150</v>
      </c>
      <c r="D78" s="21">
        <v>31393</v>
      </c>
      <c r="E78" s="21">
        <v>31074</v>
      </c>
      <c r="F78" s="21">
        <v>32036</v>
      </c>
      <c r="G78" s="22">
        <v>1.0542988870827599E-2</v>
      </c>
      <c r="H78" s="22">
        <v>1.0240128627481956E-2</v>
      </c>
      <c r="I78" s="22">
        <v>9.9300534286409278E-3</v>
      </c>
      <c r="J78" s="22">
        <v>9.7753192849426608E-3</v>
      </c>
      <c r="K78" s="22">
        <v>1.0066012252281238E-2</v>
      </c>
      <c r="L78" s="21">
        <v>32257</v>
      </c>
      <c r="M78" s="21">
        <v>31400</v>
      </c>
      <c r="N78" s="21">
        <v>30457</v>
      </c>
      <c r="O78" s="21">
        <v>30270</v>
      </c>
      <c r="P78" s="21">
        <v>31208</v>
      </c>
      <c r="Q78" s="22">
        <v>0.97843363261344329</v>
      </c>
      <c r="R78" s="22">
        <v>0.97667185069984452</v>
      </c>
      <c r="S78" s="22">
        <v>0.97018443602076898</v>
      </c>
      <c r="T78" s="22">
        <v>0.97412627920447958</v>
      </c>
      <c r="U78" s="22">
        <v>0.97415407666375331</v>
      </c>
      <c r="V78" s="21"/>
      <c r="W78" s="21">
        <v>21109</v>
      </c>
      <c r="X78" s="21">
        <v>21995</v>
      </c>
      <c r="Y78" s="21">
        <v>28340</v>
      </c>
      <c r="Z78" s="21">
        <v>34078</v>
      </c>
      <c r="AA78" s="21">
        <v>32150</v>
      </c>
      <c r="AB78" s="22">
        <v>6.9818724013122968E-3</v>
      </c>
      <c r="AC78" s="22">
        <v>7.3117543223953432E-3</v>
      </c>
      <c r="AD78" s="22">
        <v>9.3055694194165272E-3</v>
      </c>
      <c r="AE78" s="22">
        <v>1.1051816538159058E-2</v>
      </c>
      <c r="AF78" s="22">
        <v>1.0240128627481956E-2</v>
      </c>
      <c r="AG78" s="21">
        <v>20957</v>
      </c>
      <c r="AH78" s="21">
        <v>21662</v>
      </c>
      <c r="AI78" s="21">
        <v>28031</v>
      </c>
      <c r="AJ78" s="21">
        <v>33348</v>
      </c>
      <c r="AK78" s="21">
        <v>31400</v>
      </c>
      <c r="AL78" s="22">
        <v>0.99279927992799277</v>
      </c>
      <c r="AM78" s="22">
        <v>0.98486019549897708</v>
      </c>
      <c r="AN78" s="22">
        <v>0.98909668313338039</v>
      </c>
      <c r="AO78" s="22">
        <v>0.9785785550795234</v>
      </c>
      <c r="AP78" s="22">
        <v>0.97667185069984452</v>
      </c>
    </row>
    <row r="79" spans="1:42" x14ac:dyDescent="0.25">
      <c r="A79" s="20" t="s">
        <v>34</v>
      </c>
      <c r="B79" s="21">
        <v>2857</v>
      </c>
      <c r="C79" s="21">
        <v>3551</v>
      </c>
      <c r="D79" s="21">
        <v>3904</v>
      </c>
      <c r="E79" s="21">
        <v>4253</v>
      </c>
      <c r="F79" s="21">
        <v>4594</v>
      </c>
      <c r="G79" s="22">
        <v>9.136532153589678E-4</v>
      </c>
      <c r="H79" s="22">
        <v>1.1310325585128594E-3</v>
      </c>
      <c r="I79" s="22">
        <v>1.2348908541845055E-3</v>
      </c>
      <c r="J79" s="22">
        <v>1.3379170019585873E-3</v>
      </c>
      <c r="K79" s="22">
        <v>1.4434779712504686E-3</v>
      </c>
      <c r="L79" s="21">
        <v>2841</v>
      </c>
      <c r="M79" s="21">
        <v>3519</v>
      </c>
      <c r="N79" s="21">
        <v>3850</v>
      </c>
      <c r="O79" s="21">
        <v>4182</v>
      </c>
      <c r="P79" s="21">
        <v>4535</v>
      </c>
      <c r="Q79" s="22">
        <v>0.9943997199859993</v>
      </c>
      <c r="R79" s="22">
        <v>0.99098845395663193</v>
      </c>
      <c r="S79" s="22">
        <v>0.98616803278688525</v>
      </c>
      <c r="T79" s="22">
        <v>0.9833059017164355</v>
      </c>
      <c r="U79" s="22">
        <v>0.98715716151501964</v>
      </c>
      <c r="V79" s="21"/>
      <c r="W79" s="21">
        <v>0</v>
      </c>
      <c r="X79" s="21">
        <v>0</v>
      </c>
      <c r="Y79" s="21">
        <v>0</v>
      </c>
      <c r="Z79" s="21">
        <v>132</v>
      </c>
      <c r="AA79" s="21">
        <v>3551</v>
      </c>
      <c r="AB79" s="22">
        <v>0</v>
      </c>
      <c r="AC79" s="22">
        <v>0</v>
      </c>
      <c r="AD79" s="22">
        <v>0</v>
      </c>
      <c r="AE79" s="22">
        <v>4.2808843917982148E-5</v>
      </c>
      <c r="AF79" s="22">
        <v>1.1310325585128594E-3</v>
      </c>
      <c r="AG79" s="21">
        <v>0</v>
      </c>
      <c r="AH79" s="21">
        <v>0</v>
      </c>
      <c r="AI79" s="21">
        <v>0</v>
      </c>
      <c r="AJ79" s="21">
        <v>132</v>
      </c>
      <c r="AK79" s="21">
        <v>3519</v>
      </c>
      <c r="AL79" s="22">
        <v>0</v>
      </c>
      <c r="AM79" s="22">
        <v>0</v>
      </c>
      <c r="AN79" s="22">
        <v>0</v>
      </c>
      <c r="AO79" s="22">
        <v>1</v>
      </c>
      <c r="AP79" s="22">
        <v>0.99098845395663193</v>
      </c>
    </row>
    <row r="80" spans="1:42" x14ac:dyDescent="0.25">
      <c r="A80" s="20" t="s">
        <v>35</v>
      </c>
      <c r="B80" s="21">
        <v>894395</v>
      </c>
      <c r="C80" s="21">
        <v>888321</v>
      </c>
      <c r="D80" s="21">
        <v>893882</v>
      </c>
      <c r="E80" s="21">
        <v>900200</v>
      </c>
      <c r="F80" s="21">
        <v>881589</v>
      </c>
      <c r="G80" s="22">
        <v>0.28602270477808334</v>
      </c>
      <c r="H80" s="22">
        <v>0.28294000940881492</v>
      </c>
      <c r="I80" s="22">
        <v>0.28274761949799032</v>
      </c>
      <c r="J80" s="22">
        <v>0.2831866647456196</v>
      </c>
      <c r="K80" s="22">
        <v>0.27700354836672386</v>
      </c>
      <c r="L80" s="21">
        <v>709749</v>
      </c>
      <c r="M80" s="21">
        <v>714048</v>
      </c>
      <c r="N80" s="21">
        <v>734431</v>
      </c>
      <c r="O80" s="21">
        <v>749168</v>
      </c>
      <c r="P80" s="21">
        <v>737968</v>
      </c>
      <c r="Q80" s="22">
        <v>0.7935520659216565</v>
      </c>
      <c r="R80" s="22">
        <v>0.80381753893018404</v>
      </c>
      <c r="S80" s="22">
        <v>0.82161963212146572</v>
      </c>
      <c r="T80" s="22">
        <v>0.83222395023328144</v>
      </c>
      <c r="U80" s="22">
        <v>0.83708848454325091</v>
      </c>
      <c r="V80" s="21"/>
      <c r="W80" s="21">
        <v>902473</v>
      </c>
      <c r="X80" s="21">
        <v>921500</v>
      </c>
      <c r="Y80" s="21">
        <v>923432</v>
      </c>
      <c r="Z80" s="21">
        <v>914228</v>
      </c>
      <c r="AA80" s="21">
        <v>888321</v>
      </c>
      <c r="AB80" s="22">
        <v>0.29849596530529693</v>
      </c>
      <c r="AC80" s="22">
        <v>0.3063324213724623</v>
      </c>
      <c r="AD80" s="22">
        <v>0.30321314679289491</v>
      </c>
      <c r="AE80" s="22">
        <v>0.29649275573824985</v>
      </c>
      <c r="AF80" s="22">
        <v>0.28294000940881492</v>
      </c>
      <c r="AG80" s="21">
        <v>411290</v>
      </c>
      <c r="AH80" s="21">
        <v>578316</v>
      </c>
      <c r="AI80" s="21">
        <v>646631</v>
      </c>
      <c r="AJ80" s="21">
        <v>682774</v>
      </c>
      <c r="AK80" s="21">
        <v>714048</v>
      </c>
      <c r="AL80" s="22">
        <v>0.45573662591567837</v>
      </c>
      <c r="AM80" s="22">
        <v>0.62758111774281067</v>
      </c>
      <c r="AN80" s="22">
        <v>0.7002475547739303</v>
      </c>
      <c r="AO80" s="22">
        <v>0.74683120621989263</v>
      </c>
      <c r="AP80" s="22">
        <v>0.80381753893018404</v>
      </c>
    </row>
    <row r="81" spans="1:42" x14ac:dyDescent="0.25">
      <c r="A81" s="20" t="s">
        <v>36</v>
      </c>
      <c r="B81" s="21">
        <v>3691</v>
      </c>
      <c r="C81" s="21">
        <v>4144</v>
      </c>
      <c r="D81" s="21">
        <v>4561</v>
      </c>
      <c r="E81" s="21">
        <v>4561</v>
      </c>
      <c r="F81" s="21">
        <v>5217</v>
      </c>
      <c r="G81" s="22">
        <v>1.1803619243577004E-3</v>
      </c>
      <c r="H81" s="22">
        <v>1.3199095810975188E-3</v>
      </c>
      <c r="I81" s="22">
        <v>1.4427093201679123E-3</v>
      </c>
      <c r="J81" s="22">
        <v>1.4348082402852378E-3</v>
      </c>
      <c r="K81" s="22">
        <v>1.639230425775728E-3</v>
      </c>
      <c r="L81" s="21">
        <v>3691</v>
      </c>
      <c r="M81" s="21">
        <v>4060</v>
      </c>
      <c r="N81" s="21">
        <v>4472</v>
      </c>
      <c r="O81" s="21">
        <v>4472</v>
      </c>
      <c r="P81" s="21">
        <v>5169</v>
      </c>
      <c r="Q81" s="22">
        <v>1</v>
      </c>
      <c r="R81" s="22">
        <v>0.97972972972972971</v>
      </c>
      <c r="S81" s="22">
        <v>0.98048673536505149</v>
      </c>
      <c r="T81" s="22">
        <v>0.98048673536505149</v>
      </c>
      <c r="U81" s="22">
        <v>0.99079930994824617</v>
      </c>
      <c r="V81" s="21"/>
      <c r="W81" s="21">
        <v>0</v>
      </c>
      <c r="X81" s="21">
        <v>0</v>
      </c>
      <c r="Y81" s="21">
        <v>32</v>
      </c>
      <c r="Z81" s="21">
        <v>2435</v>
      </c>
      <c r="AA81" s="21">
        <v>4144</v>
      </c>
      <c r="AB81" s="22">
        <v>0</v>
      </c>
      <c r="AC81" s="22">
        <v>0</v>
      </c>
      <c r="AD81" s="22">
        <v>1.0507347262573355E-5</v>
      </c>
      <c r="AE81" s="22">
        <v>7.896934465173222E-4</v>
      </c>
      <c r="AF81" s="22">
        <v>1.3199095810975188E-3</v>
      </c>
      <c r="AG81" s="21">
        <v>0</v>
      </c>
      <c r="AH81" s="21">
        <v>0</v>
      </c>
      <c r="AI81" s="21">
        <v>32</v>
      </c>
      <c r="AJ81" s="21">
        <v>2435</v>
      </c>
      <c r="AK81" s="21">
        <v>4060</v>
      </c>
      <c r="AL81" s="22">
        <v>0</v>
      </c>
      <c r="AM81" s="22">
        <v>0</v>
      </c>
      <c r="AN81" s="22">
        <v>1</v>
      </c>
      <c r="AO81" s="22">
        <v>1</v>
      </c>
      <c r="AP81" s="22">
        <v>0.97972972972972971</v>
      </c>
    </row>
    <row r="82" spans="1:42" x14ac:dyDescent="0.25">
      <c r="A82" s="20" t="s">
        <v>38</v>
      </c>
      <c r="B82" s="21">
        <v>0</v>
      </c>
      <c r="C82" s="21">
        <v>0</v>
      </c>
      <c r="D82" s="21">
        <v>124</v>
      </c>
      <c r="E82" s="21">
        <v>400</v>
      </c>
      <c r="F82" s="21">
        <v>601</v>
      </c>
      <c r="G82" s="22">
        <v>0</v>
      </c>
      <c r="H82" s="22">
        <v>0</v>
      </c>
      <c r="I82" s="22">
        <v>3.9222967704630808E-5</v>
      </c>
      <c r="J82" s="22">
        <v>1.2583277704759812E-4</v>
      </c>
      <c r="K82" s="22">
        <v>1.8883984778439957E-4</v>
      </c>
      <c r="L82" s="21">
        <v>0</v>
      </c>
      <c r="M82" s="21">
        <v>0</v>
      </c>
      <c r="N82" s="21">
        <v>124</v>
      </c>
      <c r="O82" s="21">
        <v>400</v>
      </c>
      <c r="P82" s="21">
        <v>601</v>
      </c>
      <c r="Q82" s="22">
        <v>0</v>
      </c>
      <c r="R82" s="22">
        <v>0</v>
      </c>
      <c r="S82" s="22">
        <v>1</v>
      </c>
      <c r="T82" s="22">
        <v>1</v>
      </c>
      <c r="U82" s="22">
        <v>1</v>
      </c>
      <c r="V82" s="21"/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</row>
    <row r="83" spans="1:42" x14ac:dyDescent="0.25">
      <c r="A83" s="20" t="s">
        <v>39</v>
      </c>
      <c r="B83" s="21">
        <v>0</v>
      </c>
      <c r="C83" s="21">
        <v>0</v>
      </c>
      <c r="D83" s="21">
        <v>5</v>
      </c>
      <c r="E83" s="21">
        <v>200</v>
      </c>
      <c r="F83" s="21">
        <v>515</v>
      </c>
      <c r="G83" s="22">
        <v>0</v>
      </c>
      <c r="H83" s="22">
        <v>0</v>
      </c>
      <c r="I83" s="22">
        <v>1.5815712784125326E-6</v>
      </c>
      <c r="J83" s="22">
        <v>6.2916388523799062E-5</v>
      </c>
      <c r="K83" s="22">
        <v>1.6181783961558366E-4</v>
      </c>
      <c r="L83" s="21">
        <v>0</v>
      </c>
      <c r="M83" s="21">
        <v>0</v>
      </c>
      <c r="N83" s="21">
        <v>5</v>
      </c>
      <c r="O83" s="21">
        <v>200</v>
      </c>
      <c r="P83" s="21">
        <v>468</v>
      </c>
      <c r="Q83" s="22">
        <v>0</v>
      </c>
      <c r="R83" s="22">
        <v>0</v>
      </c>
      <c r="S83" s="22">
        <v>1</v>
      </c>
      <c r="T83" s="22">
        <v>1</v>
      </c>
      <c r="U83" s="22">
        <v>0.90873786407766988</v>
      </c>
      <c r="V83" s="21"/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</row>
    <row r="84" spans="1:42" x14ac:dyDescent="0.25">
      <c r="A84" s="20" t="s">
        <v>40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1"/>
      <c r="W84" s="21">
        <v>2</v>
      </c>
      <c r="X84" s="21">
        <v>3</v>
      </c>
      <c r="Y84" s="21">
        <v>0</v>
      </c>
      <c r="Z84" s="21">
        <v>0</v>
      </c>
      <c r="AA84" s="21">
        <v>0</v>
      </c>
      <c r="AB84" s="22">
        <v>6.6150669395161279E-7</v>
      </c>
      <c r="AC84" s="22">
        <v>9.9728406306824424E-7</v>
      </c>
      <c r="AD84" s="22">
        <v>0</v>
      </c>
      <c r="AE84" s="22">
        <v>0</v>
      </c>
      <c r="AF84" s="22">
        <v>0</v>
      </c>
      <c r="AG84" s="21">
        <v>2</v>
      </c>
      <c r="AH84" s="21">
        <v>3</v>
      </c>
      <c r="AI84" s="21">
        <v>0</v>
      </c>
      <c r="AJ84" s="21">
        <v>0</v>
      </c>
      <c r="AK84" s="21">
        <v>0</v>
      </c>
      <c r="AL84" s="22">
        <v>1</v>
      </c>
      <c r="AM84" s="22">
        <v>1</v>
      </c>
      <c r="AN84" s="22">
        <v>0</v>
      </c>
      <c r="AO84" s="22">
        <v>0</v>
      </c>
      <c r="AP84" s="22">
        <v>0</v>
      </c>
    </row>
    <row r="85" spans="1:42" x14ac:dyDescent="0.25">
      <c r="A85" s="20" t="s">
        <v>41</v>
      </c>
      <c r="B85" s="21">
        <v>463</v>
      </c>
      <c r="C85" s="21">
        <v>463</v>
      </c>
      <c r="D85" s="21">
        <v>463</v>
      </c>
      <c r="E85" s="21">
        <v>463</v>
      </c>
      <c r="F85" s="21">
        <v>467</v>
      </c>
      <c r="G85" s="22">
        <v>1.4806490679426045E-4</v>
      </c>
      <c r="H85" s="22">
        <v>1.4747059267571216E-4</v>
      </c>
      <c r="I85" s="22">
        <v>1.4645350038100053E-4</v>
      </c>
      <c r="J85" s="22">
        <v>1.4565143943259484E-4</v>
      </c>
      <c r="K85" s="22">
        <v>1.4673578854461664E-4</v>
      </c>
      <c r="L85" s="21">
        <v>463</v>
      </c>
      <c r="M85" s="21">
        <v>463</v>
      </c>
      <c r="N85" s="21">
        <v>463</v>
      </c>
      <c r="O85" s="21">
        <v>463</v>
      </c>
      <c r="P85" s="21">
        <v>467</v>
      </c>
      <c r="Q85" s="22">
        <v>1</v>
      </c>
      <c r="R85" s="22">
        <v>1</v>
      </c>
      <c r="S85" s="22">
        <v>1</v>
      </c>
      <c r="T85" s="22">
        <v>1</v>
      </c>
      <c r="U85" s="22">
        <v>1</v>
      </c>
      <c r="V85" s="21"/>
      <c r="W85" s="21">
        <v>0</v>
      </c>
      <c r="X85" s="21">
        <v>0</v>
      </c>
      <c r="Y85" s="21">
        <v>0</v>
      </c>
      <c r="Z85" s="21">
        <v>215</v>
      </c>
      <c r="AA85" s="21">
        <v>463</v>
      </c>
      <c r="AB85" s="22">
        <v>0</v>
      </c>
      <c r="AC85" s="22">
        <v>0</v>
      </c>
      <c r="AD85" s="22">
        <v>0</v>
      </c>
      <c r="AE85" s="22">
        <v>6.972652607853153E-5</v>
      </c>
      <c r="AF85" s="22">
        <v>1.4747059267571216E-4</v>
      </c>
      <c r="AG85" s="21">
        <v>0</v>
      </c>
      <c r="AH85" s="21">
        <v>0</v>
      </c>
      <c r="AI85" s="21">
        <v>0</v>
      </c>
      <c r="AJ85" s="21">
        <v>215</v>
      </c>
      <c r="AK85" s="21">
        <v>463</v>
      </c>
      <c r="AL85" s="22">
        <v>0</v>
      </c>
      <c r="AM85" s="22">
        <v>0</v>
      </c>
      <c r="AN85" s="22">
        <v>0</v>
      </c>
      <c r="AO85" s="22">
        <v>1</v>
      </c>
      <c r="AP85" s="22">
        <v>1</v>
      </c>
    </row>
    <row r="86" spans="1:42" x14ac:dyDescent="0.25">
      <c r="A86" s="20" t="s">
        <v>42</v>
      </c>
      <c r="B86" s="21">
        <v>528</v>
      </c>
      <c r="C86" s="21">
        <v>446</v>
      </c>
      <c r="D86" s="21">
        <v>378</v>
      </c>
      <c r="E86" s="21">
        <v>326</v>
      </c>
      <c r="F86" s="21">
        <v>76</v>
      </c>
      <c r="G86" s="22">
        <v>1.6885155677617608E-4</v>
      </c>
      <c r="H86" s="22">
        <v>1.4205590568761907E-4</v>
      </c>
      <c r="I86" s="22">
        <v>1.1956678864798746E-4</v>
      </c>
      <c r="J86" s="22">
        <v>1.0255371329379249E-4</v>
      </c>
      <c r="K86" s="22">
        <v>2.387991419569778E-5</v>
      </c>
      <c r="L86" s="21">
        <v>514</v>
      </c>
      <c r="M86" s="21">
        <v>428</v>
      </c>
      <c r="N86" s="21">
        <v>366</v>
      </c>
      <c r="O86" s="21">
        <v>316</v>
      </c>
      <c r="P86" s="21">
        <v>65</v>
      </c>
      <c r="Q86" s="22">
        <v>0.97348484848484851</v>
      </c>
      <c r="R86" s="22">
        <v>0.95964125560538116</v>
      </c>
      <c r="S86" s="22">
        <v>0.96825396825396826</v>
      </c>
      <c r="T86" s="22">
        <v>0.96932515337423308</v>
      </c>
      <c r="U86" s="22">
        <v>0.85526315789473684</v>
      </c>
      <c r="V86" s="21"/>
      <c r="W86" s="21">
        <v>45582</v>
      </c>
      <c r="X86" s="21">
        <v>50631</v>
      </c>
      <c r="Y86" s="21">
        <v>26309</v>
      </c>
      <c r="Z86" s="21">
        <v>2334</v>
      </c>
      <c r="AA86" s="21">
        <v>446</v>
      </c>
      <c r="AB86" s="22">
        <v>1.5076399061851207E-2</v>
      </c>
      <c r="AC86" s="22">
        <v>1.6831163132402755E-2</v>
      </c>
      <c r="AD86" s="22">
        <v>8.6386812228450745E-3</v>
      </c>
      <c r="AE86" s="22">
        <v>7.5693819473159345E-4</v>
      </c>
      <c r="AF86" s="22">
        <v>1.4205590568761907E-4</v>
      </c>
      <c r="AG86" s="21">
        <v>43588</v>
      </c>
      <c r="AH86" s="21">
        <v>48036</v>
      </c>
      <c r="AI86" s="21">
        <v>24761</v>
      </c>
      <c r="AJ86" s="21">
        <v>2216</v>
      </c>
      <c r="AK86" s="21">
        <v>428</v>
      </c>
      <c r="AL86" s="22">
        <v>0.95625466192795405</v>
      </c>
      <c r="AM86" s="22">
        <v>0.94874681519227355</v>
      </c>
      <c r="AN86" s="22">
        <v>0.94116081949142882</v>
      </c>
      <c r="AO86" s="22">
        <v>0.94944301628106254</v>
      </c>
      <c r="AP86" s="22">
        <v>0.95964125560538116</v>
      </c>
    </row>
    <row r="87" spans="1:42" x14ac:dyDescent="0.25">
      <c r="A87" s="20" t="s">
        <v>44</v>
      </c>
      <c r="B87" s="21">
        <v>3282</v>
      </c>
      <c r="C87" s="21">
        <v>2961</v>
      </c>
      <c r="D87" s="21">
        <v>2680</v>
      </c>
      <c r="E87" s="21">
        <v>2425</v>
      </c>
      <c r="F87" s="21">
        <v>2234</v>
      </c>
      <c r="G87" s="22">
        <v>1.0495659267791854E-3</v>
      </c>
      <c r="H87" s="22">
        <v>9.4311106892609872E-4</v>
      </c>
      <c r="I87" s="22">
        <v>8.4772220522911753E-4</v>
      </c>
      <c r="J87" s="22">
        <v>7.628612108510637E-4</v>
      </c>
      <c r="K87" s="22">
        <v>7.0194379359459012E-4</v>
      </c>
      <c r="L87" s="21">
        <v>3224</v>
      </c>
      <c r="M87" s="21">
        <v>2901</v>
      </c>
      <c r="N87" s="21">
        <v>2621</v>
      </c>
      <c r="O87" s="21">
        <v>2384</v>
      </c>
      <c r="P87" s="21">
        <v>2195</v>
      </c>
      <c r="Q87" s="22">
        <v>0.98232784887263869</v>
      </c>
      <c r="R87" s="22">
        <v>0.97973657548125637</v>
      </c>
      <c r="S87" s="22">
        <v>0.97798507462686568</v>
      </c>
      <c r="T87" s="22">
        <v>0.98309278350515461</v>
      </c>
      <c r="U87" s="22">
        <v>0.98254252461951652</v>
      </c>
      <c r="V87" s="21"/>
      <c r="W87" s="21">
        <v>0</v>
      </c>
      <c r="X87" s="21">
        <v>0</v>
      </c>
      <c r="Y87" s="21">
        <v>722</v>
      </c>
      <c r="Z87" s="21">
        <v>4683</v>
      </c>
      <c r="AA87" s="21">
        <v>2961</v>
      </c>
      <c r="AB87" s="22">
        <v>0</v>
      </c>
      <c r="AC87" s="22">
        <v>0</v>
      </c>
      <c r="AD87" s="22">
        <v>2.370720226118113E-4</v>
      </c>
      <c r="AE87" s="22">
        <v>1.5187410308175029E-3</v>
      </c>
      <c r="AF87" s="22">
        <v>9.4311106892609872E-4</v>
      </c>
      <c r="AG87" s="21">
        <v>0</v>
      </c>
      <c r="AH87" s="21">
        <v>0</v>
      </c>
      <c r="AI87" s="21">
        <v>722</v>
      </c>
      <c r="AJ87" s="21">
        <v>4645</v>
      </c>
      <c r="AK87" s="21">
        <v>2901</v>
      </c>
      <c r="AL87" s="22">
        <v>0</v>
      </c>
      <c r="AM87" s="22">
        <v>0</v>
      </c>
      <c r="AN87" s="22">
        <v>1</v>
      </c>
      <c r="AO87" s="22">
        <v>0.9918855434550502</v>
      </c>
      <c r="AP87" s="22">
        <v>0.97973657548125637</v>
      </c>
    </row>
    <row r="88" spans="1:42" x14ac:dyDescent="0.25">
      <c r="A88" s="20" t="s">
        <v>45</v>
      </c>
      <c r="B88" s="21">
        <v>6274</v>
      </c>
      <c r="C88" s="21">
        <v>5830</v>
      </c>
      <c r="D88" s="21">
        <v>6007</v>
      </c>
      <c r="E88" s="21">
        <v>7723</v>
      </c>
      <c r="F88" s="21">
        <v>11477</v>
      </c>
      <c r="G88" s="22">
        <v>2.0063914151775162E-3</v>
      </c>
      <c r="H88" s="22">
        <v>1.8569191259166348E-3</v>
      </c>
      <c r="I88" s="22">
        <v>1.9000997338848168E-3</v>
      </c>
      <c r="J88" s="22">
        <v>2.4295163428465008E-3</v>
      </c>
      <c r="K88" s="22">
        <v>3.6061812529476771E-3</v>
      </c>
      <c r="L88" s="21">
        <v>6076</v>
      </c>
      <c r="M88" s="21">
        <v>5636</v>
      </c>
      <c r="N88" s="21">
        <v>5809</v>
      </c>
      <c r="O88" s="21">
        <v>7539</v>
      </c>
      <c r="P88" s="21">
        <v>11439</v>
      </c>
      <c r="Q88" s="22">
        <v>0.96844118584634997</v>
      </c>
      <c r="R88" s="22">
        <v>0.96672384219554031</v>
      </c>
      <c r="S88" s="22">
        <v>0.9670384551356751</v>
      </c>
      <c r="T88" s="22">
        <v>0.97617506150459665</v>
      </c>
      <c r="U88" s="22">
        <v>0.99668903023438182</v>
      </c>
      <c r="V88" s="21"/>
      <c r="W88" s="21">
        <v>6191</v>
      </c>
      <c r="X88" s="21">
        <v>8229</v>
      </c>
      <c r="Y88" s="21">
        <v>8488</v>
      </c>
      <c r="Z88" s="21">
        <v>7296</v>
      </c>
      <c r="AA88" s="21">
        <v>5830</v>
      </c>
      <c r="AB88" s="22">
        <v>2.0476939711272174E-3</v>
      </c>
      <c r="AC88" s="22">
        <v>2.7355501849961935E-3</v>
      </c>
      <c r="AD88" s="22">
        <v>2.7870738613975823E-3</v>
      </c>
      <c r="AE88" s="22">
        <v>2.3661615547393767E-3</v>
      </c>
      <c r="AF88" s="22">
        <v>1.8569191259166348E-3</v>
      </c>
      <c r="AG88" s="21">
        <v>6157</v>
      </c>
      <c r="AH88" s="21">
        <v>8201</v>
      </c>
      <c r="AI88" s="21">
        <v>8269</v>
      </c>
      <c r="AJ88" s="21">
        <v>7015</v>
      </c>
      <c r="AK88" s="21">
        <v>5636</v>
      </c>
      <c r="AL88" s="22">
        <v>0.99450815700209982</v>
      </c>
      <c r="AM88" s="22">
        <v>0.99659739944100134</v>
      </c>
      <c r="AN88" s="22">
        <v>0.97419886899151742</v>
      </c>
      <c r="AO88" s="22">
        <v>0.9614857456140351</v>
      </c>
      <c r="AP88" s="22">
        <v>0.96672384219554031</v>
      </c>
    </row>
    <row r="89" spans="1:42" x14ac:dyDescent="0.25">
      <c r="A89" s="20" t="s">
        <v>46</v>
      </c>
      <c r="B89" s="21">
        <v>149</v>
      </c>
      <c r="C89" s="21">
        <v>133</v>
      </c>
      <c r="D89" s="21">
        <v>126</v>
      </c>
      <c r="E89" s="21">
        <v>126</v>
      </c>
      <c r="F89" s="21">
        <v>102</v>
      </c>
      <c r="G89" s="22">
        <v>4.7649397650852714E-5</v>
      </c>
      <c r="H89" s="22">
        <v>4.2361962906846045E-5</v>
      </c>
      <c r="I89" s="22">
        <v>3.9855596215995821E-5</v>
      </c>
      <c r="J89" s="22">
        <v>3.963732476999341E-5</v>
      </c>
      <c r="K89" s="22">
        <v>3.2049358525804921E-5</v>
      </c>
      <c r="L89" s="21">
        <v>145</v>
      </c>
      <c r="M89" s="21">
        <v>130</v>
      </c>
      <c r="N89" s="21">
        <v>125</v>
      </c>
      <c r="O89" s="21">
        <v>124</v>
      </c>
      <c r="P89" s="21">
        <v>98</v>
      </c>
      <c r="Q89" s="22">
        <v>0.97315436241610742</v>
      </c>
      <c r="R89" s="22">
        <v>0.97744360902255634</v>
      </c>
      <c r="S89" s="22">
        <v>0.99206349206349209</v>
      </c>
      <c r="T89" s="22">
        <v>0.98412698412698407</v>
      </c>
      <c r="U89" s="22">
        <v>0.96078431372549022</v>
      </c>
      <c r="V89" s="21"/>
      <c r="W89" s="21">
        <v>0</v>
      </c>
      <c r="X89" s="21">
        <v>71</v>
      </c>
      <c r="Y89" s="21">
        <v>169</v>
      </c>
      <c r="Z89" s="21">
        <v>199</v>
      </c>
      <c r="AA89" s="21">
        <v>133</v>
      </c>
      <c r="AB89" s="22">
        <v>0</v>
      </c>
      <c r="AC89" s="22">
        <v>2.360238949261511E-5</v>
      </c>
      <c r="AD89" s="22">
        <v>5.549192773046553E-5</v>
      </c>
      <c r="AE89" s="22">
        <v>6.4537575300594295E-5</v>
      </c>
      <c r="AF89" s="22">
        <v>4.2361962906846045E-5</v>
      </c>
      <c r="AG89" s="21">
        <v>0</v>
      </c>
      <c r="AH89" s="21">
        <v>71</v>
      </c>
      <c r="AI89" s="21">
        <v>162</v>
      </c>
      <c r="AJ89" s="21">
        <v>196</v>
      </c>
      <c r="AK89" s="21">
        <v>130</v>
      </c>
      <c r="AL89" s="22">
        <v>0</v>
      </c>
      <c r="AM89" s="22">
        <v>1</v>
      </c>
      <c r="AN89" s="22">
        <v>0.95857988165680474</v>
      </c>
      <c r="AO89" s="22">
        <v>0.98492462311557794</v>
      </c>
      <c r="AP89" s="22">
        <v>0.97744360902255634</v>
      </c>
    </row>
    <row r="90" spans="1:42" x14ac:dyDescent="0.25">
      <c r="A90" s="20" t="s">
        <v>47</v>
      </c>
      <c r="B90" s="21">
        <v>2975</v>
      </c>
      <c r="C90" s="21">
        <v>3322</v>
      </c>
      <c r="D90" s="21">
        <v>3961</v>
      </c>
      <c r="E90" s="21">
        <v>4798</v>
      </c>
      <c r="F90" s="21">
        <v>5342</v>
      </c>
      <c r="G90" s="22">
        <v>9.5138897994152241E-4</v>
      </c>
      <c r="H90" s="22">
        <v>1.0580935396732522E-3</v>
      </c>
      <c r="I90" s="22">
        <v>1.2529207667584083E-3</v>
      </c>
      <c r="J90" s="22">
        <v>1.5093641606859396E-3</v>
      </c>
      <c r="K90" s="22">
        <v>1.6785066004397046E-3</v>
      </c>
      <c r="L90" s="21">
        <v>555</v>
      </c>
      <c r="M90" s="21">
        <v>1165</v>
      </c>
      <c r="N90" s="21">
        <v>2066</v>
      </c>
      <c r="O90" s="21">
        <v>3079</v>
      </c>
      <c r="P90" s="21">
        <v>3785</v>
      </c>
      <c r="Q90" s="22">
        <v>0.1865546218487395</v>
      </c>
      <c r="R90" s="22">
        <v>0.35069235400361226</v>
      </c>
      <c r="S90" s="22">
        <v>0.52158545821762181</v>
      </c>
      <c r="T90" s="22">
        <v>0.64172571904960396</v>
      </c>
      <c r="U90" s="22">
        <v>0.70853612879071504</v>
      </c>
      <c r="V90" s="21"/>
      <c r="W90" s="21">
        <v>0</v>
      </c>
      <c r="X90" s="21">
        <v>0</v>
      </c>
      <c r="Y90" s="21">
        <v>0</v>
      </c>
      <c r="Z90" s="21">
        <v>1515</v>
      </c>
      <c r="AA90" s="21">
        <v>3322</v>
      </c>
      <c r="AB90" s="22">
        <v>0</v>
      </c>
      <c r="AC90" s="22">
        <v>0</v>
      </c>
      <c r="AD90" s="22">
        <v>0</v>
      </c>
      <c r="AE90" s="22">
        <v>4.9132877678593144E-4</v>
      </c>
      <c r="AF90" s="22">
        <v>1.0580935396732522E-3</v>
      </c>
      <c r="AG90" s="21">
        <v>0</v>
      </c>
      <c r="AH90" s="21">
        <v>0</v>
      </c>
      <c r="AI90" s="21">
        <v>0</v>
      </c>
      <c r="AJ90" s="21">
        <v>1515</v>
      </c>
      <c r="AK90" s="21">
        <v>1165</v>
      </c>
      <c r="AL90" s="22">
        <v>0</v>
      </c>
      <c r="AM90" s="22">
        <v>0</v>
      </c>
      <c r="AN90" s="22">
        <v>0</v>
      </c>
      <c r="AO90" s="22">
        <v>1</v>
      </c>
      <c r="AP90" s="22">
        <v>0.35069235400361226</v>
      </c>
    </row>
    <row r="91" spans="1:42" x14ac:dyDescent="0.25">
      <c r="A91" s="20" t="s">
        <v>48</v>
      </c>
      <c r="B91" s="21">
        <v>1025153</v>
      </c>
      <c r="C91" s="21">
        <v>1024501</v>
      </c>
      <c r="D91" s="21">
        <v>1017477</v>
      </c>
      <c r="E91" s="21">
        <v>1006915</v>
      </c>
      <c r="F91" s="21">
        <v>1001769</v>
      </c>
      <c r="G91" s="22">
        <v>0.3278384090601652</v>
      </c>
      <c r="H91" s="22">
        <v>0.32631483729343369</v>
      </c>
      <c r="I91" s="22">
        <v>0.32184247992906967</v>
      </c>
      <c r="J91" s="22">
        <v>0.31675727675220572</v>
      </c>
      <c r="K91" s="22">
        <v>0.31476523373565751</v>
      </c>
      <c r="L91" s="21">
        <v>749396</v>
      </c>
      <c r="M91" s="21">
        <v>771932</v>
      </c>
      <c r="N91" s="21">
        <v>778280</v>
      </c>
      <c r="O91" s="21">
        <v>781658</v>
      </c>
      <c r="P91" s="21">
        <v>782390</v>
      </c>
      <c r="Q91" s="22">
        <v>0.73100893232522368</v>
      </c>
      <c r="R91" s="22">
        <v>0.75347120207788965</v>
      </c>
      <c r="S91" s="22">
        <v>0.76491163928029826</v>
      </c>
      <c r="T91" s="22">
        <v>0.7762899549614416</v>
      </c>
      <c r="U91" s="22">
        <v>0.78100839614721562</v>
      </c>
      <c r="V91" s="21"/>
      <c r="W91" s="21">
        <v>1138390</v>
      </c>
      <c r="X91" s="21">
        <v>1120218</v>
      </c>
      <c r="Y91" s="21">
        <v>1081250</v>
      </c>
      <c r="Z91" s="21">
        <v>1040813</v>
      </c>
      <c r="AA91" s="21">
        <v>1024501</v>
      </c>
      <c r="AB91" s="22">
        <v>0.37652630266378823</v>
      </c>
      <c r="AC91" s="22">
        <v>0.37239185285406079</v>
      </c>
      <c r="AD91" s="22">
        <v>0.355033413364295</v>
      </c>
      <c r="AE91" s="22">
        <v>0.33754546412732389</v>
      </c>
      <c r="AF91" s="22">
        <v>0.32631483729343369</v>
      </c>
      <c r="AG91" s="21">
        <v>579964</v>
      </c>
      <c r="AH91" s="21">
        <v>616647</v>
      </c>
      <c r="AI91" s="21">
        <v>650726</v>
      </c>
      <c r="AJ91" s="21">
        <v>687979</v>
      </c>
      <c r="AK91" s="21">
        <v>771932</v>
      </c>
      <c r="AL91" s="22">
        <v>0.50945985119335202</v>
      </c>
      <c r="AM91" s="22">
        <v>0.55047053341403196</v>
      </c>
      <c r="AN91" s="22">
        <v>0.60182751445086702</v>
      </c>
      <c r="AO91" s="22">
        <v>0.66100154398532684</v>
      </c>
      <c r="AP91" s="22">
        <v>0.75347120207788965</v>
      </c>
    </row>
    <row r="92" spans="1:42" x14ac:dyDescent="0.25">
      <c r="A92" s="20" t="s">
        <v>49</v>
      </c>
      <c r="B92" s="21">
        <v>462</v>
      </c>
      <c r="C92" s="21">
        <v>445</v>
      </c>
      <c r="D92" s="21">
        <v>422</v>
      </c>
      <c r="E92" s="21">
        <v>413</v>
      </c>
      <c r="F92" s="21">
        <v>398</v>
      </c>
      <c r="G92" s="22">
        <v>1.4774511217915406E-4</v>
      </c>
      <c r="H92" s="22">
        <v>1.4173739468831948E-4</v>
      </c>
      <c r="I92" s="22">
        <v>1.3348461589801776E-4</v>
      </c>
      <c r="J92" s="22">
        <v>1.2992234230164507E-4</v>
      </c>
      <c r="K92" s="22">
        <v>1.2505534013010155E-4</v>
      </c>
      <c r="L92" s="21">
        <v>439</v>
      </c>
      <c r="M92" s="21">
        <v>433</v>
      </c>
      <c r="N92" s="21">
        <v>411</v>
      </c>
      <c r="O92" s="21">
        <v>374</v>
      </c>
      <c r="P92" s="21">
        <v>387</v>
      </c>
      <c r="Q92" s="22">
        <v>0.95021645021645018</v>
      </c>
      <c r="R92" s="22">
        <v>0.97303370786516852</v>
      </c>
      <c r="S92" s="22">
        <v>0.97393364928909953</v>
      </c>
      <c r="T92" s="22">
        <v>0.90556900726392253</v>
      </c>
      <c r="U92" s="22">
        <v>0.97236180904522618</v>
      </c>
      <c r="V92" s="21"/>
      <c r="W92" s="21">
        <v>0</v>
      </c>
      <c r="X92" s="21">
        <v>0</v>
      </c>
      <c r="Y92" s="21">
        <v>0</v>
      </c>
      <c r="Z92" s="21">
        <v>524</v>
      </c>
      <c r="AA92" s="21">
        <v>445</v>
      </c>
      <c r="AB92" s="22">
        <v>0</v>
      </c>
      <c r="AC92" s="22">
        <v>0</v>
      </c>
      <c r="AD92" s="22">
        <v>0</v>
      </c>
      <c r="AE92" s="22">
        <v>1.6993813797744429E-4</v>
      </c>
      <c r="AF92" s="22">
        <v>1.4173739468831948E-4</v>
      </c>
      <c r="AG92" s="21">
        <v>0</v>
      </c>
      <c r="AH92" s="21">
        <v>0</v>
      </c>
      <c r="AI92" s="21">
        <v>0</v>
      </c>
      <c r="AJ92" s="21">
        <v>496</v>
      </c>
      <c r="AK92" s="21">
        <v>433</v>
      </c>
      <c r="AL92" s="22">
        <v>0</v>
      </c>
      <c r="AM92" s="22">
        <v>0</v>
      </c>
      <c r="AN92" s="22">
        <v>0</v>
      </c>
      <c r="AO92" s="22">
        <v>0.94656488549618323</v>
      </c>
      <c r="AP92" s="22">
        <v>0.97303370786516852</v>
      </c>
    </row>
    <row r="93" spans="1:42" x14ac:dyDescent="0.25">
      <c r="A93" s="20" t="s">
        <v>50</v>
      </c>
      <c r="B93" s="21">
        <v>446</v>
      </c>
      <c r="C93" s="21">
        <v>518</v>
      </c>
      <c r="D93" s="21">
        <v>652</v>
      </c>
      <c r="E93" s="21">
        <v>854</v>
      </c>
      <c r="F93" s="21">
        <v>1110</v>
      </c>
      <c r="G93" s="22">
        <v>1.4262839833745176E-4</v>
      </c>
      <c r="H93" s="22">
        <v>1.6498869763718985E-4</v>
      </c>
      <c r="I93" s="22">
        <v>2.0623689470499425E-4</v>
      </c>
      <c r="J93" s="22">
        <v>2.6865297899662203E-4</v>
      </c>
      <c r="K93" s="22">
        <v>3.4877243101611236E-4</v>
      </c>
      <c r="L93" s="21">
        <v>446</v>
      </c>
      <c r="M93" s="21">
        <v>518</v>
      </c>
      <c r="N93" s="21">
        <v>652</v>
      </c>
      <c r="O93" s="21">
        <v>854</v>
      </c>
      <c r="P93" s="21">
        <v>1110</v>
      </c>
      <c r="Q93" s="22">
        <v>1</v>
      </c>
      <c r="R93" s="22">
        <v>1</v>
      </c>
      <c r="S93" s="22">
        <v>1</v>
      </c>
      <c r="T93" s="22">
        <v>1</v>
      </c>
      <c r="U93" s="22">
        <v>1</v>
      </c>
      <c r="V93" s="21"/>
      <c r="W93" s="21">
        <v>20</v>
      </c>
      <c r="X93" s="21">
        <v>51</v>
      </c>
      <c r="Y93" s="21">
        <v>172</v>
      </c>
      <c r="Z93" s="21">
        <v>221</v>
      </c>
      <c r="AA93" s="21">
        <v>518</v>
      </c>
      <c r="AB93" s="22">
        <v>6.6150669395161277E-6</v>
      </c>
      <c r="AC93" s="22">
        <v>1.6953829072160149E-5</v>
      </c>
      <c r="AD93" s="22">
        <v>5.6476991536331779E-5</v>
      </c>
      <c r="AE93" s="22">
        <v>7.1672382620257988E-5</v>
      </c>
      <c r="AF93" s="22">
        <v>1.6498869763718985E-4</v>
      </c>
      <c r="AG93" s="21">
        <v>20</v>
      </c>
      <c r="AH93" s="21">
        <v>51</v>
      </c>
      <c r="AI93" s="21">
        <v>172</v>
      </c>
      <c r="AJ93" s="21">
        <v>221</v>
      </c>
      <c r="AK93" s="21">
        <v>518</v>
      </c>
      <c r="AL93" s="22">
        <v>1</v>
      </c>
      <c r="AM93" s="22">
        <v>1</v>
      </c>
      <c r="AN93" s="22">
        <v>1</v>
      </c>
      <c r="AO93" s="22">
        <v>1</v>
      </c>
      <c r="AP93" s="22">
        <v>1</v>
      </c>
    </row>
    <row r="94" spans="1:42" x14ac:dyDescent="0.25">
      <c r="A94" s="20" t="s">
        <v>51</v>
      </c>
      <c r="B94" s="21">
        <v>0</v>
      </c>
      <c r="C94" s="21">
        <v>0</v>
      </c>
      <c r="D94" s="21">
        <v>0</v>
      </c>
      <c r="E94" s="21">
        <v>5</v>
      </c>
      <c r="F94" s="21">
        <v>0</v>
      </c>
      <c r="G94" s="22">
        <v>0</v>
      </c>
      <c r="H94" s="22">
        <v>0</v>
      </c>
      <c r="I94" s="22">
        <v>0</v>
      </c>
      <c r="J94" s="22">
        <v>1.5729097130949767E-6</v>
      </c>
      <c r="K94" s="22">
        <v>0</v>
      </c>
      <c r="L94" s="21">
        <v>0</v>
      </c>
      <c r="M94" s="21">
        <v>0</v>
      </c>
      <c r="N94" s="21">
        <v>0</v>
      </c>
      <c r="O94" s="21">
        <v>5</v>
      </c>
      <c r="P94" s="21">
        <v>0</v>
      </c>
      <c r="Q94" s="22">
        <v>0</v>
      </c>
      <c r="R94" s="22">
        <v>0</v>
      </c>
      <c r="S94" s="22">
        <v>0</v>
      </c>
      <c r="T94" s="22">
        <v>1</v>
      </c>
      <c r="U94" s="22">
        <v>0</v>
      </c>
      <c r="V94" s="21"/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</row>
    <row r="95" spans="1:42" x14ac:dyDescent="0.25">
      <c r="A95" s="20" t="s">
        <v>139</v>
      </c>
      <c r="B95" s="21">
        <v>10129</v>
      </c>
      <c r="C95" s="21">
        <v>10188</v>
      </c>
      <c r="D95" s="21">
        <v>13976</v>
      </c>
      <c r="E95" s="21">
        <v>16304</v>
      </c>
      <c r="F95" s="21">
        <v>17472</v>
      </c>
      <c r="G95" s="22">
        <v>3.2391996564126654E-3</v>
      </c>
      <c r="H95" s="22">
        <v>3.2449900608642669E-3</v>
      </c>
      <c r="I95" s="22">
        <v>4.4208080374187114E-3</v>
      </c>
      <c r="J95" s="22">
        <v>5.1289439924600997E-3</v>
      </c>
      <c r="K95" s="22">
        <v>5.4898665898319952E-3</v>
      </c>
      <c r="L95" s="21">
        <v>9524</v>
      </c>
      <c r="M95" s="21">
        <v>9706</v>
      </c>
      <c r="N95" s="21">
        <v>13556</v>
      </c>
      <c r="O95" s="21">
        <v>15876</v>
      </c>
      <c r="P95" s="21">
        <v>16972</v>
      </c>
      <c r="Q95" s="22">
        <v>0.94027051041563825</v>
      </c>
      <c r="R95" s="22">
        <v>0.95268943855516297</v>
      </c>
      <c r="S95" s="22">
        <v>0.96994848311390958</v>
      </c>
      <c r="T95" s="22">
        <v>0.97374877330716392</v>
      </c>
      <c r="U95" s="22">
        <v>0.97138278388278387</v>
      </c>
      <c r="V95" s="21"/>
      <c r="W95" s="21">
        <v>14409</v>
      </c>
      <c r="X95" s="21">
        <v>15357</v>
      </c>
      <c r="Y95" s="21">
        <v>14473</v>
      </c>
      <c r="Z95" s="21">
        <v>11350</v>
      </c>
      <c r="AA95" s="21">
        <v>10188</v>
      </c>
      <c r="AB95" s="22">
        <v>4.7658249765743944E-3</v>
      </c>
      <c r="AC95" s="22">
        <v>5.1050971188463419E-3</v>
      </c>
      <c r="AD95" s="22">
        <v>4.7522761541007553E-3</v>
      </c>
      <c r="AE95" s="22">
        <v>3.6809119580992226E-3</v>
      </c>
      <c r="AF95" s="22">
        <v>3.2449900608642669E-3</v>
      </c>
      <c r="AG95" s="21">
        <v>14112</v>
      </c>
      <c r="AH95" s="21">
        <v>14826</v>
      </c>
      <c r="AI95" s="21">
        <v>14023</v>
      </c>
      <c r="AJ95" s="21">
        <v>10945</v>
      </c>
      <c r="AK95" s="21">
        <v>9706</v>
      </c>
      <c r="AL95" s="22">
        <v>0.9793878825733916</v>
      </c>
      <c r="AM95" s="22">
        <v>0.96542293416682945</v>
      </c>
      <c r="AN95" s="22">
        <v>0.96890762108754236</v>
      </c>
      <c r="AO95" s="22">
        <v>0.9643171806167401</v>
      </c>
      <c r="AP95" s="22">
        <v>0.95268943855516297</v>
      </c>
    </row>
    <row r="96" spans="1:42" x14ac:dyDescent="0.25">
      <c r="A96" s="20" t="s">
        <v>53</v>
      </c>
      <c r="B96" s="21">
        <v>29818</v>
      </c>
      <c r="C96" s="21">
        <v>29451</v>
      </c>
      <c r="D96" s="21">
        <v>30616</v>
      </c>
      <c r="E96" s="21">
        <v>29158</v>
      </c>
      <c r="F96" s="21">
        <v>29976</v>
      </c>
      <c r="G96" s="22">
        <v>9.5356358332424583E-3</v>
      </c>
      <c r="H96" s="22">
        <v>9.3804674403723514E-3</v>
      </c>
      <c r="I96" s="22">
        <v>9.684277251975619E-3</v>
      </c>
      <c r="J96" s="22">
        <v>9.1725802828846667E-3</v>
      </c>
      <c r="K96" s="22">
        <v>9.4187408938189044E-3</v>
      </c>
      <c r="L96" s="21">
        <v>29818</v>
      </c>
      <c r="M96" s="21">
        <v>29451</v>
      </c>
      <c r="N96" s="21">
        <v>30616</v>
      </c>
      <c r="O96" s="21">
        <v>29158</v>
      </c>
      <c r="P96" s="21">
        <v>29835</v>
      </c>
      <c r="Q96" s="22">
        <v>1</v>
      </c>
      <c r="R96" s="22">
        <v>1</v>
      </c>
      <c r="S96" s="22">
        <v>1</v>
      </c>
      <c r="T96" s="22">
        <v>1</v>
      </c>
      <c r="U96" s="22">
        <v>0.99529623698959169</v>
      </c>
      <c r="V96" s="21"/>
      <c r="W96" s="21">
        <v>0</v>
      </c>
      <c r="X96" s="21">
        <v>8199</v>
      </c>
      <c r="Y96" s="21">
        <v>21776</v>
      </c>
      <c r="Z96" s="21">
        <v>31074</v>
      </c>
      <c r="AA96" s="21">
        <v>29451</v>
      </c>
      <c r="AB96" s="22">
        <v>0</v>
      </c>
      <c r="AC96" s="22">
        <v>2.7255773443655112E-3</v>
      </c>
      <c r="AD96" s="22">
        <v>7.1502498121811678E-3</v>
      </c>
      <c r="AE96" s="22">
        <v>1.0077591029601343E-2</v>
      </c>
      <c r="AF96" s="22">
        <v>9.3804674403723514E-3</v>
      </c>
      <c r="AG96" s="21">
        <v>0</v>
      </c>
      <c r="AH96" s="21">
        <v>8199</v>
      </c>
      <c r="AI96" s="21">
        <v>21776</v>
      </c>
      <c r="AJ96" s="21">
        <v>31074</v>
      </c>
      <c r="AK96" s="21">
        <v>29451</v>
      </c>
      <c r="AL96" s="22">
        <v>0</v>
      </c>
      <c r="AM96" s="22">
        <v>1</v>
      </c>
      <c r="AN96" s="22">
        <v>1</v>
      </c>
      <c r="AO96" s="22">
        <v>1</v>
      </c>
      <c r="AP96" s="22">
        <v>1</v>
      </c>
    </row>
    <row r="97" spans="1:42" x14ac:dyDescent="0.25">
      <c r="A97" s="20" t="s">
        <v>54</v>
      </c>
      <c r="B97" s="21">
        <v>2214</v>
      </c>
      <c r="C97" s="21">
        <v>2634</v>
      </c>
      <c r="D97" s="21">
        <v>3691</v>
      </c>
      <c r="E97" s="21">
        <v>3905</v>
      </c>
      <c r="F97" s="21">
        <v>3757</v>
      </c>
      <c r="G97" s="22">
        <v>7.080252778455565E-4</v>
      </c>
      <c r="H97" s="22">
        <v>8.3895797215513144E-4</v>
      </c>
      <c r="I97" s="22">
        <v>1.1675159177241315E-3</v>
      </c>
      <c r="J97" s="22">
        <v>1.2284424859271767E-3</v>
      </c>
      <c r="K97" s="22">
        <v>1.1804847057004812E-3</v>
      </c>
      <c r="L97" s="21">
        <v>2120</v>
      </c>
      <c r="M97" s="21">
        <v>2553</v>
      </c>
      <c r="N97" s="21">
        <v>3615</v>
      </c>
      <c r="O97" s="21">
        <v>3826</v>
      </c>
      <c r="P97" s="21">
        <v>3614</v>
      </c>
      <c r="Q97" s="22">
        <v>0.95754290876242099</v>
      </c>
      <c r="R97" s="22">
        <v>0.96924829157175396</v>
      </c>
      <c r="S97" s="22">
        <v>0.97940937415334595</v>
      </c>
      <c r="T97" s="22">
        <v>0.97976952624839952</v>
      </c>
      <c r="U97" s="22">
        <v>0.96193771626297575</v>
      </c>
      <c r="V97" s="21"/>
      <c r="W97" s="21">
        <v>984</v>
      </c>
      <c r="X97" s="21">
        <v>932</v>
      </c>
      <c r="Y97" s="21">
        <v>894</v>
      </c>
      <c r="Z97" s="21">
        <v>784</v>
      </c>
      <c r="AA97" s="21">
        <v>2634</v>
      </c>
      <c r="AB97" s="22">
        <v>3.2546129342419351E-4</v>
      </c>
      <c r="AC97" s="22">
        <v>3.0982291559320121E-4</v>
      </c>
      <c r="AD97" s="22">
        <v>2.935490141481431E-4</v>
      </c>
      <c r="AE97" s="22">
        <v>2.5425858811892427E-4</v>
      </c>
      <c r="AF97" s="22">
        <v>8.3895797215513144E-4</v>
      </c>
      <c r="AG97" s="21">
        <v>984</v>
      </c>
      <c r="AH97" s="21">
        <v>682</v>
      </c>
      <c r="AI97" s="21">
        <v>621</v>
      </c>
      <c r="AJ97" s="21">
        <v>661</v>
      </c>
      <c r="AK97" s="21">
        <v>2553</v>
      </c>
      <c r="AL97" s="22">
        <v>1</v>
      </c>
      <c r="AM97" s="22">
        <v>0.73175965665236054</v>
      </c>
      <c r="AN97" s="22">
        <v>0.69463087248322153</v>
      </c>
      <c r="AO97" s="22">
        <v>0.84311224489795922</v>
      </c>
      <c r="AP97" s="22">
        <v>0.96924829157175396</v>
      </c>
    </row>
    <row r="98" spans="1:42" x14ac:dyDescent="0.25">
      <c r="A98" s="20" t="s">
        <v>55</v>
      </c>
      <c r="B98" s="21">
        <v>0</v>
      </c>
      <c r="C98" s="21">
        <v>363</v>
      </c>
      <c r="D98" s="21">
        <v>394</v>
      </c>
      <c r="E98" s="21">
        <v>523</v>
      </c>
      <c r="F98" s="21">
        <v>598</v>
      </c>
      <c r="G98" s="22">
        <v>0</v>
      </c>
      <c r="H98" s="22">
        <v>1.1561949274575273E-4</v>
      </c>
      <c r="I98" s="22">
        <v>1.2462781673890758E-4</v>
      </c>
      <c r="J98" s="22">
        <v>1.6452635598973456E-4</v>
      </c>
      <c r="K98" s="22">
        <v>1.8789721959246413E-4</v>
      </c>
      <c r="L98" s="21">
        <v>0</v>
      </c>
      <c r="M98" s="21">
        <v>363</v>
      </c>
      <c r="N98" s="21">
        <v>394</v>
      </c>
      <c r="O98" s="21">
        <v>523</v>
      </c>
      <c r="P98" s="21">
        <v>554</v>
      </c>
      <c r="Q98" s="22">
        <v>0</v>
      </c>
      <c r="R98" s="22">
        <v>1</v>
      </c>
      <c r="S98" s="22">
        <v>1</v>
      </c>
      <c r="T98" s="22">
        <v>1</v>
      </c>
      <c r="U98" s="22">
        <v>0.9264214046822743</v>
      </c>
      <c r="V98" s="21"/>
      <c r="W98" s="21">
        <v>0</v>
      </c>
      <c r="X98" s="21">
        <v>0</v>
      </c>
      <c r="Y98" s="21">
        <v>0</v>
      </c>
      <c r="Z98" s="21">
        <v>0</v>
      </c>
      <c r="AA98" s="21">
        <v>363</v>
      </c>
      <c r="AB98" s="22">
        <v>0</v>
      </c>
      <c r="AC98" s="22">
        <v>0</v>
      </c>
      <c r="AD98" s="22">
        <v>0</v>
      </c>
      <c r="AE98" s="22">
        <v>0</v>
      </c>
      <c r="AF98" s="22">
        <v>1.1561949274575273E-4</v>
      </c>
      <c r="AG98" s="21">
        <v>0</v>
      </c>
      <c r="AH98" s="21">
        <v>0</v>
      </c>
      <c r="AI98" s="21">
        <v>0</v>
      </c>
      <c r="AJ98" s="21">
        <v>0</v>
      </c>
      <c r="AK98" s="21">
        <v>363</v>
      </c>
      <c r="AL98" s="22">
        <v>0</v>
      </c>
      <c r="AM98" s="22">
        <v>0</v>
      </c>
      <c r="AN98" s="22">
        <v>0</v>
      </c>
      <c r="AO98" s="22">
        <v>0</v>
      </c>
      <c r="AP98" s="22">
        <v>1</v>
      </c>
    </row>
    <row r="99" spans="1:42" x14ac:dyDescent="0.25">
      <c r="A99" s="20" t="s">
        <v>56</v>
      </c>
      <c r="B99" s="21">
        <v>0</v>
      </c>
      <c r="C99" s="21">
        <v>0</v>
      </c>
      <c r="D99" s="21">
        <v>3</v>
      </c>
      <c r="E99" s="21">
        <v>16</v>
      </c>
      <c r="F99" s="21">
        <v>173</v>
      </c>
      <c r="G99" s="22">
        <v>0</v>
      </c>
      <c r="H99" s="22">
        <v>0</v>
      </c>
      <c r="I99" s="22">
        <v>9.4894276704751956E-7</v>
      </c>
      <c r="J99" s="22">
        <v>5.0333110819039252E-6</v>
      </c>
      <c r="K99" s="22">
        <v>5.4358225734943633E-5</v>
      </c>
      <c r="L99" s="21">
        <v>0</v>
      </c>
      <c r="M99" s="21">
        <v>0</v>
      </c>
      <c r="N99" s="21">
        <v>3</v>
      </c>
      <c r="O99" s="21">
        <v>16</v>
      </c>
      <c r="P99" s="21">
        <v>173</v>
      </c>
      <c r="Q99" s="22">
        <v>0</v>
      </c>
      <c r="R99" s="22">
        <v>0</v>
      </c>
      <c r="S99" s="22">
        <v>1</v>
      </c>
      <c r="T99" s="22">
        <v>1</v>
      </c>
      <c r="U99" s="22">
        <v>1</v>
      </c>
      <c r="V99" s="21"/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</row>
    <row r="100" spans="1:42" x14ac:dyDescent="0.25">
      <c r="A100" s="20" t="s">
        <v>57</v>
      </c>
      <c r="B100" s="21">
        <v>189209</v>
      </c>
      <c r="C100" s="21">
        <v>196905</v>
      </c>
      <c r="D100" s="21">
        <v>203930</v>
      </c>
      <c r="E100" s="21">
        <v>210485</v>
      </c>
      <c r="F100" s="21">
        <v>220363</v>
      </c>
      <c r="G100" s="22">
        <v>6.0508019329665715E-2</v>
      </c>
      <c r="H100" s="22">
        <v>6.2716408317086622E-2</v>
      </c>
      <c r="I100" s="22">
        <v>6.4505966161333556E-2</v>
      </c>
      <c r="J100" s="22">
        <v>6.6214780192159234E-2</v>
      </c>
      <c r="K100" s="22">
        <v>6.9240125419823037E-2</v>
      </c>
      <c r="L100" s="21">
        <v>188519</v>
      </c>
      <c r="M100" s="21">
        <v>196276</v>
      </c>
      <c r="N100" s="21">
        <v>203383</v>
      </c>
      <c r="O100" s="21">
        <v>209987</v>
      </c>
      <c r="P100" s="21">
        <v>219895</v>
      </c>
      <c r="Q100" s="22">
        <v>0.99635323901082928</v>
      </c>
      <c r="R100" s="22">
        <v>0.99680556613595384</v>
      </c>
      <c r="S100" s="22">
        <v>0.99731770705634282</v>
      </c>
      <c r="T100" s="22">
        <v>0.99763403567950215</v>
      </c>
      <c r="U100" s="22">
        <v>0.99787623149076754</v>
      </c>
      <c r="V100" s="21"/>
      <c r="W100" s="21">
        <v>45834</v>
      </c>
      <c r="X100" s="21">
        <v>67101</v>
      </c>
      <c r="Y100" s="21">
        <v>111209</v>
      </c>
      <c r="Z100" s="21">
        <v>163024</v>
      </c>
      <c r="AA100" s="21">
        <v>196905</v>
      </c>
      <c r="AB100" s="22">
        <v>1.515974890528911E-2</v>
      </c>
      <c r="AC100" s="22">
        <v>2.2306252638647418E-2</v>
      </c>
      <c r="AD100" s="22">
        <v>3.6515986928860003E-2</v>
      </c>
      <c r="AE100" s="22">
        <v>5.2870219476402434E-2</v>
      </c>
      <c r="AF100" s="22">
        <v>6.2716408317086622E-2</v>
      </c>
      <c r="AG100" s="21">
        <v>45781</v>
      </c>
      <c r="AH100" s="21">
        <v>67006</v>
      </c>
      <c r="AI100" s="21">
        <v>110994</v>
      </c>
      <c r="AJ100" s="21">
        <v>161671</v>
      </c>
      <c r="AK100" s="21">
        <v>196276</v>
      </c>
      <c r="AL100" s="22">
        <v>0.99884365318322643</v>
      </c>
      <c r="AM100" s="22">
        <v>0.99858422378205991</v>
      </c>
      <c r="AN100" s="22">
        <v>0.99806670323445046</v>
      </c>
      <c r="AO100" s="22">
        <v>0.99170060849936204</v>
      </c>
      <c r="AP100" s="22">
        <v>0.99680556613595384</v>
      </c>
    </row>
    <row r="101" spans="1:42" x14ac:dyDescent="0.25">
      <c r="A101" s="20" t="s">
        <v>58</v>
      </c>
      <c r="B101" s="21">
        <v>1782</v>
      </c>
      <c r="C101" s="21">
        <v>1766</v>
      </c>
      <c r="D101" s="21">
        <v>1502</v>
      </c>
      <c r="E101" s="21">
        <v>1524</v>
      </c>
      <c r="F101" s="21">
        <v>1217</v>
      </c>
      <c r="G101" s="22">
        <v>5.6987400411959426E-4</v>
      </c>
      <c r="H101" s="22">
        <v>5.6249042476308356E-4</v>
      </c>
      <c r="I101" s="22">
        <v>4.7510401203512481E-4</v>
      </c>
      <c r="J101" s="22">
        <v>4.7942288055134887E-4</v>
      </c>
      <c r="K101" s="22">
        <v>3.8239283652847633E-4</v>
      </c>
      <c r="L101" s="21">
        <v>1597</v>
      </c>
      <c r="M101" s="21">
        <v>1569</v>
      </c>
      <c r="N101" s="21">
        <v>1319</v>
      </c>
      <c r="O101" s="21">
        <v>1347</v>
      </c>
      <c r="P101" s="21">
        <v>1124</v>
      </c>
      <c r="Q101" s="22">
        <v>0.89618406285072949</v>
      </c>
      <c r="R101" s="22">
        <v>0.88844847112117775</v>
      </c>
      <c r="S101" s="22">
        <v>0.87816245006657789</v>
      </c>
      <c r="T101" s="22">
        <v>0.88385826771653542</v>
      </c>
      <c r="U101" s="22">
        <v>0.92358258011503702</v>
      </c>
      <c r="V101" s="21"/>
      <c r="W101" s="21">
        <v>5163</v>
      </c>
      <c r="X101" s="21">
        <v>4748</v>
      </c>
      <c r="Y101" s="21">
        <v>3868</v>
      </c>
      <c r="Z101" s="21">
        <v>2494</v>
      </c>
      <c r="AA101" s="21">
        <v>1766</v>
      </c>
      <c r="AB101" s="22">
        <v>1.7076795304360884E-3</v>
      </c>
      <c r="AC101" s="22">
        <v>1.5783682438160077E-3</v>
      </c>
      <c r="AD101" s="22">
        <v>1.2700756003635543E-3</v>
      </c>
      <c r="AE101" s="22">
        <v>8.0882770251096566E-4</v>
      </c>
      <c r="AF101" s="22">
        <v>5.6249042476308356E-4</v>
      </c>
      <c r="AG101" s="21">
        <v>5089</v>
      </c>
      <c r="AH101" s="21">
        <v>4641</v>
      </c>
      <c r="AI101" s="21">
        <v>3240</v>
      </c>
      <c r="AJ101" s="21">
        <v>1144</v>
      </c>
      <c r="AK101" s="21">
        <v>1569</v>
      </c>
      <c r="AL101" s="22">
        <v>0.98566724772419134</v>
      </c>
      <c r="AM101" s="22">
        <v>0.97746419545071606</v>
      </c>
      <c r="AN101" s="22">
        <v>0.8376421923474664</v>
      </c>
      <c r="AO101" s="22">
        <v>0.45870088211708099</v>
      </c>
      <c r="AP101" s="22">
        <v>0.88844847112117775</v>
      </c>
    </row>
    <row r="102" spans="1:42" x14ac:dyDescent="0.25">
      <c r="A102" s="20" t="s">
        <v>59</v>
      </c>
      <c r="B102" s="21">
        <v>128</v>
      </c>
      <c r="C102" s="21">
        <v>128</v>
      </c>
      <c r="D102" s="21">
        <v>128</v>
      </c>
      <c r="E102" s="21">
        <v>128</v>
      </c>
      <c r="F102" s="21">
        <v>128</v>
      </c>
      <c r="G102" s="22">
        <v>4.0933710733618439E-5</v>
      </c>
      <c r="H102" s="22">
        <v>4.0769407910348073E-5</v>
      </c>
      <c r="I102" s="22">
        <v>4.0488224727360834E-5</v>
      </c>
      <c r="J102" s="22">
        <v>4.0266488655231402E-5</v>
      </c>
      <c r="K102" s="22">
        <v>4.0218802855912056E-5</v>
      </c>
      <c r="L102" s="21">
        <v>128</v>
      </c>
      <c r="M102" s="21">
        <v>128</v>
      </c>
      <c r="N102" s="21">
        <v>128</v>
      </c>
      <c r="O102" s="21">
        <v>128</v>
      </c>
      <c r="P102" s="21">
        <v>128</v>
      </c>
      <c r="Q102" s="22">
        <v>1</v>
      </c>
      <c r="R102" s="22">
        <v>1</v>
      </c>
      <c r="S102" s="22">
        <v>1</v>
      </c>
      <c r="T102" s="22">
        <v>1</v>
      </c>
      <c r="U102" s="22">
        <v>1</v>
      </c>
      <c r="V102" s="21"/>
      <c r="W102" s="21">
        <v>0</v>
      </c>
      <c r="X102" s="21">
        <v>0</v>
      </c>
      <c r="Y102" s="21">
        <v>0</v>
      </c>
      <c r="Z102" s="21">
        <v>128</v>
      </c>
      <c r="AA102" s="21">
        <v>128</v>
      </c>
      <c r="AB102" s="22">
        <v>0</v>
      </c>
      <c r="AC102" s="22">
        <v>0</v>
      </c>
      <c r="AD102" s="22">
        <v>0</v>
      </c>
      <c r="AE102" s="22">
        <v>4.1511606223497836E-5</v>
      </c>
      <c r="AF102" s="22">
        <v>4.0769407910348073E-5</v>
      </c>
      <c r="AG102" s="21">
        <v>0</v>
      </c>
      <c r="AH102" s="21">
        <v>0</v>
      </c>
      <c r="AI102" s="21">
        <v>0</v>
      </c>
      <c r="AJ102" s="21">
        <v>0</v>
      </c>
      <c r="AK102" s="21">
        <v>128</v>
      </c>
      <c r="AL102" s="22">
        <v>0</v>
      </c>
      <c r="AM102" s="22">
        <v>0</v>
      </c>
      <c r="AN102" s="22">
        <v>0</v>
      </c>
      <c r="AO102" s="22">
        <v>0</v>
      </c>
      <c r="AP102" s="22">
        <v>1</v>
      </c>
    </row>
    <row r="103" spans="1:42" x14ac:dyDescent="0.25">
      <c r="A103" s="20" t="s">
        <v>60</v>
      </c>
      <c r="B103" s="21">
        <v>31750</v>
      </c>
      <c r="C103" s="21">
        <v>31268</v>
      </c>
      <c r="D103" s="21">
        <v>31013</v>
      </c>
      <c r="E103" s="21">
        <v>30845</v>
      </c>
      <c r="F103" s="21">
        <v>30874</v>
      </c>
      <c r="G103" s="22">
        <v>1.0153479029628012E-2</v>
      </c>
      <c r="H103" s="22">
        <v>9.9592019260997151E-3</v>
      </c>
      <c r="I103" s="22">
        <v>9.8098540114815742E-3</v>
      </c>
      <c r="J103" s="22">
        <v>9.7032800200829109E-3</v>
      </c>
      <c r="K103" s="22">
        <v>9.7009009326049118E-3</v>
      </c>
      <c r="L103" s="21">
        <v>31543</v>
      </c>
      <c r="M103" s="21">
        <v>31105</v>
      </c>
      <c r="N103" s="21">
        <v>30861</v>
      </c>
      <c r="O103" s="21">
        <v>30716</v>
      </c>
      <c r="P103" s="21">
        <v>30665</v>
      </c>
      <c r="Q103" s="22">
        <v>0.99348031496062994</v>
      </c>
      <c r="R103" s="22">
        <v>0.99478700268645259</v>
      </c>
      <c r="S103" s="22">
        <v>0.99509882952310325</v>
      </c>
      <c r="T103" s="22">
        <v>0.99581779867077325</v>
      </c>
      <c r="U103" s="22">
        <v>0.99323054997732718</v>
      </c>
      <c r="V103" s="21"/>
      <c r="W103" s="21">
        <v>17556</v>
      </c>
      <c r="X103" s="21">
        <v>23256</v>
      </c>
      <c r="Y103" s="21">
        <v>29208</v>
      </c>
      <c r="Z103" s="21">
        <v>30891</v>
      </c>
      <c r="AA103" s="21">
        <v>31268</v>
      </c>
      <c r="AB103" s="22">
        <v>5.8067057595072571E-3</v>
      </c>
      <c r="AC103" s="22">
        <v>7.7309460569050283E-3</v>
      </c>
      <c r="AD103" s="22">
        <v>9.5905812139138284E-3</v>
      </c>
      <c r="AE103" s="22">
        <v>1.0018242405078686E-2</v>
      </c>
      <c r="AF103" s="22">
        <v>9.9592019260997151E-3</v>
      </c>
      <c r="AG103" s="21">
        <v>17499</v>
      </c>
      <c r="AH103" s="21">
        <v>23227</v>
      </c>
      <c r="AI103" s="21">
        <v>29111</v>
      </c>
      <c r="AJ103" s="21">
        <v>30705</v>
      </c>
      <c r="AK103" s="21">
        <v>31105</v>
      </c>
      <c r="AL103" s="22">
        <v>0.99675324675324672</v>
      </c>
      <c r="AM103" s="22">
        <v>0.9987530099759202</v>
      </c>
      <c r="AN103" s="22">
        <v>0.99667899205697075</v>
      </c>
      <c r="AO103" s="22">
        <v>0.99397882878508304</v>
      </c>
      <c r="AP103" s="22">
        <v>0.99478700268645259</v>
      </c>
    </row>
    <row r="104" spans="1:42" x14ac:dyDescent="0.25">
      <c r="A104" s="20" t="s">
        <v>61</v>
      </c>
      <c r="B104" s="21">
        <v>0</v>
      </c>
      <c r="C104" s="21">
        <v>0</v>
      </c>
      <c r="D104" s="21">
        <v>25</v>
      </c>
      <c r="E104" s="21">
        <v>1942</v>
      </c>
      <c r="F104" s="21">
        <v>5440</v>
      </c>
      <c r="G104" s="22">
        <v>0</v>
      </c>
      <c r="H104" s="22">
        <v>0</v>
      </c>
      <c r="I104" s="22">
        <v>7.907856392062663E-6</v>
      </c>
      <c r="J104" s="22">
        <v>6.1091813256608897E-4</v>
      </c>
      <c r="K104" s="22">
        <v>1.7092991213762624E-3</v>
      </c>
      <c r="L104" s="21">
        <v>0</v>
      </c>
      <c r="M104" s="21">
        <v>0</v>
      </c>
      <c r="N104" s="21">
        <v>25</v>
      </c>
      <c r="O104" s="21">
        <v>1942</v>
      </c>
      <c r="P104" s="21">
        <v>5263</v>
      </c>
      <c r="Q104" s="22">
        <v>0</v>
      </c>
      <c r="R104" s="22">
        <v>0</v>
      </c>
      <c r="S104" s="22">
        <v>1</v>
      </c>
      <c r="T104" s="22">
        <v>1</v>
      </c>
      <c r="U104" s="22">
        <v>0.9674632352941176</v>
      </c>
      <c r="V104" s="21"/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</row>
    <row r="105" spans="1:42" x14ac:dyDescent="0.25">
      <c r="A105" s="20" t="s">
        <v>65</v>
      </c>
      <c r="B105" s="21">
        <v>0</v>
      </c>
      <c r="C105" s="21">
        <v>0</v>
      </c>
      <c r="D105" s="21">
        <v>0</v>
      </c>
      <c r="E105" s="21">
        <v>0</v>
      </c>
      <c r="F105" s="21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21"/>
      <c r="W105" s="21">
        <v>0</v>
      </c>
      <c r="X105" s="21">
        <v>0</v>
      </c>
      <c r="Y105" s="21">
        <v>23</v>
      </c>
      <c r="Z105" s="21">
        <v>0</v>
      </c>
      <c r="AA105" s="21">
        <v>0</v>
      </c>
      <c r="AB105" s="22">
        <v>0</v>
      </c>
      <c r="AC105" s="22">
        <v>0</v>
      </c>
      <c r="AD105" s="22">
        <v>7.5521558449745984E-6</v>
      </c>
      <c r="AE105" s="22">
        <v>0</v>
      </c>
      <c r="AF105" s="22">
        <v>0</v>
      </c>
      <c r="AG105" s="21">
        <v>0</v>
      </c>
      <c r="AH105" s="21">
        <v>0</v>
      </c>
      <c r="AI105" s="21">
        <v>23</v>
      </c>
      <c r="AJ105" s="21">
        <v>0</v>
      </c>
      <c r="AK105" s="21">
        <v>0</v>
      </c>
      <c r="AL105" s="22">
        <v>0</v>
      </c>
      <c r="AM105" s="22">
        <v>0</v>
      </c>
      <c r="AN105" s="22">
        <v>1</v>
      </c>
      <c r="AO105" s="22">
        <v>0</v>
      </c>
      <c r="AP105" s="22">
        <v>0</v>
      </c>
    </row>
    <row r="106" spans="1:42" x14ac:dyDescent="0.25">
      <c r="A106" s="20" t="s">
        <v>66</v>
      </c>
      <c r="B106" s="21">
        <v>597</v>
      </c>
      <c r="C106" s="21">
        <v>813</v>
      </c>
      <c r="D106" s="21">
        <v>953</v>
      </c>
      <c r="E106" s="21">
        <v>1349</v>
      </c>
      <c r="F106" s="21">
        <v>1331</v>
      </c>
      <c r="G106" s="22">
        <v>1.9091738521851727E-4</v>
      </c>
      <c r="H106" s="22">
        <v>2.5894944243057017E-4</v>
      </c>
      <c r="I106" s="22">
        <v>3.0144748566542871E-4</v>
      </c>
      <c r="J106" s="22">
        <v>4.243710405930247E-4</v>
      </c>
      <c r="K106" s="22">
        <v>4.18212707822023E-4</v>
      </c>
      <c r="L106" s="21">
        <v>597</v>
      </c>
      <c r="M106" s="21">
        <v>813</v>
      </c>
      <c r="N106" s="21">
        <v>953</v>
      </c>
      <c r="O106" s="21">
        <v>1349</v>
      </c>
      <c r="P106" s="21">
        <v>1331</v>
      </c>
      <c r="Q106" s="22">
        <v>1</v>
      </c>
      <c r="R106" s="22">
        <v>1</v>
      </c>
      <c r="S106" s="22">
        <v>1</v>
      </c>
      <c r="T106" s="22">
        <v>1</v>
      </c>
      <c r="U106" s="22">
        <v>1</v>
      </c>
      <c r="V106" s="21"/>
      <c r="W106" s="21">
        <v>0</v>
      </c>
      <c r="X106" s="21">
        <v>0</v>
      </c>
      <c r="Y106" s="21">
        <v>0</v>
      </c>
      <c r="Z106" s="21">
        <v>0</v>
      </c>
      <c r="AA106" s="21">
        <v>813</v>
      </c>
      <c r="AB106" s="22">
        <v>0</v>
      </c>
      <c r="AC106" s="22">
        <v>0</v>
      </c>
      <c r="AD106" s="22">
        <v>0</v>
      </c>
      <c r="AE106" s="22">
        <v>0</v>
      </c>
      <c r="AF106" s="22">
        <v>2.5894944243057017E-4</v>
      </c>
      <c r="AG106" s="21">
        <v>0</v>
      </c>
      <c r="AH106" s="21">
        <v>0</v>
      </c>
      <c r="AI106" s="21">
        <v>0</v>
      </c>
      <c r="AJ106" s="21">
        <v>0</v>
      </c>
      <c r="AK106" s="21">
        <v>813</v>
      </c>
      <c r="AL106" s="22">
        <v>0</v>
      </c>
      <c r="AM106" s="22">
        <v>0</v>
      </c>
      <c r="AN106" s="22">
        <v>0</v>
      </c>
      <c r="AO106" s="22">
        <v>0</v>
      </c>
      <c r="AP106" s="22">
        <v>1</v>
      </c>
    </row>
    <row r="107" spans="1:42" x14ac:dyDescent="0.25">
      <c r="A107" s="31" t="s">
        <v>72</v>
      </c>
      <c r="B107" s="29">
        <v>3127007</v>
      </c>
      <c r="C107" s="29">
        <v>3139609</v>
      </c>
      <c r="D107" s="29">
        <v>3161413</v>
      </c>
      <c r="E107" s="29">
        <v>3178822</v>
      </c>
      <c r="F107" s="29">
        <v>3182591</v>
      </c>
      <c r="G107" s="24">
        <v>1</v>
      </c>
      <c r="H107" s="24">
        <v>1</v>
      </c>
      <c r="I107" s="24">
        <v>1</v>
      </c>
      <c r="J107" s="24">
        <v>1</v>
      </c>
      <c r="K107" s="24">
        <v>1</v>
      </c>
      <c r="L107" s="29">
        <v>2615871</v>
      </c>
      <c r="M107" s="29">
        <v>2666090</v>
      </c>
      <c r="N107" s="29">
        <v>2716961</v>
      </c>
      <c r="O107" s="29">
        <v>2754963</v>
      </c>
      <c r="P107" s="29">
        <v>2760818</v>
      </c>
      <c r="Q107" s="24">
        <v>0.83654145961297821</v>
      </c>
      <c r="R107" s="24">
        <v>0.84917899012265541</v>
      </c>
      <c r="S107" s="24">
        <v>0.85941349643339859</v>
      </c>
      <c r="T107" s="24">
        <v>0.86666161238345529</v>
      </c>
      <c r="U107" s="24">
        <v>0.8674749598676047</v>
      </c>
      <c r="V107" s="23"/>
      <c r="W107" s="29">
        <v>3023401</v>
      </c>
      <c r="X107" s="29">
        <v>3008170</v>
      </c>
      <c r="Y107" s="29">
        <v>3045488</v>
      </c>
      <c r="Z107" s="29">
        <v>3083475</v>
      </c>
      <c r="AA107" s="29">
        <v>3139609</v>
      </c>
      <c r="AB107" s="24">
        <v>1</v>
      </c>
      <c r="AC107" s="24">
        <v>1</v>
      </c>
      <c r="AD107" s="24">
        <v>1</v>
      </c>
      <c r="AE107" s="24">
        <v>1</v>
      </c>
      <c r="AF107" s="24">
        <v>1</v>
      </c>
      <c r="AG107" s="29">
        <v>1940672</v>
      </c>
      <c r="AH107" s="29">
        <v>2109006</v>
      </c>
      <c r="AI107" s="29">
        <v>2274905</v>
      </c>
      <c r="AJ107" s="29">
        <v>2438863</v>
      </c>
      <c r="AK107" s="29">
        <v>2666090</v>
      </c>
      <c r="AL107" s="24">
        <v>0.64188375938223208</v>
      </c>
      <c r="AM107" s="24">
        <v>0.70109269090510173</v>
      </c>
      <c r="AN107" s="24">
        <v>0.7469755257613887</v>
      </c>
      <c r="AO107" s="24">
        <v>0.79094625382077044</v>
      </c>
      <c r="AP107" s="24">
        <v>0.84917899012265541</v>
      </c>
    </row>
    <row r="108" spans="1:42" x14ac:dyDescent="0.25">
      <c r="A108" s="20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</row>
    <row r="109" spans="1:42" x14ac:dyDescent="0.25">
      <c r="A109" s="30" t="s">
        <v>73</v>
      </c>
      <c r="B109" s="27" t="s">
        <v>12</v>
      </c>
      <c r="C109" s="27" t="s">
        <v>13</v>
      </c>
      <c r="D109" s="27" t="s">
        <v>14</v>
      </c>
      <c r="E109" s="27" t="s">
        <v>15</v>
      </c>
      <c r="F109" s="27" t="s">
        <v>16</v>
      </c>
      <c r="G109" s="27" t="s">
        <v>12</v>
      </c>
      <c r="H109" s="27" t="s">
        <v>13</v>
      </c>
      <c r="I109" s="27" t="s">
        <v>14</v>
      </c>
      <c r="J109" s="27" t="s">
        <v>15</v>
      </c>
      <c r="K109" s="27" t="s">
        <v>16</v>
      </c>
      <c r="L109" s="27" t="s">
        <v>12</v>
      </c>
      <c r="M109" s="27" t="s">
        <v>13</v>
      </c>
      <c r="N109" s="27" t="s">
        <v>14</v>
      </c>
      <c r="O109" s="27" t="s">
        <v>15</v>
      </c>
      <c r="P109" s="27" t="s">
        <v>16</v>
      </c>
      <c r="Q109" s="27" t="s">
        <v>12</v>
      </c>
      <c r="R109" s="27" t="s">
        <v>13</v>
      </c>
      <c r="S109" s="27" t="s">
        <v>14</v>
      </c>
      <c r="T109" s="27" t="s">
        <v>15</v>
      </c>
      <c r="U109" s="27" t="s">
        <v>16</v>
      </c>
      <c r="V109" s="27"/>
      <c r="W109" s="27" t="s">
        <v>17</v>
      </c>
      <c r="X109" s="27" t="s">
        <v>18</v>
      </c>
      <c r="Y109" s="27" t="s">
        <v>19</v>
      </c>
      <c r="Z109" s="27" t="s">
        <v>20</v>
      </c>
      <c r="AA109" s="27" t="s">
        <v>21</v>
      </c>
      <c r="AB109" s="27" t="s">
        <v>17</v>
      </c>
      <c r="AC109" s="27" t="s">
        <v>18</v>
      </c>
      <c r="AD109" s="27" t="s">
        <v>19</v>
      </c>
      <c r="AE109" s="27" t="s">
        <v>20</v>
      </c>
      <c r="AF109" s="27" t="s">
        <v>21</v>
      </c>
      <c r="AG109" s="27" t="s">
        <v>17</v>
      </c>
      <c r="AH109" s="27" t="s">
        <v>18</v>
      </c>
      <c r="AI109" s="27" t="s">
        <v>19</v>
      </c>
      <c r="AJ109" s="27" t="s">
        <v>20</v>
      </c>
      <c r="AK109" s="27" t="s">
        <v>21</v>
      </c>
      <c r="AL109" s="27" t="s">
        <v>17</v>
      </c>
      <c r="AM109" s="27" t="s">
        <v>18</v>
      </c>
      <c r="AN109" s="27" t="s">
        <v>19</v>
      </c>
      <c r="AO109" s="27" t="s">
        <v>20</v>
      </c>
      <c r="AP109" s="27" t="s">
        <v>21</v>
      </c>
    </row>
    <row r="110" spans="1:42" x14ac:dyDescent="0.25">
      <c r="A110" s="20" t="s">
        <v>22</v>
      </c>
      <c r="B110" s="21">
        <v>1691</v>
      </c>
      <c r="C110" s="21">
        <v>3125</v>
      </c>
      <c r="D110" s="21">
        <v>4723</v>
      </c>
      <c r="E110" s="21">
        <v>5071</v>
      </c>
      <c r="F110" s="21">
        <v>4816</v>
      </c>
      <c r="G110" s="22">
        <v>8.6620711416773681E-4</v>
      </c>
      <c r="H110" s="22">
        <v>1.5781393610681857E-3</v>
      </c>
      <c r="I110" s="22">
        <v>2.3760174667216694E-3</v>
      </c>
      <c r="J110" s="22">
        <v>2.5355862099311378E-3</v>
      </c>
      <c r="K110" s="22">
        <v>2.4035366324734967E-3</v>
      </c>
      <c r="L110" s="21">
        <v>1675</v>
      </c>
      <c r="M110" s="21">
        <v>3090</v>
      </c>
      <c r="N110" s="21">
        <v>4645</v>
      </c>
      <c r="O110" s="21">
        <v>4955</v>
      </c>
      <c r="P110" s="21">
        <v>4701</v>
      </c>
      <c r="Q110" s="22">
        <v>0.99053814311058541</v>
      </c>
      <c r="R110" s="22">
        <v>0.98880000000000001</v>
      </c>
      <c r="S110" s="22">
        <v>0.98348507304679234</v>
      </c>
      <c r="T110" s="22">
        <v>0.97712482745020701</v>
      </c>
      <c r="U110" s="22">
        <v>0.97612126245847175</v>
      </c>
      <c r="V110" s="21"/>
      <c r="W110" s="21">
        <v>0</v>
      </c>
      <c r="X110" s="21">
        <v>0</v>
      </c>
      <c r="Y110" s="21">
        <v>0</v>
      </c>
      <c r="Z110" s="21">
        <v>0</v>
      </c>
      <c r="AA110" s="21">
        <v>3125</v>
      </c>
      <c r="AB110" s="22">
        <v>0</v>
      </c>
      <c r="AC110" s="22">
        <v>0</v>
      </c>
      <c r="AD110" s="22">
        <v>0</v>
      </c>
      <c r="AE110" s="22">
        <v>0</v>
      </c>
      <c r="AF110" s="22">
        <v>1.5781393610681857E-3</v>
      </c>
      <c r="AG110" s="21">
        <v>0</v>
      </c>
      <c r="AH110" s="21">
        <v>0</v>
      </c>
      <c r="AI110" s="21">
        <v>0</v>
      </c>
      <c r="AJ110" s="21">
        <v>0</v>
      </c>
      <c r="AK110" s="21">
        <v>3090</v>
      </c>
      <c r="AL110" s="22">
        <v>0</v>
      </c>
      <c r="AM110" s="22">
        <v>0</v>
      </c>
      <c r="AN110" s="22">
        <v>0</v>
      </c>
      <c r="AO110" s="22">
        <v>0</v>
      </c>
      <c r="AP110" s="22">
        <v>0.98880000000000001</v>
      </c>
    </row>
    <row r="111" spans="1:42" x14ac:dyDescent="0.25">
      <c r="A111" s="20" t="s">
        <v>24</v>
      </c>
      <c r="B111" s="21">
        <v>340034</v>
      </c>
      <c r="C111" s="21">
        <v>334304</v>
      </c>
      <c r="D111" s="21">
        <v>332672</v>
      </c>
      <c r="E111" s="21">
        <v>331857</v>
      </c>
      <c r="F111" s="21">
        <v>335497</v>
      </c>
      <c r="G111" s="22">
        <v>0.17418088105198831</v>
      </c>
      <c r="H111" s="22">
        <v>0.16882505630801239</v>
      </c>
      <c r="I111" s="22">
        <v>0.16735856080652789</v>
      </c>
      <c r="J111" s="22">
        <v>0.16593414176081986</v>
      </c>
      <c r="K111" s="22">
        <v>0.16743756843541543</v>
      </c>
      <c r="L111" s="21">
        <v>282963</v>
      </c>
      <c r="M111" s="21">
        <v>282301</v>
      </c>
      <c r="N111" s="21">
        <v>282828</v>
      </c>
      <c r="O111" s="21">
        <v>283779</v>
      </c>
      <c r="P111" s="21">
        <v>288634</v>
      </c>
      <c r="Q111" s="22">
        <v>0.83216090155690314</v>
      </c>
      <c r="R111" s="22">
        <v>0.84444397913276537</v>
      </c>
      <c r="S111" s="22">
        <v>0.85017073874567139</v>
      </c>
      <c r="T111" s="22">
        <v>0.85512434572722584</v>
      </c>
      <c r="U111" s="22">
        <v>0.86031767795241088</v>
      </c>
      <c r="V111" s="21"/>
      <c r="W111" s="21">
        <v>0</v>
      </c>
      <c r="X111" s="21">
        <v>0</v>
      </c>
      <c r="Y111" s="21">
        <v>346968</v>
      </c>
      <c r="Z111" s="21">
        <v>360451</v>
      </c>
      <c r="AA111" s="21">
        <v>334304</v>
      </c>
      <c r="AB111" s="22">
        <v>0</v>
      </c>
      <c r="AC111" s="22">
        <v>0</v>
      </c>
      <c r="AD111" s="22">
        <v>0.18292416751283486</v>
      </c>
      <c r="AE111" s="22">
        <v>0.18654141937727581</v>
      </c>
      <c r="AF111" s="22">
        <v>0.16882505630801239</v>
      </c>
      <c r="AG111" s="21">
        <v>0</v>
      </c>
      <c r="AH111" s="21">
        <v>0</v>
      </c>
      <c r="AI111" s="21">
        <v>263592</v>
      </c>
      <c r="AJ111" s="21">
        <v>288566</v>
      </c>
      <c r="AK111" s="21">
        <v>282301</v>
      </c>
      <c r="AL111" s="22">
        <v>0</v>
      </c>
      <c r="AM111" s="22">
        <v>0</v>
      </c>
      <c r="AN111" s="22">
        <v>0.75970118281801202</v>
      </c>
      <c r="AO111" s="22">
        <v>0.80056928681013506</v>
      </c>
      <c r="AP111" s="22">
        <v>0.84444397913276537</v>
      </c>
    </row>
    <row r="112" spans="1:42" x14ac:dyDescent="0.25">
      <c r="A112" s="20" t="s">
        <v>25</v>
      </c>
      <c r="B112" s="21">
        <v>70996</v>
      </c>
      <c r="C112" s="21">
        <v>124966</v>
      </c>
      <c r="D112" s="21">
        <v>143315</v>
      </c>
      <c r="E112" s="21">
        <v>158503</v>
      </c>
      <c r="F112" s="21">
        <v>168088</v>
      </c>
      <c r="G112" s="22">
        <v>3.6367380412449822E-2</v>
      </c>
      <c r="H112" s="22">
        <v>6.3108404286479E-2</v>
      </c>
      <c r="I112" s="22">
        <v>7.2098018895451213E-2</v>
      </c>
      <c r="J112" s="22">
        <v>7.9254194642617848E-2</v>
      </c>
      <c r="K112" s="22">
        <v>8.3888219576246911E-2</v>
      </c>
      <c r="L112" s="21">
        <v>70706</v>
      </c>
      <c r="M112" s="21">
        <v>124873</v>
      </c>
      <c r="N112" s="21">
        <v>143083</v>
      </c>
      <c r="O112" s="21">
        <v>158492</v>
      </c>
      <c r="P112" s="21">
        <v>168010</v>
      </c>
      <c r="Q112" s="22">
        <v>0.99591526283170884</v>
      </c>
      <c r="R112" s="22">
        <v>0.99925579757694094</v>
      </c>
      <c r="S112" s="22">
        <v>0.99838118829152567</v>
      </c>
      <c r="T112" s="22">
        <v>0.99993060068263695</v>
      </c>
      <c r="U112" s="22">
        <v>0.9995359573556708</v>
      </c>
      <c r="V112" s="21"/>
      <c r="W112" s="21">
        <v>0</v>
      </c>
      <c r="X112" s="21">
        <v>0</v>
      </c>
      <c r="Y112" s="21">
        <v>0</v>
      </c>
      <c r="Z112" s="21">
        <v>2</v>
      </c>
      <c r="AA112" s="21">
        <v>124966</v>
      </c>
      <c r="AB112" s="22">
        <v>0</v>
      </c>
      <c r="AC112" s="22">
        <v>0</v>
      </c>
      <c r="AD112" s="22">
        <v>0</v>
      </c>
      <c r="AE112" s="22">
        <v>1.0350445379664688E-6</v>
      </c>
      <c r="AF112" s="22">
        <v>6.3108404286479E-2</v>
      </c>
      <c r="AG112" s="21">
        <v>0</v>
      </c>
      <c r="AH112" s="21">
        <v>0</v>
      </c>
      <c r="AI112" s="21">
        <v>0</v>
      </c>
      <c r="AJ112" s="21">
        <v>2</v>
      </c>
      <c r="AK112" s="21">
        <v>124873</v>
      </c>
      <c r="AL112" s="22">
        <v>0</v>
      </c>
      <c r="AM112" s="22">
        <v>0</v>
      </c>
      <c r="AN112" s="22">
        <v>0</v>
      </c>
      <c r="AO112" s="22">
        <v>1</v>
      </c>
      <c r="AP112" s="22">
        <v>0.99925579757694094</v>
      </c>
    </row>
    <row r="113" spans="1:42" x14ac:dyDescent="0.25">
      <c r="A113" s="20" t="s">
        <v>26</v>
      </c>
      <c r="B113" s="21">
        <v>51190</v>
      </c>
      <c r="C113" s="21">
        <v>45837</v>
      </c>
      <c r="D113" s="21">
        <v>42446</v>
      </c>
      <c r="E113" s="21">
        <v>40527</v>
      </c>
      <c r="F113" s="21">
        <v>39385</v>
      </c>
      <c r="G113" s="22">
        <v>2.6221846347868984E-2</v>
      </c>
      <c r="H113" s="22">
        <v>2.3147895645850378E-2</v>
      </c>
      <c r="I113" s="22">
        <v>2.1353469699866182E-2</v>
      </c>
      <c r="J113" s="22">
        <v>2.0264188982425404E-2</v>
      </c>
      <c r="K113" s="22">
        <v>1.9655998810209442E-2</v>
      </c>
      <c r="L113" s="21">
        <v>50453</v>
      </c>
      <c r="M113" s="21">
        <v>45016</v>
      </c>
      <c r="N113" s="21">
        <v>41677</v>
      </c>
      <c r="O113" s="21">
        <v>39864</v>
      </c>
      <c r="P113" s="21">
        <v>38392</v>
      </c>
      <c r="Q113" s="22">
        <v>0.98560265676890013</v>
      </c>
      <c r="R113" s="22">
        <v>0.98208870563082229</v>
      </c>
      <c r="S113" s="22">
        <v>0.981882862931725</v>
      </c>
      <c r="T113" s="22">
        <v>0.98364053593900358</v>
      </c>
      <c r="U113" s="22">
        <v>0.97478735559223051</v>
      </c>
      <c r="V113" s="21"/>
      <c r="W113" s="21">
        <v>0</v>
      </c>
      <c r="X113" s="21">
        <v>0</v>
      </c>
      <c r="Y113" s="21">
        <v>54006</v>
      </c>
      <c r="Z113" s="21">
        <v>59664</v>
      </c>
      <c r="AA113" s="21">
        <v>45837</v>
      </c>
      <c r="AB113" s="22">
        <v>0</v>
      </c>
      <c r="AC113" s="22">
        <v>0</v>
      </c>
      <c r="AD113" s="22">
        <v>2.8472373794408014E-2</v>
      </c>
      <c r="AE113" s="22">
        <v>3.0877448656615694E-2</v>
      </c>
      <c r="AF113" s="22">
        <v>2.3147895645850378E-2</v>
      </c>
      <c r="AG113" s="21">
        <v>0</v>
      </c>
      <c r="AH113" s="21">
        <v>0</v>
      </c>
      <c r="AI113" s="21">
        <v>53232</v>
      </c>
      <c r="AJ113" s="21">
        <v>58825</v>
      </c>
      <c r="AK113" s="21">
        <v>45016</v>
      </c>
      <c r="AL113" s="22">
        <v>0</v>
      </c>
      <c r="AM113" s="22">
        <v>0</v>
      </c>
      <c r="AN113" s="22">
        <v>0.98566825908232414</v>
      </c>
      <c r="AO113" s="22">
        <v>0.98593791901314021</v>
      </c>
      <c r="AP113" s="22">
        <v>0.98208870563082229</v>
      </c>
    </row>
    <row r="114" spans="1:42" x14ac:dyDescent="0.25">
      <c r="A114" s="20" t="s">
        <v>31</v>
      </c>
      <c r="B114" s="21">
        <v>4788</v>
      </c>
      <c r="C114" s="21">
        <v>4632</v>
      </c>
      <c r="D114" s="21">
        <v>4500</v>
      </c>
      <c r="E114" s="21">
        <v>4529</v>
      </c>
      <c r="F114" s="21">
        <v>4535</v>
      </c>
      <c r="G114" s="22">
        <v>2.4526313794412326E-3</v>
      </c>
      <c r="H114" s="22">
        <v>2.3391812865497076E-3</v>
      </c>
      <c r="I114" s="22">
        <v>2.2638320136031151E-3</v>
      </c>
      <c r="J114" s="22">
        <v>2.2645769956178511E-3</v>
      </c>
      <c r="K114" s="22">
        <v>2.2632970573644743E-3</v>
      </c>
      <c r="L114" s="21">
        <v>638</v>
      </c>
      <c r="M114" s="21">
        <v>582</v>
      </c>
      <c r="N114" s="21">
        <v>700</v>
      </c>
      <c r="O114" s="21">
        <v>856</v>
      </c>
      <c r="P114" s="21">
        <v>1004</v>
      </c>
      <c r="Q114" s="22">
        <v>0.13324979114452798</v>
      </c>
      <c r="R114" s="22">
        <v>0.12564766839378239</v>
      </c>
      <c r="S114" s="22">
        <v>0.15555555555555556</v>
      </c>
      <c r="T114" s="22">
        <v>0.18900419518657541</v>
      </c>
      <c r="U114" s="22">
        <v>0.22138919514884234</v>
      </c>
      <c r="V114" s="21"/>
      <c r="W114" s="21">
        <v>0</v>
      </c>
      <c r="X114" s="21">
        <v>0</v>
      </c>
      <c r="Y114" s="21">
        <v>4231</v>
      </c>
      <c r="Z114" s="21">
        <v>6278</v>
      </c>
      <c r="AA114" s="21">
        <v>4632</v>
      </c>
      <c r="AB114" s="22">
        <v>0</v>
      </c>
      <c r="AC114" s="22">
        <v>0</v>
      </c>
      <c r="AD114" s="22">
        <v>2.2306153672580881E-3</v>
      </c>
      <c r="AE114" s="22">
        <v>3.2490048046767452E-3</v>
      </c>
      <c r="AF114" s="22">
        <v>2.3391812865497076E-3</v>
      </c>
      <c r="AG114" s="21">
        <v>0</v>
      </c>
      <c r="AH114" s="21">
        <v>0</v>
      </c>
      <c r="AI114" s="21">
        <v>477</v>
      </c>
      <c r="AJ114" s="21">
        <v>845</v>
      </c>
      <c r="AK114" s="21">
        <v>582</v>
      </c>
      <c r="AL114" s="22">
        <v>0</v>
      </c>
      <c r="AM114" s="22">
        <v>0</v>
      </c>
      <c r="AN114" s="22">
        <v>0.11273930512881115</v>
      </c>
      <c r="AO114" s="22">
        <v>0.13459700541573749</v>
      </c>
      <c r="AP114" s="22">
        <v>0.12564766839378239</v>
      </c>
    </row>
    <row r="115" spans="1:42" x14ac:dyDescent="0.25">
      <c r="A115" s="20" t="s">
        <v>32</v>
      </c>
      <c r="B115" s="21">
        <v>0</v>
      </c>
      <c r="C115" s="21">
        <v>0</v>
      </c>
      <c r="D115" s="21">
        <v>1</v>
      </c>
      <c r="E115" s="21">
        <v>2</v>
      </c>
      <c r="F115" s="21">
        <v>2</v>
      </c>
      <c r="G115" s="22">
        <v>0</v>
      </c>
      <c r="H115" s="22">
        <v>0</v>
      </c>
      <c r="I115" s="22">
        <v>5.0307378080069227E-7</v>
      </c>
      <c r="J115" s="22">
        <v>1.0000340011560393E-6</v>
      </c>
      <c r="K115" s="22">
        <v>9.9814644205709991E-7</v>
      </c>
      <c r="L115" s="21">
        <v>0</v>
      </c>
      <c r="M115" s="21">
        <v>0</v>
      </c>
      <c r="N115" s="21">
        <v>0</v>
      </c>
      <c r="O115" s="21">
        <v>0</v>
      </c>
      <c r="P115" s="21">
        <v>2</v>
      </c>
      <c r="Q115" s="22">
        <v>0</v>
      </c>
      <c r="R115" s="22">
        <v>0</v>
      </c>
      <c r="S115" s="22">
        <v>0</v>
      </c>
      <c r="T115" s="22">
        <v>0</v>
      </c>
      <c r="U115" s="22">
        <v>1</v>
      </c>
      <c r="V115" s="21"/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</row>
    <row r="116" spans="1:42" x14ac:dyDescent="0.25">
      <c r="A116" s="20" t="s">
        <v>33</v>
      </c>
      <c r="B116" s="21">
        <v>13458</v>
      </c>
      <c r="C116" s="21">
        <v>12287</v>
      </c>
      <c r="D116" s="21">
        <v>11608</v>
      </c>
      <c r="E116" s="21">
        <v>11200</v>
      </c>
      <c r="F116" s="21">
        <v>11274</v>
      </c>
      <c r="G116" s="22">
        <v>6.8937997294319349E-3</v>
      </c>
      <c r="H116" s="22">
        <v>6.2049914654223352E-3</v>
      </c>
      <c r="I116" s="22">
        <v>5.8396804475344356E-3</v>
      </c>
      <c r="J116" s="22">
        <v>5.6001904064738204E-3</v>
      </c>
      <c r="K116" s="22">
        <v>5.6265514938758721E-3</v>
      </c>
      <c r="L116" s="21">
        <v>13092</v>
      </c>
      <c r="M116" s="21">
        <v>11940</v>
      </c>
      <c r="N116" s="21">
        <v>11221</v>
      </c>
      <c r="O116" s="21">
        <v>10863</v>
      </c>
      <c r="P116" s="21">
        <v>10978</v>
      </c>
      <c r="Q116" s="22">
        <v>0.97280427998216679</v>
      </c>
      <c r="R116" s="22">
        <v>0.97175876943110606</v>
      </c>
      <c r="S116" s="22">
        <v>0.96666092350103372</v>
      </c>
      <c r="T116" s="22">
        <v>0.96991071428571429</v>
      </c>
      <c r="U116" s="22">
        <v>0.97374489976938083</v>
      </c>
      <c r="V116" s="21"/>
      <c r="W116" s="21">
        <v>0</v>
      </c>
      <c r="X116" s="21">
        <v>0</v>
      </c>
      <c r="Y116" s="21">
        <v>16218</v>
      </c>
      <c r="Z116" s="21">
        <v>18040</v>
      </c>
      <c r="AA116" s="21">
        <v>12287</v>
      </c>
      <c r="AB116" s="22">
        <v>0</v>
      </c>
      <c r="AC116" s="22">
        <v>0</v>
      </c>
      <c r="AD116" s="22">
        <v>8.5502529014870425E-3</v>
      </c>
      <c r="AE116" s="22">
        <v>9.3361017324575472E-3</v>
      </c>
      <c r="AF116" s="22">
        <v>6.2049914654223352E-3</v>
      </c>
      <c r="AG116" s="21">
        <v>0</v>
      </c>
      <c r="AH116" s="21">
        <v>0</v>
      </c>
      <c r="AI116" s="21">
        <v>16074</v>
      </c>
      <c r="AJ116" s="21">
        <v>17642</v>
      </c>
      <c r="AK116" s="21">
        <v>11940</v>
      </c>
      <c r="AL116" s="22">
        <v>0</v>
      </c>
      <c r="AM116" s="22">
        <v>0</v>
      </c>
      <c r="AN116" s="22">
        <v>0.99112097669256383</v>
      </c>
      <c r="AO116" s="22">
        <v>0.97793791574279376</v>
      </c>
      <c r="AP116" s="22">
        <v>0.97175876943110606</v>
      </c>
    </row>
    <row r="117" spans="1:42" x14ac:dyDescent="0.25">
      <c r="A117" s="20" t="s">
        <v>34</v>
      </c>
      <c r="B117" s="21">
        <v>1477</v>
      </c>
      <c r="C117" s="21">
        <v>1520</v>
      </c>
      <c r="D117" s="21">
        <v>1571</v>
      </c>
      <c r="E117" s="21">
        <v>1665</v>
      </c>
      <c r="F117" s="21">
        <v>1702</v>
      </c>
      <c r="G117" s="22">
        <v>7.5658658050014628E-4</v>
      </c>
      <c r="H117" s="22">
        <v>7.6760698522356549E-4</v>
      </c>
      <c r="I117" s="22">
        <v>7.9032890963788745E-4</v>
      </c>
      <c r="J117" s="22">
        <v>8.3252830596240268E-4</v>
      </c>
      <c r="K117" s="22">
        <v>8.4942262219059208E-4</v>
      </c>
      <c r="L117" s="21">
        <v>1467</v>
      </c>
      <c r="M117" s="21">
        <v>1507</v>
      </c>
      <c r="N117" s="21">
        <v>1561</v>
      </c>
      <c r="O117" s="21">
        <v>1637</v>
      </c>
      <c r="P117" s="21">
        <v>1685</v>
      </c>
      <c r="Q117" s="22">
        <v>0.99322951929587</v>
      </c>
      <c r="R117" s="22">
        <v>0.99144736842105263</v>
      </c>
      <c r="S117" s="22">
        <v>0.99363462762571608</v>
      </c>
      <c r="T117" s="22">
        <v>0.98318318318318321</v>
      </c>
      <c r="U117" s="22">
        <v>0.9900117508813161</v>
      </c>
      <c r="V117" s="21"/>
      <c r="W117" s="21">
        <v>0</v>
      </c>
      <c r="X117" s="21">
        <v>0</v>
      </c>
      <c r="Y117" s="21">
        <v>0</v>
      </c>
      <c r="Z117" s="21">
        <v>180</v>
      </c>
      <c r="AA117" s="21">
        <v>1520</v>
      </c>
      <c r="AB117" s="22">
        <v>0</v>
      </c>
      <c r="AC117" s="22">
        <v>0</v>
      </c>
      <c r="AD117" s="22">
        <v>0</v>
      </c>
      <c r="AE117" s="22">
        <v>9.3154008416982182E-5</v>
      </c>
      <c r="AF117" s="22">
        <v>7.6760698522356549E-4</v>
      </c>
      <c r="AG117" s="21">
        <v>0</v>
      </c>
      <c r="AH117" s="21">
        <v>0</v>
      </c>
      <c r="AI117" s="21">
        <v>0</v>
      </c>
      <c r="AJ117" s="21">
        <v>180</v>
      </c>
      <c r="AK117" s="21">
        <v>1507</v>
      </c>
      <c r="AL117" s="22">
        <v>0</v>
      </c>
      <c r="AM117" s="22">
        <v>0</v>
      </c>
      <c r="AN117" s="22">
        <v>0</v>
      </c>
      <c r="AO117" s="22">
        <v>1</v>
      </c>
      <c r="AP117" s="22">
        <v>0.99144736842105263</v>
      </c>
    </row>
    <row r="118" spans="1:42" x14ac:dyDescent="0.25">
      <c r="A118" s="20" t="s">
        <v>35</v>
      </c>
      <c r="B118" s="21">
        <v>101899</v>
      </c>
      <c r="C118" s="21">
        <v>97842</v>
      </c>
      <c r="D118" s="21">
        <v>100036</v>
      </c>
      <c r="E118" s="21">
        <v>103085</v>
      </c>
      <c r="F118" s="21">
        <v>99867</v>
      </c>
      <c r="G118" s="22">
        <v>5.2197302617728099E-2</v>
      </c>
      <c r="H118" s="22">
        <v>4.9410659637002696E-2</v>
      </c>
      <c r="I118" s="22">
        <v>5.0325488736178051E-2</v>
      </c>
      <c r="J118" s="22">
        <v>5.1544252504585157E-2</v>
      </c>
      <c r="K118" s="22">
        <v>4.9840945364458204E-2</v>
      </c>
      <c r="L118" s="21">
        <v>99834</v>
      </c>
      <c r="M118" s="21">
        <v>96017</v>
      </c>
      <c r="N118" s="21">
        <v>98329</v>
      </c>
      <c r="O118" s="21">
        <v>101474</v>
      </c>
      <c r="P118" s="21">
        <v>98340</v>
      </c>
      <c r="Q118" s="22">
        <v>0.97973483547434226</v>
      </c>
      <c r="R118" s="22">
        <v>0.98134747858792748</v>
      </c>
      <c r="S118" s="22">
        <v>0.98293614298852416</v>
      </c>
      <c r="T118" s="22">
        <v>0.98437212009506714</v>
      </c>
      <c r="U118" s="22">
        <v>0.98470966385292436</v>
      </c>
      <c r="V118" s="21"/>
      <c r="W118" s="21">
        <v>0</v>
      </c>
      <c r="X118" s="21">
        <v>0</v>
      </c>
      <c r="Y118" s="21">
        <v>103342</v>
      </c>
      <c r="Z118" s="21">
        <v>109808</v>
      </c>
      <c r="AA118" s="21">
        <v>97842</v>
      </c>
      <c r="AB118" s="22">
        <v>0</v>
      </c>
      <c r="AC118" s="22">
        <v>0</v>
      </c>
      <c r="AD118" s="22">
        <v>5.4482688083948322E-2</v>
      </c>
      <c r="AE118" s="22">
        <v>5.6828085312510997E-2</v>
      </c>
      <c r="AF118" s="22">
        <v>4.9410659637002696E-2</v>
      </c>
      <c r="AG118" s="21">
        <v>0</v>
      </c>
      <c r="AH118" s="21">
        <v>0</v>
      </c>
      <c r="AI118" s="21">
        <v>100468</v>
      </c>
      <c r="AJ118" s="21">
        <v>107171</v>
      </c>
      <c r="AK118" s="21">
        <v>96017</v>
      </c>
      <c r="AL118" s="22">
        <v>0</v>
      </c>
      <c r="AM118" s="22">
        <v>0</v>
      </c>
      <c r="AN118" s="22">
        <v>0.9721894292736738</v>
      </c>
      <c r="AO118" s="22">
        <v>0.97598535625819616</v>
      </c>
      <c r="AP118" s="22">
        <v>0.98134747858792748</v>
      </c>
    </row>
    <row r="119" spans="1:42" x14ac:dyDescent="0.25">
      <c r="A119" s="20" t="s">
        <v>37</v>
      </c>
      <c r="B119" s="21">
        <v>608566</v>
      </c>
      <c r="C119" s="21">
        <v>613300</v>
      </c>
      <c r="D119" s="21">
        <v>611879</v>
      </c>
      <c r="E119" s="21">
        <v>614172</v>
      </c>
      <c r="F119" s="21">
        <v>613919</v>
      </c>
      <c r="G119" s="22">
        <v>0.31173518547640622</v>
      </c>
      <c r="H119" s="22">
        <v>0.30971931844579786</v>
      </c>
      <c r="I119" s="22">
        <v>0.30782028192254673</v>
      </c>
      <c r="J119" s="22">
        <v>0.30709644127900348</v>
      </c>
      <c r="K119" s="22">
        <v>0.30639053278062639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1"/>
      <c r="W119" s="21">
        <v>0</v>
      </c>
      <c r="X119" s="21">
        <v>0</v>
      </c>
      <c r="Y119" s="21">
        <v>596617</v>
      </c>
      <c r="Z119" s="21">
        <v>598848</v>
      </c>
      <c r="AA119" s="21">
        <v>613300</v>
      </c>
      <c r="AB119" s="22">
        <v>0</v>
      </c>
      <c r="AC119" s="22">
        <v>0</v>
      </c>
      <c r="AD119" s="22">
        <v>0.31454101833311715</v>
      </c>
      <c r="AE119" s="22">
        <v>0.30991717573607191</v>
      </c>
      <c r="AF119" s="22">
        <v>0.30971931844579786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</row>
    <row r="120" spans="1:42" x14ac:dyDescent="0.25">
      <c r="A120" s="20" t="s">
        <v>39</v>
      </c>
      <c r="B120" s="21">
        <v>0</v>
      </c>
      <c r="C120" s="21">
        <v>244</v>
      </c>
      <c r="D120" s="21">
        <v>518</v>
      </c>
      <c r="E120" s="21">
        <v>2019</v>
      </c>
      <c r="F120" s="21">
        <v>2304</v>
      </c>
      <c r="G120" s="22">
        <v>0</v>
      </c>
      <c r="H120" s="22">
        <v>1.2322112131220395E-4</v>
      </c>
      <c r="I120" s="22">
        <v>2.605922184547586E-4</v>
      </c>
      <c r="J120" s="22">
        <v>1.0095343241670217E-3</v>
      </c>
      <c r="K120" s="22">
        <v>1.1498647012497792E-3</v>
      </c>
      <c r="L120" s="21">
        <v>0</v>
      </c>
      <c r="M120" s="21">
        <v>244</v>
      </c>
      <c r="N120" s="21">
        <v>518</v>
      </c>
      <c r="O120" s="21">
        <v>2019</v>
      </c>
      <c r="P120" s="21">
        <v>1985</v>
      </c>
      <c r="Q120" s="22">
        <v>0</v>
      </c>
      <c r="R120" s="22">
        <v>1</v>
      </c>
      <c r="S120" s="22">
        <v>1</v>
      </c>
      <c r="T120" s="22">
        <v>1</v>
      </c>
      <c r="U120" s="22">
        <v>0.86154513888888884</v>
      </c>
      <c r="V120" s="21"/>
      <c r="W120" s="21">
        <v>0</v>
      </c>
      <c r="X120" s="21">
        <v>0</v>
      </c>
      <c r="Y120" s="21">
        <v>0</v>
      </c>
      <c r="Z120" s="21">
        <v>0</v>
      </c>
      <c r="AA120" s="21">
        <v>244</v>
      </c>
      <c r="AB120" s="22">
        <v>0</v>
      </c>
      <c r="AC120" s="22">
        <v>0</v>
      </c>
      <c r="AD120" s="22">
        <v>0</v>
      </c>
      <c r="AE120" s="22">
        <v>0</v>
      </c>
      <c r="AF120" s="22">
        <v>1.2322112131220395E-4</v>
      </c>
      <c r="AG120" s="21">
        <v>0</v>
      </c>
      <c r="AH120" s="21">
        <v>0</v>
      </c>
      <c r="AI120" s="21">
        <v>0</v>
      </c>
      <c r="AJ120" s="21">
        <v>0</v>
      </c>
      <c r="AK120" s="21">
        <v>244</v>
      </c>
      <c r="AL120" s="22">
        <v>0</v>
      </c>
      <c r="AM120" s="22">
        <v>0</v>
      </c>
      <c r="AN120" s="22">
        <v>0</v>
      </c>
      <c r="AO120" s="22">
        <v>0</v>
      </c>
      <c r="AP120" s="22">
        <v>1</v>
      </c>
    </row>
    <row r="121" spans="1:42" x14ac:dyDescent="0.25">
      <c r="A121" s="20" t="s">
        <v>41</v>
      </c>
      <c r="B121" s="21">
        <v>12786</v>
      </c>
      <c r="C121" s="21">
        <v>14657</v>
      </c>
      <c r="D121" s="21">
        <v>15985</v>
      </c>
      <c r="E121" s="21">
        <v>17652</v>
      </c>
      <c r="F121" s="21">
        <v>18204</v>
      </c>
      <c r="G121" s="22">
        <v>6.5495707638963232E-3</v>
      </c>
      <c r="H121" s="22">
        <v>7.4018523568564476E-3</v>
      </c>
      <c r="I121" s="22">
        <v>8.0416343860990648E-3</v>
      </c>
      <c r="J121" s="22">
        <v>8.826300094203203E-3</v>
      </c>
      <c r="K121" s="22">
        <v>9.0851289156037244E-3</v>
      </c>
      <c r="L121" s="21">
        <v>12786</v>
      </c>
      <c r="M121" s="21">
        <v>14657</v>
      </c>
      <c r="N121" s="21">
        <v>15985</v>
      </c>
      <c r="O121" s="21">
        <v>17652</v>
      </c>
      <c r="P121" s="21">
        <v>18204</v>
      </c>
      <c r="Q121" s="22">
        <v>1</v>
      </c>
      <c r="R121" s="22">
        <v>1</v>
      </c>
      <c r="S121" s="22">
        <v>1</v>
      </c>
      <c r="T121" s="22">
        <v>1</v>
      </c>
      <c r="U121" s="22">
        <v>1</v>
      </c>
      <c r="V121" s="21"/>
      <c r="W121" s="21">
        <v>0</v>
      </c>
      <c r="X121" s="21">
        <v>0</v>
      </c>
      <c r="Y121" s="21">
        <v>2961</v>
      </c>
      <c r="Z121" s="21">
        <v>7951</v>
      </c>
      <c r="AA121" s="21">
        <v>14657</v>
      </c>
      <c r="AB121" s="22">
        <v>0</v>
      </c>
      <c r="AC121" s="22">
        <v>0</v>
      </c>
      <c r="AD121" s="22">
        <v>1.561061711758733E-3</v>
      </c>
      <c r="AE121" s="22">
        <v>4.1148195606856963E-3</v>
      </c>
      <c r="AF121" s="22">
        <v>7.4018523568564476E-3</v>
      </c>
      <c r="AG121" s="21">
        <v>0</v>
      </c>
      <c r="AH121" s="21">
        <v>0</v>
      </c>
      <c r="AI121" s="21">
        <v>2961</v>
      </c>
      <c r="AJ121" s="21">
        <v>7951</v>
      </c>
      <c r="AK121" s="21">
        <v>14657</v>
      </c>
      <c r="AL121" s="22">
        <v>0</v>
      </c>
      <c r="AM121" s="22">
        <v>0</v>
      </c>
      <c r="AN121" s="22">
        <v>1</v>
      </c>
      <c r="AO121" s="22">
        <v>1</v>
      </c>
      <c r="AP121" s="22">
        <v>1</v>
      </c>
    </row>
    <row r="122" spans="1:42" x14ac:dyDescent="0.25">
      <c r="A122" s="20" t="s">
        <v>42</v>
      </c>
      <c r="B122" s="21">
        <v>1181</v>
      </c>
      <c r="C122" s="21">
        <v>960</v>
      </c>
      <c r="D122" s="21">
        <v>835</v>
      </c>
      <c r="E122" s="21">
        <v>745</v>
      </c>
      <c r="F122" s="21">
        <v>176</v>
      </c>
      <c r="G122" s="22">
        <v>6.049619171094602E-4</v>
      </c>
      <c r="H122" s="22">
        <v>4.8480441172014667E-4</v>
      </c>
      <c r="I122" s="22">
        <v>4.2006660696857802E-4</v>
      </c>
      <c r="J122" s="22">
        <v>3.7251266543062464E-4</v>
      </c>
      <c r="K122" s="22">
        <v>8.7836886901024793E-5</v>
      </c>
      <c r="L122" s="21">
        <v>1131</v>
      </c>
      <c r="M122" s="21">
        <v>916</v>
      </c>
      <c r="N122" s="21">
        <v>785</v>
      </c>
      <c r="O122" s="21">
        <v>716</v>
      </c>
      <c r="P122" s="21">
        <v>147</v>
      </c>
      <c r="Q122" s="22">
        <v>0.9576629974597799</v>
      </c>
      <c r="R122" s="22">
        <v>0.95416666666666672</v>
      </c>
      <c r="S122" s="22">
        <v>0.94011976047904189</v>
      </c>
      <c r="T122" s="22">
        <v>0.96107382550335574</v>
      </c>
      <c r="U122" s="22">
        <v>0.83522727272727271</v>
      </c>
      <c r="V122" s="21"/>
      <c r="W122" s="21">
        <v>0</v>
      </c>
      <c r="X122" s="21">
        <v>0</v>
      </c>
      <c r="Y122" s="21">
        <v>52555</v>
      </c>
      <c r="Z122" s="21">
        <v>4632</v>
      </c>
      <c r="AA122" s="21">
        <v>960</v>
      </c>
      <c r="AB122" s="22">
        <v>0</v>
      </c>
      <c r="AC122" s="22">
        <v>0</v>
      </c>
      <c r="AD122" s="22">
        <v>2.7707395562809933E-2</v>
      </c>
      <c r="AE122" s="22">
        <v>2.3971631499303415E-3</v>
      </c>
      <c r="AF122" s="22">
        <v>4.8480441172014667E-4</v>
      </c>
      <c r="AG122" s="21">
        <v>0</v>
      </c>
      <c r="AH122" s="21">
        <v>0</v>
      </c>
      <c r="AI122" s="21">
        <v>48887</v>
      </c>
      <c r="AJ122" s="21">
        <v>4352</v>
      </c>
      <c r="AK122" s="21">
        <v>916</v>
      </c>
      <c r="AL122" s="22">
        <v>0</v>
      </c>
      <c r="AM122" s="22">
        <v>0</v>
      </c>
      <c r="AN122" s="22">
        <v>0.93020645038531058</v>
      </c>
      <c r="AO122" s="22">
        <v>0.93955094991364418</v>
      </c>
      <c r="AP122" s="22">
        <v>0.95416666666666672</v>
      </c>
    </row>
    <row r="123" spans="1:42" x14ac:dyDescent="0.25">
      <c r="A123" s="20" t="s">
        <v>43</v>
      </c>
      <c r="B123" s="21">
        <v>11143</v>
      </c>
      <c r="C123" s="21">
        <v>11598</v>
      </c>
      <c r="D123" s="21">
        <v>12262</v>
      </c>
      <c r="E123" s="21">
        <v>12628</v>
      </c>
      <c r="F123" s="21">
        <v>14002</v>
      </c>
      <c r="G123" s="22">
        <v>5.7079514329811303E-3</v>
      </c>
      <c r="H123" s="22">
        <v>5.8570432990940214E-3</v>
      </c>
      <c r="I123" s="22">
        <v>6.1686907001780884E-3</v>
      </c>
      <c r="J123" s="22">
        <v>6.3142146832992326E-3</v>
      </c>
      <c r="K123" s="22">
        <v>6.9880232408417566E-3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1"/>
      <c r="W123" s="21">
        <v>0</v>
      </c>
      <c r="X123" s="21">
        <v>0</v>
      </c>
      <c r="Y123" s="21">
        <v>9305</v>
      </c>
      <c r="Z123" s="21">
        <v>10939</v>
      </c>
      <c r="AA123" s="21">
        <v>11598</v>
      </c>
      <c r="AB123" s="22">
        <v>0</v>
      </c>
      <c r="AC123" s="22">
        <v>0</v>
      </c>
      <c r="AD123" s="22">
        <v>4.9056667436389763E-3</v>
      </c>
      <c r="AE123" s="22">
        <v>5.6611761004076002E-3</v>
      </c>
      <c r="AF123" s="22">
        <v>5.8570432990940214E-3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</row>
    <row r="124" spans="1:42" x14ac:dyDescent="0.25">
      <c r="A124" s="20" t="s">
        <v>44</v>
      </c>
      <c r="B124" s="21">
        <v>990</v>
      </c>
      <c r="C124" s="21">
        <v>826</v>
      </c>
      <c r="D124" s="21">
        <v>704</v>
      </c>
      <c r="E124" s="21">
        <v>629</v>
      </c>
      <c r="F124" s="21">
        <v>552</v>
      </c>
      <c r="G124" s="22">
        <v>5.0712302958371347E-4</v>
      </c>
      <c r="H124" s="22">
        <v>4.1713379591754284E-4</v>
      </c>
      <c r="I124" s="22">
        <v>3.541639416836873E-4</v>
      </c>
      <c r="J124" s="22">
        <v>3.1451069336357434E-4</v>
      </c>
      <c r="K124" s="22">
        <v>2.7548841800775959E-4</v>
      </c>
      <c r="L124" s="21">
        <v>956</v>
      </c>
      <c r="M124" s="21">
        <v>793</v>
      </c>
      <c r="N124" s="21">
        <v>681</v>
      </c>
      <c r="O124" s="21">
        <v>610</v>
      </c>
      <c r="P124" s="21">
        <v>540</v>
      </c>
      <c r="Q124" s="22">
        <v>0.96565656565656566</v>
      </c>
      <c r="R124" s="22">
        <v>0.96004842615012109</v>
      </c>
      <c r="S124" s="22">
        <v>0.96732954545454541</v>
      </c>
      <c r="T124" s="22">
        <v>0.96979332273449925</v>
      </c>
      <c r="U124" s="22">
        <v>0.97826086956521741</v>
      </c>
      <c r="V124" s="21"/>
      <c r="W124" s="21">
        <v>0</v>
      </c>
      <c r="X124" s="21">
        <v>0</v>
      </c>
      <c r="Y124" s="21">
        <v>0</v>
      </c>
      <c r="Z124" s="21">
        <v>1781</v>
      </c>
      <c r="AA124" s="21">
        <v>826</v>
      </c>
      <c r="AB124" s="22">
        <v>0</v>
      </c>
      <c r="AC124" s="22">
        <v>0</v>
      </c>
      <c r="AD124" s="22">
        <v>0</v>
      </c>
      <c r="AE124" s="22">
        <v>9.2170716105914033E-4</v>
      </c>
      <c r="AF124" s="22">
        <v>4.1713379591754284E-4</v>
      </c>
      <c r="AG124" s="21">
        <v>0</v>
      </c>
      <c r="AH124" s="21">
        <v>0</v>
      </c>
      <c r="AI124" s="21">
        <v>0</v>
      </c>
      <c r="AJ124" s="21">
        <v>1761</v>
      </c>
      <c r="AK124" s="21">
        <v>793</v>
      </c>
      <c r="AL124" s="22">
        <v>0</v>
      </c>
      <c r="AM124" s="22">
        <v>0</v>
      </c>
      <c r="AN124" s="22">
        <v>0</v>
      </c>
      <c r="AO124" s="22">
        <v>0.98877035373385735</v>
      </c>
      <c r="AP124" s="22">
        <v>0.96004842615012109</v>
      </c>
    </row>
    <row r="125" spans="1:42" x14ac:dyDescent="0.25">
      <c r="A125" s="20" t="s">
        <v>45</v>
      </c>
      <c r="B125" s="21">
        <v>1</v>
      </c>
      <c r="C125" s="21">
        <v>2</v>
      </c>
      <c r="D125" s="21">
        <v>1</v>
      </c>
      <c r="E125" s="21">
        <v>1</v>
      </c>
      <c r="F125" s="21">
        <v>1</v>
      </c>
      <c r="G125" s="22">
        <v>5.1224548442799344E-7</v>
      </c>
      <c r="H125" s="22">
        <v>1.0100091910836388E-6</v>
      </c>
      <c r="I125" s="22">
        <v>5.0307378080069227E-7</v>
      </c>
      <c r="J125" s="22">
        <v>5.0001700057801965E-7</v>
      </c>
      <c r="K125" s="22">
        <v>4.9907322102854995E-7</v>
      </c>
      <c r="L125" s="21">
        <v>1</v>
      </c>
      <c r="M125" s="21">
        <v>1</v>
      </c>
      <c r="N125" s="21">
        <v>0</v>
      </c>
      <c r="O125" s="21">
        <v>0</v>
      </c>
      <c r="P125" s="21">
        <v>0</v>
      </c>
      <c r="Q125" s="22">
        <v>1</v>
      </c>
      <c r="R125" s="22">
        <v>0.5</v>
      </c>
      <c r="S125" s="22">
        <v>0</v>
      </c>
      <c r="T125" s="22">
        <v>0</v>
      </c>
      <c r="U125" s="22">
        <v>0</v>
      </c>
      <c r="V125" s="21"/>
      <c r="W125" s="21">
        <v>0</v>
      </c>
      <c r="X125" s="21">
        <v>0</v>
      </c>
      <c r="Y125" s="21">
        <v>1</v>
      </c>
      <c r="Z125" s="21">
        <v>1</v>
      </c>
      <c r="AA125" s="21">
        <v>2</v>
      </c>
      <c r="AB125" s="22">
        <v>0</v>
      </c>
      <c r="AC125" s="22">
        <v>0</v>
      </c>
      <c r="AD125" s="22">
        <v>5.272076027553978E-7</v>
      </c>
      <c r="AE125" s="22">
        <v>5.1752226898323438E-7</v>
      </c>
      <c r="AF125" s="22">
        <v>1.0100091910836388E-6</v>
      </c>
      <c r="AG125" s="21">
        <v>0</v>
      </c>
      <c r="AH125" s="21">
        <v>0</v>
      </c>
      <c r="AI125" s="21">
        <v>1</v>
      </c>
      <c r="AJ125" s="21">
        <v>1</v>
      </c>
      <c r="AK125" s="21">
        <v>1</v>
      </c>
      <c r="AL125" s="22">
        <v>0</v>
      </c>
      <c r="AM125" s="22">
        <v>0</v>
      </c>
      <c r="AN125" s="22">
        <v>1</v>
      </c>
      <c r="AO125" s="22">
        <v>1</v>
      </c>
      <c r="AP125" s="22">
        <v>0.5</v>
      </c>
    </row>
    <row r="126" spans="1:42" x14ac:dyDescent="0.25">
      <c r="A126" s="20" t="s">
        <v>46</v>
      </c>
      <c r="B126" s="21">
        <v>0</v>
      </c>
      <c r="C126" s="21">
        <v>2</v>
      </c>
      <c r="D126" s="21">
        <v>0</v>
      </c>
      <c r="E126" s="21">
        <v>0</v>
      </c>
      <c r="F126" s="21">
        <v>0</v>
      </c>
      <c r="G126" s="22">
        <v>0</v>
      </c>
      <c r="H126" s="22">
        <v>1.0100091910836388E-6</v>
      </c>
      <c r="I126" s="22">
        <v>0</v>
      </c>
      <c r="J126" s="22">
        <v>0</v>
      </c>
      <c r="K126" s="22">
        <v>0</v>
      </c>
      <c r="L126" s="21">
        <v>0</v>
      </c>
      <c r="M126" s="21">
        <v>2</v>
      </c>
      <c r="N126" s="21">
        <v>0</v>
      </c>
      <c r="O126" s="21">
        <v>0</v>
      </c>
      <c r="P126" s="21">
        <v>0</v>
      </c>
      <c r="Q126" s="22">
        <v>0</v>
      </c>
      <c r="R126" s="22">
        <v>1</v>
      </c>
      <c r="S126" s="22">
        <v>0</v>
      </c>
      <c r="T126" s="22">
        <v>0</v>
      </c>
      <c r="U126" s="22">
        <v>0</v>
      </c>
      <c r="V126" s="21"/>
      <c r="W126" s="21">
        <v>0</v>
      </c>
      <c r="X126" s="21">
        <v>0</v>
      </c>
      <c r="Y126" s="21">
        <v>0</v>
      </c>
      <c r="Z126" s="21">
        <v>0</v>
      </c>
      <c r="AA126" s="21">
        <v>2</v>
      </c>
      <c r="AB126" s="22">
        <v>0</v>
      </c>
      <c r="AC126" s="22">
        <v>0</v>
      </c>
      <c r="AD126" s="22">
        <v>0</v>
      </c>
      <c r="AE126" s="22">
        <v>0</v>
      </c>
      <c r="AF126" s="22">
        <v>1.0100091910836388E-6</v>
      </c>
      <c r="AG126" s="21">
        <v>0</v>
      </c>
      <c r="AH126" s="21">
        <v>0</v>
      </c>
      <c r="AI126" s="21">
        <v>0</v>
      </c>
      <c r="AJ126" s="21">
        <v>0</v>
      </c>
      <c r="AK126" s="21">
        <v>2</v>
      </c>
      <c r="AL126" s="22">
        <v>0</v>
      </c>
      <c r="AM126" s="22">
        <v>0</v>
      </c>
      <c r="AN126" s="22">
        <v>0</v>
      </c>
      <c r="AO126" s="22">
        <v>0</v>
      </c>
      <c r="AP126" s="22">
        <v>1</v>
      </c>
    </row>
    <row r="127" spans="1:42" x14ac:dyDescent="0.25">
      <c r="A127" s="20" t="s">
        <v>47</v>
      </c>
      <c r="B127" s="21">
        <v>511</v>
      </c>
      <c r="C127" s="21">
        <v>740</v>
      </c>
      <c r="D127" s="21">
        <v>843</v>
      </c>
      <c r="E127" s="21">
        <v>941</v>
      </c>
      <c r="F127" s="21">
        <v>942</v>
      </c>
      <c r="G127" s="22">
        <v>2.6175744254270462E-4</v>
      </c>
      <c r="H127" s="22">
        <v>3.7370340070094641E-4</v>
      </c>
      <c r="I127" s="22">
        <v>4.2409119721498352E-4</v>
      </c>
      <c r="J127" s="22">
        <v>4.7051599754391652E-4</v>
      </c>
      <c r="K127" s="22">
        <v>4.7012697420889408E-4</v>
      </c>
      <c r="L127" s="21">
        <v>233</v>
      </c>
      <c r="M127" s="21">
        <v>491</v>
      </c>
      <c r="N127" s="21">
        <v>633</v>
      </c>
      <c r="O127" s="21">
        <v>759</v>
      </c>
      <c r="P127" s="21">
        <v>811</v>
      </c>
      <c r="Q127" s="22">
        <v>0.45596868884540115</v>
      </c>
      <c r="R127" s="22">
        <v>0.66351351351351351</v>
      </c>
      <c r="S127" s="22">
        <v>0.75088967971530252</v>
      </c>
      <c r="T127" s="22">
        <v>0.80658873538788523</v>
      </c>
      <c r="U127" s="22">
        <v>0.86093418259023358</v>
      </c>
      <c r="V127" s="21"/>
      <c r="W127" s="21">
        <v>0</v>
      </c>
      <c r="X127" s="21">
        <v>0</v>
      </c>
      <c r="Y127" s="21">
        <v>0</v>
      </c>
      <c r="Z127" s="21">
        <v>17</v>
      </c>
      <c r="AA127" s="21">
        <v>740</v>
      </c>
      <c r="AB127" s="22">
        <v>0</v>
      </c>
      <c r="AC127" s="22">
        <v>0</v>
      </c>
      <c r="AD127" s="22">
        <v>0</v>
      </c>
      <c r="AE127" s="22">
        <v>8.7978785727149838E-6</v>
      </c>
      <c r="AF127" s="22">
        <v>3.7370340070094641E-4</v>
      </c>
      <c r="AG127" s="21">
        <v>0</v>
      </c>
      <c r="AH127" s="21">
        <v>0</v>
      </c>
      <c r="AI127" s="21">
        <v>0</v>
      </c>
      <c r="AJ127" s="21">
        <v>17</v>
      </c>
      <c r="AK127" s="21">
        <v>491</v>
      </c>
      <c r="AL127" s="22">
        <v>0</v>
      </c>
      <c r="AM127" s="22">
        <v>0</v>
      </c>
      <c r="AN127" s="22">
        <v>0</v>
      </c>
      <c r="AO127" s="22">
        <v>1</v>
      </c>
      <c r="AP127" s="22">
        <v>0.66351351351351351</v>
      </c>
    </row>
    <row r="128" spans="1:42" x14ac:dyDescent="0.25">
      <c r="A128" s="20" t="s">
        <v>48</v>
      </c>
      <c r="B128" s="21">
        <v>648829</v>
      </c>
      <c r="C128" s="21">
        <v>634013</v>
      </c>
      <c r="D128" s="21">
        <v>624547</v>
      </c>
      <c r="E128" s="21">
        <v>615396</v>
      </c>
      <c r="F128" s="21">
        <v>527723</v>
      </c>
      <c r="G128" s="22">
        <v>0.33235972541593051</v>
      </c>
      <c r="H128" s="22">
        <v>0.32017947863325558</v>
      </c>
      <c r="I128" s="22">
        <v>0.31419322057772991</v>
      </c>
      <c r="J128" s="22">
        <v>0.30770846208771097</v>
      </c>
      <c r="K128" s="22">
        <v>0.26337241742084949</v>
      </c>
      <c r="L128" s="21">
        <v>492610</v>
      </c>
      <c r="M128" s="21">
        <v>492108</v>
      </c>
      <c r="N128" s="21">
        <v>491245</v>
      </c>
      <c r="O128" s="21">
        <v>489140</v>
      </c>
      <c r="P128" s="21">
        <v>446946</v>
      </c>
      <c r="Q128" s="22">
        <v>0.75922931928135151</v>
      </c>
      <c r="R128" s="22">
        <v>0.77617966824024109</v>
      </c>
      <c r="S128" s="22">
        <v>0.78656210021023243</v>
      </c>
      <c r="T128" s="22">
        <v>0.79483779550078326</v>
      </c>
      <c r="U128" s="22">
        <v>0.84693295535726132</v>
      </c>
      <c r="V128" s="21"/>
      <c r="W128" s="21">
        <v>0</v>
      </c>
      <c r="X128" s="21">
        <v>0</v>
      </c>
      <c r="Y128" s="21">
        <v>691446</v>
      </c>
      <c r="Z128" s="21">
        <v>681527</v>
      </c>
      <c r="AA128" s="21">
        <v>634013</v>
      </c>
      <c r="AB128" s="22">
        <v>0</v>
      </c>
      <c r="AC128" s="22">
        <v>0</v>
      </c>
      <c r="AD128" s="22">
        <v>0.36453558809480879</v>
      </c>
      <c r="AE128" s="22">
        <v>0.35270539941333673</v>
      </c>
      <c r="AF128" s="22">
        <v>0.32017947863325558</v>
      </c>
      <c r="AG128" s="21">
        <v>0</v>
      </c>
      <c r="AH128" s="21">
        <v>0</v>
      </c>
      <c r="AI128" s="21">
        <v>458358</v>
      </c>
      <c r="AJ128" s="21">
        <v>475823</v>
      </c>
      <c r="AK128" s="21">
        <v>492108</v>
      </c>
      <c r="AL128" s="22">
        <v>0</v>
      </c>
      <c r="AM128" s="22">
        <v>0</v>
      </c>
      <c r="AN128" s="22">
        <v>0.66289775340373647</v>
      </c>
      <c r="AO128" s="22">
        <v>0.69817189927911882</v>
      </c>
      <c r="AP128" s="22">
        <v>0.77617966824024109</v>
      </c>
    </row>
    <row r="129" spans="1:42" x14ac:dyDescent="0.25">
      <c r="A129" s="20" t="s">
        <v>49</v>
      </c>
      <c r="B129" s="21">
        <v>134</v>
      </c>
      <c r="C129" s="21">
        <v>122</v>
      </c>
      <c r="D129" s="21">
        <v>118</v>
      </c>
      <c r="E129" s="21">
        <v>116</v>
      </c>
      <c r="F129" s="21">
        <v>110</v>
      </c>
      <c r="G129" s="22">
        <v>6.8640894913351113E-5</v>
      </c>
      <c r="H129" s="22">
        <v>6.1610560656101977E-5</v>
      </c>
      <c r="I129" s="22">
        <v>5.9362706134481683E-5</v>
      </c>
      <c r="J129" s="22">
        <v>5.8001972067050282E-5</v>
      </c>
      <c r="K129" s="22">
        <v>5.4898054313140501E-5</v>
      </c>
      <c r="L129" s="21">
        <v>131</v>
      </c>
      <c r="M129" s="21">
        <v>120</v>
      </c>
      <c r="N129" s="21">
        <v>117</v>
      </c>
      <c r="O129" s="21">
        <v>111</v>
      </c>
      <c r="P129" s="21">
        <v>110</v>
      </c>
      <c r="Q129" s="22">
        <v>0.97761194029850751</v>
      </c>
      <c r="R129" s="22">
        <v>0.98360655737704916</v>
      </c>
      <c r="S129" s="22">
        <v>0.99152542372881358</v>
      </c>
      <c r="T129" s="22">
        <v>0.9568965517241379</v>
      </c>
      <c r="U129" s="22">
        <v>1</v>
      </c>
      <c r="V129" s="21"/>
      <c r="W129" s="21">
        <v>0</v>
      </c>
      <c r="X129" s="21">
        <v>0</v>
      </c>
      <c r="Y129" s="21">
        <v>0</v>
      </c>
      <c r="Z129" s="21">
        <v>152</v>
      </c>
      <c r="AA129" s="21">
        <v>122</v>
      </c>
      <c r="AB129" s="22">
        <v>0</v>
      </c>
      <c r="AC129" s="22">
        <v>0</v>
      </c>
      <c r="AD129" s="22">
        <v>0</v>
      </c>
      <c r="AE129" s="22">
        <v>7.8663384885451623E-5</v>
      </c>
      <c r="AF129" s="22">
        <v>6.1610560656101977E-5</v>
      </c>
      <c r="AG129" s="21">
        <v>0</v>
      </c>
      <c r="AH129" s="21">
        <v>0</v>
      </c>
      <c r="AI129" s="21">
        <v>0</v>
      </c>
      <c r="AJ129" s="21">
        <v>152</v>
      </c>
      <c r="AK129" s="21">
        <v>120</v>
      </c>
      <c r="AL129" s="22">
        <v>0</v>
      </c>
      <c r="AM129" s="22">
        <v>0</v>
      </c>
      <c r="AN129" s="22">
        <v>0</v>
      </c>
      <c r="AO129" s="22">
        <v>1</v>
      </c>
      <c r="AP129" s="22">
        <v>0.98360655737704916</v>
      </c>
    </row>
    <row r="130" spans="1:42" x14ac:dyDescent="0.25">
      <c r="A130" s="20" t="s">
        <v>139</v>
      </c>
      <c r="B130" s="21">
        <v>8509</v>
      </c>
      <c r="C130" s="21">
        <v>7586</v>
      </c>
      <c r="D130" s="21">
        <v>7699</v>
      </c>
      <c r="E130" s="21">
        <v>8025</v>
      </c>
      <c r="F130" s="21">
        <v>8413</v>
      </c>
      <c r="G130" s="22">
        <v>4.3586968269977962E-3</v>
      </c>
      <c r="H130" s="22">
        <v>3.8309648617802423E-3</v>
      </c>
      <c r="I130" s="22">
        <v>3.8731650383845295E-3</v>
      </c>
      <c r="J130" s="22">
        <v>4.0126364296386077E-3</v>
      </c>
      <c r="K130" s="22">
        <v>4.1987030085131908E-3</v>
      </c>
      <c r="L130" s="21">
        <v>8114</v>
      </c>
      <c r="M130" s="21">
        <v>7266</v>
      </c>
      <c r="N130" s="21">
        <v>7405</v>
      </c>
      <c r="O130" s="21">
        <v>7749</v>
      </c>
      <c r="P130" s="21">
        <v>8136</v>
      </c>
      <c r="Q130" s="22">
        <v>0.95357856387354567</v>
      </c>
      <c r="R130" s="22">
        <v>0.95781703137358287</v>
      </c>
      <c r="S130" s="22">
        <v>0.96181322249642809</v>
      </c>
      <c r="T130" s="22">
        <v>0.96560747663551405</v>
      </c>
      <c r="U130" s="22">
        <v>0.96707476524426483</v>
      </c>
      <c r="V130" s="21"/>
      <c r="W130" s="21">
        <v>0</v>
      </c>
      <c r="X130" s="21">
        <v>0</v>
      </c>
      <c r="Y130" s="21">
        <v>14117</v>
      </c>
      <c r="Z130" s="21">
        <v>11299</v>
      </c>
      <c r="AA130" s="21">
        <v>7586</v>
      </c>
      <c r="AB130" s="22">
        <v>0</v>
      </c>
      <c r="AC130" s="22">
        <v>0</v>
      </c>
      <c r="AD130" s="22">
        <v>7.4425897280979512E-3</v>
      </c>
      <c r="AE130" s="22">
        <v>5.8474841172415646E-3</v>
      </c>
      <c r="AF130" s="22">
        <v>3.8309648617802423E-3</v>
      </c>
      <c r="AG130" s="21">
        <v>0</v>
      </c>
      <c r="AH130" s="21">
        <v>0</v>
      </c>
      <c r="AI130" s="21">
        <v>13737</v>
      </c>
      <c r="AJ130" s="21">
        <v>10844</v>
      </c>
      <c r="AK130" s="21">
        <v>7266</v>
      </c>
      <c r="AL130" s="22">
        <v>0</v>
      </c>
      <c r="AM130" s="22">
        <v>0</v>
      </c>
      <c r="AN130" s="22">
        <v>0.97308209959623149</v>
      </c>
      <c r="AO130" s="22">
        <v>0.95973094964156125</v>
      </c>
      <c r="AP130" s="22">
        <v>0.95781703137358287</v>
      </c>
    </row>
    <row r="131" spans="1:42" x14ac:dyDescent="0.25">
      <c r="A131" s="20" t="s">
        <v>52</v>
      </c>
      <c r="B131" s="21">
        <v>0</v>
      </c>
      <c r="C131" s="21">
        <v>0</v>
      </c>
      <c r="D131" s="21">
        <v>0</v>
      </c>
      <c r="E131" s="21">
        <v>38</v>
      </c>
      <c r="F131" s="21">
        <v>40</v>
      </c>
      <c r="G131" s="22">
        <v>0</v>
      </c>
      <c r="H131" s="22">
        <v>0</v>
      </c>
      <c r="I131" s="22">
        <v>0</v>
      </c>
      <c r="J131" s="22">
        <v>1.9000646021964748E-5</v>
      </c>
      <c r="K131" s="22">
        <v>1.9962928841142001E-5</v>
      </c>
      <c r="L131" s="21">
        <v>0</v>
      </c>
      <c r="M131" s="21">
        <v>0</v>
      </c>
      <c r="N131" s="21">
        <v>0</v>
      </c>
      <c r="O131" s="21">
        <v>38</v>
      </c>
      <c r="P131" s="21">
        <v>40</v>
      </c>
      <c r="Q131" s="22">
        <v>0</v>
      </c>
      <c r="R131" s="22">
        <v>0</v>
      </c>
      <c r="S131" s="22">
        <v>0</v>
      </c>
      <c r="T131" s="22">
        <v>1</v>
      </c>
      <c r="U131" s="22">
        <v>1</v>
      </c>
      <c r="V131" s="21"/>
      <c r="W131" s="21">
        <v>0</v>
      </c>
      <c r="X131" s="21">
        <v>0</v>
      </c>
      <c r="Y131" s="21">
        <v>0</v>
      </c>
      <c r="Z131" s="21">
        <v>0</v>
      </c>
      <c r="AA131" s="21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1">
        <v>0</v>
      </c>
      <c r="AH131" s="21">
        <v>0</v>
      </c>
      <c r="AI131" s="21">
        <v>0</v>
      </c>
      <c r="AJ131" s="21">
        <v>0</v>
      </c>
      <c r="AK131" s="21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</row>
    <row r="132" spans="1:42" x14ac:dyDescent="0.25">
      <c r="A132" s="20" t="s">
        <v>53</v>
      </c>
      <c r="B132" s="21">
        <v>5466</v>
      </c>
      <c r="C132" s="21">
        <v>5297</v>
      </c>
      <c r="D132" s="21">
        <v>6047</v>
      </c>
      <c r="E132" s="21">
        <v>6478</v>
      </c>
      <c r="F132" s="21">
        <v>7510</v>
      </c>
      <c r="G132" s="22">
        <v>2.7999338178834117E-3</v>
      </c>
      <c r="H132" s="22">
        <v>2.6750093425850175E-3</v>
      </c>
      <c r="I132" s="22">
        <v>3.0420871525017861E-3</v>
      </c>
      <c r="J132" s="22">
        <v>3.2391101297444113E-3</v>
      </c>
      <c r="K132" s="22">
        <v>3.7480398899244105E-3</v>
      </c>
      <c r="L132" s="21">
        <v>5466</v>
      </c>
      <c r="M132" s="21">
        <v>5297</v>
      </c>
      <c r="N132" s="21">
        <v>6047</v>
      </c>
      <c r="O132" s="21">
        <v>6478</v>
      </c>
      <c r="P132" s="21">
        <v>7495</v>
      </c>
      <c r="Q132" s="22">
        <v>1</v>
      </c>
      <c r="R132" s="22">
        <v>1</v>
      </c>
      <c r="S132" s="22">
        <v>1</v>
      </c>
      <c r="T132" s="22">
        <v>1</v>
      </c>
      <c r="U132" s="22">
        <v>0.99800266311584551</v>
      </c>
      <c r="V132" s="21"/>
      <c r="W132" s="21">
        <v>0</v>
      </c>
      <c r="X132" s="21">
        <v>0</v>
      </c>
      <c r="Y132" s="21">
        <v>0</v>
      </c>
      <c r="Z132" s="21">
        <v>3733</v>
      </c>
      <c r="AA132" s="21">
        <v>5297</v>
      </c>
      <c r="AB132" s="22">
        <v>0</v>
      </c>
      <c r="AC132" s="22">
        <v>0</v>
      </c>
      <c r="AD132" s="22">
        <v>0</v>
      </c>
      <c r="AE132" s="22">
        <v>1.9319106301144138E-3</v>
      </c>
      <c r="AF132" s="22">
        <v>2.6750093425850175E-3</v>
      </c>
      <c r="AG132" s="21">
        <v>0</v>
      </c>
      <c r="AH132" s="21">
        <v>0</v>
      </c>
      <c r="AI132" s="21">
        <v>0</v>
      </c>
      <c r="AJ132" s="21">
        <v>3733</v>
      </c>
      <c r="AK132" s="21">
        <v>5297</v>
      </c>
      <c r="AL132" s="22">
        <v>0</v>
      </c>
      <c r="AM132" s="22">
        <v>0</v>
      </c>
      <c r="AN132" s="22">
        <v>0</v>
      </c>
      <c r="AO132" s="22">
        <v>1</v>
      </c>
      <c r="AP132" s="22">
        <v>1</v>
      </c>
    </row>
    <row r="133" spans="1:42" x14ac:dyDescent="0.25">
      <c r="A133" s="20" t="s">
        <v>54</v>
      </c>
      <c r="B133" s="21">
        <v>1439</v>
      </c>
      <c r="C133" s="21">
        <v>1631</v>
      </c>
      <c r="D133" s="21">
        <v>1902</v>
      </c>
      <c r="E133" s="21">
        <v>2153</v>
      </c>
      <c r="F133" s="21">
        <v>2139</v>
      </c>
      <c r="G133" s="22">
        <v>7.371212520918825E-4</v>
      </c>
      <c r="H133" s="22">
        <v>8.2366249532870748E-4</v>
      </c>
      <c r="I133" s="22">
        <v>9.5684633108291664E-4</v>
      </c>
      <c r="J133" s="22">
        <v>1.0765366022444764E-3</v>
      </c>
      <c r="K133" s="22">
        <v>1.0675176197800684E-3</v>
      </c>
      <c r="L133" s="21">
        <v>973</v>
      </c>
      <c r="M133" s="21">
        <v>1240</v>
      </c>
      <c r="N133" s="21">
        <v>1578</v>
      </c>
      <c r="O133" s="21">
        <v>1866</v>
      </c>
      <c r="P133" s="21">
        <v>1842</v>
      </c>
      <c r="Q133" s="22">
        <v>0.67616400277970812</v>
      </c>
      <c r="R133" s="22">
        <v>0.76026977314530964</v>
      </c>
      <c r="S133" s="22">
        <v>0.82965299684542582</v>
      </c>
      <c r="T133" s="22">
        <v>0.86669763121226195</v>
      </c>
      <c r="U133" s="22">
        <v>0.86115007012622724</v>
      </c>
      <c r="V133" s="21"/>
      <c r="W133" s="21">
        <v>0</v>
      </c>
      <c r="X133" s="21">
        <v>0</v>
      </c>
      <c r="Y133" s="21">
        <v>1318</v>
      </c>
      <c r="Z133" s="21">
        <v>1001</v>
      </c>
      <c r="AA133" s="21">
        <v>1631</v>
      </c>
      <c r="AB133" s="22">
        <v>0</v>
      </c>
      <c r="AC133" s="22">
        <v>0</v>
      </c>
      <c r="AD133" s="22">
        <v>6.9485962043161432E-4</v>
      </c>
      <c r="AE133" s="22">
        <v>5.1803979125221759E-4</v>
      </c>
      <c r="AF133" s="22">
        <v>8.2366249532870748E-4</v>
      </c>
      <c r="AG133" s="21">
        <v>0</v>
      </c>
      <c r="AH133" s="21">
        <v>0</v>
      </c>
      <c r="AI133" s="21">
        <v>116</v>
      </c>
      <c r="AJ133" s="21">
        <v>191</v>
      </c>
      <c r="AK133" s="21">
        <v>1240</v>
      </c>
      <c r="AL133" s="22">
        <v>0</v>
      </c>
      <c r="AM133" s="22">
        <v>0</v>
      </c>
      <c r="AN133" s="22">
        <v>8.8012139605462822E-2</v>
      </c>
      <c r="AO133" s="22">
        <v>0.19080919080919082</v>
      </c>
      <c r="AP133" s="22">
        <v>0.76026977314530964</v>
      </c>
    </row>
    <row r="134" spans="1:42" x14ac:dyDescent="0.25">
      <c r="A134" s="20" t="s">
        <v>56</v>
      </c>
      <c r="B134" s="21">
        <v>0</v>
      </c>
      <c r="C134" s="21">
        <v>0</v>
      </c>
      <c r="D134" s="21">
        <v>2</v>
      </c>
      <c r="E134" s="21">
        <v>4</v>
      </c>
      <c r="F134" s="21">
        <v>224</v>
      </c>
      <c r="G134" s="22">
        <v>0</v>
      </c>
      <c r="H134" s="22">
        <v>0</v>
      </c>
      <c r="I134" s="22">
        <v>1.0061475616013845E-6</v>
      </c>
      <c r="J134" s="22">
        <v>2.0000680023120786E-6</v>
      </c>
      <c r="K134" s="22">
        <v>1.1179240151039519E-4</v>
      </c>
      <c r="L134" s="21">
        <v>0</v>
      </c>
      <c r="M134" s="21">
        <v>0</v>
      </c>
      <c r="N134" s="21">
        <v>2</v>
      </c>
      <c r="O134" s="21">
        <v>4</v>
      </c>
      <c r="P134" s="21">
        <v>224</v>
      </c>
      <c r="Q134" s="22">
        <v>0</v>
      </c>
      <c r="R134" s="22">
        <v>0</v>
      </c>
      <c r="S134" s="22">
        <v>1</v>
      </c>
      <c r="T134" s="22">
        <v>1</v>
      </c>
      <c r="U134" s="22">
        <v>1</v>
      </c>
      <c r="V134" s="21"/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1">
        <v>0</v>
      </c>
      <c r="AH134" s="21">
        <v>0</v>
      </c>
      <c r="AI134" s="21">
        <v>0</v>
      </c>
      <c r="AJ134" s="21">
        <v>0</v>
      </c>
      <c r="AK134" s="21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</row>
    <row r="135" spans="1:42" x14ac:dyDescent="0.25">
      <c r="A135" s="20" t="s">
        <v>57</v>
      </c>
      <c r="B135" s="21">
        <v>48988</v>
      </c>
      <c r="C135" s="21">
        <v>47065</v>
      </c>
      <c r="D135" s="21">
        <v>46520</v>
      </c>
      <c r="E135" s="21">
        <v>45822</v>
      </c>
      <c r="F135" s="21">
        <v>46505</v>
      </c>
      <c r="G135" s="22">
        <v>2.509388179115854E-2</v>
      </c>
      <c r="H135" s="22">
        <v>2.3768041289175732E-2</v>
      </c>
      <c r="I135" s="22">
        <v>2.3402992282848204E-2</v>
      </c>
      <c r="J135" s="22">
        <v>2.2911779000486018E-2</v>
      </c>
      <c r="K135" s="22">
        <v>2.3209400143932718E-2</v>
      </c>
      <c r="L135" s="21">
        <v>48637</v>
      </c>
      <c r="M135" s="21">
        <v>46781</v>
      </c>
      <c r="N135" s="21">
        <v>46273</v>
      </c>
      <c r="O135" s="21">
        <v>45582</v>
      </c>
      <c r="P135" s="21">
        <v>46275</v>
      </c>
      <c r="Q135" s="22">
        <v>0.99283497999510084</v>
      </c>
      <c r="R135" s="22">
        <v>0.99396579198980128</v>
      </c>
      <c r="S135" s="22">
        <v>0.99469045571797077</v>
      </c>
      <c r="T135" s="22">
        <v>0.99476234123346863</v>
      </c>
      <c r="U135" s="22">
        <v>0.99505429523707123</v>
      </c>
      <c r="V135" s="21"/>
      <c r="W135" s="21">
        <v>0</v>
      </c>
      <c r="X135" s="21">
        <v>0</v>
      </c>
      <c r="Y135" s="21">
        <v>0</v>
      </c>
      <c r="Z135" s="21">
        <v>49274</v>
      </c>
      <c r="AA135" s="21">
        <v>47065</v>
      </c>
      <c r="AB135" s="22">
        <v>0</v>
      </c>
      <c r="AC135" s="22">
        <v>0</v>
      </c>
      <c r="AD135" s="22">
        <v>0</v>
      </c>
      <c r="AE135" s="22">
        <v>2.5500392281879888E-2</v>
      </c>
      <c r="AF135" s="22">
        <v>2.3768041289175732E-2</v>
      </c>
      <c r="AG135" s="21">
        <v>0</v>
      </c>
      <c r="AH135" s="21">
        <v>0</v>
      </c>
      <c r="AI135" s="21">
        <v>0</v>
      </c>
      <c r="AJ135" s="21">
        <v>48578</v>
      </c>
      <c r="AK135" s="21">
        <v>46781</v>
      </c>
      <c r="AL135" s="22">
        <v>0</v>
      </c>
      <c r="AM135" s="22">
        <v>0</v>
      </c>
      <c r="AN135" s="22">
        <v>0</v>
      </c>
      <c r="AO135" s="22">
        <v>0.98587490360027596</v>
      </c>
      <c r="AP135" s="22">
        <v>0.99396579198980128</v>
      </c>
    </row>
    <row r="136" spans="1:42" x14ac:dyDescent="0.25">
      <c r="A136" s="20" t="s">
        <v>58</v>
      </c>
      <c r="B136" s="21">
        <v>1293</v>
      </c>
      <c r="C136" s="21">
        <v>1283</v>
      </c>
      <c r="D136" s="21">
        <v>1061</v>
      </c>
      <c r="E136" s="21">
        <v>1074</v>
      </c>
      <c r="F136" s="21">
        <v>923</v>
      </c>
      <c r="G136" s="22">
        <v>6.623334113653955E-4</v>
      </c>
      <c r="H136" s="22">
        <v>6.4792089608015438E-4</v>
      </c>
      <c r="I136" s="22">
        <v>5.3376128142953441E-4</v>
      </c>
      <c r="J136" s="22">
        <v>5.3701825862079308E-4</v>
      </c>
      <c r="K136" s="22">
        <v>4.6064458300935164E-4</v>
      </c>
      <c r="L136" s="21">
        <v>955</v>
      </c>
      <c r="M136" s="21">
        <v>937</v>
      </c>
      <c r="N136" s="21">
        <v>775</v>
      </c>
      <c r="O136" s="21">
        <v>788</v>
      </c>
      <c r="P136" s="21">
        <v>711</v>
      </c>
      <c r="Q136" s="22">
        <v>0.73859242072699149</v>
      </c>
      <c r="R136" s="22">
        <v>0.73031956352299299</v>
      </c>
      <c r="S136" s="22">
        <v>0.7304429783223374</v>
      </c>
      <c r="T136" s="22">
        <v>0.73370577281191807</v>
      </c>
      <c r="U136" s="22">
        <v>0.77031419284940417</v>
      </c>
      <c r="V136" s="21"/>
      <c r="W136" s="21">
        <v>0</v>
      </c>
      <c r="X136" s="21">
        <v>0</v>
      </c>
      <c r="Y136" s="21">
        <v>1854</v>
      </c>
      <c r="Z136" s="21">
        <v>1056</v>
      </c>
      <c r="AA136" s="21">
        <v>1283</v>
      </c>
      <c r="AB136" s="22">
        <v>0</v>
      </c>
      <c r="AC136" s="22">
        <v>0</v>
      </c>
      <c r="AD136" s="22">
        <v>9.7744289550850765E-4</v>
      </c>
      <c r="AE136" s="22">
        <v>5.4650351604629548E-4</v>
      </c>
      <c r="AF136" s="22">
        <v>6.4792089608015438E-4</v>
      </c>
      <c r="AG136" s="21">
        <v>0</v>
      </c>
      <c r="AH136" s="21">
        <v>0</v>
      </c>
      <c r="AI136" s="21">
        <v>1423</v>
      </c>
      <c r="AJ136" s="21">
        <v>1051</v>
      </c>
      <c r="AK136" s="21">
        <v>937</v>
      </c>
      <c r="AL136" s="22">
        <v>0</v>
      </c>
      <c r="AM136" s="22">
        <v>0</v>
      </c>
      <c r="AN136" s="22">
        <v>0.76752966558791802</v>
      </c>
      <c r="AO136" s="22">
        <v>0.99526515151515149</v>
      </c>
      <c r="AP136" s="22">
        <v>0.73031956352299299</v>
      </c>
    </row>
    <row r="137" spans="1:42" x14ac:dyDescent="0.25">
      <c r="A137" s="20" t="s">
        <v>59</v>
      </c>
      <c r="B137" s="21">
        <v>87</v>
      </c>
      <c r="C137" s="21">
        <v>87</v>
      </c>
      <c r="D137" s="21">
        <v>214</v>
      </c>
      <c r="E137" s="21">
        <v>296</v>
      </c>
      <c r="F137" s="21">
        <v>611</v>
      </c>
      <c r="G137" s="22">
        <v>4.4565357145235428E-5</v>
      </c>
      <c r="H137" s="22">
        <v>4.393539981213829E-5</v>
      </c>
      <c r="I137" s="22">
        <v>1.0765778909134813E-4</v>
      </c>
      <c r="J137" s="22">
        <v>1.4800503217109382E-4</v>
      </c>
      <c r="K137" s="22">
        <v>3.0493373804844404E-4</v>
      </c>
      <c r="L137" s="21">
        <v>87</v>
      </c>
      <c r="M137" s="21">
        <v>87</v>
      </c>
      <c r="N137" s="21">
        <v>214</v>
      </c>
      <c r="O137" s="21">
        <v>296</v>
      </c>
      <c r="P137" s="21">
        <v>538</v>
      </c>
      <c r="Q137" s="22">
        <v>1</v>
      </c>
      <c r="R137" s="22">
        <v>1</v>
      </c>
      <c r="S137" s="22">
        <v>1</v>
      </c>
      <c r="T137" s="22">
        <v>1</v>
      </c>
      <c r="U137" s="22">
        <v>0.88052373158756136</v>
      </c>
      <c r="V137" s="21"/>
      <c r="W137" s="21">
        <v>0</v>
      </c>
      <c r="X137" s="21">
        <v>0</v>
      </c>
      <c r="Y137" s="21">
        <v>0</v>
      </c>
      <c r="Z137" s="21">
        <v>74</v>
      </c>
      <c r="AA137" s="21">
        <v>87</v>
      </c>
      <c r="AB137" s="22">
        <v>0</v>
      </c>
      <c r="AC137" s="22">
        <v>0</v>
      </c>
      <c r="AD137" s="22">
        <v>0</v>
      </c>
      <c r="AE137" s="22">
        <v>3.8296647904759344E-5</v>
      </c>
      <c r="AF137" s="22">
        <v>4.393539981213829E-5</v>
      </c>
      <c r="AG137" s="21">
        <v>0</v>
      </c>
      <c r="AH137" s="21">
        <v>0</v>
      </c>
      <c r="AI137" s="21">
        <v>0</v>
      </c>
      <c r="AJ137" s="21">
        <v>0</v>
      </c>
      <c r="AK137" s="21">
        <v>87</v>
      </c>
      <c r="AL137" s="22">
        <v>0</v>
      </c>
      <c r="AM137" s="22">
        <v>0</v>
      </c>
      <c r="AN137" s="22">
        <v>0</v>
      </c>
      <c r="AO137" s="22">
        <v>0</v>
      </c>
      <c r="AP137" s="22">
        <v>1</v>
      </c>
    </row>
    <row r="138" spans="1:42" x14ac:dyDescent="0.25">
      <c r="A138" s="20" t="s">
        <v>60</v>
      </c>
      <c r="B138" s="21">
        <v>16733</v>
      </c>
      <c r="C138" s="21">
        <v>16254</v>
      </c>
      <c r="D138" s="21">
        <v>15771</v>
      </c>
      <c r="E138" s="21">
        <v>15304</v>
      </c>
      <c r="F138" s="21">
        <v>15112</v>
      </c>
      <c r="G138" s="22">
        <v>8.5714036909336142E-3</v>
      </c>
      <c r="H138" s="22">
        <v>8.208344695936733E-3</v>
      </c>
      <c r="I138" s="22">
        <v>7.9339765970077164E-3</v>
      </c>
      <c r="J138" s="22">
        <v>7.6522601768460128E-3</v>
      </c>
      <c r="K138" s="22">
        <v>7.5419945161834473E-3</v>
      </c>
      <c r="L138" s="21">
        <v>16716</v>
      </c>
      <c r="M138" s="21">
        <v>16243</v>
      </c>
      <c r="N138" s="21">
        <v>15760</v>
      </c>
      <c r="O138" s="21">
        <v>15297</v>
      </c>
      <c r="P138" s="21">
        <v>15095</v>
      </c>
      <c r="Q138" s="22">
        <v>0.99898404350684278</v>
      </c>
      <c r="R138" s="22">
        <v>0.99932324350929003</v>
      </c>
      <c r="S138" s="22">
        <v>0.99930251727854924</v>
      </c>
      <c r="T138" s="22">
        <v>0.99954260324098276</v>
      </c>
      <c r="U138" s="22">
        <v>0.99887506617257804</v>
      </c>
      <c r="V138" s="21"/>
      <c r="W138" s="21">
        <v>0</v>
      </c>
      <c r="X138" s="21">
        <v>0</v>
      </c>
      <c r="Y138" s="21">
        <v>1589</v>
      </c>
      <c r="Z138" s="21">
        <v>5576</v>
      </c>
      <c r="AA138" s="21">
        <v>16254</v>
      </c>
      <c r="AB138" s="22">
        <v>0</v>
      </c>
      <c r="AC138" s="22">
        <v>0</v>
      </c>
      <c r="AD138" s="22">
        <v>8.3773288077832711E-4</v>
      </c>
      <c r="AE138" s="22">
        <v>2.8857041718505149E-3</v>
      </c>
      <c r="AF138" s="22">
        <v>8.208344695936733E-3</v>
      </c>
      <c r="AG138" s="21">
        <v>0</v>
      </c>
      <c r="AH138" s="21">
        <v>0</v>
      </c>
      <c r="AI138" s="21">
        <v>1581</v>
      </c>
      <c r="AJ138" s="21">
        <v>5569</v>
      </c>
      <c r="AK138" s="21">
        <v>16243</v>
      </c>
      <c r="AL138" s="22">
        <v>0</v>
      </c>
      <c r="AM138" s="22">
        <v>0</v>
      </c>
      <c r="AN138" s="22">
        <v>0.99496538703587156</v>
      </c>
      <c r="AO138" s="22">
        <v>0.9987446197991392</v>
      </c>
      <c r="AP138" s="22">
        <v>0.99932324350929003</v>
      </c>
    </row>
    <row r="139" spans="1:42" x14ac:dyDescent="0.25">
      <c r="A139" s="20" t="s">
        <v>62</v>
      </c>
      <c r="B139" s="21">
        <v>0</v>
      </c>
      <c r="C139" s="21">
        <v>0</v>
      </c>
      <c r="D139" s="21">
        <v>0</v>
      </c>
      <c r="E139" s="21">
        <v>0</v>
      </c>
      <c r="F139" s="21">
        <v>79134</v>
      </c>
      <c r="G139" s="22">
        <v>0</v>
      </c>
      <c r="H139" s="22">
        <v>0</v>
      </c>
      <c r="I139" s="22">
        <v>0</v>
      </c>
      <c r="J139" s="22">
        <v>0</v>
      </c>
      <c r="K139" s="22">
        <v>3.9493660272873272E-2</v>
      </c>
      <c r="L139" s="21">
        <v>0</v>
      </c>
      <c r="M139" s="21">
        <v>0</v>
      </c>
      <c r="N139" s="21">
        <v>0</v>
      </c>
      <c r="O139" s="21">
        <v>0</v>
      </c>
      <c r="P139" s="21">
        <v>36635</v>
      </c>
      <c r="Q139" s="22">
        <v>0</v>
      </c>
      <c r="R139" s="22">
        <v>0</v>
      </c>
      <c r="S139" s="22">
        <v>0</v>
      </c>
      <c r="T139" s="22">
        <v>0</v>
      </c>
      <c r="U139" s="22">
        <v>0.4629489220815326</v>
      </c>
      <c r="V139" s="21"/>
      <c r="W139" s="21">
        <v>0</v>
      </c>
      <c r="X139" s="21">
        <v>0</v>
      </c>
      <c r="Y139" s="21">
        <v>0</v>
      </c>
      <c r="Z139" s="21">
        <v>0</v>
      </c>
      <c r="AA139" s="21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1">
        <v>0</v>
      </c>
      <c r="AH139" s="21">
        <v>0</v>
      </c>
      <c r="AI139" s="21">
        <v>0</v>
      </c>
      <c r="AJ139" s="21">
        <v>0</v>
      </c>
      <c r="AK139" s="21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</row>
    <row r="140" spans="1:42" x14ac:dyDescent="0.25">
      <c r="A140" s="20" t="s">
        <v>64</v>
      </c>
      <c r="B140" s="21">
        <v>0</v>
      </c>
      <c r="C140" s="21">
        <v>0</v>
      </c>
      <c r="D140" s="21">
        <v>0</v>
      </c>
      <c r="E140" s="21">
        <v>0</v>
      </c>
      <c r="F140" s="21">
        <v>4</v>
      </c>
      <c r="G140" s="22">
        <v>0</v>
      </c>
      <c r="H140" s="22">
        <v>0</v>
      </c>
      <c r="I140" s="22">
        <v>0</v>
      </c>
      <c r="J140" s="22">
        <v>0</v>
      </c>
      <c r="K140" s="22">
        <v>1.9962928841141998E-6</v>
      </c>
      <c r="L140" s="21">
        <v>0</v>
      </c>
      <c r="M140" s="21">
        <v>0</v>
      </c>
      <c r="N140" s="21">
        <v>0</v>
      </c>
      <c r="O140" s="21">
        <v>0</v>
      </c>
      <c r="P140" s="21">
        <v>4</v>
      </c>
      <c r="Q140" s="22">
        <v>0</v>
      </c>
      <c r="R140" s="22">
        <v>0</v>
      </c>
      <c r="S140" s="22">
        <v>0</v>
      </c>
      <c r="T140" s="22">
        <v>0</v>
      </c>
      <c r="U140" s="22">
        <v>1</v>
      </c>
      <c r="V140" s="21"/>
      <c r="W140" s="21">
        <v>0</v>
      </c>
      <c r="X140" s="21">
        <v>0</v>
      </c>
      <c r="Y140" s="21">
        <v>0</v>
      </c>
      <c r="Z140" s="21">
        <v>0</v>
      </c>
      <c r="AA140" s="21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1">
        <v>0</v>
      </c>
      <c r="AH140" s="21">
        <v>0</v>
      </c>
      <c r="AI140" s="21">
        <v>0</v>
      </c>
      <c r="AJ140" s="21">
        <v>0</v>
      </c>
      <c r="AK140" s="21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</row>
    <row r="141" spans="1:42" x14ac:dyDescent="0.25">
      <c r="A141" s="20" t="s">
        <v>65</v>
      </c>
      <c r="B141" s="21">
        <v>0</v>
      </c>
      <c r="C141" s="21">
        <v>0</v>
      </c>
      <c r="D141" s="21">
        <v>0</v>
      </c>
      <c r="E141" s="21">
        <v>0</v>
      </c>
      <c r="F141" s="21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1">
        <v>0</v>
      </c>
      <c r="M141" s="21">
        <v>0</v>
      </c>
      <c r="N141" s="21">
        <v>0</v>
      </c>
      <c r="O141" s="21">
        <v>0</v>
      </c>
      <c r="P141" s="21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1"/>
      <c r="W141" s="21">
        <v>0</v>
      </c>
      <c r="X141" s="21">
        <v>0</v>
      </c>
      <c r="Y141" s="21">
        <v>258</v>
      </c>
      <c r="Z141" s="21">
        <v>0</v>
      </c>
      <c r="AA141" s="21">
        <v>0</v>
      </c>
      <c r="AB141" s="22">
        <v>0</v>
      </c>
      <c r="AC141" s="22">
        <v>0</v>
      </c>
      <c r="AD141" s="22">
        <v>1.3601956151089263E-4</v>
      </c>
      <c r="AE141" s="22">
        <v>0</v>
      </c>
      <c r="AF141" s="22">
        <v>0</v>
      </c>
      <c r="AG141" s="21">
        <v>0</v>
      </c>
      <c r="AH141" s="21">
        <v>0</v>
      </c>
      <c r="AI141" s="21">
        <v>258</v>
      </c>
      <c r="AJ141" s="21">
        <v>0</v>
      </c>
      <c r="AK141" s="21">
        <v>0</v>
      </c>
      <c r="AL141" s="22">
        <v>0</v>
      </c>
      <c r="AM141" s="22">
        <v>0</v>
      </c>
      <c r="AN141" s="22">
        <v>1</v>
      </c>
      <c r="AO141" s="22">
        <v>0</v>
      </c>
      <c r="AP141" s="22">
        <v>0</v>
      </c>
    </row>
    <row r="142" spans="1:42" x14ac:dyDescent="0.25">
      <c r="A142" s="31" t="s">
        <v>74</v>
      </c>
      <c r="B142" s="29">
        <v>1952189</v>
      </c>
      <c r="C142" s="29">
        <v>1980180</v>
      </c>
      <c r="D142" s="29">
        <v>1987780</v>
      </c>
      <c r="E142" s="29">
        <v>1999932</v>
      </c>
      <c r="F142" s="29">
        <v>2003714</v>
      </c>
      <c r="G142" s="24">
        <v>1</v>
      </c>
      <c r="H142" s="24">
        <v>1</v>
      </c>
      <c r="I142" s="24">
        <v>1</v>
      </c>
      <c r="J142" s="24">
        <v>1</v>
      </c>
      <c r="K142" s="24">
        <v>1</v>
      </c>
      <c r="L142" s="29">
        <v>1109624</v>
      </c>
      <c r="M142" s="29">
        <v>1152509</v>
      </c>
      <c r="N142" s="29">
        <v>1172062</v>
      </c>
      <c r="O142" s="29">
        <v>1191025</v>
      </c>
      <c r="P142" s="29">
        <v>1197484</v>
      </c>
      <c r="Q142" s="24">
        <v>0.5683998834129278</v>
      </c>
      <c r="R142" s="24">
        <v>0.58202234140330678</v>
      </c>
      <c r="S142" s="24">
        <v>0.58963366167282094</v>
      </c>
      <c r="T142" s="24">
        <v>0.59553274811343582</v>
      </c>
      <c r="U142" s="24">
        <v>0.59763219701015213</v>
      </c>
      <c r="V142" s="23"/>
      <c r="W142" s="29">
        <v>0</v>
      </c>
      <c r="X142" s="29">
        <v>0</v>
      </c>
      <c r="Y142" s="29">
        <v>1896786</v>
      </c>
      <c r="Z142" s="29">
        <v>1932284</v>
      </c>
      <c r="AA142" s="29">
        <v>1980180</v>
      </c>
      <c r="AB142" s="24">
        <v>0</v>
      </c>
      <c r="AC142" s="24">
        <v>0</v>
      </c>
      <c r="AD142" s="24">
        <v>1</v>
      </c>
      <c r="AE142" s="24">
        <v>1</v>
      </c>
      <c r="AF142" s="24">
        <v>1</v>
      </c>
      <c r="AG142" s="29">
        <v>0</v>
      </c>
      <c r="AH142" s="29">
        <v>0</v>
      </c>
      <c r="AI142" s="29">
        <v>961165</v>
      </c>
      <c r="AJ142" s="29">
        <v>1033254</v>
      </c>
      <c r="AK142" s="29">
        <v>1152509</v>
      </c>
      <c r="AL142" s="24">
        <v>0</v>
      </c>
      <c r="AM142" s="24">
        <v>0</v>
      </c>
      <c r="AN142" s="24">
        <v>0.506733495502392</v>
      </c>
      <c r="AO142" s="24">
        <v>0.53473195451600286</v>
      </c>
      <c r="AP142" s="24">
        <v>0.58202234140330678</v>
      </c>
    </row>
    <row r="143" spans="1:42" x14ac:dyDescent="0.25">
      <c r="A143" s="20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</row>
    <row r="144" spans="1:42" x14ac:dyDescent="0.25">
      <c r="A144" s="30" t="s">
        <v>75</v>
      </c>
      <c r="B144" s="27" t="s">
        <v>12</v>
      </c>
      <c r="C144" s="27" t="s">
        <v>13</v>
      </c>
      <c r="D144" s="27" t="s">
        <v>14</v>
      </c>
      <c r="E144" s="27" t="s">
        <v>15</v>
      </c>
      <c r="F144" s="27" t="s">
        <v>16</v>
      </c>
      <c r="G144" s="27" t="s">
        <v>12</v>
      </c>
      <c r="H144" s="27" t="s">
        <v>13</v>
      </c>
      <c r="I144" s="27" t="s">
        <v>14</v>
      </c>
      <c r="J144" s="27" t="s">
        <v>15</v>
      </c>
      <c r="K144" s="27" t="s">
        <v>16</v>
      </c>
      <c r="L144" s="27" t="s">
        <v>12</v>
      </c>
      <c r="M144" s="27" t="s">
        <v>13</v>
      </c>
      <c r="N144" s="27" t="s">
        <v>14</v>
      </c>
      <c r="O144" s="27" t="s">
        <v>15</v>
      </c>
      <c r="P144" s="27" t="s">
        <v>16</v>
      </c>
      <c r="Q144" s="27" t="s">
        <v>12</v>
      </c>
      <c r="R144" s="27" t="s">
        <v>13</v>
      </c>
      <c r="S144" s="27" t="s">
        <v>14</v>
      </c>
      <c r="T144" s="27" t="s">
        <v>15</v>
      </c>
      <c r="U144" s="27" t="s">
        <v>16</v>
      </c>
      <c r="V144" s="27"/>
      <c r="W144" s="27" t="s">
        <v>17</v>
      </c>
      <c r="X144" s="27" t="s">
        <v>18</v>
      </c>
      <c r="Y144" s="27" t="s">
        <v>19</v>
      </c>
      <c r="Z144" s="27" t="s">
        <v>20</v>
      </c>
      <c r="AA144" s="27" t="s">
        <v>21</v>
      </c>
      <c r="AB144" s="27" t="s">
        <v>17</v>
      </c>
      <c r="AC144" s="27" t="s">
        <v>18</v>
      </c>
      <c r="AD144" s="27" t="s">
        <v>19</v>
      </c>
      <c r="AE144" s="27" t="s">
        <v>20</v>
      </c>
      <c r="AF144" s="27" t="s">
        <v>21</v>
      </c>
      <c r="AG144" s="27" t="s">
        <v>17</v>
      </c>
      <c r="AH144" s="27" t="s">
        <v>18</v>
      </c>
      <c r="AI144" s="27" t="s">
        <v>19</v>
      </c>
      <c r="AJ144" s="27" t="s">
        <v>20</v>
      </c>
      <c r="AK144" s="27" t="s">
        <v>21</v>
      </c>
      <c r="AL144" s="27" t="s">
        <v>17</v>
      </c>
      <c r="AM144" s="27" t="s">
        <v>18</v>
      </c>
      <c r="AN144" s="27" t="s">
        <v>19</v>
      </c>
      <c r="AO144" s="27" t="s">
        <v>20</v>
      </c>
      <c r="AP144" s="27" t="s">
        <v>21</v>
      </c>
    </row>
    <row r="145" spans="1:42" x14ac:dyDescent="0.25">
      <c r="A145" s="20" t="s">
        <v>24</v>
      </c>
      <c r="B145" s="21">
        <v>310759</v>
      </c>
      <c r="C145" s="21">
        <v>302430</v>
      </c>
      <c r="D145" s="21">
        <v>300201</v>
      </c>
      <c r="E145" s="21">
        <v>298972</v>
      </c>
      <c r="F145" s="21">
        <v>298534</v>
      </c>
      <c r="G145" s="22">
        <v>0.40324742649301037</v>
      </c>
      <c r="H145" s="22">
        <v>0.39227258164725171</v>
      </c>
      <c r="I145" s="22">
        <v>0.38807118148019837</v>
      </c>
      <c r="J145" s="22">
        <v>0.38562303945847781</v>
      </c>
      <c r="K145" s="22">
        <v>0.38451848569779901</v>
      </c>
      <c r="L145" s="21">
        <v>245417</v>
      </c>
      <c r="M145" s="21">
        <v>242112</v>
      </c>
      <c r="N145" s="21">
        <v>242013</v>
      </c>
      <c r="O145" s="21">
        <v>241701</v>
      </c>
      <c r="P145" s="21">
        <v>242075</v>
      </c>
      <c r="Q145" s="22">
        <v>0.78973416699114107</v>
      </c>
      <c r="R145" s="22">
        <v>0.80055550044638424</v>
      </c>
      <c r="S145" s="22">
        <v>0.80616986618965292</v>
      </c>
      <c r="T145" s="22">
        <v>0.80844025527474139</v>
      </c>
      <c r="U145" s="22">
        <v>0.81087916284242334</v>
      </c>
      <c r="V145" s="21"/>
      <c r="W145" s="21">
        <v>353212</v>
      </c>
      <c r="X145" s="21">
        <v>346447</v>
      </c>
      <c r="Y145" s="21">
        <v>338664</v>
      </c>
      <c r="Z145" s="21">
        <v>323594</v>
      </c>
      <c r="AA145" s="21">
        <v>302430</v>
      </c>
      <c r="AB145" s="22">
        <v>0.47663591758742974</v>
      </c>
      <c r="AC145" s="22">
        <v>0.4619816912583426</v>
      </c>
      <c r="AD145" s="22">
        <v>0.44771419392963518</v>
      </c>
      <c r="AE145" s="22">
        <v>0.42547199208996611</v>
      </c>
      <c r="AF145" s="22">
        <v>0.39227258164725171</v>
      </c>
      <c r="AG145" s="21">
        <v>247851</v>
      </c>
      <c r="AH145" s="21">
        <v>245810</v>
      </c>
      <c r="AI145" s="21">
        <v>248038</v>
      </c>
      <c r="AJ145" s="21">
        <v>244386</v>
      </c>
      <c r="AK145" s="21">
        <v>242112</v>
      </c>
      <c r="AL145" s="22">
        <v>0.70170605755183857</v>
      </c>
      <c r="AM145" s="22">
        <v>0.70951689580224397</v>
      </c>
      <c r="AN145" s="22">
        <v>0.73240143623178133</v>
      </c>
      <c r="AO145" s="22">
        <v>0.75522413889009066</v>
      </c>
      <c r="AP145" s="22">
        <v>0.80055550044638424</v>
      </c>
    </row>
    <row r="146" spans="1:42" x14ac:dyDescent="0.25">
      <c r="A146" s="20" t="s">
        <v>25</v>
      </c>
      <c r="B146" s="21">
        <v>45945</v>
      </c>
      <c r="C146" s="21">
        <v>49854</v>
      </c>
      <c r="D146" s="21">
        <v>50677</v>
      </c>
      <c r="E146" s="21">
        <v>51256</v>
      </c>
      <c r="F146" s="21">
        <v>50505</v>
      </c>
      <c r="G146" s="22">
        <v>5.9619200120419234E-2</v>
      </c>
      <c r="H146" s="22">
        <v>6.4664078581629092E-2</v>
      </c>
      <c r="I146" s="22">
        <v>6.5510385587896153E-2</v>
      </c>
      <c r="J146" s="22">
        <v>6.6111523856694734E-2</v>
      </c>
      <c r="K146" s="22">
        <v>6.5051572417772652E-2</v>
      </c>
      <c r="L146" s="21">
        <v>45170</v>
      </c>
      <c r="M146" s="21">
        <v>49275</v>
      </c>
      <c r="N146" s="21">
        <v>49975</v>
      </c>
      <c r="O146" s="21">
        <v>50555</v>
      </c>
      <c r="P146" s="21">
        <v>49470</v>
      </c>
      <c r="Q146" s="22">
        <v>0.98313200565893999</v>
      </c>
      <c r="R146" s="22">
        <v>0.98838608737513545</v>
      </c>
      <c r="S146" s="22">
        <v>0.98614756201037945</v>
      </c>
      <c r="T146" s="22">
        <v>0.98632355236460123</v>
      </c>
      <c r="U146" s="22">
        <v>0.97950697950697951</v>
      </c>
      <c r="V146" s="21"/>
      <c r="W146" s="21">
        <v>24008</v>
      </c>
      <c r="X146" s="21">
        <v>32230</v>
      </c>
      <c r="Y146" s="21">
        <v>37581</v>
      </c>
      <c r="Z146" s="21">
        <v>36191</v>
      </c>
      <c r="AA146" s="21">
        <v>49854</v>
      </c>
      <c r="AB146" s="22">
        <v>3.2397186702147758E-2</v>
      </c>
      <c r="AC146" s="22">
        <v>4.2978204196475599E-2</v>
      </c>
      <c r="AD146" s="22">
        <v>4.9682124825991603E-2</v>
      </c>
      <c r="AE146" s="22">
        <v>4.7585112411626801E-2</v>
      </c>
      <c r="AF146" s="22">
        <v>6.4664078581629092E-2</v>
      </c>
      <c r="AG146" s="21">
        <v>23667</v>
      </c>
      <c r="AH146" s="21">
        <v>30878</v>
      </c>
      <c r="AI146" s="21">
        <v>35801</v>
      </c>
      <c r="AJ146" s="21">
        <v>35458</v>
      </c>
      <c r="AK146" s="21">
        <v>49275</v>
      </c>
      <c r="AL146" s="22">
        <v>0.9857964011996001</v>
      </c>
      <c r="AM146" s="22">
        <v>0.958051504809184</v>
      </c>
      <c r="AN146" s="22">
        <v>0.952635640350177</v>
      </c>
      <c r="AO146" s="22">
        <v>0.97974634577657427</v>
      </c>
      <c r="AP146" s="22">
        <v>0.98838608737513545</v>
      </c>
    </row>
    <row r="147" spans="1:42" x14ac:dyDescent="0.25">
      <c r="A147" s="20" t="s">
        <v>26</v>
      </c>
      <c r="B147" s="21">
        <v>4463</v>
      </c>
      <c r="C147" s="21">
        <v>5737</v>
      </c>
      <c r="D147" s="21">
        <v>6266</v>
      </c>
      <c r="E147" s="21">
        <v>6128</v>
      </c>
      <c r="F147" s="21">
        <v>6284</v>
      </c>
      <c r="G147" s="22">
        <v>5.7912828411672878E-3</v>
      </c>
      <c r="H147" s="22">
        <v>7.4412849284471883E-3</v>
      </c>
      <c r="I147" s="22">
        <v>8.1000863526601279E-3</v>
      </c>
      <c r="J147" s="22">
        <v>7.9040779263661876E-3</v>
      </c>
      <c r="K147" s="22">
        <v>8.0939328991839095E-3</v>
      </c>
      <c r="L147" s="21">
        <v>4418</v>
      </c>
      <c r="M147" s="21">
        <v>5678</v>
      </c>
      <c r="N147" s="21">
        <v>6199</v>
      </c>
      <c r="O147" s="21">
        <v>6056</v>
      </c>
      <c r="P147" s="21">
        <v>6180</v>
      </c>
      <c r="Q147" s="22">
        <v>0.98991709612368362</v>
      </c>
      <c r="R147" s="22">
        <v>0.98971587937946659</v>
      </c>
      <c r="S147" s="22">
        <v>0.98930737312480055</v>
      </c>
      <c r="T147" s="22">
        <v>0.98825065274151436</v>
      </c>
      <c r="U147" s="22">
        <v>0.98345003182686186</v>
      </c>
      <c r="V147" s="21"/>
      <c r="W147" s="21">
        <v>0</v>
      </c>
      <c r="X147" s="21">
        <v>0</v>
      </c>
      <c r="Y147" s="21">
        <v>1643</v>
      </c>
      <c r="Z147" s="21">
        <v>3771</v>
      </c>
      <c r="AA147" s="21">
        <v>5737</v>
      </c>
      <c r="AB147" s="22">
        <v>0</v>
      </c>
      <c r="AC147" s="22">
        <v>0</v>
      </c>
      <c r="AD147" s="22">
        <v>2.1720478723052661E-3</v>
      </c>
      <c r="AE147" s="22">
        <v>4.9582343373834568E-3</v>
      </c>
      <c r="AF147" s="22">
        <v>7.4412849284471883E-3</v>
      </c>
      <c r="AG147" s="21">
        <v>0</v>
      </c>
      <c r="AH147" s="21">
        <v>0</v>
      </c>
      <c r="AI147" s="21">
        <v>1639</v>
      </c>
      <c r="AJ147" s="21">
        <v>3730</v>
      </c>
      <c r="AK147" s="21">
        <v>5678</v>
      </c>
      <c r="AL147" s="22">
        <v>0</v>
      </c>
      <c r="AM147" s="22">
        <v>0</v>
      </c>
      <c r="AN147" s="22">
        <v>0.99756542909312229</v>
      </c>
      <c r="AO147" s="22">
        <v>0.9891275523733758</v>
      </c>
      <c r="AP147" s="22">
        <v>0.98971587937946659</v>
      </c>
    </row>
    <row r="148" spans="1:42" x14ac:dyDescent="0.25">
      <c r="A148" s="20" t="s">
        <v>31</v>
      </c>
      <c r="B148" s="21">
        <v>1906</v>
      </c>
      <c r="C148" s="21">
        <v>1893</v>
      </c>
      <c r="D148" s="21">
        <v>1917</v>
      </c>
      <c r="E148" s="21">
        <v>1958</v>
      </c>
      <c r="F148" s="21">
        <v>1975</v>
      </c>
      <c r="G148" s="22">
        <v>2.4732657618787477E-3</v>
      </c>
      <c r="H148" s="22">
        <v>2.4553516418948105E-3</v>
      </c>
      <c r="I148" s="22">
        <v>2.478114512934801E-3</v>
      </c>
      <c r="J148" s="22">
        <v>2.5254870397886744E-3</v>
      </c>
      <c r="K148" s="22">
        <v>2.5438442832412828E-3</v>
      </c>
      <c r="L148" s="21">
        <v>1875</v>
      </c>
      <c r="M148" s="21">
        <v>1885</v>
      </c>
      <c r="N148" s="21">
        <v>1910</v>
      </c>
      <c r="O148" s="21">
        <v>1950</v>
      </c>
      <c r="P148" s="21">
        <v>1967</v>
      </c>
      <c r="Q148" s="22">
        <v>0.98373557187827909</v>
      </c>
      <c r="R148" s="22">
        <v>0.9957739038563127</v>
      </c>
      <c r="S148" s="22">
        <v>0.99634846113719355</v>
      </c>
      <c r="T148" s="22">
        <v>0.99591419816138915</v>
      </c>
      <c r="U148" s="22">
        <v>0.9959493670886076</v>
      </c>
      <c r="V148" s="21"/>
      <c r="W148" s="21">
        <v>349</v>
      </c>
      <c r="X148" s="21">
        <v>797</v>
      </c>
      <c r="Y148" s="21">
        <v>1424</v>
      </c>
      <c r="Z148" s="21">
        <v>592</v>
      </c>
      <c r="AA148" s="21">
        <v>1893</v>
      </c>
      <c r="AB148" s="22">
        <v>4.7095210592509027E-4</v>
      </c>
      <c r="AC148" s="22">
        <v>1.0627871158731322E-3</v>
      </c>
      <c r="AD148" s="22">
        <v>1.8825296227405349E-3</v>
      </c>
      <c r="AE148" s="22">
        <v>7.7838099382948991E-4</v>
      </c>
      <c r="AF148" s="22">
        <v>2.4553516418948105E-3</v>
      </c>
      <c r="AG148" s="21">
        <v>349</v>
      </c>
      <c r="AH148" s="21">
        <v>797</v>
      </c>
      <c r="AI148" s="21">
        <v>1423</v>
      </c>
      <c r="AJ148" s="21">
        <v>581</v>
      </c>
      <c r="AK148" s="21">
        <v>1885</v>
      </c>
      <c r="AL148" s="22">
        <v>1</v>
      </c>
      <c r="AM148" s="22">
        <v>1</v>
      </c>
      <c r="AN148" s="22">
        <v>0.9992977528089888</v>
      </c>
      <c r="AO148" s="22">
        <v>0.98141891891891897</v>
      </c>
      <c r="AP148" s="22">
        <v>0.9957739038563127</v>
      </c>
    </row>
    <row r="149" spans="1:42" x14ac:dyDescent="0.25">
      <c r="A149" s="20" t="s">
        <v>33</v>
      </c>
      <c r="B149" s="21">
        <v>4925</v>
      </c>
      <c r="C149" s="21">
        <v>4832</v>
      </c>
      <c r="D149" s="21">
        <v>4725</v>
      </c>
      <c r="E149" s="21">
        <v>4675</v>
      </c>
      <c r="F149" s="21">
        <v>4785</v>
      </c>
      <c r="G149" s="22">
        <v>6.3907837761032699E-3</v>
      </c>
      <c r="H149" s="22">
        <v>6.2674374715455481E-3</v>
      </c>
      <c r="I149" s="22">
        <v>6.1080287290646504E-3</v>
      </c>
      <c r="J149" s="22">
        <v>6.0299550107313854E-3</v>
      </c>
      <c r="K149" s="22">
        <v>6.1631872887643229E-3</v>
      </c>
      <c r="L149" s="21">
        <v>4827</v>
      </c>
      <c r="M149" s="21">
        <v>4745</v>
      </c>
      <c r="N149" s="21">
        <v>4621</v>
      </c>
      <c r="O149" s="21">
        <v>4611</v>
      </c>
      <c r="P149" s="21">
        <v>4711</v>
      </c>
      <c r="Q149" s="22">
        <v>0.98010152284263963</v>
      </c>
      <c r="R149" s="22">
        <v>0.98199503311258274</v>
      </c>
      <c r="S149" s="22">
        <v>0.97798941798941796</v>
      </c>
      <c r="T149" s="22">
        <v>0.9863101604278075</v>
      </c>
      <c r="U149" s="22">
        <v>0.98453500522466042</v>
      </c>
      <c r="V149" s="21"/>
      <c r="W149" s="21">
        <v>294</v>
      </c>
      <c r="X149" s="21">
        <v>2734</v>
      </c>
      <c r="Y149" s="21">
        <v>4635</v>
      </c>
      <c r="Z149" s="21">
        <v>5150</v>
      </c>
      <c r="AA149" s="21">
        <v>4832</v>
      </c>
      <c r="AB149" s="22">
        <v>3.9673329267041988E-4</v>
      </c>
      <c r="AC149" s="22">
        <v>3.6457465179386998E-3</v>
      </c>
      <c r="AD149" s="22">
        <v>6.1274752818836929E-3</v>
      </c>
      <c r="AE149" s="22">
        <v>6.7713887132126232E-3</v>
      </c>
      <c r="AF149" s="22">
        <v>6.2674374715455481E-3</v>
      </c>
      <c r="AG149" s="21">
        <v>294</v>
      </c>
      <c r="AH149" s="21">
        <v>2728</v>
      </c>
      <c r="AI149" s="21">
        <v>4598</v>
      </c>
      <c r="AJ149" s="21">
        <v>5050</v>
      </c>
      <c r="AK149" s="21">
        <v>4745</v>
      </c>
      <c r="AL149" s="22">
        <v>1</v>
      </c>
      <c r="AM149" s="22">
        <v>0.99780541331382588</v>
      </c>
      <c r="AN149" s="22">
        <v>0.99201725997842505</v>
      </c>
      <c r="AO149" s="22">
        <v>0.98058252427184467</v>
      </c>
      <c r="AP149" s="22">
        <v>0.98199503311258274</v>
      </c>
    </row>
    <row r="150" spans="1:42" x14ac:dyDescent="0.25">
      <c r="A150" s="20" t="s">
        <v>34</v>
      </c>
      <c r="B150" s="21">
        <v>0</v>
      </c>
      <c r="C150" s="21">
        <v>13</v>
      </c>
      <c r="D150" s="21">
        <v>23</v>
      </c>
      <c r="E150" s="21">
        <v>395</v>
      </c>
      <c r="F150" s="21">
        <v>1249</v>
      </c>
      <c r="G150" s="22">
        <v>0</v>
      </c>
      <c r="H150" s="22">
        <v>1.6861897170962776E-5</v>
      </c>
      <c r="I150" s="22">
        <v>2.9732203337245918E-5</v>
      </c>
      <c r="J150" s="22">
        <v>5.0948282978372135E-4</v>
      </c>
      <c r="K150" s="22">
        <v>1.6087400049460061E-3</v>
      </c>
      <c r="L150" s="21">
        <v>0</v>
      </c>
      <c r="M150" s="21">
        <v>13</v>
      </c>
      <c r="N150" s="21">
        <v>23</v>
      </c>
      <c r="O150" s="21">
        <v>394</v>
      </c>
      <c r="P150" s="21">
        <v>1248</v>
      </c>
      <c r="Q150" s="22">
        <v>0</v>
      </c>
      <c r="R150" s="22">
        <v>1</v>
      </c>
      <c r="S150" s="22">
        <v>1</v>
      </c>
      <c r="T150" s="22">
        <v>0.99746835443037973</v>
      </c>
      <c r="U150" s="22">
        <v>0.99919935948759009</v>
      </c>
      <c r="V150" s="21"/>
      <c r="W150" s="21">
        <v>0</v>
      </c>
      <c r="X150" s="21">
        <v>0</v>
      </c>
      <c r="Y150" s="21">
        <v>0</v>
      </c>
      <c r="Z150" s="21">
        <v>0</v>
      </c>
      <c r="AA150" s="21">
        <v>13</v>
      </c>
      <c r="AB150" s="22">
        <v>0</v>
      </c>
      <c r="AC150" s="22">
        <v>0</v>
      </c>
      <c r="AD150" s="22">
        <v>0</v>
      </c>
      <c r="AE150" s="22">
        <v>0</v>
      </c>
      <c r="AF150" s="22">
        <v>1.6861897170962776E-5</v>
      </c>
      <c r="AG150" s="21">
        <v>0</v>
      </c>
      <c r="AH150" s="21">
        <v>0</v>
      </c>
      <c r="AI150" s="21">
        <v>0</v>
      </c>
      <c r="AJ150" s="21">
        <v>0</v>
      </c>
      <c r="AK150" s="21">
        <v>13</v>
      </c>
      <c r="AL150" s="22">
        <v>0</v>
      </c>
      <c r="AM150" s="22">
        <v>0</v>
      </c>
      <c r="AN150" s="22">
        <v>0</v>
      </c>
      <c r="AO150" s="22">
        <v>0</v>
      </c>
      <c r="AP150" s="22">
        <v>1</v>
      </c>
    </row>
    <row r="151" spans="1:42" x14ac:dyDescent="0.25">
      <c r="A151" s="20" t="s">
        <v>35</v>
      </c>
      <c r="B151" s="21">
        <v>73029</v>
      </c>
      <c r="C151" s="21">
        <v>69346</v>
      </c>
      <c r="D151" s="21">
        <v>66517</v>
      </c>
      <c r="E151" s="21">
        <v>64952</v>
      </c>
      <c r="F151" s="21">
        <v>63317</v>
      </c>
      <c r="G151" s="22">
        <v>9.4763969215237706E-2</v>
      </c>
      <c r="H151" s="22">
        <v>8.9946547785968042E-2</v>
      </c>
      <c r="I151" s="22">
        <v>8.5986824755808128E-2</v>
      </c>
      <c r="J151" s="22">
        <v>8.3777034835727252E-2</v>
      </c>
      <c r="K151" s="22">
        <v>8.1553715687082681E-2</v>
      </c>
      <c r="L151" s="21">
        <v>72213</v>
      </c>
      <c r="M151" s="21">
        <v>68546</v>
      </c>
      <c r="N151" s="21">
        <v>65723</v>
      </c>
      <c r="O151" s="21">
        <v>64117</v>
      </c>
      <c r="P151" s="21">
        <v>62644</v>
      </c>
      <c r="Q151" s="22">
        <v>0.98882635665283658</v>
      </c>
      <c r="R151" s="22">
        <v>0.98846364606466131</v>
      </c>
      <c r="S151" s="22">
        <v>0.98806320188823915</v>
      </c>
      <c r="T151" s="22">
        <v>0.9871443527528021</v>
      </c>
      <c r="U151" s="22">
        <v>0.98937094303267681</v>
      </c>
      <c r="V151" s="21"/>
      <c r="W151" s="21">
        <v>79329</v>
      </c>
      <c r="X151" s="21">
        <v>79689</v>
      </c>
      <c r="Y151" s="21">
        <v>80216</v>
      </c>
      <c r="Z151" s="21">
        <v>79089</v>
      </c>
      <c r="AA151" s="21">
        <v>69346</v>
      </c>
      <c r="AB151" s="22">
        <v>0.10704916793963176</v>
      </c>
      <c r="AC151" s="22">
        <v>0.10626404325823594</v>
      </c>
      <c r="AD151" s="22">
        <v>0.10604564341134462</v>
      </c>
      <c r="AE151" s="22">
        <v>0.10398880814354818</v>
      </c>
      <c r="AF151" s="22">
        <v>8.9946547785968042E-2</v>
      </c>
      <c r="AG151" s="21">
        <v>78581</v>
      </c>
      <c r="AH151" s="21">
        <v>78691</v>
      </c>
      <c r="AI151" s="21">
        <v>79282</v>
      </c>
      <c r="AJ151" s="21">
        <v>78117</v>
      </c>
      <c r="AK151" s="21">
        <v>68546</v>
      </c>
      <c r="AL151" s="22">
        <v>0.9905709135372941</v>
      </c>
      <c r="AM151" s="22">
        <v>0.98747631417134107</v>
      </c>
      <c r="AN151" s="22">
        <v>0.98835643761843028</v>
      </c>
      <c r="AO151" s="22">
        <v>0.98771004817357655</v>
      </c>
      <c r="AP151" s="22">
        <v>0.98846364606466131</v>
      </c>
    </row>
    <row r="152" spans="1:42" x14ac:dyDescent="0.25">
      <c r="A152" s="20" t="s">
        <v>42</v>
      </c>
      <c r="B152" s="21">
        <v>35837</v>
      </c>
      <c r="C152" s="21">
        <v>33676</v>
      </c>
      <c r="D152" s="21">
        <v>33287</v>
      </c>
      <c r="E152" s="21">
        <v>33832</v>
      </c>
      <c r="F152" s="21">
        <v>35687</v>
      </c>
      <c r="G152" s="22">
        <v>4.6502846331819878E-2</v>
      </c>
      <c r="H152" s="22">
        <v>4.3680096086872497E-2</v>
      </c>
      <c r="I152" s="22">
        <v>4.3030254455952384E-2</v>
      </c>
      <c r="J152" s="22">
        <v>4.3637526828462933E-2</v>
      </c>
      <c r="K152" s="22">
        <v>4.5965656170142609E-2</v>
      </c>
      <c r="L152" s="21">
        <v>34770</v>
      </c>
      <c r="M152" s="21">
        <v>32983</v>
      </c>
      <c r="N152" s="21">
        <v>32663</v>
      </c>
      <c r="O152" s="21">
        <v>33305</v>
      </c>
      <c r="P152" s="21">
        <v>35214</v>
      </c>
      <c r="Q152" s="22">
        <v>0.97022630242486818</v>
      </c>
      <c r="R152" s="22">
        <v>0.97942154650195989</v>
      </c>
      <c r="S152" s="22">
        <v>0.9812539429807432</v>
      </c>
      <c r="T152" s="22">
        <v>0.98442303144951526</v>
      </c>
      <c r="U152" s="22">
        <v>0.98674587384761958</v>
      </c>
      <c r="V152" s="21"/>
      <c r="W152" s="21">
        <v>42257</v>
      </c>
      <c r="X152" s="21">
        <v>42535</v>
      </c>
      <c r="Y152" s="21">
        <v>40617</v>
      </c>
      <c r="Z152" s="21">
        <v>40522</v>
      </c>
      <c r="AA152" s="21">
        <v>33676</v>
      </c>
      <c r="AB152" s="22">
        <v>5.7022988940047391E-2</v>
      </c>
      <c r="AC152" s="22">
        <v>5.6719761572978269E-2</v>
      </c>
      <c r="AD152" s="22">
        <v>5.3695720285710888E-2</v>
      </c>
      <c r="AE152" s="22">
        <v>5.3279653094524641E-2</v>
      </c>
      <c r="AF152" s="22">
        <v>4.3680096086872497E-2</v>
      </c>
      <c r="AG152" s="21">
        <v>40195</v>
      </c>
      <c r="AH152" s="21">
        <v>40307</v>
      </c>
      <c r="AI152" s="21">
        <v>38313</v>
      </c>
      <c r="AJ152" s="21">
        <v>39170</v>
      </c>
      <c r="AK152" s="21">
        <v>32983</v>
      </c>
      <c r="AL152" s="22">
        <v>0.95120335092410724</v>
      </c>
      <c r="AM152" s="22">
        <v>0.94761960738215589</v>
      </c>
      <c r="AN152" s="22">
        <v>0.94327498338134275</v>
      </c>
      <c r="AO152" s="22">
        <v>0.96663540792655844</v>
      </c>
      <c r="AP152" s="22">
        <v>0.97942154650195989</v>
      </c>
    </row>
    <row r="153" spans="1:42" x14ac:dyDescent="0.25">
      <c r="A153" s="20" t="s">
        <v>45</v>
      </c>
      <c r="B153" s="21">
        <v>3986</v>
      </c>
      <c r="C153" s="21">
        <v>3611</v>
      </c>
      <c r="D153" s="21">
        <v>3488</v>
      </c>
      <c r="E153" s="21">
        <v>3628</v>
      </c>
      <c r="F153" s="21">
        <v>3699</v>
      </c>
      <c r="G153" s="22">
        <v>5.1723175901619558E-3</v>
      </c>
      <c r="H153" s="22">
        <v>4.683716206488199E-3</v>
      </c>
      <c r="I153" s="22">
        <v>4.5089532713179902E-3</v>
      </c>
      <c r="J153" s="22">
        <v>4.6795030543173187E-3</v>
      </c>
      <c r="K153" s="22">
        <v>4.7643949385870908E-3</v>
      </c>
      <c r="L153" s="21">
        <v>3878</v>
      </c>
      <c r="M153" s="21">
        <v>3492</v>
      </c>
      <c r="N153" s="21">
        <v>3373</v>
      </c>
      <c r="O153" s="21">
        <v>3507</v>
      </c>
      <c r="P153" s="21">
        <v>3687</v>
      </c>
      <c r="Q153" s="22">
        <v>0.97290516808830907</v>
      </c>
      <c r="R153" s="22">
        <v>0.96704513985045693</v>
      </c>
      <c r="S153" s="22">
        <v>0.96702981651376152</v>
      </c>
      <c r="T153" s="22">
        <v>0.96664829106945971</v>
      </c>
      <c r="U153" s="22">
        <v>0.99675587996755877</v>
      </c>
      <c r="V153" s="21"/>
      <c r="W153" s="21">
        <v>4806</v>
      </c>
      <c r="X153" s="21">
        <v>5502</v>
      </c>
      <c r="Y153" s="21">
        <v>5369</v>
      </c>
      <c r="Z153" s="21">
        <v>4776</v>
      </c>
      <c r="AA153" s="21">
        <v>3611</v>
      </c>
      <c r="AB153" s="22">
        <v>6.4853748454899249E-3</v>
      </c>
      <c r="AC153" s="22">
        <v>7.336831507570858E-3</v>
      </c>
      <c r="AD153" s="22">
        <v>7.0978241183243902E-3</v>
      </c>
      <c r="AE153" s="22">
        <v>6.2796412610298035E-3</v>
      </c>
      <c r="AF153" s="22">
        <v>4.683716206488199E-3</v>
      </c>
      <c r="AG153" s="21">
        <v>4784</v>
      </c>
      <c r="AH153" s="21">
        <v>5415</v>
      </c>
      <c r="AI153" s="21">
        <v>5259</v>
      </c>
      <c r="AJ153" s="21">
        <v>4665</v>
      </c>
      <c r="AK153" s="21">
        <v>3492</v>
      </c>
      <c r="AL153" s="22">
        <v>0.99542238868081567</v>
      </c>
      <c r="AM153" s="22">
        <v>0.98418756815703379</v>
      </c>
      <c r="AN153" s="22">
        <v>0.97951201341031846</v>
      </c>
      <c r="AO153" s="22">
        <v>0.97675879396984921</v>
      </c>
      <c r="AP153" s="22">
        <v>0.96704513985045693</v>
      </c>
    </row>
    <row r="154" spans="1:42" x14ac:dyDescent="0.25">
      <c r="A154" s="20" t="s">
        <v>46</v>
      </c>
      <c r="B154" s="21">
        <v>0</v>
      </c>
      <c r="C154" s="21">
        <v>0</v>
      </c>
      <c r="D154" s="21">
        <v>0</v>
      </c>
      <c r="E154" s="21">
        <v>0</v>
      </c>
      <c r="F154" s="21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1">
        <v>0</v>
      </c>
      <c r="M154" s="21">
        <v>0</v>
      </c>
      <c r="N154" s="21">
        <v>0</v>
      </c>
      <c r="O154" s="21">
        <v>0</v>
      </c>
      <c r="P154" s="21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1"/>
      <c r="W154" s="21">
        <v>0</v>
      </c>
      <c r="X154" s="21">
        <v>0</v>
      </c>
      <c r="Y154" s="21">
        <v>1</v>
      </c>
      <c r="Z154" s="21">
        <v>0</v>
      </c>
      <c r="AA154" s="21">
        <v>0</v>
      </c>
      <c r="AB154" s="22">
        <v>0</v>
      </c>
      <c r="AC154" s="22">
        <v>0</v>
      </c>
      <c r="AD154" s="22">
        <v>1.3220011395649822E-6</v>
      </c>
      <c r="AE154" s="22">
        <v>0</v>
      </c>
      <c r="AF154" s="22">
        <v>0</v>
      </c>
      <c r="AG154" s="21">
        <v>0</v>
      </c>
      <c r="AH154" s="21">
        <v>0</v>
      </c>
      <c r="AI154" s="21">
        <v>1</v>
      </c>
      <c r="AJ154" s="21">
        <v>0</v>
      </c>
      <c r="AK154" s="21">
        <v>0</v>
      </c>
      <c r="AL154" s="22">
        <v>0</v>
      </c>
      <c r="AM154" s="22">
        <v>0</v>
      </c>
      <c r="AN154" s="22">
        <v>1</v>
      </c>
      <c r="AO154" s="22">
        <v>0</v>
      </c>
      <c r="AP154" s="22">
        <v>0</v>
      </c>
    </row>
    <row r="155" spans="1:42" x14ac:dyDescent="0.25">
      <c r="A155" s="20" t="s">
        <v>48</v>
      </c>
      <c r="B155" s="21">
        <v>188070</v>
      </c>
      <c r="C155" s="21">
        <v>197667</v>
      </c>
      <c r="D155" s="21">
        <v>202690</v>
      </c>
      <c r="E155" s="21">
        <v>203537</v>
      </c>
      <c r="F155" s="21">
        <v>202232</v>
      </c>
      <c r="G155" s="22">
        <v>0.24404359487751107</v>
      </c>
      <c r="H155" s="22">
        <v>0.25638774062251529</v>
      </c>
      <c r="I155" s="22">
        <v>0.26201827367071195</v>
      </c>
      <c r="J155" s="22">
        <v>0.26252811829288425</v>
      </c>
      <c r="K155" s="22">
        <v>0.26047935042453219</v>
      </c>
      <c r="L155" s="21">
        <v>181415</v>
      </c>
      <c r="M155" s="21">
        <v>191016</v>
      </c>
      <c r="N155" s="21">
        <v>195691</v>
      </c>
      <c r="O155" s="21">
        <v>196548</v>
      </c>
      <c r="P155" s="21">
        <v>194959</v>
      </c>
      <c r="Q155" s="22">
        <v>0.96461423937895463</v>
      </c>
      <c r="R155" s="22">
        <v>0.96635250193507261</v>
      </c>
      <c r="S155" s="22">
        <v>0.96546943608466129</v>
      </c>
      <c r="T155" s="22">
        <v>0.96566226288095036</v>
      </c>
      <c r="U155" s="22">
        <v>0.96403635428616641</v>
      </c>
      <c r="V155" s="21"/>
      <c r="W155" s="21">
        <v>146900</v>
      </c>
      <c r="X155" s="21">
        <v>147810</v>
      </c>
      <c r="Y155" s="21">
        <v>153163</v>
      </c>
      <c r="Z155" s="21">
        <v>171390</v>
      </c>
      <c r="AA155" s="21">
        <v>197667</v>
      </c>
      <c r="AB155" s="22">
        <v>0.19823170303838328</v>
      </c>
      <c r="AC155" s="22">
        <v>0.19710233826500337</v>
      </c>
      <c r="AD155" s="22">
        <v>0.20248166053919139</v>
      </c>
      <c r="AE155" s="22">
        <v>0.22534918671019641</v>
      </c>
      <c r="AF155" s="22">
        <v>0.25638774062251529</v>
      </c>
      <c r="AG155" s="21">
        <v>138714</v>
      </c>
      <c r="AH155" s="21">
        <v>139881</v>
      </c>
      <c r="AI155" s="21">
        <v>145842</v>
      </c>
      <c r="AJ155" s="21">
        <v>163886</v>
      </c>
      <c r="AK155" s="21">
        <v>191016</v>
      </c>
      <c r="AL155" s="22">
        <v>0.9442750170183799</v>
      </c>
      <c r="AM155" s="22">
        <v>0.94635680941749545</v>
      </c>
      <c r="AN155" s="22">
        <v>0.95220124964906672</v>
      </c>
      <c r="AO155" s="22">
        <v>0.95621681545014292</v>
      </c>
      <c r="AP155" s="22">
        <v>0.96635250193507261</v>
      </c>
    </row>
    <row r="156" spans="1:42" x14ac:dyDescent="0.25">
      <c r="A156" s="20" t="s">
        <v>49</v>
      </c>
      <c r="B156" s="21">
        <v>2</v>
      </c>
      <c r="C156" s="21">
        <v>2</v>
      </c>
      <c r="D156" s="21">
        <v>2</v>
      </c>
      <c r="E156" s="21">
        <v>2</v>
      </c>
      <c r="F156" s="21">
        <v>2</v>
      </c>
      <c r="G156" s="22">
        <v>2.5952421425800083E-6</v>
      </c>
      <c r="H156" s="22">
        <v>2.5941380263019655E-6</v>
      </c>
      <c r="I156" s="22">
        <v>2.585408985847471E-6</v>
      </c>
      <c r="J156" s="22">
        <v>2.5796598976390954E-6</v>
      </c>
      <c r="K156" s="22">
        <v>2.5760448437886407E-6</v>
      </c>
      <c r="L156" s="21">
        <v>2</v>
      </c>
      <c r="M156" s="21">
        <v>2</v>
      </c>
      <c r="N156" s="21">
        <v>2</v>
      </c>
      <c r="O156" s="21">
        <v>0</v>
      </c>
      <c r="P156" s="21">
        <v>2</v>
      </c>
      <c r="Q156" s="22">
        <v>1</v>
      </c>
      <c r="R156" s="22">
        <v>1</v>
      </c>
      <c r="S156" s="22">
        <v>1</v>
      </c>
      <c r="T156" s="22">
        <v>0</v>
      </c>
      <c r="U156" s="22">
        <v>1</v>
      </c>
      <c r="V156" s="21"/>
      <c r="W156" s="21">
        <v>0</v>
      </c>
      <c r="X156" s="21">
        <v>0</v>
      </c>
      <c r="Y156" s="21">
        <v>0</v>
      </c>
      <c r="Z156" s="21">
        <v>1</v>
      </c>
      <c r="AA156" s="21">
        <v>2</v>
      </c>
      <c r="AB156" s="22">
        <v>0</v>
      </c>
      <c r="AC156" s="22">
        <v>0</v>
      </c>
      <c r="AD156" s="22">
        <v>0</v>
      </c>
      <c r="AE156" s="22">
        <v>1.3148327598471113E-6</v>
      </c>
      <c r="AF156" s="22">
        <v>2.5941380263019655E-6</v>
      </c>
      <c r="AG156" s="21">
        <v>0</v>
      </c>
      <c r="AH156" s="21">
        <v>0</v>
      </c>
      <c r="AI156" s="21">
        <v>0</v>
      </c>
      <c r="AJ156" s="21">
        <v>1</v>
      </c>
      <c r="AK156" s="21">
        <v>2</v>
      </c>
      <c r="AL156" s="22">
        <v>0</v>
      </c>
      <c r="AM156" s="22">
        <v>0</v>
      </c>
      <c r="AN156" s="22">
        <v>0</v>
      </c>
      <c r="AO156" s="22">
        <v>1</v>
      </c>
      <c r="AP156" s="22">
        <v>1</v>
      </c>
    </row>
    <row r="157" spans="1:42" x14ac:dyDescent="0.25">
      <c r="A157" s="20" t="s">
        <v>139</v>
      </c>
      <c r="B157" s="21">
        <v>18188</v>
      </c>
      <c r="C157" s="21">
        <v>17974</v>
      </c>
      <c r="D157" s="21">
        <v>18832</v>
      </c>
      <c r="E157" s="21">
        <v>20385</v>
      </c>
      <c r="F157" s="21">
        <v>21084</v>
      </c>
      <c r="G157" s="22">
        <v>2.3601132044622594E-2</v>
      </c>
      <c r="H157" s="22">
        <v>2.3313518442375763E-2</v>
      </c>
      <c r="I157" s="22">
        <v>2.4344211010739789E-2</v>
      </c>
      <c r="J157" s="22">
        <v>2.6293183506686479E-2</v>
      </c>
      <c r="K157" s="22">
        <v>2.7156664743219851E-2</v>
      </c>
      <c r="L157" s="21">
        <v>17640</v>
      </c>
      <c r="M157" s="21">
        <v>17505</v>
      </c>
      <c r="N157" s="21">
        <v>18411</v>
      </c>
      <c r="O157" s="21">
        <v>19987</v>
      </c>
      <c r="P157" s="21">
        <v>20690</v>
      </c>
      <c r="Q157" s="22">
        <v>0.96987024411700018</v>
      </c>
      <c r="R157" s="22">
        <v>0.97390675420051187</v>
      </c>
      <c r="S157" s="22">
        <v>0.97764443500424814</v>
      </c>
      <c r="T157" s="22">
        <v>0.98047584007848909</v>
      </c>
      <c r="U157" s="22">
        <v>0.98131284386264461</v>
      </c>
      <c r="V157" s="21"/>
      <c r="W157" s="21">
        <v>17437</v>
      </c>
      <c r="X157" s="21">
        <v>18180</v>
      </c>
      <c r="Y157" s="21">
        <v>16868</v>
      </c>
      <c r="Z157" s="21">
        <v>15841</v>
      </c>
      <c r="AA157" s="21">
        <v>17974</v>
      </c>
      <c r="AB157" s="22">
        <v>2.3530062667667048E-2</v>
      </c>
      <c r="AC157" s="22">
        <v>2.4242747511384624E-2</v>
      </c>
      <c r="AD157" s="22">
        <v>2.2299515222182122E-2</v>
      </c>
      <c r="AE157" s="22">
        <v>2.0828265748738091E-2</v>
      </c>
      <c r="AF157" s="22">
        <v>2.3313518442375763E-2</v>
      </c>
      <c r="AG157" s="21">
        <v>17058</v>
      </c>
      <c r="AH157" s="21">
        <v>17696</v>
      </c>
      <c r="AI157" s="21">
        <v>16417</v>
      </c>
      <c r="AJ157" s="21">
        <v>15237</v>
      </c>
      <c r="AK157" s="21">
        <v>17505</v>
      </c>
      <c r="AL157" s="22">
        <v>0.97826460973791363</v>
      </c>
      <c r="AM157" s="22">
        <v>0.97337733773377333</v>
      </c>
      <c r="AN157" s="22">
        <v>0.97326298316338633</v>
      </c>
      <c r="AO157" s="22">
        <v>0.9618710939965911</v>
      </c>
      <c r="AP157" s="22">
        <v>0.97390675420051187</v>
      </c>
    </row>
    <row r="158" spans="1:42" x14ac:dyDescent="0.25">
      <c r="A158" s="20" t="s">
        <v>53</v>
      </c>
      <c r="B158" s="21">
        <v>0</v>
      </c>
      <c r="C158" s="21">
        <v>0</v>
      </c>
      <c r="D158" s="21">
        <v>0</v>
      </c>
      <c r="E158" s="21">
        <v>0</v>
      </c>
      <c r="F158" s="21">
        <v>34</v>
      </c>
      <c r="G158" s="22">
        <v>0</v>
      </c>
      <c r="H158" s="22">
        <v>0</v>
      </c>
      <c r="I158" s="22">
        <v>0</v>
      </c>
      <c r="J158" s="22">
        <v>0</v>
      </c>
      <c r="K158" s="22">
        <v>4.3792762344406891E-5</v>
      </c>
      <c r="L158" s="21">
        <v>0</v>
      </c>
      <c r="M158" s="21">
        <v>0</v>
      </c>
      <c r="N158" s="21">
        <v>0</v>
      </c>
      <c r="O158" s="21">
        <v>0</v>
      </c>
      <c r="P158" s="21">
        <v>34</v>
      </c>
      <c r="Q158" s="22">
        <v>0</v>
      </c>
      <c r="R158" s="22">
        <v>0</v>
      </c>
      <c r="S158" s="22">
        <v>0</v>
      </c>
      <c r="T158" s="22">
        <v>0</v>
      </c>
      <c r="U158" s="22">
        <v>1</v>
      </c>
      <c r="V158" s="21"/>
      <c r="W158" s="21">
        <v>0</v>
      </c>
      <c r="X158" s="21">
        <v>0</v>
      </c>
      <c r="Y158" s="21">
        <v>0</v>
      </c>
      <c r="Z158" s="21">
        <v>0</v>
      </c>
      <c r="AA158" s="21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1">
        <v>0</v>
      </c>
      <c r="AH158" s="21">
        <v>0</v>
      </c>
      <c r="AI158" s="21">
        <v>0</v>
      </c>
      <c r="AJ158" s="21">
        <v>0</v>
      </c>
      <c r="AK158" s="21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</row>
    <row r="159" spans="1:42" x14ac:dyDescent="0.25">
      <c r="A159" s="20" t="s">
        <v>54</v>
      </c>
      <c r="B159" s="21">
        <v>138</v>
      </c>
      <c r="C159" s="21">
        <v>131</v>
      </c>
      <c r="D159" s="21">
        <v>135</v>
      </c>
      <c r="E159" s="21">
        <v>138</v>
      </c>
      <c r="F159" s="21">
        <v>125</v>
      </c>
      <c r="G159" s="22">
        <v>1.7907170783802056E-4</v>
      </c>
      <c r="H159" s="22">
        <v>1.6991604072277874E-4</v>
      </c>
      <c r="I159" s="22">
        <v>1.745151065447043E-4</v>
      </c>
      <c r="J159" s="22">
        <v>1.7799653293709756E-4</v>
      </c>
      <c r="K159" s="22">
        <v>1.6100280273679003E-4</v>
      </c>
      <c r="L159" s="21">
        <v>116</v>
      </c>
      <c r="M159" s="21">
        <v>111</v>
      </c>
      <c r="N159" s="21">
        <v>120</v>
      </c>
      <c r="O159" s="21">
        <v>124</v>
      </c>
      <c r="P159" s="21">
        <v>109</v>
      </c>
      <c r="Q159" s="22">
        <v>0.84057971014492749</v>
      </c>
      <c r="R159" s="22">
        <v>0.84732824427480913</v>
      </c>
      <c r="S159" s="22">
        <v>0.88888888888888884</v>
      </c>
      <c r="T159" s="22">
        <v>0.89855072463768115</v>
      </c>
      <c r="U159" s="22">
        <v>0.872</v>
      </c>
      <c r="V159" s="21"/>
      <c r="W159" s="21">
        <v>148</v>
      </c>
      <c r="X159" s="21">
        <v>136</v>
      </c>
      <c r="Y159" s="21">
        <v>123</v>
      </c>
      <c r="Z159" s="21">
        <v>67</v>
      </c>
      <c r="AA159" s="21">
        <v>131</v>
      </c>
      <c r="AB159" s="22">
        <v>1.9971607930347669E-4</v>
      </c>
      <c r="AC159" s="22">
        <v>1.8135388677383436E-4</v>
      </c>
      <c r="AD159" s="22">
        <v>1.6260614016649281E-4</v>
      </c>
      <c r="AE159" s="22">
        <v>8.8093794909756452E-5</v>
      </c>
      <c r="AF159" s="22">
        <v>1.6991604072277874E-4</v>
      </c>
      <c r="AG159" s="21">
        <v>148</v>
      </c>
      <c r="AH159" s="21">
        <v>81</v>
      </c>
      <c r="AI159" s="21">
        <v>60</v>
      </c>
      <c r="AJ159" s="21">
        <v>20</v>
      </c>
      <c r="AK159" s="21">
        <v>111</v>
      </c>
      <c r="AL159" s="22">
        <v>1</v>
      </c>
      <c r="AM159" s="22">
        <v>0.59558823529411764</v>
      </c>
      <c r="AN159" s="22">
        <v>0.48780487804878048</v>
      </c>
      <c r="AO159" s="22">
        <v>0.29850746268656714</v>
      </c>
      <c r="AP159" s="22">
        <v>0.84732824427480913</v>
      </c>
    </row>
    <row r="160" spans="1:42" x14ac:dyDescent="0.25">
      <c r="A160" s="20" t="s">
        <v>57</v>
      </c>
      <c r="B160" s="21">
        <v>3759</v>
      </c>
      <c r="C160" s="21">
        <v>4202</v>
      </c>
      <c r="D160" s="21">
        <v>4757</v>
      </c>
      <c r="E160" s="21">
        <v>4887</v>
      </c>
      <c r="F160" s="21">
        <v>5007</v>
      </c>
      <c r="G160" s="22">
        <v>4.8777576069791249E-3</v>
      </c>
      <c r="H160" s="22">
        <v>5.450283993260429E-3</v>
      </c>
      <c r="I160" s="22">
        <v>6.1493952728382106E-3</v>
      </c>
      <c r="J160" s="22">
        <v>6.3033989598811294E-3</v>
      </c>
      <c r="K160" s="22">
        <v>6.4491282664248615E-3</v>
      </c>
      <c r="L160" s="21">
        <v>3752</v>
      </c>
      <c r="M160" s="21">
        <v>4197</v>
      </c>
      <c r="N160" s="21">
        <v>4752</v>
      </c>
      <c r="O160" s="21">
        <v>4882</v>
      </c>
      <c r="P160" s="21">
        <v>5002</v>
      </c>
      <c r="Q160" s="22">
        <v>0.9981378026070763</v>
      </c>
      <c r="R160" s="22">
        <v>0.99881009043312707</v>
      </c>
      <c r="S160" s="22">
        <v>0.99894891738490643</v>
      </c>
      <c r="T160" s="22">
        <v>0.99897687742991614</v>
      </c>
      <c r="U160" s="22">
        <v>0.99900139804274013</v>
      </c>
      <c r="V160" s="21"/>
      <c r="W160" s="21">
        <v>2994</v>
      </c>
      <c r="X160" s="21">
        <v>2968</v>
      </c>
      <c r="Y160" s="21">
        <v>2741</v>
      </c>
      <c r="Z160" s="21">
        <v>2396</v>
      </c>
      <c r="AA160" s="21">
        <v>4202</v>
      </c>
      <c r="AB160" s="22">
        <v>4.0402023069906028E-3</v>
      </c>
      <c r="AC160" s="22">
        <v>3.9577818819466204E-3</v>
      </c>
      <c r="AD160" s="22">
        <v>3.6236051235476164E-3</v>
      </c>
      <c r="AE160" s="22">
        <v>3.1503392925936787E-3</v>
      </c>
      <c r="AF160" s="22">
        <v>5.450283993260429E-3</v>
      </c>
      <c r="AG160" s="21">
        <v>2989</v>
      </c>
      <c r="AH160" s="21">
        <v>2962</v>
      </c>
      <c r="AI160" s="21">
        <v>2736</v>
      </c>
      <c r="AJ160" s="21">
        <v>2377</v>
      </c>
      <c r="AK160" s="21">
        <v>4197</v>
      </c>
      <c r="AL160" s="22">
        <v>0.9983299933199733</v>
      </c>
      <c r="AM160" s="22">
        <v>0.99797843665768193</v>
      </c>
      <c r="AN160" s="22">
        <v>0.99817584823057282</v>
      </c>
      <c r="AO160" s="22">
        <v>0.99207011686143576</v>
      </c>
      <c r="AP160" s="22">
        <v>0.99881009043312707</v>
      </c>
    </row>
    <row r="161" spans="1:55" x14ac:dyDescent="0.25">
      <c r="A161" s="20" t="s">
        <v>58</v>
      </c>
      <c r="B161" s="21">
        <v>348</v>
      </c>
      <c r="C161" s="21">
        <v>344</v>
      </c>
      <c r="D161" s="21">
        <v>300</v>
      </c>
      <c r="E161" s="21">
        <v>298</v>
      </c>
      <c r="F161" s="21">
        <v>247</v>
      </c>
      <c r="G161" s="22">
        <v>4.5157213280892138E-4</v>
      </c>
      <c r="H161" s="22">
        <v>4.4619174052393804E-4</v>
      </c>
      <c r="I161" s="22">
        <v>3.8781134787712067E-4</v>
      </c>
      <c r="J161" s="22">
        <v>3.8436932474822518E-4</v>
      </c>
      <c r="K161" s="22">
        <v>3.1814153820789712E-4</v>
      </c>
      <c r="L161" s="21">
        <v>194</v>
      </c>
      <c r="M161" s="21">
        <v>341</v>
      </c>
      <c r="N161" s="21">
        <v>299</v>
      </c>
      <c r="O161" s="21">
        <v>297</v>
      </c>
      <c r="P161" s="21">
        <v>243</v>
      </c>
      <c r="Q161" s="22">
        <v>0.55747126436781613</v>
      </c>
      <c r="R161" s="22">
        <v>0.99127906976744184</v>
      </c>
      <c r="S161" s="22">
        <v>0.9966666666666667</v>
      </c>
      <c r="T161" s="22">
        <v>0.99664429530201337</v>
      </c>
      <c r="U161" s="22">
        <v>0.98380566801619429</v>
      </c>
      <c r="V161" s="21"/>
      <c r="W161" s="21">
        <v>644</v>
      </c>
      <c r="X161" s="21">
        <v>608</v>
      </c>
      <c r="Y161" s="21">
        <v>493</v>
      </c>
      <c r="Z161" s="21">
        <v>389</v>
      </c>
      <c r="AA161" s="21">
        <v>344</v>
      </c>
      <c r="AB161" s="22">
        <v>8.690348315637769E-4</v>
      </c>
      <c r="AC161" s="22">
        <v>8.1075855263596538E-4</v>
      </c>
      <c r="AD161" s="22">
        <v>6.5174656180553626E-4</v>
      </c>
      <c r="AE161" s="22">
        <v>5.1146994358052629E-4</v>
      </c>
      <c r="AF161" s="22">
        <v>4.4619174052393804E-4</v>
      </c>
      <c r="AG161" s="21">
        <v>644</v>
      </c>
      <c r="AH161" s="21">
        <v>606</v>
      </c>
      <c r="AI161" s="21">
        <v>493</v>
      </c>
      <c r="AJ161" s="21">
        <v>288</v>
      </c>
      <c r="AK161" s="21">
        <v>341</v>
      </c>
      <c r="AL161" s="22">
        <v>1</v>
      </c>
      <c r="AM161" s="22">
        <v>0.99671052631578949</v>
      </c>
      <c r="AN161" s="22">
        <v>1</v>
      </c>
      <c r="AO161" s="22">
        <v>0.74035989717223649</v>
      </c>
      <c r="AP161" s="22">
        <v>0.99127906976744184</v>
      </c>
    </row>
    <row r="162" spans="1:55" x14ac:dyDescent="0.25">
      <c r="A162" s="20" t="s">
        <v>59</v>
      </c>
      <c r="B162" s="21">
        <v>1533</v>
      </c>
      <c r="C162" s="21">
        <v>1566</v>
      </c>
      <c r="D162" s="21">
        <v>1555</v>
      </c>
      <c r="E162" s="21">
        <v>1649</v>
      </c>
      <c r="F162" s="21">
        <v>1726</v>
      </c>
      <c r="G162" s="22">
        <v>1.9892531022875763E-3</v>
      </c>
      <c r="H162" s="22">
        <v>2.031210074594439E-3</v>
      </c>
      <c r="I162" s="22">
        <v>2.0101554864964087E-3</v>
      </c>
      <c r="J162" s="22">
        <v>2.1269295856034339E-3</v>
      </c>
      <c r="K162" s="22">
        <v>2.223126700189597E-3</v>
      </c>
      <c r="L162" s="21">
        <v>1533</v>
      </c>
      <c r="M162" s="21">
        <v>1566</v>
      </c>
      <c r="N162" s="21">
        <v>1555</v>
      </c>
      <c r="O162" s="21">
        <v>1649</v>
      </c>
      <c r="P162" s="21">
        <v>1695</v>
      </c>
      <c r="Q162" s="22">
        <v>1</v>
      </c>
      <c r="R162" s="22">
        <v>1</v>
      </c>
      <c r="S162" s="22">
        <v>1</v>
      </c>
      <c r="T162" s="22">
        <v>1</v>
      </c>
      <c r="U162" s="22">
        <v>0.98203939745075319</v>
      </c>
      <c r="V162" s="21"/>
      <c r="W162" s="21">
        <v>0</v>
      </c>
      <c r="X162" s="21">
        <v>0</v>
      </c>
      <c r="Y162" s="21">
        <v>1183</v>
      </c>
      <c r="Z162" s="21">
        <v>1206</v>
      </c>
      <c r="AA162" s="21">
        <v>1566</v>
      </c>
      <c r="AB162" s="22">
        <v>0</v>
      </c>
      <c r="AC162" s="22">
        <v>0</v>
      </c>
      <c r="AD162" s="22">
        <v>1.5639273481053741E-3</v>
      </c>
      <c r="AE162" s="22">
        <v>1.5856883083756161E-3</v>
      </c>
      <c r="AF162" s="22">
        <v>2.031210074594439E-3</v>
      </c>
      <c r="AG162" s="21">
        <v>0</v>
      </c>
      <c r="AH162" s="21">
        <v>0</v>
      </c>
      <c r="AI162" s="21">
        <v>1183</v>
      </c>
      <c r="AJ162" s="21">
        <v>0</v>
      </c>
      <c r="AK162" s="21">
        <v>1566</v>
      </c>
      <c r="AL162" s="22">
        <v>0</v>
      </c>
      <c r="AM162" s="22">
        <v>0</v>
      </c>
      <c r="AN162" s="22">
        <v>1</v>
      </c>
      <c r="AO162" s="22">
        <v>0</v>
      </c>
      <c r="AP162" s="22">
        <v>1</v>
      </c>
    </row>
    <row r="163" spans="1:55" x14ac:dyDescent="0.25">
      <c r="A163" s="20" t="s">
        <v>60</v>
      </c>
      <c r="B163" s="21">
        <v>77732</v>
      </c>
      <c r="C163" s="21">
        <v>77670</v>
      </c>
      <c r="D163" s="21">
        <v>78091</v>
      </c>
      <c r="E163" s="21">
        <v>78589</v>
      </c>
      <c r="F163" s="21">
        <v>79652</v>
      </c>
      <c r="G163" s="22">
        <v>0.1008666811135146</v>
      </c>
      <c r="H163" s="22">
        <v>0.10074335025143683</v>
      </c>
      <c r="I163" s="22">
        <v>0.10094858655690744</v>
      </c>
      <c r="J163" s="22">
        <v>0.10136644584777943</v>
      </c>
      <c r="K163" s="22">
        <v>0.1025935619487264</v>
      </c>
      <c r="L163" s="21">
        <v>77000</v>
      </c>
      <c r="M163" s="21">
        <v>77025</v>
      </c>
      <c r="N163" s="21">
        <v>77502</v>
      </c>
      <c r="O163" s="21">
        <v>78037</v>
      </c>
      <c r="P163" s="21">
        <v>79100</v>
      </c>
      <c r="Q163" s="22">
        <v>0.99058302886841965</v>
      </c>
      <c r="R163" s="22">
        <v>0.9916956353804558</v>
      </c>
      <c r="S163" s="22">
        <v>0.99245751751162103</v>
      </c>
      <c r="T163" s="22">
        <v>0.99297611625036586</v>
      </c>
      <c r="U163" s="22">
        <v>0.99306985386430979</v>
      </c>
      <c r="V163" s="21"/>
      <c r="W163" s="21">
        <v>68674</v>
      </c>
      <c r="X163" s="21">
        <v>70241</v>
      </c>
      <c r="Y163" s="21">
        <v>71638</v>
      </c>
      <c r="Z163" s="21">
        <v>75555</v>
      </c>
      <c r="AA163" s="21">
        <v>77670</v>
      </c>
      <c r="AB163" s="22">
        <v>9.2670959662749713E-2</v>
      </c>
      <c r="AC163" s="22">
        <v>9.366528206530074E-2</v>
      </c>
      <c r="AD163" s="22">
        <v>9.47055176361562E-2</v>
      </c>
      <c r="AE163" s="22">
        <v>9.9342189170248493E-2</v>
      </c>
      <c r="AF163" s="22">
        <v>0.10074335025143683</v>
      </c>
      <c r="AG163" s="21">
        <v>68017</v>
      </c>
      <c r="AH163" s="21">
        <v>69224</v>
      </c>
      <c r="AI163" s="21">
        <v>70707</v>
      </c>
      <c r="AJ163" s="21">
        <v>74677</v>
      </c>
      <c r="AK163" s="21">
        <v>77025</v>
      </c>
      <c r="AL163" s="22">
        <v>0.99043306054693192</v>
      </c>
      <c r="AM163" s="22">
        <v>0.98552127674719892</v>
      </c>
      <c r="AN163" s="22">
        <v>0.98700410396716831</v>
      </c>
      <c r="AO163" s="22">
        <v>0.98837932631857583</v>
      </c>
      <c r="AP163" s="22">
        <v>0.9916956353804558</v>
      </c>
    </row>
    <row r="164" spans="1:55" x14ac:dyDescent="0.25">
      <c r="A164" s="20" t="s">
        <v>63</v>
      </c>
      <c r="B164" s="21">
        <v>21</v>
      </c>
      <c r="C164" s="21">
        <v>21</v>
      </c>
      <c r="D164" s="21">
        <v>109</v>
      </c>
      <c r="E164" s="21">
        <v>15</v>
      </c>
      <c r="F164" s="21">
        <v>39</v>
      </c>
      <c r="G164" s="22">
        <v>2.7250042497090084E-5</v>
      </c>
      <c r="H164" s="22">
        <v>2.7238449276170638E-5</v>
      </c>
      <c r="I164" s="22">
        <v>1.4090478972868719E-4</v>
      </c>
      <c r="J164" s="22">
        <v>1.9347449232293213E-5</v>
      </c>
      <c r="K164" s="22">
        <v>5.0232874453878492E-5</v>
      </c>
      <c r="L164" s="21">
        <v>21</v>
      </c>
      <c r="M164" s="21">
        <v>21</v>
      </c>
      <c r="N164" s="21">
        <v>57</v>
      </c>
      <c r="O164" s="21">
        <v>0</v>
      </c>
      <c r="P164" s="21">
        <v>28</v>
      </c>
      <c r="Q164" s="22">
        <v>1</v>
      </c>
      <c r="R164" s="22">
        <v>1</v>
      </c>
      <c r="S164" s="22">
        <v>0.52293577981651373</v>
      </c>
      <c r="T164" s="22">
        <v>0</v>
      </c>
      <c r="U164" s="22">
        <v>0.71794871794871795</v>
      </c>
      <c r="V164" s="21"/>
      <c r="W164" s="21">
        <v>0</v>
      </c>
      <c r="X164" s="21">
        <v>38</v>
      </c>
      <c r="Y164" s="21">
        <v>46</v>
      </c>
      <c r="Z164" s="21">
        <v>23</v>
      </c>
      <c r="AA164" s="21">
        <v>21</v>
      </c>
      <c r="AB164" s="22">
        <v>0</v>
      </c>
      <c r="AC164" s="22">
        <v>5.0672409539747836E-5</v>
      </c>
      <c r="AD164" s="22">
        <v>6.0812052419989187E-5</v>
      </c>
      <c r="AE164" s="22">
        <v>3.0241153476483557E-5</v>
      </c>
      <c r="AF164" s="22">
        <v>2.7238449276170638E-5</v>
      </c>
      <c r="AG164" s="21">
        <v>0</v>
      </c>
      <c r="AH164" s="21">
        <v>38</v>
      </c>
      <c r="AI164" s="21">
        <v>45</v>
      </c>
      <c r="AJ164" s="21">
        <v>23</v>
      </c>
      <c r="AK164" s="21">
        <v>21</v>
      </c>
      <c r="AL164" s="22">
        <v>0</v>
      </c>
      <c r="AM164" s="22">
        <v>1</v>
      </c>
      <c r="AN164" s="22">
        <v>0.97826086956521741</v>
      </c>
      <c r="AO164" s="22">
        <v>1</v>
      </c>
      <c r="AP164" s="22">
        <v>1</v>
      </c>
    </row>
    <row r="165" spans="1:55" x14ac:dyDescent="0.25">
      <c r="A165" s="20" t="s">
        <v>65</v>
      </c>
      <c r="B165" s="21">
        <v>0</v>
      </c>
      <c r="C165" s="21">
        <v>0</v>
      </c>
      <c r="D165" s="21">
        <v>0</v>
      </c>
      <c r="E165" s="21">
        <v>0</v>
      </c>
      <c r="F165" s="21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1"/>
      <c r="W165" s="21">
        <v>0</v>
      </c>
      <c r="X165" s="21">
        <v>0</v>
      </c>
      <c r="Y165" s="21">
        <v>24</v>
      </c>
      <c r="Z165" s="21">
        <v>0</v>
      </c>
      <c r="AA165" s="21">
        <v>0</v>
      </c>
      <c r="AB165" s="22">
        <v>0</v>
      </c>
      <c r="AC165" s="22">
        <v>0</v>
      </c>
      <c r="AD165" s="22">
        <v>3.1728027349559573E-5</v>
      </c>
      <c r="AE165" s="22">
        <v>0</v>
      </c>
      <c r="AF165" s="22">
        <v>0</v>
      </c>
      <c r="AG165" s="21">
        <v>0</v>
      </c>
      <c r="AH165" s="21">
        <v>0</v>
      </c>
      <c r="AI165" s="21">
        <v>24</v>
      </c>
      <c r="AJ165" s="21">
        <v>0</v>
      </c>
      <c r="AK165" s="21">
        <v>0</v>
      </c>
      <c r="AL165" s="22">
        <v>0</v>
      </c>
      <c r="AM165" s="22">
        <v>0</v>
      </c>
      <c r="AN165" s="22">
        <v>1</v>
      </c>
      <c r="AO165" s="22">
        <v>0</v>
      </c>
      <c r="AP165" s="22">
        <v>0</v>
      </c>
    </row>
    <row r="166" spans="1:55" x14ac:dyDescent="0.25">
      <c r="A166" s="20" t="s">
        <v>66</v>
      </c>
      <c r="B166" s="21">
        <v>0</v>
      </c>
      <c r="C166" s="21">
        <v>0</v>
      </c>
      <c r="D166" s="21">
        <v>0</v>
      </c>
      <c r="E166" s="21">
        <v>0</v>
      </c>
      <c r="F166" s="21">
        <v>201</v>
      </c>
      <c r="G166" s="22">
        <v>0</v>
      </c>
      <c r="H166" s="22">
        <v>0</v>
      </c>
      <c r="I166" s="22">
        <v>0</v>
      </c>
      <c r="J166" s="22">
        <v>0</v>
      </c>
      <c r="K166" s="22">
        <v>2.5889250680075841E-4</v>
      </c>
      <c r="L166" s="21">
        <v>0</v>
      </c>
      <c r="M166" s="21">
        <v>0</v>
      </c>
      <c r="N166" s="21">
        <v>0</v>
      </c>
      <c r="O166" s="21">
        <v>0</v>
      </c>
      <c r="P166" s="21">
        <v>201</v>
      </c>
      <c r="Q166" s="22">
        <v>0</v>
      </c>
      <c r="R166" s="22">
        <v>0</v>
      </c>
      <c r="S166" s="22">
        <v>0</v>
      </c>
      <c r="T166" s="22">
        <v>0</v>
      </c>
      <c r="U166" s="22">
        <v>1</v>
      </c>
      <c r="V166" s="21"/>
      <c r="W166" s="21">
        <v>0</v>
      </c>
      <c r="X166" s="21">
        <v>0</v>
      </c>
      <c r="Y166" s="21">
        <v>0</v>
      </c>
      <c r="Z166" s="21">
        <v>0</v>
      </c>
      <c r="AA166" s="21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1">
        <v>0</v>
      </c>
      <c r="AH166" s="21">
        <v>0</v>
      </c>
      <c r="AI166" s="21">
        <v>0</v>
      </c>
      <c r="AJ166" s="21">
        <v>0</v>
      </c>
      <c r="AK166" s="21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</row>
    <row r="167" spans="1:55" x14ac:dyDescent="0.25">
      <c r="A167" s="31" t="s">
        <v>76</v>
      </c>
      <c r="B167" s="29">
        <v>770641</v>
      </c>
      <c r="C167" s="29">
        <v>770969</v>
      </c>
      <c r="D167" s="29">
        <v>773572</v>
      </c>
      <c r="E167" s="29">
        <v>775296</v>
      </c>
      <c r="F167" s="29">
        <v>776384</v>
      </c>
      <c r="G167" s="24">
        <v>1</v>
      </c>
      <c r="H167" s="24">
        <v>1</v>
      </c>
      <c r="I167" s="24">
        <v>1</v>
      </c>
      <c r="J167" s="24">
        <v>1</v>
      </c>
      <c r="K167" s="24">
        <v>1</v>
      </c>
      <c r="L167" s="29">
        <v>694241</v>
      </c>
      <c r="M167" s="29">
        <v>700513</v>
      </c>
      <c r="N167" s="29">
        <v>704889</v>
      </c>
      <c r="O167" s="29">
        <v>707720</v>
      </c>
      <c r="P167" s="29">
        <v>709259</v>
      </c>
      <c r="Q167" s="24">
        <v>0.90086175015344372</v>
      </c>
      <c r="R167" s="24">
        <v>0.90861370560943433</v>
      </c>
      <c r="S167" s="24">
        <v>0.91121317731251905</v>
      </c>
      <c r="T167" s="24">
        <v>0.91283845137857023</v>
      </c>
      <c r="U167" s="24">
        <v>0.91354149493034376</v>
      </c>
      <c r="V167" s="23"/>
      <c r="W167" s="29">
        <v>741052</v>
      </c>
      <c r="X167" s="29">
        <v>749915</v>
      </c>
      <c r="Y167" s="29">
        <v>756429</v>
      </c>
      <c r="Z167" s="29">
        <v>760553</v>
      </c>
      <c r="AA167" s="29">
        <v>770969</v>
      </c>
      <c r="AB167" s="24">
        <v>1</v>
      </c>
      <c r="AC167" s="24">
        <v>1</v>
      </c>
      <c r="AD167" s="24">
        <v>1</v>
      </c>
      <c r="AE167" s="24">
        <v>1</v>
      </c>
      <c r="AF167" s="24">
        <v>1</v>
      </c>
      <c r="AG167" s="29">
        <v>623291</v>
      </c>
      <c r="AH167" s="29">
        <v>635114</v>
      </c>
      <c r="AI167" s="29">
        <v>651861</v>
      </c>
      <c r="AJ167" s="29">
        <v>667666</v>
      </c>
      <c r="AK167" s="29">
        <v>700513</v>
      </c>
      <c r="AL167" s="24">
        <v>0.84108942422394106</v>
      </c>
      <c r="AM167" s="24">
        <v>0.84691465032703706</v>
      </c>
      <c r="AN167" s="24">
        <v>0.86176098483796892</v>
      </c>
      <c r="AO167" s="24">
        <v>0.87786912943608142</v>
      </c>
      <c r="AP167" s="24">
        <v>0.90861370560943433</v>
      </c>
    </row>
    <row r="168" spans="1:55" x14ac:dyDescent="0.25">
      <c r="A168" s="20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2"/>
      <c r="AC168" s="22"/>
      <c r="AD168" s="22"/>
      <c r="AE168" s="22"/>
      <c r="AF168" s="22"/>
      <c r="AG168" s="21"/>
      <c r="AH168" s="21"/>
      <c r="AI168" s="21"/>
      <c r="AJ168" s="21"/>
      <c r="AK168" s="21"/>
      <c r="AL168" s="22"/>
      <c r="AM168" s="22"/>
      <c r="AN168" s="22"/>
      <c r="AO168" s="22"/>
      <c r="AP168" s="22"/>
    </row>
    <row r="169" spans="1:55" x14ac:dyDescent="0.25">
      <c r="A169" s="30" t="s">
        <v>77</v>
      </c>
      <c r="B169" s="27" t="s">
        <v>12</v>
      </c>
      <c r="C169" s="27" t="s">
        <v>13</v>
      </c>
      <c r="D169" s="27" t="s">
        <v>14</v>
      </c>
      <c r="E169" s="27" t="s">
        <v>15</v>
      </c>
      <c r="F169" s="27" t="s">
        <v>16</v>
      </c>
      <c r="G169" s="27" t="s">
        <v>12</v>
      </c>
      <c r="H169" s="27" t="s">
        <v>13</v>
      </c>
      <c r="I169" s="27" t="s">
        <v>14</v>
      </c>
      <c r="J169" s="27" t="s">
        <v>15</v>
      </c>
      <c r="K169" s="27" t="s">
        <v>16</v>
      </c>
      <c r="L169" s="27" t="s">
        <v>12</v>
      </c>
      <c r="M169" s="27" t="s">
        <v>13</v>
      </c>
      <c r="N169" s="27" t="s">
        <v>14</v>
      </c>
      <c r="O169" s="27" t="s">
        <v>15</v>
      </c>
      <c r="P169" s="27" t="s">
        <v>16</v>
      </c>
      <c r="Q169" s="27" t="s">
        <v>12</v>
      </c>
      <c r="R169" s="27" t="s">
        <v>13</v>
      </c>
      <c r="S169" s="27" t="s">
        <v>14</v>
      </c>
      <c r="T169" s="27" t="s">
        <v>15</v>
      </c>
      <c r="U169" s="27" t="s">
        <v>16</v>
      </c>
      <c r="V169" s="27"/>
      <c r="W169" s="27" t="s">
        <v>17</v>
      </c>
      <c r="X169" s="27" t="s">
        <v>18</v>
      </c>
      <c r="Y169" s="27" t="s">
        <v>19</v>
      </c>
      <c r="Z169" s="27" t="s">
        <v>20</v>
      </c>
      <c r="AA169" s="27" t="s">
        <v>21</v>
      </c>
      <c r="AB169" s="27" t="s">
        <v>17</v>
      </c>
      <c r="AC169" s="27" t="s">
        <v>18</v>
      </c>
      <c r="AD169" s="27" t="s">
        <v>19</v>
      </c>
      <c r="AE169" s="27" t="s">
        <v>20</v>
      </c>
      <c r="AF169" s="27" t="s">
        <v>21</v>
      </c>
      <c r="AG169" s="27" t="s">
        <v>17</v>
      </c>
      <c r="AH169" s="27" t="s">
        <v>18</v>
      </c>
      <c r="AI169" s="27" t="s">
        <v>19</v>
      </c>
      <c r="AJ169" s="27" t="s">
        <v>20</v>
      </c>
      <c r="AK169" s="27" t="s">
        <v>21</v>
      </c>
      <c r="AL169" s="27" t="s">
        <v>17</v>
      </c>
      <c r="AM169" s="27" t="s">
        <v>18</v>
      </c>
      <c r="AN169" s="27" t="s">
        <v>19</v>
      </c>
      <c r="AO169" s="27" t="s">
        <v>20</v>
      </c>
      <c r="AP169" s="27" t="s">
        <v>21</v>
      </c>
    </row>
    <row r="170" spans="1:55" s="21" customFormat="1" ht="12.75" x14ac:dyDescent="0.2">
      <c r="A170" s="20" t="s">
        <v>22</v>
      </c>
      <c r="B170" s="21">
        <v>0</v>
      </c>
      <c r="C170" s="21">
        <v>0</v>
      </c>
      <c r="D170" s="21">
        <v>0</v>
      </c>
      <c r="E170" s="21">
        <v>0</v>
      </c>
      <c r="F170" s="21">
        <v>69</v>
      </c>
      <c r="G170" s="22">
        <v>0</v>
      </c>
      <c r="H170" s="22">
        <v>0</v>
      </c>
      <c r="I170" s="22">
        <v>0</v>
      </c>
      <c r="J170" s="22">
        <v>0</v>
      </c>
      <c r="K170" s="22">
        <v>2.827787727401263E-4</v>
      </c>
      <c r="L170" s="21">
        <v>0</v>
      </c>
      <c r="M170" s="21">
        <v>0</v>
      </c>
      <c r="N170" s="21">
        <v>0</v>
      </c>
      <c r="O170" s="21">
        <v>0</v>
      </c>
      <c r="P170" s="21">
        <v>69</v>
      </c>
      <c r="Q170" s="22">
        <v>0</v>
      </c>
      <c r="R170" s="22">
        <v>0</v>
      </c>
      <c r="S170" s="22">
        <v>0</v>
      </c>
      <c r="T170" s="22">
        <v>0</v>
      </c>
      <c r="U170" s="22">
        <v>1</v>
      </c>
      <c r="W170" s="21">
        <v>0</v>
      </c>
      <c r="X170" s="21">
        <v>0</v>
      </c>
      <c r="Y170" s="21">
        <v>0</v>
      </c>
      <c r="Z170" s="21">
        <v>0</v>
      </c>
      <c r="AA170" s="21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1">
        <v>0</v>
      </c>
      <c r="AH170" s="21">
        <v>0</v>
      </c>
      <c r="AI170" s="21">
        <v>0</v>
      </c>
      <c r="AJ170" s="21">
        <v>0</v>
      </c>
      <c r="AK170" s="21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39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</row>
    <row r="171" spans="1:55" s="23" customFormat="1" ht="12.75" x14ac:dyDescent="0.2">
      <c r="A171" s="20" t="s">
        <v>27</v>
      </c>
      <c r="B171" s="21">
        <v>240081</v>
      </c>
      <c r="C171" s="21">
        <v>241125</v>
      </c>
      <c r="D171" s="21">
        <v>242198</v>
      </c>
      <c r="E171" s="21">
        <v>242752</v>
      </c>
      <c r="F171" s="21">
        <v>243938</v>
      </c>
      <c r="G171" s="22">
        <v>1</v>
      </c>
      <c r="H171" s="22">
        <v>1</v>
      </c>
      <c r="I171" s="22">
        <v>1</v>
      </c>
      <c r="J171" s="22">
        <v>1</v>
      </c>
      <c r="K171" s="22">
        <v>0.99971722122725992</v>
      </c>
      <c r="L171" s="21">
        <v>21496</v>
      </c>
      <c r="M171" s="21">
        <v>21076</v>
      </c>
      <c r="N171" s="21">
        <v>20479</v>
      </c>
      <c r="O171" s="21">
        <v>19711</v>
      </c>
      <c r="P171" s="21">
        <v>14549</v>
      </c>
      <c r="Q171" s="22">
        <v>8.9536448115427714E-2</v>
      </c>
      <c r="R171" s="22">
        <v>8.7406946604458274E-2</v>
      </c>
      <c r="S171" s="22">
        <v>8.4554785753804734E-2</v>
      </c>
      <c r="T171" s="22">
        <v>8.1198095175322962E-2</v>
      </c>
      <c r="U171" s="22">
        <v>5.9642204166632504E-2</v>
      </c>
      <c r="V171" s="21"/>
      <c r="W171" s="21">
        <v>230127</v>
      </c>
      <c r="X171" s="21">
        <v>234548</v>
      </c>
      <c r="Y171" s="21">
        <v>236432</v>
      </c>
      <c r="Z171" s="21">
        <v>238374</v>
      </c>
      <c r="AA171" s="21">
        <v>241125</v>
      </c>
      <c r="AB171" s="22">
        <v>1</v>
      </c>
      <c r="AC171" s="22">
        <v>1</v>
      </c>
      <c r="AD171" s="22">
        <v>1</v>
      </c>
      <c r="AE171" s="22">
        <v>1</v>
      </c>
      <c r="AF171" s="22">
        <v>1</v>
      </c>
      <c r="AG171" s="21">
        <v>30640</v>
      </c>
      <c r="AH171" s="21">
        <v>29612</v>
      </c>
      <c r="AI171" s="21">
        <v>26670</v>
      </c>
      <c r="AJ171" s="21">
        <v>23641</v>
      </c>
      <c r="AK171" s="21">
        <v>21076</v>
      </c>
      <c r="AL171" s="22">
        <v>0.13314387273114411</v>
      </c>
      <c r="AM171" s="22">
        <v>0.12625134300868052</v>
      </c>
      <c r="AN171" s="22">
        <v>0.11280198957839886</v>
      </c>
      <c r="AO171" s="22">
        <v>9.9176084640103371E-2</v>
      </c>
      <c r="AP171" s="22">
        <v>8.7406946604458274E-2</v>
      </c>
      <c r="AQ171" s="40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</row>
    <row r="172" spans="1:55" s="21" customFormat="1" ht="12.75" x14ac:dyDescent="0.2">
      <c r="A172" s="31" t="s">
        <v>78</v>
      </c>
      <c r="B172" s="29">
        <v>240081</v>
      </c>
      <c r="C172" s="29">
        <v>241125</v>
      </c>
      <c r="D172" s="29">
        <v>242198</v>
      </c>
      <c r="E172" s="29">
        <v>242752</v>
      </c>
      <c r="F172" s="29">
        <v>244007</v>
      </c>
      <c r="G172" s="24">
        <v>1</v>
      </c>
      <c r="H172" s="24">
        <v>1</v>
      </c>
      <c r="I172" s="24">
        <v>1</v>
      </c>
      <c r="J172" s="24">
        <v>1</v>
      </c>
      <c r="K172" s="24">
        <v>1</v>
      </c>
      <c r="L172" s="29">
        <v>21496</v>
      </c>
      <c r="M172" s="29">
        <v>21076</v>
      </c>
      <c r="N172" s="29">
        <v>20479</v>
      </c>
      <c r="O172" s="29">
        <v>19711</v>
      </c>
      <c r="P172" s="29">
        <v>14618</v>
      </c>
      <c r="Q172" s="24">
        <v>8.9536448115427714E-2</v>
      </c>
      <c r="R172" s="24">
        <v>8.7406946604458274E-2</v>
      </c>
      <c r="S172" s="24">
        <v>8.4554785753804734E-2</v>
      </c>
      <c r="T172" s="24">
        <v>8.1198095175322962E-2</v>
      </c>
      <c r="U172" s="24">
        <v>5.9908117390074872E-2</v>
      </c>
      <c r="V172" s="23"/>
      <c r="W172" s="29">
        <v>230127</v>
      </c>
      <c r="X172" s="29">
        <v>234548</v>
      </c>
      <c r="Y172" s="29">
        <v>236432</v>
      </c>
      <c r="Z172" s="29">
        <v>238374</v>
      </c>
      <c r="AA172" s="29">
        <v>241125</v>
      </c>
      <c r="AB172" s="24">
        <v>1</v>
      </c>
      <c r="AC172" s="24">
        <v>1</v>
      </c>
      <c r="AD172" s="24">
        <v>1</v>
      </c>
      <c r="AE172" s="24">
        <v>1</v>
      </c>
      <c r="AF172" s="24">
        <v>1</v>
      </c>
      <c r="AG172" s="29">
        <v>30640</v>
      </c>
      <c r="AH172" s="29">
        <v>29612</v>
      </c>
      <c r="AI172" s="29">
        <v>26670</v>
      </c>
      <c r="AJ172" s="29">
        <v>23641</v>
      </c>
      <c r="AK172" s="29">
        <v>21076</v>
      </c>
      <c r="AL172" s="24">
        <v>0.13314387273114411</v>
      </c>
      <c r="AM172" s="24">
        <v>0.12625134300868052</v>
      </c>
      <c r="AN172" s="24">
        <v>0.11280198957839886</v>
      </c>
      <c r="AO172" s="24">
        <v>9.9176084640103371E-2</v>
      </c>
      <c r="AP172" s="24">
        <v>8.7406946604458274E-2</v>
      </c>
      <c r="AQ172" s="39"/>
    </row>
    <row r="173" spans="1:55" s="21" customFormat="1" ht="12.75" x14ac:dyDescent="0.2">
      <c r="A173" s="20"/>
      <c r="AB173" s="22"/>
      <c r="AC173" s="22"/>
      <c r="AD173" s="22"/>
      <c r="AE173" s="22"/>
      <c r="AF173" s="22"/>
      <c r="AL173" s="22"/>
      <c r="AM173" s="22"/>
      <c r="AN173" s="22"/>
      <c r="AO173" s="22"/>
      <c r="AP173" s="22"/>
      <c r="AQ173" s="39"/>
    </row>
    <row r="174" spans="1:55" s="21" customFormat="1" ht="12.75" x14ac:dyDescent="0.2">
      <c r="A174" s="2" t="s">
        <v>79</v>
      </c>
      <c r="AB174" s="22"/>
      <c r="AC174" s="22"/>
      <c r="AD174" s="22"/>
      <c r="AE174" s="22"/>
      <c r="AF174" s="22"/>
      <c r="AL174" s="22"/>
      <c r="AM174" s="22"/>
      <c r="AN174" s="22"/>
      <c r="AO174" s="22"/>
      <c r="AP174" s="22"/>
      <c r="AQ174" s="39"/>
    </row>
    <row r="175" spans="1:55" s="21" customFormat="1" ht="12.75" x14ac:dyDescent="0.2">
      <c r="A175" s="1" t="s">
        <v>80</v>
      </c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4"/>
      <c r="AC175" s="24"/>
      <c r="AD175" s="24"/>
      <c r="AE175" s="24"/>
      <c r="AF175" s="24"/>
      <c r="AG175" s="23"/>
      <c r="AH175" s="23"/>
      <c r="AI175" s="23"/>
      <c r="AJ175" s="23"/>
      <c r="AK175" s="23"/>
      <c r="AL175" s="24"/>
      <c r="AM175" s="24"/>
      <c r="AN175" s="24"/>
      <c r="AO175" s="24"/>
      <c r="AP175" s="24"/>
      <c r="AQ175" s="39"/>
    </row>
    <row r="176" spans="1:55" s="21" customFormat="1" ht="12.75" x14ac:dyDescent="0.2">
      <c r="A176" s="10" t="s">
        <v>11</v>
      </c>
      <c r="B176" s="10" t="s">
        <v>12</v>
      </c>
      <c r="C176" s="10" t="s">
        <v>13</v>
      </c>
      <c r="D176" s="10" t="s">
        <v>14</v>
      </c>
      <c r="E176" s="10" t="s">
        <v>15</v>
      </c>
      <c r="F176" s="10" t="s">
        <v>16</v>
      </c>
      <c r="G176" s="10" t="s">
        <v>12</v>
      </c>
      <c r="H176" s="10" t="s">
        <v>13</v>
      </c>
      <c r="I176" s="10" t="s">
        <v>14</v>
      </c>
      <c r="J176" s="10" t="s">
        <v>15</v>
      </c>
      <c r="K176" s="10" t="s">
        <v>16</v>
      </c>
      <c r="L176" s="10" t="s">
        <v>12</v>
      </c>
      <c r="M176" s="10" t="s">
        <v>13</v>
      </c>
      <c r="N176" s="10" t="s">
        <v>14</v>
      </c>
      <c r="O176" s="10" t="s">
        <v>15</v>
      </c>
      <c r="P176" s="10" t="s">
        <v>16</v>
      </c>
      <c r="Q176" s="10" t="s">
        <v>12</v>
      </c>
      <c r="R176" s="10" t="s">
        <v>13</v>
      </c>
      <c r="S176" s="10" t="s">
        <v>14</v>
      </c>
      <c r="T176" s="10" t="s">
        <v>15</v>
      </c>
      <c r="U176" s="10" t="s">
        <v>16</v>
      </c>
      <c r="V176" s="10"/>
      <c r="W176" s="10" t="s">
        <v>17</v>
      </c>
      <c r="X176" s="10" t="s">
        <v>18</v>
      </c>
      <c r="Y176" s="10" t="s">
        <v>19</v>
      </c>
      <c r="Z176" s="10" t="s">
        <v>20</v>
      </c>
      <c r="AA176" s="10" t="s">
        <v>21</v>
      </c>
      <c r="AB176" s="10" t="s">
        <v>17</v>
      </c>
      <c r="AC176" s="10" t="s">
        <v>18</v>
      </c>
      <c r="AD176" s="10" t="s">
        <v>19</v>
      </c>
      <c r="AE176" s="10" t="s">
        <v>20</v>
      </c>
      <c r="AF176" s="10" t="s">
        <v>21</v>
      </c>
      <c r="AG176" s="10" t="s">
        <v>17</v>
      </c>
      <c r="AH176" s="10" t="s">
        <v>18</v>
      </c>
      <c r="AI176" s="10" t="s">
        <v>19</v>
      </c>
      <c r="AJ176" s="10" t="s">
        <v>20</v>
      </c>
      <c r="AK176" s="10" t="s">
        <v>21</v>
      </c>
      <c r="AL176" s="10" t="s">
        <v>17</v>
      </c>
      <c r="AM176" s="10" t="s">
        <v>18</v>
      </c>
      <c r="AN176" s="10" t="s">
        <v>19</v>
      </c>
      <c r="AO176" s="10" t="s">
        <v>20</v>
      </c>
      <c r="AP176" s="10" t="s">
        <v>21</v>
      </c>
      <c r="AQ176" s="39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</row>
    <row r="177" spans="1:55" s="23" customFormat="1" ht="12.75" x14ac:dyDescent="0.2">
      <c r="A177" s="20" t="s">
        <v>24</v>
      </c>
      <c r="B177" s="21">
        <v>1397526</v>
      </c>
      <c r="C177" s="21">
        <v>1378777</v>
      </c>
      <c r="D177" s="21">
        <v>1375803</v>
      </c>
      <c r="E177" s="21">
        <v>1373750</v>
      </c>
      <c r="F177" s="21">
        <v>1381988</v>
      </c>
      <c r="G177" s="22">
        <v>0.22320424941041633</v>
      </c>
      <c r="H177" s="22">
        <v>0.2187163256821</v>
      </c>
      <c r="I177" s="22">
        <v>0.21706611130175485</v>
      </c>
      <c r="J177" s="22">
        <v>0.2156402478650242</v>
      </c>
      <c r="K177" s="22">
        <v>0.21656382929544843</v>
      </c>
      <c r="L177" s="21">
        <v>1236899</v>
      </c>
      <c r="M177" s="21">
        <v>1231097</v>
      </c>
      <c r="N177" s="21">
        <v>1232875</v>
      </c>
      <c r="O177" s="21">
        <v>1231128</v>
      </c>
      <c r="P177" s="21">
        <v>1238710</v>
      </c>
      <c r="Q177" s="22">
        <v>0.88506331903664048</v>
      </c>
      <c r="R177" s="22">
        <v>0.89289058346636185</v>
      </c>
      <c r="S177" s="22">
        <v>0.89611303362472683</v>
      </c>
      <c r="T177" s="22">
        <v>0.89618052775250223</v>
      </c>
      <c r="U177" s="22">
        <v>0.89632471483109843</v>
      </c>
      <c r="V177" s="21"/>
      <c r="W177" s="21">
        <v>1070223</v>
      </c>
      <c r="X177" s="21">
        <v>1055795</v>
      </c>
      <c r="Y177" s="21">
        <v>1406541</v>
      </c>
      <c r="Z177" s="21">
        <v>1411503</v>
      </c>
      <c r="AA177" s="21">
        <v>1378777</v>
      </c>
      <c r="AB177" s="22">
        <v>0.25769951658901974</v>
      </c>
      <c r="AC177" s="22">
        <v>0.25420035696082027</v>
      </c>
      <c r="AD177" s="22">
        <v>0.2306026825860128</v>
      </c>
      <c r="AE177" s="22">
        <v>0.22830053700248099</v>
      </c>
      <c r="AF177" s="22">
        <v>0.2187163256821</v>
      </c>
      <c r="AG177" s="21">
        <v>946062</v>
      </c>
      <c r="AH177" s="21">
        <v>916965</v>
      </c>
      <c r="AI177" s="21">
        <v>1183474</v>
      </c>
      <c r="AJ177" s="21">
        <v>1218814</v>
      </c>
      <c r="AK177" s="21">
        <v>1231097</v>
      </c>
      <c r="AL177" s="22">
        <v>0.88398586089067421</v>
      </c>
      <c r="AM177" s="22">
        <v>0.86850667032899376</v>
      </c>
      <c r="AN177" s="22">
        <v>0.8414073958739916</v>
      </c>
      <c r="AO177" s="22">
        <v>0.86348665217147957</v>
      </c>
      <c r="AP177" s="22">
        <v>0.89289058346636185</v>
      </c>
      <c r="AQ177" s="39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</row>
    <row r="178" spans="1:55" s="21" customFormat="1" ht="12.75" x14ac:dyDescent="0.2">
      <c r="A178" s="20" t="s">
        <v>48</v>
      </c>
      <c r="B178" s="21">
        <v>1874378</v>
      </c>
      <c r="C178" s="21">
        <v>1869626</v>
      </c>
      <c r="D178" s="21">
        <v>1860728</v>
      </c>
      <c r="E178" s="21">
        <v>1844710</v>
      </c>
      <c r="F178" s="21">
        <v>1753239</v>
      </c>
      <c r="G178" s="22">
        <v>0.29936411530189588</v>
      </c>
      <c r="H178" s="22">
        <v>0.2965800336963279</v>
      </c>
      <c r="I178" s="22">
        <v>0.29357472774102955</v>
      </c>
      <c r="J178" s="22">
        <v>0.28956776825411379</v>
      </c>
      <c r="K178" s="22">
        <v>0.27474055600346942</v>
      </c>
      <c r="L178" s="21">
        <v>1435127</v>
      </c>
      <c r="M178" s="21">
        <v>1467824</v>
      </c>
      <c r="N178" s="21">
        <v>1480533</v>
      </c>
      <c r="O178" s="21">
        <v>1485393</v>
      </c>
      <c r="P178" s="21">
        <v>1444888</v>
      </c>
      <c r="Q178" s="22">
        <v>0.76565505997189465</v>
      </c>
      <c r="R178" s="22">
        <v>0.78508963824850531</v>
      </c>
      <c r="S178" s="22">
        <v>0.79567405875549779</v>
      </c>
      <c r="T178" s="22">
        <v>0.80521762228209315</v>
      </c>
      <c r="U178" s="22">
        <v>0.82412494816736337</v>
      </c>
      <c r="W178" s="21">
        <v>1285307</v>
      </c>
      <c r="X178" s="21">
        <v>1270132</v>
      </c>
      <c r="Y178" s="21">
        <v>1932530</v>
      </c>
      <c r="Z178" s="21">
        <v>1903767</v>
      </c>
      <c r="AA178" s="21">
        <v>1869626</v>
      </c>
      <c r="AB178" s="22">
        <v>0.30948969753825439</v>
      </c>
      <c r="AC178" s="22">
        <v>0.3058055851631809</v>
      </c>
      <c r="AD178" s="22">
        <v>0.31683868595223835</v>
      </c>
      <c r="AE178" s="22">
        <v>0.30792072594078951</v>
      </c>
      <c r="AF178" s="22">
        <v>0.2965800336963279</v>
      </c>
      <c r="AG178" s="21">
        <v>718678</v>
      </c>
      <c r="AH178" s="21">
        <v>758575</v>
      </c>
      <c r="AI178" s="21">
        <v>1261468</v>
      </c>
      <c r="AJ178" s="21">
        <v>1337392</v>
      </c>
      <c r="AK178" s="21">
        <v>1467824</v>
      </c>
      <c r="AL178" s="22">
        <v>0.55914890372494663</v>
      </c>
      <c r="AM178" s="22">
        <v>0.59724107415607197</v>
      </c>
      <c r="AN178" s="22">
        <v>0.65275467909941887</v>
      </c>
      <c r="AO178" s="22">
        <v>0.70249773212793376</v>
      </c>
      <c r="AP178" s="22">
        <v>0.78508963824850531</v>
      </c>
      <c r="AQ178" s="39"/>
    </row>
    <row r="179" spans="1:55" s="21" customFormat="1" ht="12.75" x14ac:dyDescent="0.2">
      <c r="A179" s="20" t="s">
        <v>35</v>
      </c>
      <c r="B179" s="21">
        <v>1075606</v>
      </c>
      <c r="C179" s="21">
        <v>1062092</v>
      </c>
      <c r="D179" s="21">
        <v>1067221</v>
      </c>
      <c r="E179" s="21">
        <v>1075326</v>
      </c>
      <c r="F179" s="21">
        <v>1051685</v>
      </c>
      <c r="G179" s="22">
        <v>0.17178916878207653</v>
      </c>
      <c r="H179" s="22">
        <v>0.16848037048511322</v>
      </c>
      <c r="I179" s="22">
        <v>0.16837985697775779</v>
      </c>
      <c r="J179" s="22">
        <v>0.1687960438039709</v>
      </c>
      <c r="K179" s="22">
        <v>0.16480384114231361</v>
      </c>
      <c r="L179" s="21">
        <v>887797</v>
      </c>
      <c r="M179" s="21">
        <v>884920</v>
      </c>
      <c r="N179" s="21">
        <v>905008</v>
      </c>
      <c r="O179" s="21">
        <v>921594</v>
      </c>
      <c r="P179" s="21">
        <v>905618</v>
      </c>
      <c r="Q179" s="22">
        <v>0.82539238345639576</v>
      </c>
      <c r="R179" s="22">
        <v>0.83318582571001387</v>
      </c>
      <c r="S179" s="22">
        <v>0.84800430276390737</v>
      </c>
      <c r="T179" s="22">
        <v>0.85703684278070091</v>
      </c>
      <c r="U179" s="22">
        <v>0.86111145447543702</v>
      </c>
      <c r="W179" s="21">
        <v>987413</v>
      </c>
      <c r="X179" s="21">
        <v>1006609</v>
      </c>
      <c r="Y179" s="21">
        <v>1112349</v>
      </c>
      <c r="Z179" s="21">
        <v>1108680</v>
      </c>
      <c r="AA179" s="21">
        <v>1062092</v>
      </c>
      <c r="AB179" s="22">
        <v>0.23775965642087094</v>
      </c>
      <c r="AC179" s="22">
        <v>0.24235800237733113</v>
      </c>
      <c r="AD179" s="22">
        <v>0.18236984444240781</v>
      </c>
      <c r="AE179" s="22">
        <v>0.17932107786091181</v>
      </c>
      <c r="AF179" s="22">
        <v>0.16848037048511322</v>
      </c>
      <c r="AG179" s="21">
        <v>495206</v>
      </c>
      <c r="AH179" s="21">
        <v>662019</v>
      </c>
      <c r="AI179" s="21">
        <v>831273</v>
      </c>
      <c r="AJ179" s="21">
        <v>873273</v>
      </c>
      <c r="AK179" s="21">
        <v>884920</v>
      </c>
      <c r="AL179" s="22">
        <v>0.50151861480454485</v>
      </c>
      <c r="AM179" s="22">
        <v>0.65767244282536719</v>
      </c>
      <c r="AN179" s="22">
        <v>0.74731311845472959</v>
      </c>
      <c r="AO179" s="22">
        <v>0.78766912003463574</v>
      </c>
      <c r="AP179" s="22">
        <v>0.83318582571001387</v>
      </c>
      <c r="AQ179" s="39"/>
    </row>
    <row r="180" spans="1:55" s="21" customFormat="1" ht="12.75" x14ac:dyDescent="0.2">
      <c r="A180" s="20" t="s">
        <v>81</v>
      </c>
      <c r="B180" s="21">
        <v>1913688</v>
      </c>
      <c r="C180" s="21">
        <v>1993456</v>
      </c>
      <c r="D180" s="21">
        <v>2034423</v>
      </c>
      <c r="E180" s="21">
        <v>2076778</v>
      </c>
      <c r="F180" s="21">
        <v>2194523</v>
      </c>
      <c r="G180" s="22">
        <v>0.30564246650561122</v>
      </c>
      <c r="H180" s="22">
        <v>0.31622327013645884</v>
      </c>
      <c r="I180" s="22">
        <v>0.32097930397945779</v>
      </c>
      <c r="J180" s="22">
        <v>0.32599594007689114</v>
      </c>
      <c r="K180" s="22">
        <v>0.34389177355876854</v>
      </c>
      <c r="L180" s="21">
        <v>937407</v>
      </c>
      <c r="M180" s="21">
        <v>1023546</v>
      </c>
      <c r="N180" s="21">
        <v>1077738</v>
      </c>
      <c r="O180" s="21">
        <v>1122404</v>
      </c>
      <c r="P180" s="21">
        <v>1171735</v>
      </c>
      <c r="Q180" s="22">
        <v>0.48984317192771237</v>
      </c>
      <c r="R180" s="22">
        <v>0.51345301827579837</v>
      </c>
      <c r="S180" s="22">
        <v>0.52975118743742078</v>
      </c>
      <c r="T180" s="22">
        <v>0.54045449248788269</v>
      </c>
      <c r="U180" s="22">
        <v>0.53393607631362261</v>
      </c>
      <c r="W180" s="21">
        <v>810045</v>
      </c>
      <c r="X180" s="21">
        <v>820861</v>
      </c>
      <c r="Y180" s="21">
        <v>1647993</v>
      </c>
      <c r="Z180" s="21">
        <v>1758703</v>
      </c>
      <c r="AA180" s="21">
        <v>1993456</v>
      </c>
      <c r="AB180" s="22">
        <v>0.1950511294518549</v>
      </c>
      <c r="AC180" s="22">
        <v>0.19763605549866772</v>
      </c>
      <c r="AD180" s="22">
        <v>0.27018878701934101</v>
      </c>
      <c r="AE180" s="22">
        <v>0.28445765919581772</v>
      </c>
      <c r="AF180" s="22">
        <v>0.31622327013645884</v>
      </c>
      <c r="AG180" s="21">
        <v>464153</v>
      </c>
      <c r="AH180" s="21">
        <v>476017</v>
      </c>
      <c r="AI180" s="21">
        <v>678201</v>
      </c>
      <c r="AJ180" s="21">
        <v>768678</v>
      </c>
      <c r="AK180" s="21">
        <v>1023546</v>
      </c>
      <c r="AL180" s="22">
        <v>0.57299656191939952</v>
      </c>
      <c r="AM180" s="22">
        <v>0.5798996419613065</v>
      </c>
      <c r="AN180" s="22">
        <v>0.41153148101964027</v>
      </c>
      <c r="AO180" s="22">
        <v>0.43707095513000205</v>
      </c>
      <c r="AP180" s="22">
        <v>0.51345301827579837</v>
      </c>
      <c r="AQ180" s="39"/>
    </row>
    <row r="181" spans="1:55" s="21" customFormat="1" ht="12.75" x14ac:dyDescent="0.2">
      <c r="A181" s="31" t="s">
        <v>82</v>
      </c>
      <c r="B181" s="23">
        <v>6261198</v>
      </c>
      <c r="C181" s="23">
        <v>6303951</v>
      </c>
      <c r="D181" s="23">
        <v>6338175</v>
      </c>
      <c r="E181" s="23">
        <v>6370564</v>
      </c>
      <c r="F181" s="23">
        <v>6381435</v>
      </c>
      <c r="G181" s="24">
        <v>1</v>
      </c>
      <c r="H181" s="24">
        <v>1</v>
      </c>
      <c r="I181" s="24">
        <v>1</v>
      </c>
      <c r="J181" s="24">
        <v>1</v>
      </c>
      <c r="K181" s="24">
        <v>1</v>
      </c>
      <c r="L181" s="23">
        <v>4497230</v>
      </c>
      <c r="M181" s="23">
        <v>4607387</v>
      </c>
      <c r="N181" s="23">
        <v>4696154</v>
      </c>
      <c r="O181" s="23">
        <v>4760519</v>
      </c>
      <c r="P181" s="23">
        <v>4760951</v>
      </c>
      <c r="Q181" s="24">
        <v>0.71826989020312082</v>
      </c>
      <c r="R181" s="24">
        <v>0.73087290811746475</v>
      </c>
      <c r="S181" s="24">
        <v>0.74093157730734793</v>
      </c>
      <c r="T181" s="24">
        <v>0.74726805978246191</v>
      </c>
      <c r="U181" s="24">
        <v>0.74606275861150351</v>
      </c>
      <c r="V181" s="23"/>
      <c r="W181" s="23">
        <v>4152988</v>
      </c>
      <c r="X181" s="23">
        <v>4153397</v>
      </c>
      <c r="Y181" s="23">
        <v>6099413</v>
      </c>
      <c r="Z181" s="23">
        <v>6182653</v>
      </c>
      <c r="AA181" s="23">
        <v>6303951</v>
      </c>
      <c r="AB181" s="24">
        <v>1</v>
      </c>
      <c r="AC181" s="24">
        <v>1</v>
      </c>
      <c r="AD181" s="24">
        <v>1</v>
      </c>
      <c r="AE181" s="24">
        <v>1</v>
      </c>
      <c r="AF181" s="24">
        <v>1</v>
      </c>
      <c r="AG181" s="23">
        <v>2624099</v>
      </c>
      <c r="AH181" s="23">
        <v>2813576</v>
      </c>
      <c r="AI181" s="23">
        <v>3954416</v>
      </c>
      <c r="AJ181" s="23">
        <v>4198157</v>
      </c>
      <c r="AK181" s="23">
        <v>4607387</v>
      </c>
      <c r="AL181" s="24">
        <v>0.63185807423474372</v>
      </c>
      <c r="AM181" s="24">
        <v>0.67741561907036574</v>
      </c>
      <c r="AN181" s="24">
        <v>0.64832730625061785</v>
      </c>
      <c r="AO181" s="24">
        <v>0.67902193443494241</v>
      </c>
      <c r="AP181" s="24">
        <v>0.73087290811746475</v>
      </c>
      <c r="AQ181" s="39"/>
    </row>
    <row r="182" spans="1:55" s="21" customFormat="1" ht="12.75" x14ac:dyDescent="0.2">
      <c r="A182" s="20"/>
      <c r="AB182" s="22"/>
      <c r="AC182" s="22"/>
      <c r="AD182" s="22"/>
      <c r="AE182" s="22"/>
      <c r="AF182" s="22"/>
      <c r="AL182" s="22"/>
      <c r="AM182" s="22"/>
      <c r="AN182" s="22"/>
      <c r="AO182" s="22"/>
      <c r="AP182" s="22"/>
      <c r="AQ182" s="39"/>
    </row>
    <row r="183" spans="1:55" s="21" customFormat="1" ht="12.75" x14ac:dyDescent="0.2">
      <c r="A183" s="10" t="s">
        <v>69</v>
      </c>
      <c r="B183" s="10" t="s">
        <v>12</v>
      </c>
      <c r="C183" s="10" t="s">
        <v>13</v>
      </c>
      <c r="D183" s="10" t="s">
        <v>14</v>
      </c>
      <c r="E183" s="10" t="s">
        <v>15</v>
      </c>
      <c r="F183" s="10" t="s">
        <v>16</v>
      </c>
      <c r="G183" s="10" t="s">
        <v>12</v>
      </c>
      <c r="H183" s="10" t="s">
        <v>13</v>
      </c>
      <c r="I183" s="10" t="s">
        <v>14</v>
      </c>
      <c r="J183" s="10" t="s">
        <v>15</v>
      </c>
      <c r="K183" s="10" t="s">
        <v>16</v>
      </c>
      <c r="L183" s="10" t="s">
        <v>12</v>
      </c>
      <c r="M183" s="10" t="s">
        <v>13</v>
      </c>
      <c r="N183" s="10" t="s">
        <v>14</v>
      </c>
      <c r="O183" s="10" t="s">
        <v>15</v>
      </c>
      <c r="P183" s="10" t="s">
        <v>16</v>
      </c>
      <c r="Q183" s="10" t="s">
        <v>12</v>
      </c>
      <c r="R183" s="10" t="s">
        <v>13</v>
      </c>
      <c r="S183" s="10" t="s">
        <v>14</v>
      </c>
      <c r="T183" s="10" t="s">
        <v>15</v>
      </c>
      <c r="U183" s="10" t="s">
        <v>16</v>
      </c>
      <c r="V183" s="10"/>
      <c r="W183" s="10" t="s">
        <v>17</v>
      </c>
      <c r="X183" s="10" t="s">
        <v>18</v>
      </c>
      <c r="Y183" s="10" t="s">
        <v>19</v>
      </c>
      <c r="Z183" s="10" t="s">
        <v>20</v>
      </c>
      <c r="AA183" s="10" t="s">
        <v>21</v>
      </c>
      <c r="AB183" s="10" t="s">
        <v>17</v>
      </c>
      <c r="AC183" s="10" t="s">
        <v>18</v>
      </c>
      <c r="AD183" s="10" t="s">
        <v>19</v>
      </c>
      <c r="AE183" s="10" t="s">
        <v>20</v>
      </c>
      <c r="AF183" s="10" t="s">
        <v>21</v>
      </c>
      <c r="AG183" s="10" t="s">
        <v>17</v>
      </c>
      <c r="AH183" s="10" t="s">
        <v>18</v>
      </c>
      <c r="AI183" s="10" t="s">
        <v>19</v>
      </c>
      <c r="AJ183" s="10" t="s">
        <v>20</v>
      </c>
      <c r="AK183" s="10" t="s">
        <v>21</v>
      </c>
      <c r="AL183" s="10" t="s">
        <v>17</v>
      </c>
      <c r="AM183" s="10" t="s">
        <v>18</v>
      </c>
      <c r="AN183" s="10" t="s">
        <v>19</v>
      </c>
      <c r="AO183" s="10" t="s">
        <v>20</v>
      </c>
      <c r="AP183" s="10" t="s">
        <v>21</v>
      </c>
      <c r="AQ183" s="39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</row>
    <row r="184" spans="1:55" s="23" customFormat="1" ht="12.75" x14ac:dyDescent="0.2">
      <c r="A184" s="20" t="s">
        <v>23</v>
      </c>
      <c r="B184" s="21">
        <v>152613</v>
      </c>
      <c r="C184" s="21">
        <v>151987</v>
      </c>
      <c r="D184" s="21">
        <v>150283</v>
      </c>
      <c r="E184" s="21">
        <v>147730</v>
      </c>
      <c r="F184" s="21">
        <v>146008</v>
      </c>
      <c r="G184" s="22">
        <v>0.89101471275105093</v>
      </c>
      <c r="H184" s="22">
        <v>0.88329613873584867</v>
      </c>
      <c r="I184" s="22">
        <v>0.86762464494376834</v>
      </c>
      <c r="J184" s="22">
        <v>0.85018588644237525</v>
      </c>
      <c r="K184" s="22">
        <v>0.8355776329268223</v>
      </c>
      <c r="L184" s="21">
        <v>38233</v>
      </c>
      <c r="M184" s="21">
        <v>48069</v>
      </c>
      <c r="N184" s="21">
        <v>59792</v>
      </c>
      <c r="O184" s="21">
        <v>62137</v>
      </c>
      <c r="P184" s="21">
        <v>51211</v>
      </c>
      <c r="Q184" s="22">
        <v>0.25052256360860475</v>
      </c>
      <c r="R184" s="22">
        <v>0.31627047050076651</v>
      </c>
      <c r="S184" s="22">
        <v>0.39786269904114235</v>
      </c>
      <c r="T184" s="22">
        <v>0.42061192716442158</v>
      </c>
      <c r="U184" s="22">
        <v>0.35074105528464194</v>
      </c>
      <c r="V184" s="21"/>
      <c r="W184" s="21">
        <v>152762</v>
      </c>
      <c r="X184" s="21">
        <v>153235</v>
      </c>
      <c r="Y184" s="21">
        <v>152243</v>
      </c>
      <c r="Z184" s="21">
        <v>152349</v>
      </c>
      <c r="AA184" s="21">
        <v>151987</v>
      </c>
      <c r="AB184" s="22">
        <v>0.96435786071410534</v>
      </c>
      <c r="AC184" s="22">
        <v>0.95316737578064736</v>
      </c>
      <c r="AD184" s="22">
        <v>0.92674003822788198</v>
      </c>
      <c r="AE184" s="22">
        <v>0.90701744985622179</v>
      </c>
      <c r="AF184" s="22">
        <v>0.88329613873584867</v>
      </c>
      <c r="AG184" s="21">
        <v>24143</v>
      </c>
      <c r="AH184" s="21">
        <v>32780</v>
      </c>
      <c r="AI184" s="21">
        <v>28376</v>
      </c>
      <c r="AJ184" s="21">
        <v>19792</v>
      </c>
      <c r="AK184" s="21">
        <v>48069</v>
      </c>
      <c r="AL184" s="22">
        <v>0.15804323064636494</v>
      </c>
      <c r="AM184" s="22">
        <v>0.2139197963911639</v>
      </c>
      <c r="AN184" s="22">
        <v>0.18638623779090008</v>
      </c>
      <c r="AO184" s="22">
        <v>0.12991224097302903</v>
      </c>
      <c r="AP184" s="22">
        <v>0.31627047050076651</v>
      </c>
      <c r="AQ184" s="39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</row>
    <row r="185" spans="1:55" s="21" customFormat="1" ht="12.75" x14ac:dyDescent="0.2">
      <c r="A185" s="20" t="s">
        <v>48</v>
      </c>
      <c r="B185" s="21">
        <v>12326</v>
      </c>
      <c r="C185" s="21">
        <v>13445</v>
      </c>
      <c r="D185" s="21">
        <v>16014</v>
      </c>
      <c r="E185" s="21">
        <v>18862</v>
      </c>
      <c r="F185" s="21">
        <v>21515</v>
      </c>
      <c r="G185" s="22">
        <v>7.1964035497431106E-2</v>
      </c>
      <c r="H185" s="22">
        <v>7.8137712997187164E-2</v>
      </c>
      <c r="I185" s="22">
        <v>9.2453178763596058E-2</v>
      </c>
      <c r="J185" s="22">
        <v>0.10855077634925933</v>
      </c>
      <c r="K185" s="22">
        <v>0.12312649151019521</v>
      </c>
      <c r="L185" s="21">
        <v>11706</v>
      </c>
      <c r="M185" s="21">
        <v>12768</v>
      </c>
      <c r="N185" s="21">
        <v>15317</v>
      </c>
      <c r="O185" s="21">
        <v>18047</v>
      </c>
      <c r="P185" s="21">
        <v>20593</v>
      </c>
      <c r="Q185" s="22">
        <v>0.9496998215154957</v>
      </c>
      <c r="R185" s="22">
        <v>0.9496467088136854</v>
      </c>
      <c r="S185" s="22">
        <v>0.95647558386411891</v>
      </c>
      <c r="T185" s="22">
        <v>0.95679143250980803</v>
      </c>
      <c r="U185" s="22">
        <v>0.95714617708575411</v>
      </c>
      <c r="W185" s="21">
        <v>17</v>
      </c>
      <c r="X185" s="21">
        <v>2104</v>
      </c>
      <c r="Y185" s="21">
        <v>6671</v>
      </c>
      <c r="Z185" s="21">
        <v>10037</v>
      </c>
      <c r="AA185" s="21">
        <v>13445</v>
      </c>
      <c r="AB185" s="22">
        <v>1.0731781223170547E-4</v>
      </c>
      <c r="AC185" s="22">
        <v>1.3087507153342788E-2</v>
      </c>
      <c r="AD185" s="22">
        <v>4.0607993766663825E-2</v>
      </c>
      <c r="AE185" s="22">
        <v>5.975578536260099E-2</v>
      </c>
      <c r="AF185" s="22">
        <v>7.8137712997187164E-2</v>
      </c>
      <c r="AG185" s="21">
        <v>0</v>
      </c>
      <c r="AH185" s="21">
        <v>2047</v>
      </c>
      <c r="AI185" s="21">
        <v>6542</v>
      </c>
      <c r="AJ185" s="21">
        <v>9704</v>
      </c>
      <c r="AK185" s="21">
        <v>12768</v>
      </c>
      <c r="AL185" s="22">
        <v>0</v>
      </c>
      <c r="AM185" s="22">
        <v>0.97290874524714832</v>
      </c>
      <c r="AN185" s="22">
        <v>0.98066256932993556</v>
      </c>
      <c r="AO185" s="22">
        <v>0.96682275580352695</v>
      </c>
      <c r="AP185" s="22">
        <v>0.9496467088136854</v>
      </c>
      <c r="AQ185" s="39"/>
    </row>
    <row r="186" spans="1:55" s="21" customFormat="1" ht="12.75" x14ac:dyDescent="0.2">
      <c r="A186" s="20" t="s">
        <v>35</v>
      </c>
      <c r="B186" s="21">
        <v>6283</v>
      </c>
      <c r="C186" s="21">
        <v>6583</v>
      </c>
      <c r="D186" s="21">
        <v>6786</v>
      </c>
      <c r="E186" s="21">
        <v>7089</v>
      </c>
      <c r="F186" s="21">
        <v>6912</v>
      </c>
      <c r="G186" s="22">
        <v>3.6682624941616067E-2</v>
      </c>
      <c r="H186" s="22">
        <v>3.8258130506543926E-2</v>
      </c>
      <c r="I186" s="22">
        <v>3.9177424196937857E-2</v>
      </c>
      <c r="J186" s="22">
        <v>4.0797182352873468E-2</v>
      </c>
      <c r="K186" s="22">
        <v>3.9556138011548655E-2</v>
      </c>
      <c r="L186" s="21">
        <v>6001</v>
      </c>
      <c r="M186" s="21">
        <v>6309</v>
      </c>
      <c r="N186" s="21">
        <v>6525</v>
      </c>
      <c r="O186" s="21">
        <v>6835</v>
      </c>
      <c r="P186" s="21">
        <v>6666</v>
      </c>
      <c r="Q186" s="22">
        <v>0.95511698233328024</v>
      </c>
      <c r="R186" s="22">
        <v>0.95837763937414555</v>
      </c>
      <c r="S186" s="22">
        <v>0.96153846153846156</v>
      </c>
      <c r="T186" s="22">
        <v>0.96416984059810973</v>
      </c>
      <c r="U186" s="22">
        <v>0.96440972222222221</v>
      </c>
      <c r="W186" s="21">
        <v>5611</v>
      </c>
      <c r="X186" s="21">
        <v>5420</v>
      </c>
      <c r="Y186" s="21">
        <v>5359</v>
      </c>
      <c r="Z186" s="21">
        <v>5555</v>
      </c>
      <c r="AA186" s="21">
        <v>6583</v>
      </c>
      <c r="AB186" s="22">
        <v>3.5421190848947022E-2</v>
      </c>
      <c r="AC186" s="22">
        <v>3.3714015575626387E-2</v>
      </c>
      <c r="AD186" s="22">
        <v>3.2621531793666836E-2</v>
      </c>
      <c r="AE186" s="22">
        <v>3.3071972470782952E-2</v>
      </c>
      <c r="AF186" s="22">
        <v>3.8258130506543926E-2</v>
      </c>
      <c r="AG186" s="21">
        <v>5335</v>
      </c>
      <c r="AH186" s="21">
        <v>5012</v>
      </c>
      <c r="AI186" s="21">
        <v>4892</v>
      </c>
      <c r="AJ186" s="21">
        <v>5211</v>
      </c>
      <c r="AK186" s="21">
        <v>6309</v>
      </c>
      <c r="AL186" s="22">
        <v>0.95081090714667615</v>
      </c>
      <c r="AM186" s="22">
        <v>0.92472324723247235</v>
      </c>
      <c r="AN186" s="22">
        <v>0.91285687628288859</v>
      </c>
      <c r="AO186" s="22">
        <v>0.93807380738073809</v>
      </c>
      <c r="AP186" s="22">
        <v>0.95837763937414555</v>
      </c>
      <c r="AQ186" s="39"/>
    </row>
    <row r="187" spans="1:55" s="21" customFormat="1" ht="12.75" x14ac:dyDescent="0.2">
      <c r="A187" s="20" t="s">
        <v>81</v>
      </c>
      <c r="B187" s="21">
        <v>58</v>
      </c>
      <c r="C187" s="21">
        <v>53</v>
      </c>
      <c r="D187" s="21">
        <v>129</v>
      </c>
      <c r="E187" s="21">
        <v>81</v>
      </c>
      <c r="F187" s="21">
        <v>304</v>
      </c>
      <c r="G187" s="22">
        <v>3.3862680990191498E-4</v>
      </c>
      <c r="H187" s="22">
        <v>3.0801776042029894E-4</v>
      </c>
      <c r="I187" s="22">
        <v>7.4475209569775766E-4</v>
      </c>
      <c r="J187" s="22">
        <v>4.6615485549199477E-4</v>
      </c>
      <c r="K187" s="22">
        <v>1.7397375514338527E-3</v>
      </c>
      <c r="L187" s="21">
        <v>58</v>
      </c>
      <c r="M187" s="21">
        <v>53</v>
      </c>
      <c r="N187" s="21">
        <v>129</v>
      </c>
      <c r="O187" s="21">
        <v>81</v>
      </c>
      <c r="P187" s="21">
        <v>302</v>
      </c>
      <c r="Q187" s="22">
        <v>1</v>
      </c>
      <c r="R187" s="22">
        <v>1</v>
      </c>
      <c r="S187" s="22">
        <v>1</v>
      </c>
      <c r="T187" s="22">
        <v>1</v>
      </c>
      <c r="U187" s="22">
        <v>0.99342105263157898</v>
      </c>
      <c r="W187" s="21">
        <v>18</v>
      </c>
      <c r="X187" s="21">
        <v>5</v>
      </c>
      <c r="Y187" s="21">
        <v>5</v>
      </c>
      <c r="Z187" s="21">
        <v>26</v>
      </c>
      <c r="AA187" s="21">
        <v>53</v>
      </c>
      <c r="AB187" s="22">
        <v>1.1363062471592344E-4</v>
      </c>
      <c r="AC187" s="22">
        <v>3.1101490383419174E-5</v>
      </c>
      <c r="AD187" s="22">
        <v>3.04362117873361E-5</v>
      </c>
      <c r="AE187" s="22">
        <v>1.5479231039430363E-4</v>
      </c>
      <c r="AF187" s="22">
        <v>3.0801776042029894E-4</v>
      </c>
      <c r="AG187" s="21">
        <v>18</v>
      </c>
      <c r="AH187" s="21">
        <v>5</v>
      </c>
      <c r="AI187" s="21">
        <v>5</v>
      </c>
      <c r="AJ187" s="21">
        <v>26</v>
      </c>
      <c r="AK187" s="21">
        <v>53</v>
      </c>
      <c r="AL187" s="22">
        <v>1</v>
      </c>
      <c r="AM187" s="22">
        <v>1</v>
      </c>
      <c r="AN187" s="22">
        <v>1</v>
      </c>
      <c r="AO187" s="22">
        <v>1</v>
      </c>
      <c r="AP187" s="22">
        <v>1</v>
      </c>
      <c r="AQ187" s="39"/>
    </row>
    <row r="188" spans="1:55" s="21" customFormat="1" ht="12.75" x14ac:dyDescent="0.2">
      <c r="A188" s="31" t="s">
        <v>82</v>
      </c>
      <c r="B188" s="23">
        <v>171280</v>
      </c>
      <c r="C188" s="23">
        <v>172068</v>
      </c>
      <c r="D188" s="23">
        <v>173212</v>
      </c>
      <c r="E188" s="23">
        <v>173762</v>
      </c>
      <c r="F188" s="23">
        <v>174739</v>
      </c>
      <c r="G188" s="24">
        <v>1</v>
      </c>
      <c r="H188" s="24">
        <v>1</v>
      </c>
      <c r="I188" s="24">
        <v>1</v>
      </c>
      <c r="J188" s="24">
        <v>1</v>
      </c>
      <c r="K188" s="24">
        <v>1</v>
      </c>
      <c r="L188" s="23">
        <v>55998</v>
      </c>
      <c r="M188" s="23">
        <v>67199</v>
      </c>
      <c r="N188" s="23">
        <v>81763</v>
      </c>
      <c r="O188" s="23">
        <v>87100</v>
      </c>
      <c r="P188" s="23">
        <v>78772</v>
      </c>
      <c r="Q188" s="24">
        <v>0.32693834656702475</v>
      </c>
      <c r="R188" s="24">
        <v>0.39053746193365413</v>
      </c>
      <c r="S188" s="24">
        <v>0.47204004341500588</v>
      </c>
      <c r="T188" s="24">
        <v>0.50126034460929314</v>
      </c>
      <c r="U188" s="24">
        <v>0.45079804737351137</v>
      </c>
      <c r="V188" s="23"/>
      <c r="W188" s="23">
        <v>158408</v>
      </c>
      <c r="X188" s="23">
        <v>160764</v>
      </c>
      <c r="Y188" s="23">
        <v>164278</v>
      </c>
      <c r="Z188" s="23">
        <v>167967</v>
      </c>
      <c r="AA188" s="23">
        <v>172068</v>
      </c>
      <c r="AB188" s="24">
        <v>1</v>
      </c>
      <c r="AC188" s="24">
        <v>1</v>
      </c>
      <c r="AD188" s="24">
        <v>1</v>
      </c>
      <c r="AE188" s="24">
        <v>1</v>
      </c>
      <c r="AF188" s="24">
        <v>1</v>
      </c>
      <c r="AG188" s="23">
        <v>29496</v>
      </c>
      <c r="AH188" s="23">
        <v>39844</v>
      </c>
      <c r="AI188" s="23">
        <v>39815</v>
      </c>
      <c r="AJ188" s="23">
        <v>34733</v>
      </c>
      <c r="AK188" s="23">
        <v>67199</v>
      </c>
      <c r="AL188" s="24">
        <v>0.1862027170344932</v>
      </c>
      <c r="AM188" s="24">
        <v>0.24784155656739071</v>
      </c>
      <c r="AN188" s="24">
        <v>0.24236355446255736</v>
      </c>
      <c r="AO188" s="24">
        <v>0.20678466603559031</v>
      </c>
      <c r="AP188" s="24">
        <v>0.39053746193365413</v>
      </c>
      <c r="AQ188" s="39"/>
    </row>
    <row r="189" spans="1:55" s="21" customFormat="1" ht="12.75" x14ac:dyDescent="0.2">
      <c r="A189" s="20"/>
      <c r="AB189" s="22"/>
      <c r="AC189" s="22"/>
      <c r="AD189" s="22"/>
      <c r="AE189" s="22"/>
      <c r="AF189" s="22"/>
      <c r="AL189" s="22"/>
      <c r="AM189" s="22"/>
      <c r="AN189" s="22"/>
      <c r="AO189" s="22"/>
      <c r="AP189" s="22"/>
      <c r="AQ189" s="39"/>
    </row>
    <row r="190" spans="1:55" s="21" customFormat="1" ht="12.75" x14ac:dyDescent="0.2">
      <c r="A190" s="10" t="s">
        <v>71</v>
      </c>
      <c r="B190" s="10" t="s">
        <v>12</v>
      </c>
      <c r="C190" s="10" t="s">
        <v>13</v>
      </c>
      <c r="D190" s="10" t="s">
        <v>14</v>
      </c>
      <c r="E190" s="10" t="s">
        <v>15</v>
      </c>
      <c r="F190" s="10" t="s">
        <v>16</v>
      </c>
      <c r="G190" s="10" t="s">
        <v>12</v>
      </c>
      <c r="H190" s="10" t="s">
        <v>13</v>
      </c>
      <c r="I190" s="10" t="s">
        <v>14</v>
      </c>
      <c r="J190" s="10" t="s">
        <v>15</v>
      </c>
      <c r="K190" s="10" t="s">
        <v>16</v>
      </c>
      <c r="L190" s="10" t="s">
        <v>12</v>
      </c>
      <c r="M190" s="10" t="s">
        <v>13</v>
      </c>
      <c r="N190" s="10" t="s">
        <v>14</v>
      </c>
      <c r="O190" s="10" t="s">
        <v>15</v>
      </c>
      <c r="P190" s="10" t="s">
        <v>16</v>
      </c>
      <c r="Q190" s="10" t="s">
        <v>12</v>
      </c>
      <c r="R190" s="10" t="s">
        <v>13</v>
      </c>
      <c r="S190" s="10" t="s">
        <v>14</v>
      </c>
      <c r="T190" s="10" t="s">
        <v>15</v>
      </c>
      <c r="U190" s="10" t="s">
        <v>16</v>
      </c>
      <c r="V190" s="10"/>
      <c r="W190" s="10" t="s">
        <v>17</v>
      </c>
      <c r="X190" s="10" t="s">
        <v>18</v>
      </c>
      <c r="Y190" s="10" t="s">
        <v>19</v>
      </c>
      <c r="Z190" s="10" t="s">
        <v>20</v>
      </c>
      <c r="AA190" s="10" t="s">
        <v>21</v>
      </c>
      <c r="AB190" s="10" t="s">
        <v>17</v>
      </c>
      <c r="AC190" s="10" t="s">
        <v>18</v>
      </c>
      <c r="AD190" s="10" t="s">
        <v>19</v>
      </c>
      <c r="AE190" s="10" t="s">
        <v>20</v>
      </c>
      <c r="AF190" s="10" t="s">
        <v>21</v>
      </c>
      <c r="AG190" s="10" t="s">
        <v>17</v>
      </c>
      <c r="AH190" s="10" t="s">
        <v>18</v>
      </c>
      <c r="AI190" s="10" t="s">
        <v>19</v>
      </c>
      <c r="AJ190" s="10" t="s">
        <v>20</v>
      </c>
      <c r="AK190" s="10" t="s">
        <v>21</v>
      </c>
      <c r="AL190" s="10" t="s">
        <v>17</v>
      </c>
      <c r="AM190" s="10" t="s">
        <v>18</v>
      </c>
      <c r="AN190" s="10" t="s">
        <v>19</v>
      </c>
      <c r="AO190" s="10" t="s">
        <v>20</v>
      </c>
      <c r="AP190" s="10" t="s">
        <v>21</v>
      </c>
      <c r="AQ190" s="39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</row>
    <row r="191" spans="1:55" s="23" customFormat="1" ht="12.75" x14ac:dyDescent="0.2">
      <c r="A191" s="20" t="s">
        <v>48</v>
      </c>
      <c r="B191" s="21">
        <v>1025153</v>
      </c>
      <c r="C191" s="21">
        <v>1024501</v>
      </c>
      <c r="D191" s="21">
        <v>1017477</v>
      </c>
      <c r="E191" s="21">
        <v>1006915</v>
      </c>
      <c r="F191" s="21">
        <v>1001769</v>
      </c>
      <c r="G191" s="22">
        <v>0.3278384090601652</v>
      </c>
      <c r="H191" s="22">
        <v>0.32631483729343369</v>
      </c>
      <c r="I191" s="22">
        <v>0.32184247992906967</v>
      </c>
      <c r="J191" s="22">
        <v>0.31675727675220572</v>
      </c>
      <c r="K191" s="22">
        <v>0.31476523373565751</v>
      </c>
      <c r="L191" s="21">
        <v>749396</v>
      </c>
      <c r="M191" s="21">
        <v>771932</v>
      </c>
      <c r="N191" s="21">
        <v>778280</v>
      </c>
      <c r="O191" s="21">
        <v>781658</v>
      </c>
      <c r="P191" s="21">
        <v>782390</v>
      </c>
      <c r="Q191" s="22">
        <v>0.73100893232522368</v>
      </c>
      <c r="R191" s="22">
        <v>0.75347120207788965</v>
      </c>
      <c r="S191" s="22">
        <v>0.76491163928029826</v>
      </c>
      <c r="T191" s="22">
        <v>0.7762899549614416</v>
      </c>
      <c r="U191" s="22">
        <v>0.78100839614721562</v>
      </c>
      <c r="V191" s="21"/>
      <c r="W191" s="21">
        <v>1138390</v>
      </c>
      <c r="X191" s="21">
        <v>1120218</v>
      </c>
      <c r="Y191" s="21">
        <v>1081250</v>
      </c>
      <c r="Z191" s="21">
        <v>1040813</v>
      </c>
      <c r="AA191" s="21">
        <v>1024501</v>
      </c>
      <c r="AB191" s="22">
        <v>0.37652630266378823</v>
      </c>
      <c r="AC191" s="22">
        <v>0.37239185285406079</v>
      </c>
      <c r="AD191" s="22">
        <v>0.355033413364295</v>
      </c>
      <c r="AE191" s="22">
        <v>0.33754546412732389</v>
      </c>
      <c r="AF191" s="22">
        <v>0.32631483729343369</v>
      </c>
      <c r="AG191" s="21">
        <v>579964</v>
      </c>
      <c r="AH191" s="21">
        <v>616647</v>
      </c>
      <c r="AI191" s="21">
        <v>650726</v>
      </c>
      <c r="AJ191" s="21">
        <v>687979</v>
      </c>
      <c r="AK191" s="21">
        <v>771932</v>
      </c>
      <c r="AL191" s="22">
        <v>0.50945985119335202</v>
      </c>
      <c r="AM191" s="22">
        <v>0.55047053341403196</v>
      </c>
      <c r="AN191" s="22">
        <v>0.60182751445086702</v>
      </c>
      <c r="AO191" s="22">
        <v>0.66100154398532684</v>
      </c>
      <c r="AP191" s="22">
        <v>0.75347120207788965</v>
      </c>
      <c r="AQ191" s="39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</row>
    <row r="192" spans="1:55" s="21" customFormat="1" ht="12.75" x14ac:dyDescent="0.2">
      <c r="A192" s="20" t="s">
        <v>24</v>
      </c>
      <c r="B192" s="21">
        <v>746733</v>
      </c>
      <c r="C192" s="21">
        <v>742043</v>
      </c>
      <c r="D192" s="21">
        <v>742930</v>
      </c>
      <c r="E192" s="21">
        <v>742921</v>
      </c>
      <c r="F192" s="21">
        <v>747957</v>
      </c>
      <c r="G192" s="22">
        <v>0.23880119232224295</v>
      </c>
      <c r="H192" s="22">
        <v>0.23634885745326886</v>
      </c>
      <c r="I192" s="22">
        <v>0.23499934997420457</v>
      </c>
      <c r="J192" s="22">
        <v>0.23370953139244663</v>
      </c>
      <c r="K192" s="22">
        <v>0.23501511818515167</v>
      </c>
      <c r="L192" s="21">
        <v>708519</v>
      </c>
      <c r="M192" s="21">
        <v>706684</v>
      </c>
      <c r="N192" s="21">
        <v>708034</v>
      </c>
      <c r="O192" s="21">
        <v>705648</v>
      </c>
      <c r="P192" s="21">
        <v>708001</v>
      </c>
      <c r="Q192" s="22">
        <v>0.9488250820574422</v>
      </c>
      <c r="R192" s="22">
        <v>0.95234912262496918</v>
      </c>
      <c r="S192" s="22">
        <v>0.953029222133983</v>
      </c>
      <c r="T192" s="22">
        <v>0.94982912045829904</v>
      </c>
      <c r="U192" s="22">
        <v>0.94657981675417169</v>
      </c>
      <c r="W192" s="21">
        <v>716998</v>
      </c>
      <c r="X192" s="21">
        <v>709348</v>
      </c>
      <c r="Y192" s="21">
        <v>720909</v>
      </c>
      <c r="Z192" s="21">
        <v>727458</v>
      </c>
      <c r="AA192" s="21">
        <v>742043</v>
      </c>
      <c r="AB192" s="22">
        <v>0.23714948827495921</v>
      </c>
      <c r="AC192" s="22">
        <v>0.2358071518564443</v>
      </c>
      <c r="AD192" s="22">
        <v>0.23671378774107796</v>
      </c>
      <c r="AE192" s="22">
        <v>0.23592148468854135</v>
      </c>
      <c r="AF192" s="22">
        <v>0.23634885745326886</v>
      </c>
      <c r="AG192" s="21">
        <v>698198</v>
      </c>
      <c r="AH192" s="21">
        <v>671155</v>
      </c>
      <c r="AI192" s="21">
        <v>671844</v>
      </c>
      <c r="AJ192" s="21">
        <v>685862</v>
      </c>
      <c r="AK192" s="21">
        <v>706684</v>
      </c>
      <c r="AL192" s="22">
        <v>0.97377956423867296</v>
      </c>
      <c r="AM192" s="22">
        <v>0.94615759824514911</v>
      </c>
      <c r="AN192" s="22">
        <v>0.93194009230013775</v>
      </c>
      <c r="AO192" s="22">
        <v>0.94282006658803674</v>
      </c>
      <c r="AP192" s="22">
        <v>0.95234912262496918</v>
      </c>
      <c r="AQ192" s="39"/>
    </row>
    <row r="193" spans="1:55" s="21" customFormat="1" ht="12.75" x14ac:dyDescent="0.2">
      <c r="A193" s="20" t="s">
        <v>35</v>
      </c>
      <c r="B193" s="21">
        <v>894395</v>
      </c>
      <c r="C193" s="21">
        <v>888321</v>
      </c>
      <c r="D193" s="21">
        <v>893882</v>
      </c>
      <c r="E193" s="21">
        <v>900200</v>
      </c>
      <c r="F193" s="21">
        <v>881589</v>
      </c>
      <c r="G193" s="22">
        <v>0.28602270477808334</v>
      </c>
      <c r="H193" s="22">
        <v>0.28294000940881492</v>
      </c>
      <c r="I193" s="22">
        <v>0.28274761949799032</v>
      </c>
      <c r="J193" s="22">
        <v>0.2831866647456196</v>
      </c>
      <c r="K193" s="22">
        <v>0.27700354836672386</v>
      </c>
      <c r="L193" s="21">
        <v>709749</v>
      </c>
      <c r="M193" s="21">
        <v>714048</v>
      </c>
      <c r="N193" s="21">
        <v>734431</v>
      </c>
      <c r="O193" s="21">
        <v>749168</v>
      </c>
      <c r="P193" s="21">
        <v>737968</v>
      </c>
      <c r="Q193" s="22">
        <v>0.7935520659216565</v>
      </c>
      <c r="R193" s="22">
        <v>0.80381753893018404</v>
      </c>
      <c r="S193" s="22">
        <v>0.82161963212146572</v>
      </c>
      <c r="T193" s="22">
        <v>0.83222395023328144</v>
      </c>
      <c r="U193" s="22">
        <v>0.83708848454325091</v>
      </c>
      <c r="W193" s="21">
        <v>902473</v>
      </c>
      <c r="X193" s="21">
        <v>921500</v>
      </c>
      <c r="Y193" s="21">
        <v>923432</v>
      </c>
      <c r="Z193" s="21">
        <v>914228</v>
      </c>
      <c r="AA193" s="21">
        <v>888321</v>
      </c>
      <c r="AB193" s="22">
        <v>0.29849596530529693</v>
      </c>
      <c r="AC193" s="22">
        <v>0.3063324213724623</v>
      </c>
      <c r="AD193" s="22">
        <v>0.30321314679289491</v>
      </c>
      <c r="AE193" s="22">
        <v>0.29649275573824985</v>
      </c>
      <c r="AF193" s="22">
        <v>0.28294000940881492</v>
      </c>
      <c r="AG193" s="21">
        <v>411290</v>
      </c>
      <c r="AH193" s="21">
        <v>578316</v>
      </c>
      <c r="AI193" s="21">
        <v>646631</v>
      </c>
      <c r="AJ193" s="21">
        <v>682774</v>
      </c>
      <c r="AK193" s="21">
        <v>714048</v>
      </c>
      <c r="AL193" s="22">
        <v>0.45573662591567837</v>
      </c>
      <c r="AM193" s="22">
        <v>0.62758111774281067</v>
      </c>
      <c r="AN193" s="22">
        <v>0.7002475547739303</v>
      </c>
      <c r="AO193" s="22">
        <v>0.74683120621989263</v>
      </c>
      <c r="AP193" s="22">
        <v>0.80381753893018404</v>
      </c>
      <c r="AQ193" s="39"/>
    </row>
    <row r="194" spans="1:55" s="21" customFormat="1" ht="12.75" x14ac:dyDescent="0.2">
      <c r="A194" s="20" t="s">
        <v>81</v>
      </c>
      <c r="B194" s="21">
        <v>460726</v>
      </c>
      <c r="C194" s="21">
        <v>484744</v>
      </c>
      <c r="D194" s="21">
        <v>507124</v>
      </c>
      <c r="E194" s="21">
        <v>528786</v>
      </c>
      <c r="F194" s="21">
        <v>551276</v>
      </c>
      <c r="G194" s="22">
        <v>0.14733769383950851</v>
      </c>
      <c r="H194" s="22">
        <v>0.15439629584448256</v>
      </c>
      <c r="I194" s="22">
        <v>0.16041055059873544</v>
      </c>
      <c r="J194" s="22">
        <v>0.16634652710972808</v>
      </c>
      <c r="K194" s="22">
        <v>0.17321609971246699</v>
      </c>
      <c r="L194" s="21">
        <v>448207</v>
      </c>
      <c r="M194" s="21">
        <v>473426</v>
      </c>
      <c r="N194" s="21">
        <v>496216</v>
      </c>
      <c r="O194" s="21">
        <v>518489</v>
      </c>
      <c r="P194" s="21">
        <v>532459</v>
      </c>
      <c r="Q194" s="22">
        <v>0.97282766763759809</v>
      </c>
      <c r="R194" s="22">
        <v>0.9766515934183817</v>
      </c>
      <c r="S194" s="22">
        <v>0.97849046781457794</v>
      </c>
      <c r="T194" s="22">
        <v>0.98052709413638028</v>
      </c>
      <c r="U194" s="22">
        <v>0.96586646253419339</v>
      </c>
      <c r="W194" s="21">
        <v>265540</v>
      </c>
      <c r="X194" s="21">
        <v>257104</v>
      </c>
      <c r="Y194" s="21">
        <v>319897</v>
      </c>
      <c r="Z194" s="21">
        <v>400976</v>
      </c>
      <c r="AA194" s="21">
        <v>484744</v>
      </c>
      <c r="AB194" s="22">
        <v>8.7828243755955632E-2</v>
      </c>
      <c r="AC194" s="22">
        <v>8.5468573917032609E-2</v>
      </c>
      <c r="AD194" s="22">
        <v>0.10503965210173213</v>
      </c>
      <c r="AE194" s="22">
        <v>0.13004029544588491</v>
      </c>
      <c r="AF194" s="22">
        <v>0.15439629584448256</v>
      </c>
      <c r="AG194" s="21">
        <v>251220</v>
      </c>
      <c r="AH194" s="21">
        <v>242888</v>
      </c>
      <c r="AI194" s="21">
        <v>305704</v>
      </c>
      <c r="AJ194" s="21">
        <v>382248</v>
      </c>
      <c r="AK194" s="21">
        <v>473426</v>
      </c>
      <c r="AL194" s="22">
        <v>0.94607215485425922</v>
      </c>
      <c r="AM194" s="22">
        <v>0.94470720019914123</v>
      </c>
      <c r="AN194" s="22">
        <v>0.95563259424127145</v>
      </c>
      <c r="AO194" s="22">
        <v>0.95329396273093647</v>
      </c>
      <c r="AP194" s="22">
        <v>0.9766515934183817</v>
      </c>
      <c r="AQ194" s="39"/>
    </row>
    <row r="195" spans="1:55" s="21" customFormat="1" ht="12.75" x14ac:dyDescent="0.2">
      <c r="A195" s="31" t="s">
        <v>82</v>
      </c>
      <c r="B195" s="23">
        <v>3127007</v>
      </c>
      <c r="C195" s="23">
        <v>3139609</v>
      </c>
      <c r="D195" s="23">
        <v>3161413</v>
      </c>
      <c r="E195" s="23">
        <v>3178822</v>
      </c>
      <c r="F195" s="23">
        <v>3182591</v>
      </c>
      <c r="G195" s="24">
        <v>1</v>
      </c>
      <c r="H195" s="24">
        <v>1</v>
      </c>
      <c r="I195" s="24">
        <v>1</v>
      </c>
      <c r="J195" s="24">
        <v>1</v>
      </c>
      <c r="K195" s="24">
        <v>1</v>
      </c>
      <c r="L195" s="23">
        <v>2615871</v>
      </c>
      <c r="M195" s="23">
        <v>2666090</v>
      </c>
      <c r="N195" s="23">
        <v>2716961</v>
      </c>
      <c r="O195" s="23">
        <v>2754963</v>
      </c>
      <c r="P195" s="23">
        <v>2760818</v>
      </c>
      <c r="Q195" s="24">
        <v>0.83654145961297821</v>
      </c>
      <c r="R195" s="24">
        <v>0.84917899012265541</v>
      </c>
      <c r="S195" s="24">
        <v>0.85941349643339859</v>
      </c>
      <c r="T195" s="24">
        <v>0.86666161238345529</v>
      </c>
      <c r="U195" s="24">
        <v>0.8674749598676047</v>
      </c>
      <c r="V195" s="23"/>
      <c r="W195" s="23">
        <v>3023401</v>
      </c>
      <c r="X195" s="23">
        <v>3008170</v>
      </c>
      <c r="Y195" s="23">
        <v>3045488</v>
      </c>
      <c r="Z195" s="23">
        <v>3083475</v>
      </c>
      <c r="AA195" s="23">
        <v>3139609</v>
      </c>
      <c r="AB195" s="24">
        <v>1</v>
      </c>
      <c r="AC195" s="24">
        <v>1</v>
      </c>
      <c r="AD195" s="24">
        <v>1</v>
      </c>
      <c r="AE195" s="24">
        <v>1</v>
      </c>
      <c r="AF195" s="24">
        <v>1</v>
      </c>
      <c r="AG195" s="23">
        <v>1940672</v>
      </c>
      <c r="AH195" s="23">
        <v>2109006</v>
      </c>
      <c r="AI195" s="23">
        <v>2274905</v>
      </c>
      <c r="AJ195" s="23">
        <v>2438863</v>
      </c>
      <c r="AK195" s="23">
        <v>2666090</v>
      </c>
      <c r="AL195" s="24">
        <v>0.64188375938223208</v>
      </c>
      <c r="AM195" s="24">
        <v>0.70109269090510173</v>
      </c>
      <c r="AN195" s="24">
        <v>0.7469755257613887</v>
      </c>
      <c r="AO195" s="24">
        <v>0.79094625382077044</v>
      </c>
      <c r="AP195" s="24">
        <v>0.84917899012265541</v>
      </c>
      <c r="AQ195" s="39"/>
    </row>
    <row r="196" spans="1:55" s="21" customFormat="1" ht="12.75" x14ac:dyDescent="0.2">
      <c r="A196" s="20"/>
      <c r="AB196" s="22"/>
      <c r="AC196" s="22"/>
      <c r="AD196" s="22"/>
      <c r="AE196" s="22"/>
      <c r="AF196" s="22"/>
      <c r="AL196" s="22"/>
      <c r="AM196" s="22"/>
      <c r="AN196" s="22"/>
      <c r="AO196" s="22"/>
      <c r="AP196" s="22"/>
      <c r="AQ196" s="39"/>
    </row>
    <row r="197" spans="1:55" s="21" customFormat="1" ht="12.75" x14ac:dyDescent="0.2">
      <c r="A197" s="10" t="s">
        <v>73</v>
      </c>
      <c r="B197" s="10" t="s">
        <v>12</v>
      </c>
      <c r="C197" s="10" t="s">
        <v>13</v>
      </c>
      <c r="D197" s="10" t="s">
        <v>14</v>
      </c>
      <c r="E197" s="10" t="s">
        <v>15</v>
      </c>
      <c r="F197" s="10" t="s">
        <v>16</v>
      </c>
      <c r="G197" s="10" t="s">
        <v>12</v>
      </c>
      <c r="H197" s="10" t="s">
        <v>13</v>
      </c>
      <c r="I197" s="10" t="s">
        <v>14</v>
      </c>
      <c r="J197" s="10" t="s">
        <v>15</v>
      </c>
      <c r="K197" s="10" t="s">
        <v>16</v>
      </c>
      <c r="L197" s="10" t="s">
        <v>12</v>
      </c>
      <c r="M197" s="10" t="s">
        <v>13</v>
      </c>
      <c r="N197" s="10" t="s">
        <v>14</v>
      </c>
      <c r="O197" s="10" t="s">
        <v>15</v>
      </c>
      <c r="P197" s="10" t="s">
        <v>16</v>
      </c>
      <c r="Q197" s="10" t="s">
        <v>12</v>
      </c>
      <c r="R197" s="10" t="s">
        <v>13</v>
      </c>
      <c r="S197" s="10" t="s">
        <v>14</v>
      </c>
      <c r="T197" s="10" t="s">
        <v>15</v>
      </c>
      <c r="U197" s="10" t="s">
        <v>16</v>
      </c>
      <c r="V197" s="10"/>
      <c r="W197" s="10" t="s">
        <v>17</v>
      </c>
      <c r="X197" s="10" t="s">
        <v>18</v>
      </c>
      <c r="Y197" s="10" t="s">
        <v>19</v>
      </c>
      <c r="Z197" s="10" t="s">
        <v>20</v>
      </c>
      <c r="AA197" s="10" t="s">
        <v>21</v>
      </c>
      <c r="AB197" s="10" t="s">
        <v>17</v>
      </c>
      <c r="AC197" s="10" t="s">
        <v>18</v>
      </c>
      <c r="AD197" s="10" t="s">
        <v>19</v>
      </c>
      <c r="AE197" s="10" t="s">
        <v>20</v>
      </c>
      <c r="AF197" s="10" t="s">
        <v>21</v>
      </c>
      <c r="AG197" s="10" t="s">
        <v>17</v>
      </c>
      <c r="AH197" s="10" t="s">
        <v>18</v>
      </c>
      <c r="AI197" s="10" t="s">
        <v>19</v>
      </c>
      <c r="AJ197" s="10" t="s">
        <v>20</v>
      </c>
      <c r="AK197" s="10" t="s">
        <v>21</v>
      </c>
      <c r="AL197" s="10" t="s">
        <v>17</v>
      </c>
      <c r="AM197" s="10" t="s">
        <v>18</v>
      </c>
      <c r="AN197" s="10" t="s">
        <v>19</v>
      </c>
      <c r="AO197" s="10" t="s">
        <v>20</v>
      </c>
      <c r="AP197" s="10" t="s">
        <v>21</v>
      </c>
      <c r="AQ197" s="39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</row>
    <row r="198" spans="1:55" s="23" customFormat="1" ht="12.75" x14ac:dyDescent="0.2">
      <c r="A198" s="20" t="s">
        <v>37</v>
      </c>
      <c r="B198" s="21">
        <v>608566</v>
      </c>
      <c r="C198" s="21">
        <v>613300</v>
      </c>
      <c r="D198" s="21">
        <v>611879</v>
      </c>
      <c r="E198" s="21">
        <v>614172</v>
      </c>
      <c r="F198" s="21">
        <v>613919</v>
      </c>
      <c r="G198" s="22">
        <v>0.31173518547640622</v>
      </c>
      <c r="H198" s="22">
        <v>0.30971931844579786</v>
      </c>
      <c r="I198" s="22">
        <v>0.30782028192254673</v>
      </c>
      <c r="J198" s="22">
        <v>0.30709644127900348</v>
      </c>
      <c r="K198" s="22">
        <v>0.30639053278062639</v>
      </c>
      <c r="L198" s="21">
        <v>0</v>
      </c>
      <c r="M198" s="21">
        <v>0</v>
      </c>
      <c r="N198" s="21">
        <v>0</v>
      </c>
      <c r="O198" s="21">
        <v>0</v>
      </c>
      <c r="P198" s="21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1"/>
      <c r="W198" s="21">
        <v>0</v>
      </c>
      <c r="X198" s="21">
        <v>0</v>
      </c>
      <c r="Y198" s="21">
        <v>596617</v>
      </c>
      <c r="Z198" s="21">
        <v>598848</v>
      </c>
      <c r="AA198" s="21">
        <v>613300</v>
      </c>
      <c r="AB198" s="22">
        <v>0</v>
      </c>
      <c r="AC198" s="22">
        <v>0</v>
      </c>
      <c r="AD198" s="22">
        <v>0.31454101833311715</v>
      </c>
      <c r="AE198" s="22">
        <v>0.30991717573607191</v>
      </c>
      <c r="AF198" s="22">
        <v>0.30971931844579786</v>
      </c>
      <c r="AG198" s="21">
        <v>0</v>
      </c>
      <c r="AH198" s="21">
        <v>0</v>
      </c>
      <c r="AI198" s="21">
        <v>0</v>
      </c>
      <c r="AJ198" s="21">
        <v>0</v>
      </c>
      <c r="AK198" s="21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39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</row>
    <row r="199" spans="1:55" s="21" customFormat="1" ht="12.75" x14ac:dyDescent="0.2">
      <c r="A199" s="20" t="s">
        <v>48</v>
      </c>
      <c r="B199" s="21">
        <v>648829</v>
      </c>
      <c r="C199" s="21">
        <v>634013</v>
      </c>
      <c r="D199" s="21">
        <v>624547</v>
      </c>
      <c r="E199" s="21">
        <v>615396</v>
      </c>
      <c r="F199" s="21">
        <v>527723</v>
      </c>
      <c r="G199" s="22">
        <v>0.33235972541593051</v>
      </c>
      <c r="H199" s="22">
        <v>0.32017947863325558</v>
      </c>
      <c r="I199" s="22">
        <v>0.31419322057772991</v>
      </c>
      <c r="J199" s="22">
        <v>0.30770846208771097</v>
      </c>
      <c r="K199" s="22">
        <v>0.26337241742084949</v>
      </c>
      <c r="L199" s="21">
        <v>492610</v>
      </c>
      <c r="M199" s="21">
        <v>492108</v>
      </c>
      <c r="N199" s="21">
        <v>491245</v>
      </c>
      <c r="O199" s="21">
        <v>489140</v>
      </c>
      <c r="P199" s="21">
        <v>446946</v>
      </c>
      <c r="Q199" s="22">
        <v>0.75922931928135151</v>
      </c>
      <c r="R199" s="22">
        <v>0.77617966824024109</v>
      </c>
      <c r="S199" s="22">
        <v>0.78656210021023243</v>
      </c>
      <c r="T199" s="22">
        <v>0.79483779550078326</v>
      </c>
      <c r="U199" s="22">
        <v>0.84693295535726132</v>
      </c>
      <c r="W199" s="21">
        <v>0</v>
      </c>
      <c r="X199" s="21">
        <v>0</v>
      </c>
      <c r="Y199" s="21">
        <v>691446</v>
      </c>
      <c r="Z199" s="21">
        <v>681527</v>
      </c>
      <c r="AA199" s="21">
        <v>634013</v>
      </c>
      <c r="AB199" s="22">
        <v>0</v>
      </c>
      <c r="AC199" s="22">
        <v>0</v>
      </c>
      <c r="AD199" s="22">
        <v>0.36453558809480879</v>
      </c>
      <c r="AE199" s="22">
        <v>0.35270539941333673</v>
      </c>
      <c r="AF199" s="22">
        <v>0.32017947863325558</v>
      </c>
      <c r="AG199" s="21">
        <v>0</v>
      </c>
      <c r="AH199" s="21">
        <v>0</v>
      </c>
      <c r="AI199" s="21">
        <v>458358</v>
      </c>
      <c r="AJ199" s="21">
        <v>475823</v>
      </c>
      <c r="AK199" s="21">
        <v>492108</v>
      </c>
      <c r="AL199" s="22">
        <v>0</v>
      </c>
      <c r="AM199" s="22">
        <v>0</v>
      </c>
      <c r="AN199" s="22">
        <v>0.66289775340373647</v>
      </c>
      <c r="AO199" s="22">
        <v>0.69817189927911882</v>
      </c>
      <c r="AP199" s="22">
        <v>0.77617966824024109</v>
      </c>
      <c r="AQ199" s="39"/>
    </row>
    <row r="200" spans="1:55" s="21" customFormat="1" ht="12.75" x14ac:dyDescent="0.2">
      <c r="A200" s="20" t="s">
        <v>24</v>
      </c>
      <c r="B200" s="21">
        <v>340034</v>
      </c>
      <c r="C200" s="21">
        <v>334304</v>
      </c>
      <c r="D200" s="21">
        <v>332672</v>
      </c>
      <c r="E200" s="21">
        <v>331857</v>
      </c>
      <c r="F200" s="21">
        <v>335497</v>
      </c>
      <c r="G200" s="22">
        <v>0.17418088105198831</v>
      </c>
      <c r="H200" s="22">
        <v>0.16882505630801239</v>
      </c>
      <c r="I200" s="22">
        <v>0.16735856080652789</v>
      </c>
      <c r="J200" s="22">
        <v>0.16593414176081986</v>
      </c>
      <c r="K200" s="22">
        <v>0.16743756843541543</v>
      </c>
      <c r="L200" s="21">
        <v>282963</v>
      </c>
      <c r="M200" s="21">
        <v>282301</v>
      </c>
      <c r="N200" s="21">
        <v>282828</v>
      </c>
      <c r="O200" s="21">
        <v>283779</v>
      </c>
      <c r="P200" s="21">
        <v>288634</v>
      </c>
      <c r="Q200" s="22">
        <v>0.83216090155690314</v>
      </c>
      <c r="R200" s="22">
        <v>0.84444397913276537</v>
      </c>
      <c r="S200" s="22">
        <v>0.85017073874567139</v>
      </c>
      <c r="T200" s="22">
        <v>0.85512434572722584</v>
      </c>
      <c r="U200" s="22">
        <v>0.86031767795241088</v>
      </c>
      <c r="W200" s="21">
        <v>0</v>
      </c>
      <c r="X200" s="21">
        <v>0</v>
      </c>
      <c r="Y200" s="21">
        <v>346968</v>
      </c>
      <c r="Z200" s="21">
        <v>360451</v>
      </c>
      <c r="AA200" s="21">
        <v>334304</v>
      </c>
      <c r="AB200" s="22">
        <v>0</v>
      </c>
      <c r="AC200" s="22">
        <v>0</v>
      </c>
      <c r="AD200" s="22">
        <v>0.18292416751283486</v>
      </c>
      <c r="AE200" s="22">
        <v>0.18654141937727581</v>
      </c>
      <c r="AF200" s="22">
        <v>0.16882505630801239</v>
      </c>
      <c r="AG200" s="21">
        <v>0</v>
      </c>
      <c r="AH200" s="21">
        <v>0</v>
      </c>
      <c r="AI200" s="21">
        <v>263592</v>
      </c>
      <c r="AJ200" s="21">
        <v>288566</v>
      </c>
      <c r="AK200" s="21">
        <v>282301</v>
      </c>
      <c r="AL200" s="22">
        <v>0</v>
      </c>
      <c r="AM200" s="22">
        <v>0</v>
      </c>
      <c r="AN200" s="22">
        <v>0.75970118281801202</v>
      </c>
      <c r="AO200" s="22">
        <v>0.80056928681013506</v>
      </c>
      <c r="AP200" s="22">
        <v>0.84444397913276537</v>
      </c>
      <c r="AQ200" s="39"/>
    </row>
    <row r="201" spans="1:55" s="21" customFormat="1" ht="12.75" x14ac:dyDescent="0.2">
      <c r="A201" s="20" t="s">
        <v>81</v>
      </c>
      <c r="B201" s="21">
        <v>354760</v>
      </c>
      <c r="C201" s="21">
        <v>398563</v>
      </c>
      <c r="D201" s="21">
        <v>418682</v>
      </c>
      <c r="E201" s="21">
        <v>438507</v>
      </c>
      <c r="F201" s="21">
        <v>526575</v>
      </c>
      <c r="G201" s="22">
        <v>0.18172420805567494</v>
      </c>
      <c r="H201" s="22">
        <v>0.20127614661293416</v>
      </c>
      <c r="I201" s="22">
        <v>0.21062793669319543</v>
      </c>
      <c r="J201" s="22">
        <v>0.21926095487246566</v>
      </c>
      <c r="K201" s="22">
        <v>0.26279948136310871</v>
      </c>
      <c r="L201" s="21">
        <v>334051</v>
      </c>
      <c r="M201" s="21">
        <v>378100</v>
      </c>
      <c r="N201" s="21">
        <v>397989</v>
      </c>
      <c r="O201" s="21">
        <v>418106</v>
      </c>
      <c r="P201" s="21">
        <v>461904</v>
      </c>
      <c r="Q201" s="22">
        <v>0.9416253241628143</v>
      </c>
      <c r="R201" s="22">
        <v>0.94865805405920767</v>
      </c>
      <c r="S201" s="22">
        <v>0.95057585470595818</v>
      </c>
      <c r="T201" s="22">
        <v>0.95347622728941617</v>
      </c>
      <c r="U201" s="22">
        <v>0.87718558609884634</v>
      </c>
      <c r="W201" s="21">
        <v>0</v>
      </c>
      <c r="X201" s="21">
        <v>0</v>
      </c>
      <c r="Y201" s="21">
        <v>261755</v>
      </c>
      <c r="Z201" s="21">
        <v>291458</v>
      </c>
      <c r="AA201" s="21">
        <v>398563</v>
      </c>
      <c r="AB201" s="22">
        <v>0</v>
      </c>
      <c r="AC201" s="22">
        <v>0</v>
      </c>
      <c r="AD201" s="22">
        <v>0.13799922605923914</v>
      </c>
      <c r="AE201" s="22">
        <v>0.15083600547331552</v>
      </c>
      <c r="AF201" s="22">
        <v>0.20127614661293416</v>
      </c>
      <c r="AG201" s="21">
        <v>0</v>
      </c>
      <c r="AH201" s="21">
        <v>0</v>
      </c>
      <c r="AI201" s="21">
        <v>239215</v>
      </c>
      <c r="AJ201" s="21">
        <v>268865</v>
      </c>
      <c r="AK201" s="21">
        <v>378100</v>
      </c>
      <c r="AL201" s="22">
        <v>0</v>
      </c>
      <c r="AM201" s="22">
        <v>0</v>
      </c>
      <c r="AN201" s="22">
        <v>0.91388894194953296</v>
      </c>
      <c r="AO201" s="22">
        <v>0.92248282771445633</v>
      </c>
      <c r="AP201" s="22">
        <v>0.94865805405920767</v>
      </c>
      <c r="AQ201" s="39"/>
    </row>
    <row r="202" spans="1:55" s="21" customFormat="1" ht="12.75" x14ac:dyDescent="0.2">
      <c r="A202" s="31" t="s">
        <v>82</v>
      </c>
      <c r="B202" s="23">
        <v>1952189</v>
      </c>
      <c r="C202" s="23">
        <v>1980180</v>
      </c>
      <c r="D202" s="23">
        <v>1987780</v>
      </c>
      <c r="E202" s="23">
        <v>1999932</v>
      </c>
      <c r="F202" s="23">
        <v>2003714</v>
      </c>
      <c r="G202" s="24">
        <v>1</v>
      </c>
      <c r="H202" s="24">
        <v>1</v>
      </c>
      <c r="I202" s="24">
        <v>1</v>
      </c>
      <c r="J202" s="24">
        <v>1</v>
      </c>
      <c r="K202" s="24">
        <v>1</v>
      </c>
      <c r="L202" s="23">
        <v>1109624</v>
      </c>
      <c r="M202" s="23">
        <v>1152509</v>
      </c>
      <c r="N202" s="23">
        <v>1172062</v>
      </c>
      <c r="O202" s="23">
        <v>1191025</v>
      </c>
      <c r="P202" s="23">
        <v>1197484</v>
      </c>
      <c r="Q202" s="24">
        <v>0.5683998834129278</v>
      </c>
      <c r="R202" s="24">
        <v>0.58202234140330678</v>
      </c>
      <c r="S202" s="24">
        <v>0.58963366167282094</v>
      </c>
      <c r="T202" s="24">
        <v>0.59553274811343582</v>
      </c>
      <c r="U202" s="24">
        <v>0.59763219701015213</v>
      </c>
      <c r="V202" s="23"/>
      <c r="W202" s="23">
        <v>0</v>
      </c>
      <c r="X202" s="23">
        <v>0</v>
      </c>
      <c r="Y202" s="23">
        <v>1896786</v>
      </c>
      <c r="Z202" s="23">
        <v>1932284</v>
      </c>
      <c r="AA202" s="23">
        <v>1980180</v>
      </c>
      <c r="AB202" s="24">
        <v>0</v>
      </c>
      <c r="AC202" s="24">
        <v>0</v>
      </c>
      <c r="AD202" s="24">
        <v>1</v>
      </c>
      <c r="AE202" s="24">
        <v>1</v>
      </c>
      <c r="AF202" s="24">
        <v>1</v>
      </c>
      <c r="AG202" s="23">
        <v>0</v>
      </c>
      <c r="AH202" s="23">
        <v>0</v>
      </c>
      <c r="AI202" s="23">
        <v>961165</v>
      </c>
      <c r="AJ202" s="23">
        <v>1033254</v>
      </c>
      <c r="AK202" s="23">
        <v>1152509</v>
      </c>
      <c r="AL202" s="24">
        <v>0</v>
      </c>
      <c r="AM202" s="24">
        <v>0</v>
      </c>
      <c r="AN202" s="24">
        <v>0.506733495502392</v>
      </c>
      <c r="AO202" s="24">
        <v>0.53473195451600286</v>
      </c>
      <c r="AP202" s="24">
        <v>0.58202234140330678</v>
      </c>
      <c r="AQ202" s="39"/>
    </row>
    <row r="203" spans="1:55" s="21" customFormat="1" ht="12.75" x14ac:dyDescent="0.2">
      <c r="A203" s="20"/>
      <c r="AB203" s="22"/>
      <c r="AC203" s="22"/>
      <c r="AD203" s="22"/>
      <c r="AE203" s="22"/>
      <c r="AF203" s="22"/>
      <c r="AL203" s="22"/>
      <c r="AM203" s="22"/>
      <c r="AN203" s="22"/>
      <c r="AO203" s="22"/>
      <c r="AP203" s="22"/>
      <c r="AQ203" s="39"/>
    </row>
    <row r="204" spans="1:55" s="21" customFormat="1" ht="12.75" x14ac:dyDescent="0.2">
      <c r="A204" s="10" t="s">
        <v>75</v>
      </c>
      <c r="B204" s="10" t="s">
        <v>12</v>
      </c>
      <c r="C204" s="10" t="s">
        <v>13</v>
      </c>
      <c r="D204" s="10" t="s">
        <v>14</v>
      </c>
      <c r="E204" s="10" t="s">
        <v>15</v>
      </c>
      <c r="F204" s="10" t="s">
        <v>16</v>
      </c>
      <c r="G204" s="10" t="s">
        <v>12</v>
      </c>
      <c r="H204" s="10" t="s">
        <v>13</v>
      </c>
      <c r="I204" s="10" t="s">
        <v>14</v>
      </c>
      <c r="J204" s="10" t="s">
        <v>15</v>
      </c>
      <c r="K204" s="10" t="s">
        <v>16</v>
      </c>
      <c r="L204" s="10" t="s">
        <v>12</v>
      </c>
      <c r="M204" s="10" t="s">
        <v>13</v>
      </c>
      <c r="N204" s="10" t="s">
        <v>14</v>
      </c>
      <c r="O204" s="10" t="s">
        <v>15</v>
      </c>
      <c r="P204" s="10" t="s">
        <v>16</v>
      </c>
      <c r="Q204" s="10" t="s">
        <v>12</v>
      </c>
      <c r="R204" s="10" t="s">
        <v>13</v>
      </c>
      <c r="S204" s="10" t="s">
        <v>14</v>
      </c>
      <c r="T204" s="10" t="s">
        <v>15</v>
      </c>
      <c r="U204" s="10" t="s">
        <v>16</v>
      </c>
      <c r="V204" s="10"/>
      <c r="W204" s="10" t="s">
        <v>17</v>
      </c>
      <c r="X204" s="10" t="s">
        <v>18</v>
      </c>
      <c r="Y204" s="10" t="s">
        <v>19</v>
      </c>
      <c r="Z204" s="10" t="s">
        <v>20</v>
      </c>
      <c r="AA204" s="10" t="s">
        <v>21</v>
      </c>
      <c r="AB204" s="10" t="s">
        <v>17</v>
      </c>
      <c r="AC204" s="10" t="s">
        <v>18</v>
      </c>
      <c r="AD204" s="10" t="s">
        <v>19</v>
      </c>
      <c r="AE204" s="10" t="s">
        <v>20</v>
      </c>
      <c r="AF204" s="10" t="s">
        <v>21</v>
      </c>
      <c r="AG204" s="10" t="s">
        <v>17</v>
      </c>
      <c r="AH204" s="10" t="s">
        <v>18</v>
      </c>
      <c r="AI204" s="10" t="s">
        <v>19</v>
      </c>
      <c r="AJ204" s="10" t="s">
        <v>20</v>
      </c>
      <c r="AK204" s="10" t="s">
        <v>21</v>
      </c>
      <c r="AL204" s="10" t="s">
        <v>17</v>
      </c>
      <c r="AM204" s="10" t="s">
        <v>18</v>
      </c>
      <c r="AN204" s="10" t="s">
        <v>19</v>
      </c>
      <c r="AO204" s="10" t="s">
        <v>20</v>
      </c>
      <c r="AP204" s="10" t="s">
        <v>21</v>
      </c>
      <c r="AQ204" s="39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</row>
    <row r="205" spans="1:55" s="23" customFormat="1" ht="12.75" x14ac:dyDescent="0.2">
      <c r="A205" s="20" t="s">
        <v>24</v>
      </c>
      <c r="B205" s="21">
        <v>310759</v>
      </c>
      <c r="C205" s="21">
        <v>302430</v>
      </c>
      <c r="D205" s="21">
        <v>300201</v>
      </c>
      <c r="E205" s="21">
        <v>298972</v>
      </c>
      <c r="F205" s="21">
        <v>298534</v>
      </c>
      <c r="G205" s="22">
        <v>0.40324742649301037</v>
      </c>
      <c r="H205" s="22">
        <v>0.39227258164725171</v>
      </c>
      <c r="I205" s="22">
        <v>0.38807118148019837</v>
      </c>
      <c r="J205" s="22">
        <v>0.38562303945847781</v>
      </c>
      <c r="K205" s="22">
        <v>0.38451848569779901</v>
      </c>
      <c r="L205" s="21">
        <v>245417</v>
      </c>
      <c r="M205" s="21">
        <v>242112</v>
      </c>
      <c r="N205" s="21">
        <v>242013</v>
      </c>
      <c r="O205" s="21">
        <v>241701</v>
      </c>
      <c r="P205" s="21">
        <v>242075</v>
      </c>
      <c r="Q205" s="22">
        <v>0.78973416699114107</v>
      </c>
      <c r="R205" s="22">
        <v>0.80055550044638424</v>
      </c>
      <c r="S205" s="22">
        <v>0.80616986618965292</v>
      </c>
      <c r="T205" s="22">
        <v>0.80844025527474139</v>
      </c>
      <c r="U205" s="22">
        <v>0.81087916284242334</v>
      </c>
      <c r="V205" s="21"/>
      <c r="W205" s="21">
        <v>353212</v>
      </c>
      <c r="X205" s="21">
        <v>346447</v>
      </c>
      <c r="Y205" s="21">
        <v>338664</v>
      </c>
      <c r="Z205" s="21">
        <v>323594</v>
      </c>
      <c r="AA205" s="21">
        <v>302430</v>
      </c>
      <c r="AB205" s="22">
        <v>0.47663591758742974</v>
      </c>
      <c r="AC205" s="22">
        <v>0.4619816912583426</v>
      </c>
      <c r="AD205" s="22">
        <v>0.44771419392963518</v>
      </c>
      <c r="AE205" s="22">
        <v>0.42547199208996611</v>
      </c>
      <c r="AF205" s="22">
        <v>0.39227258164725171</v>
      </c>
      <c r="AG205" s="21">
        <v>247851</v>
      </c>
      <c r="AH205" s="21">
        <v>245810</v>
      </c>
      <c r="AI205" s="21">
        <v>248038</v>
      </c>
      <c r="AJ205" s="21">
        <v>244386</v>
      </c>
      <c r="AK205" s="21">
        <v>242112</v>
      </c>
      <c r="AL205" s="22">
        <v>0.70170605755183857</v>
      </c>
      <c r="AM205" s="22">
        <v>0.70951689580224397</v>
      </c>
      <c r="AN205" s="22">
        <v>0.73240143623178133</v>
      </c>
      <c r="AO205" s="22">
        <v>0.75522413889009066</v>
      </c>
      <c r="AP205" s="22">
        <v>0.80055550044638424</v>
      </c>
      <c r="AQ205" s="39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</row>
    <row r="206" spans="1:55" s="21" customFormat="1" ht="12.75" x14ac:dyDescent="0.2">
      <c r="A206" s="20" t="s">
        <v>48</v>
      </c>
      <c r="B206" s="21">
        <v>188070</v>
      </c>
      <c r="C206" s="21">
        <v>197667</v>
      </c>
      <c r="D206" s="21">
        <v>202690</v>
      </c>
      <c r="E206" s="21">
        <v>203537</v>
      </c>
      <c r="F206" s="21">
        <v>202232</v>
      </c>
      <c r="G206" s="22">
        <v>0.24404359487751107</v>
      </c>
      <c r="H206" s="22">
        <v>0.25638774062251529</v>
      </c>
      <c r="I206" s="22">
        <v>0.26201827367071195</v>
      </c>
      <c r="J206" s="22">
        <v>0.26252811829288425</v>
      </c>
      <c r="K206" s="22">
        <v>0.26047935042453219</v>
      </c>
      <c r="L206" s="21">
        <v>181415</v>
      </c>
      <c r="M206" s="21">
        <v>191016</v>
      </c>
      <c r="N206" s="21">
        <v>195691</v>
      </c>
      <c r="O206" s="21">
        <v>196548</v>
      </c>
      <c r="P206" s="21">
        <v>194959</v>
      </c>
      <c r="Q206" s="22">
        <v>0.96461423937895463</v>
      </c>
      <c r="R206" s="22">
        <v>0.96635250193507261</v>
      </c>
      <c r="S206" s="22">
        <v>0.96546943608466129</v>
      </c>
      <c r="T206" s="22">
        <v>0.96566226288095036</v>
      </c>
      <c r="U206" s="22">
        <v>0.96403635428616641</v>
      </c>
      <c r="W206" s="21">
        <v>146900</v>
      </c>
      <c r="X206" s="21">
        <v>147810</v>
      </c>
      <c r="Y206" s="21">
        <v>153163</v>
      </c>
      <c r="Z206" s="21">
        <v>171390</v>
      </c>
      <c r="AA206" s="21">
        <v>197667</v>
      </c>
      <c r="AB206" s="22">
        <v>0.19823170303838328</v>
      </c>
      <c r="AC206" s="22">
        <v>0.19710233826500337</v>
      </c>
      <c r="AD206" s="22">
        <v>0.20248166053919139</v>
      </c>
      <c r="AE206" s="22">
        <v>0.22534918671019641</v>
      </c>
      <c r="AF206" s="22">
        <v>0.25638774062251529</v>
      </c>
      <c r="AG206" s="21">
        <v>138714</v>
      </c>
      <c r="AH206" s="21">
        <v>139881</v>
      </c>
      <c r="AI206" s="21">
        <v>145842</v>
      </c>
      <c r="AJ206" s="21">
        <v>163886</v>
      </c>
      <c r="AK206" s="21">
        <v>191016</v>
      </c>
      <c r="AL206" s="22">
        <v>0.9442750170183799</v>
      </c>
      <c r="AM206" s="22">
        <v>0.94635680941749545</v>
      </c>
      <c r="AN206" s="22">
        <v>0.95220124964906672</v>
      </c>
      <c r="AO206" s="22">
        <v>0.95621681545014292</v>
      </c>
      <c r="AP206" s="22">
        <v>0.96635250193507261</v>
      </c>
      <c r="AQ206" s="39"/>
    </row>
    <row r="207" spans="1:55" s="21" customFormat="1" ht="12.75" x14ac:dyDescent="0.2">
      <c r="A207" s="20" t="s">
        <v>60</v>
      </c>
      <c r="B207" s="21">
        <v>77732</v>
      </c>
      <c r="C207" s="21">
        <v>77670</v>
      </c>
      <c r="D207" s="21">
        <v>78091</v>
      </c>
      <c r="E207" s="21">
        <v>78589</v>
      </c>
      <c r="F207" s="21">
        <v>79652</v>
      </c>
      <c r="G207" s="22">
        <v>0.1008666811135146</v>
      </c>
      <c r="H207" s="22">
        <v>0.10074335025143683</v>
      </c>
      <c r="I207" s="22">
        <v>0.10094858655690744</v>
      </c>
      <c r="J207" s="22">
        <v>0.10136644584777943</v>
      </c>
      <c r="K207" s="22">
        <v>0.1025935619487264</v>
      </c>
      <c r="L207" s="21">
        <v>77000</v>
      </c>
      <c r="M207" s="21">
        <v>77025</v>
      </c>
      <c r="N207" s="21">
        <v>77502</v>
      </c>
      <c r="O207" s="21">
        <v>78037</v>
      </c>
      <c r="P207" s="21">
        <v>79100</v>
      </c>
      <c r="Q207" s="22">
        <v>0.99058302886841965</v>
      </c>
      <c r="R207" s="22">
        <v>0.9916956353804558</v>
      </c>
      <c r="S207" s="22">
        <v>0.99245751751162103</v>
      </c>
      <c r="T207" s="22">
        <v>0.99297611625036586</v>
      </c>
      <c r="U207" s="22">
        <v>0.99306985386430979</v>
      </c>
      <c r="W207" s="21">
        <v>68674</v>
      </c>
      <c r="X207" s="21">
        <v>70241</v>
      </c>
      <c r="Y207" s="21">
        <v>71638</v>
      </c>
      <c r="Z207" s="21">
        <v>75555</v>
      </c>
      <c r="AA207" s="21">
        <v>77670</v>
      </c>
      <c r="AB207" s="22">
        <v>9.2670959662749713E-2</v>
      </c>
      <c r="AC207" s="22">
        <v>9.366528206530074E-2</v>
      </c>
      <c r="AD207" s="22">
        <v>9.47055176361562E-2</v>
      </c>
      <c r="AE207" s="22">
        <v>9.9342189170248493E-2</v>
      </c>
      <c r="AF207" s="22">
        <v>0.10074335025143683</v>
      </c>
      <c r="AG207" s="21">
        <v>68017</v>
      </c>
      <c r="AH207" s="21">
        <v>69224</v>
      </c>
      <c r="AI207" s="21">
        <v>70707</v>
      </c>
      <c r="AJ207" s="21">
        <v>74677</v>
      </c>
      <c r="AK207" s="21">
        <v>77025</v>
      </c>
      <c r="AL207" s="22">
        <v>0.99043306054693192</v>
      </c>
      <c r="AM207" s="22">
        <v>0.98552127674719892</v>
      </c>
      <c r="AN207" s="22">
        <v>0.98700410396716831</v>
      </c>
      <c r="AO207" s="22">
        <v>0.98837932631857583</v>
      </c>
      <c r="AP207" s="22">
        <v>0.9916956353804558</v>
      </c>
      <c r="AQ207" s="39"/>
    </row>
    <row r="208" spans="1:55" s="21" customFormat="1" ht="12.75" x14ac:dyDescent="0.2">
      <c r="A208" s="20" t="s">
        <v>81</v>
      </c>
      <c r="B208" s="21">
        <v>194080</v>
      </c>
      <c r="C208" s="21">
        <v>193202</v>
      </c>
      <c r="D208" s="21">
        <v>192590</v>
      </c>
      <c r="E208" s="21">
        <v>194198</v>
      </c>
      <c r="F208" s="21">
        <v>195966</v>
      </c>
      <c r="G208" s="22">
        <v>0.25184229751596399</v>
      </c>
      <c r="H208" s="22">
        <v>0.25059632747879618</v>
      </c>
      <c r="I208" s="22">
        <v>0.24896195829218223</v>
      </c>
      <c r="J208" s="22">
        <v>0.25048239640085851</v>
      </c>
      <c r="K208" s="22">
        <v>0.25240860192894238</v>
      </c>
      <c r="L208" s="21">
        <v>190409</v>
      </c>
      <c r="M208" s="21">
        <v>190360</v>
      </c>
      <c r="N208" s="21">
        <v>189683</v>
      </c>
      <c r="O208" s="21">
        <v>191434</v>
      </c>
      <c r="P208" s="21">
        <v>193125</v>
      </c>
      <c r="Q208" s="22">
        <v>0.98108511953833466</v>
      </c>
      <c r="R208" s="22">
        <v>0.98529000734982042</v>
      </c>
      <c r="S208" s="22">
        <v>0.98490575834674698</v>
      </c>
      <c r="T208" s="22">
        <v>0.98576710367768983</v>
      </c>
      <c r="U208" s="22">
        <v>0.98550258718349104</v>
      </c>
      <c r="W208" s="21">
        <v>172266</v>
      </c>
      <c r="X208" s="21">
        <v>185417</v>
      </c>
      <c r="Y208" s="21">
        <v>192964</v>
      </c>
      <c r="Z208" s="21">
        <v>190014</v>
      </c>
      <c r="AA208" s="21">
        <v>193202</v>
      </c>
      <c r="AB208" s="22">
        <v>0.23246141971143724</v>
      </c>
      <c r="AC208" s="22">
        <v>0.24725068841135328</v>
      </c>
      <c r="AD208" s="22">
        <v>0.25509862789501725</v>
      </c>
      <c r="AE208" s="22">
        <v>0.249836632029589</v>
      </c>
      <c r="AF208" s="22">
        <v>0.25059632747879618</v>
      </c>
      <c r="AG208" s="21">
        <v>168709</v>
      </c>
      <c r="AH208" s="21">
        <v>180199</v>
      </c>
      <c r="AI208" s="21">
        <v>187274</v>
      </c>
      <c r="AJ208" s="21">
        <v>184717</v>
      </c>
      <c r="AK208" s="21">
        <v>190360</v>
      </c>
      <c r="AL208" s="22">
        <v>0.97935170027747787</v>
      </c>
      <c r="AM208" s="22">
        <v>0.9718580281203989</v>
      </c>
      <c r="AN208" s="22">
        <v>0.97051263448104308</v>
      </c>
      <c r="AO208" s="22">
        <v>0.97212310671845237</v>
      </c>
      <c r="AP208" s="22">
        <v>0.98529000734982042</v>
      </c>
      <c r="AQ208" s="39"/>
    </row>
    <row r="209" spans="1:55" s="21" customFormat="1" ht="12.75" x14ac:dyDescent="0.2">
      <c r="A209" s="31" t="s">
        <v>82</v>
      </c>
      <c r="B209" s="23">
        <v>770641</v>
      </c>
      <c r="C209" s="23">
        <v>770969</v>
      </c>
      <c r="D209" s="23">
        <v>773572</v>
      </c>
      <c r="E209" s="23">
        <v>775296</v>
      </c>
      <c r="F209" s="23">
        <v>776384</v>
      </c>
      <c r="G209" s="24">
        <v>1</v>
      </c>
      <c r="H209" s="24">
        <v>1</v>
      </c>
      <c r="I209" s="24">
        <v>1</v>
      </c>
      <c r="J209" s="24">
        <v>1</v>
      </c>
      <c r="K209" s="24">
        <v>1</v>
      </c>
      <c r="L209" s="23">
        <v>694241</v>
      </c>
      <c r="M209" s="23">
        <v>700513</v>
      </c>
      <c r="N209" s="23">
        <v>704889</v>
      </c>
      <c r="O209" s="23">
        <v>707720</v>
      </c>
      <c r="P209" s="23">
        <v>709259</v>
      </c>
      <c r="Q209" s="24">
        <v>0.90086175015344372</v>
      </c>
      <c r="R209" s="24">
        <v>0.90861370560943433</v>
      </c>
      <c r="S209" s="24">
        <v>0.91121317731251905</v>
      </c>
      <c r="T209" s="24">
        <v>0.91283845137857023</v>
      </c>
      <c r="U209" s="24">
        <v>0.91354149493034376</v>
      </c>
      <c r="V209" s="23"/>
      <c r="W209" s="23">
        <v>741052</v>
      </c>
      <c r="X209" s="23">
        <v>749915</v>
      </c>
      <c r="Y209" s="23">
        <v>756429</v>
      </c>
      <c r="Z209" s="23">
        <v>760553</v>
      </c>
      <c r="AA209" s="23">
        <v>770969</v>
      </c>
      <c r="AB209" s="24">
        <v>1</v>
      </c>
      <c r="AC209" s="24">
        <v>1</v>
      </c>
      <c r="AD209" s="24">
        <v>1</v>
      </c>
      <c r="AE209" s="24">
        <v>1</v>
      </c>
      <c r="AF209" s="24">
        <v>1</v>
      </c>
      <c r="AG209" s="23">
        <v>623291</v>
      </c>
      <c r="AH209" s="23">
        <v>635114</v>
      </c>
      <c r="AI209" s="23">
        <v>651861</v>
      </c>
      <c r="AJ209" s="23">
        <v>667666</v>
      </c>
      <c r="AK209" s="23">
        <v>700513</v>
      </c>
      <c r="AL209" s="24">
        <v>0.84108942422394106</v>
      </c>
      <c r="AM209" s="24">
        <v>0.84691465032703706</v>
      </c>
      <c r="AN209" s="24">
        <v>0.86176098483796892</v>
      </c>
      <c r="AO209" s="24">
        <v>0.87786912943608142</v>
      </c>
      <c r="AP209" s="24">
        <v>0.90861370560943433</v>
      </c>
      <c r="AQ209" s="39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</row>
    <row r="210" spans="1:55" s="23" customFormat="1" ht="12.75" x14ac:dyDescent="0.2">
      <c r="A210" s="20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2"/>
      <c r="AC210" s="22"/>
      <c r="AD210" s="22"/>
      <c r="AE210" s="22"/>
      <c r="AF210" s="22"/>
      <c r="AG210" s="21"/>
      <c r="AH210" s="21"/>
      <c r="AI210" s="21"/>
      <c r="AJ210" s="21"/>
      <c r="AK210" s="21"/>
      <c r="AL210" s="22"/>
      <c r="AM210" s="22"/>
      <c r="AN210" s="22"/>
      <c r="AO210" s="22"/>
      <c r="AP210" s="22"/>
      <c r="AQ210" s="39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</row>
    <row r="211" spans="1:55" x14ac:dyDescent="0.25">
      <c r="A211" s="10" t="s">
        <v>77</v>
      </c>
      <c r="B211" s="10" t="s">
        <v>12</v>
      </c>
      <c r="C211" s="10" t="s">
        <v>13</v>
      </c>
      <c r="D211" s="10" t="s">
        <v>14</v>
      </c>
      <c r="E211" s="10" t="s">
        <v>15</v>
      </c>
      <c r="F211" s="10" t="s">
        <v>16</v>
      </c>
      <c r="G211" s="10" t="s">
        <v>12</v>
      </c>
      <c r="H211" s="10" t="s">
        <v>13</v>
      </c>
      <c r="I211" s="10" t="s">
        <v>14</v>
      </c>
      <c r="J211" s="10" t="s">
        <v>15</v>
      </c>
      <c r="K211" s="10" t="s">
        <v>16</v>
      </c>
      <c r="L211" s="10" t="s">
        <v>12</v>
      </c>
      <c r="M211" s="10" t="s">
        <v>13</v>
      </c>
      <c r="N211" s="10" t="s">
        <v>14</v>
      </c>
      <c r="O211" s="10" t="s">
        <v>15</v>
      </c>
      <c r="P211" s="10" t="s">
        <v>16</v>
      </c>
      <c r="Q211" s="10" t="s">
        <v>12</v>
      </c>
      <c r="R211" s="10" t="s">
        <v>13</v>
      </c>
      <c r="S211" s="10" t="s">
        <v>14</v>
      </c>
      <c r="T211" s="10" t="s">
        <v>15</v>
      </c>
      <c r="U211" s="10" t="s">
        <v>16</v>
      </c>
      <c r="V211" s="10"/>
      <c r="W211" s="10" t="s">
        <v>17</v>
      </c>
      <c r="X211" s="10" t="s">
        <v>18</v>
      </c>
      <c r="Y211" s="10" t="s">
        <v>19</v>
      </c>
      <c r="Z211" s="10" t="s">
        <v>20</v>
      </c>
      <c r="AA211" s="10" t="s">
        <v>21</v>
      </c>
      <c r="AB211" s="10" t="s">
        <v>17</v>
      </c>
      <c r="AC211" s="10" t="s">
        <v>18</v>
      </c>
      <c r="AD211" s="10" t="s">
        <v>19</v>
      </c>
      <c r="AE211" s="10" t="s">
        <v>20</v>
      </c>
      <c r="AF211" s="10" t="s">
        <v>21</v>
      </c>
      <c r="AG211" s="10" t="s">
        <v>17</v>
      </c>
      <c r="AH211" s="10" t="s">
        <v>18</v>
      </c>
      <c r="AI211" s="10" t="s">
        <v>19</v>
      </c>
      <c r="AJ211" s="10" t="s">
        <v>20</v>
      </c>
      <c r="AK211" s="10" t="s">
        <v>21</v>
      </c>
      <c r="AL211" s="10" t="s">
        <v>17</v>
      </c>
      <c r="AM211" s="10" t="s">
        <v>18</v>
      </c>
      <c r="AN211" s="10" t="s">
        <v>19</v>
      </c>
      <c r="AO211" s="10" t="s">
        <v>20</v>
      </c>
      <c r="AP211" s="10" t="s">
        <v>21</v>
      </c>
    </row>
    <row r="212" spans="1:55" x14ac:dyDescent="0.25">
      <c r="A212" s="20" t="s">
        <v>27</v>
      </c>
      <c r="B212" s="21">
        <v>240081</v>
      </c>
      <c r="C212" s="21">
        <v>241125</v>
      </c>
      <c r="D212" s="21">
        <v>242198</v>
      </c>
      <c r="E212" s="21">
        <v>242752</v>
      </c>
      <c r="F212" s="21">
        <v>243938</v>
      </c>
      <c r="G212" s="22">
        <v>1</v>
      </c>
      <c r="H212" s="22">
        <v>1</v>
      </c>
      <c r="I212" s="22">
        <v>1</v>
      </c>
      <c r="J212" s="22">
        <v>1</v>
      </c>
      <c r="K212" s="22">
        <v>0.99971722122725992</v>
      </c>
      <c r="L212" s="21">
        <v>21496</v>
      </c>
      <c r="M212" s="21">
        <v>21076</v>
      </c>
      <c r="N212" s="21">
        <v>20479</v>
      </c>
      <c r="O212" s="21">
        <v>19711</v>
      </c>
      <c r="P212" s="21">
        <v>14549</v>
      </c>
      <c r="Q212" s="22">
        <v>8.9536448115427714E-2</v>
      </c>
      <c r="R212" s="22">
        <v>8.7406946604458274E-2</v>
      </c>
      <c r="S212" s="22">
        <v>8.4554785753804734E-2</v>
      </c>
      <c r="T212" s="22">
        <v>8.1198095175322962E-2</v>
      </c>
      <c r="U212" s="22">
        <v>5.9642204166632504E-2</v>
      </c>
      <c r="V212" s="21"/>
      <c r="W212" s="21">
        <v>230127</v>
      </c>
      <c r="X212" s="21">
        <v>234548</v>
      </c>
      <c r="Y212" s="21">
        <v>236432</v>
      </c>
      <c r="Z212" s="21">
        <v>238374</v>
      </c>
      <c r="AA212" s="21">
        <v>241125</v>
      </c>
      <c r="AB212" s="22">
        <v>1</v>
      </c>
      <c r="AC212" s="22">
        <v>1</v>
      </c>
      <c r="AD212" s="22">
        <v>1</v>
      </c>
      <c r="AE212" s="22">
        <v>1</v>
      </c>
      <c r="AF212" s="22">
        <v>1</v>
      </c>
      <c r="AG212" s="21">
        <v>30640</v>
      </c>
      <c r="AH212" s="21">
        <v>29612</v>
      </c>
      <c r="AI212" s="21">
        <v>26670</v>
      </c>
      <c r="AJ212" s="21">
        <v>23641</v>
      </c>
      <c r="AK212" s="21">
        <v>21076</v>
      </c>
      <c r="AL212" s="22">
        <v>0.13314387273114411</v>
      </c>
      <c r="AM212" s="22">
        <v>0.12625134300868052</v>
      </c>
      <c r="AN212" s="22">
        <v>0.11280198957839886</v>
      </c>
      <c r="AO212" s="22">
        <v>9.9176084640103371E-2</v>
      </c>
      <c r="AP212" s="22">
        <v>8.7406946604458274E-2</v>
      </c>
    </row>
    <row r="213" spans="1:55" x14ac:dyDescent="0.25">
      <c r="A213" s="20" t="s">
        <v>81</v>
      </c>
      <c r="B213" s="21">
        <v>0</v>
      </c>
      <c r="C213" s="21">
        <v>0</v>
      </c>
      <c r="D213" s="21">
        <v>0</v>
      </c>
      <c r="E213" s="21">
        <v>0</v>
      </c>
      <c r="F213" s="21">
        <v>69</v>
      </c>
      <c r="G213" s="22">
        <v>0</v>
      </c>
      <c r="H213" s="22">
        <v>0</v>
      </c>
      <c r="I213" s="22">
        <v>0</v>
      </c>
      <c r="J213" s="22">
        <v>0</v>
      </c>
      <c r="K213" s="22">
        <v>2.827787727401263E-4</v>
      </c>
      <c r="L213" s="21">
        <v>0</v>
      </c>
      <c r="M213" s="21">
        <v>0</v>
      </c>
      <c r="N213" s="21">
        <v>0</v>
      </c>
      <c r="O213" s="21">
        <v>0</v>
      </c>
      <c r="P213" s="21">
        <v>69</v>
      </c>
      <c r="Q213" s="22">
        <v>0</v>
      </c>
      <c r="R213" s="22">
        <v>0</v>
      </c>
      <c r="S213" s="22">
        <v>0</v>
      </c>
      <c r="T213" s="22">
        <v>0</v>
      </c>
      <c r="U213" s="22">
        <v>1</v>
      </c>
      <c r="V213" s="21"/>
      <c r="W213" s="21">
        <v>0</v>
      </c>
      <c r="X213" s="21">
        <v>0</v>
      </c>
      <c r="Y213" s="21">
        <v>0</v>
      </c>
      <c r="Z213" s="21">
        <v>0</v>
      </c>
      <c r="AA213" s="21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1">
        <v>0</v>
      </c>
      <c r="AH213" s="21">
        <v>0</v>
      </c>
      <c r="AI213" s="21">
        <v>0</v>
      </c>
      <c r="AJ213" s="21">
        <v>0</v>
      </c>
      <c r="AK213" s="21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</row>
    <row r="214" spans="1:55" x14ac:dyDescent="0.25">
      <c r="A214" s="31" t="s">
        <v>82</v>
      </c>
      <c r="B214" s="23">
        <v>240081</v>
      </c>
      <c r="C214" s="23">
        <v>241125</v>
      </c>
      <c r="D214" s="23">
        <v>242198</v>
      </c>
      <c r="E214" s="23">
        <v>242752</v>
      </c>
      <c r="F214" s="23">
        <v>244007</v>
      </c>
      <c r="G214" s="24">
        <v>1</v>
      </c>
      <c r="H214" s="24">
        <v>1</v>
      </c>
      <c r="I214" s="24">
        <v>1</v>
      </c>
      <c r="J214" s="24">
        <v>1</v>
      </c>
      <c r="K214" s="24">
        <v>1</v>
      </c>
      <c r="L214" s="23">
        <v>21496</v>
      </c>
      <c r="M214" s="23">
        <v>21076</v>
      </c>
      <c r="N214" s="23">
        <v>20479</v>
      </c>
      <c r="O214" s="23">
        <v>19711</v>
      </c>
      <c r="P214" s="23">
        <v>14618</v>
      </c>
      <c r="Q214" s="24">
        <v>8.9536448115427714E-2</v>
      </c>
      <c r="R214" s="24">
        <v>8.7406946604458274E-2</v>
      </c>
      <c r="S214" s="24">
        <v>8.4554785753804734E-2</v>
      </c>
      <c r="T214" s="24">
        <v>8.1198095175322962E-2</v>
      </c>
      <c r="U214" s="24">
        <v>5.9908117390074872E-2</v>
      </c>
      <c r="V214" s="23"/>
      <c r="W214" s="23">
        <v>230127</v>
      </c>
      <c r="X214" s="23">
        <v>234548</v>
      </c>
      <c r="Y214" s="23">
        <v>236432</v>
      </c>
      <c r="Z214" s="23">
        <v>238374</v>
      </c>
      <c r="AA214" s="23">
        <v>241125</v>
      </c>
      <c r="AB214" s="24">
        <v>1</v>
      </c>
      <c r="AC214" s="24">
        <v>1</v>
      </c>
      <c r="AD214" s="24">
        <v>1</v>
      </c>
      <c r="AE214" s="24">
        <v>1</v>
      </c>
      <c r="AF214" s="24">
        <v>1</v>
      </c>
      <c r="AG214" s="23">
        <v>30640</v>
      </c>
      <c r="AH214" s="23">
        <v>29612</v>
      </c>
      <c r="AI214" s="23">
        <v>26670</v>
      </c>
      <c r="AJ214" s="23">
        <v>23641</v>
      </c>
      <c r="AK214" s="23">
        <v>21076</v>
      </c>
      <c r="AL214" s="24">
        <v>0.13314387273114411</v>
      </c>
      <c r="AM214" s="24">
        <v>0.12625134300868052</v>
      </c>
      <c r="AN214" s="24">
        <v>0.11280198957839886</v>
      </c>
      <c r="AO214" s="24">
        <v>9.9176084640103371E-2</v>
      </c>
      <c r="AP214" s="24">
        <v>8.7406946604458274E-2</v>
      </c>
    </row>
    <row r="215" spans="1:55" x14ac:dyDescent="0.25">
      <c r="A215" s="20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2"/>
      <c r="AC215" s="22"/>
      <c r="AD215" s="22"/>
      <c r="AE215" s="22"/>
      <c r="AF215" s="22"/>
      <c r="AG215" s="21"/>
      <c r="AH215" s="21"/>
      <c r="AI215" s="21"/>
      <c r="AJ215" s="21"/>
      <c r="AK215" s="21"/>
      <c r="AL215" s="22"/>
      <c r="AM215" s="22"/>
      <c r="AN215" s="22"/>
      <c r="AO215" s="22"/>
      <c r="AP215" s="22"/>
    </row>
    <row r="216" spans="1:55" x14ac:dyDescent="0.25">
      <c r="A216" s="20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2"/>
      <c r="AC216" s="22"/>
      <c r="AD216" s="22"/>
      <c r="AE216" s="22"/>
      <c r="AF216" s="22"/>
      <c r="AG216" s="21"/>
      <c r="AH216" s="21"/>
      <c r="AI216" s="21"/>
      <c r="AJ216" s="21"/>
      <c r="AK216" s="21"/>
      <c r="AL216" s="22"/>
      <c r="AM216" s="22"/>
      <c r="AN216" s="22"/>
      <c r="AO216" s="22"/>
      <c r="AP216" s="22"/>
    </row>
  </sheetData>
  <mergeCells count="8">
    <mergeCell ref="AG6:AK6"/>
    <mergeCell ref="AL6:AP6"/>
    <mergeCell ref="B6:F6"/>
    <mergeCell ref="G6:K6"/>
    <mergeCell ref="L6:P6"/>
    <mergeCell ref="Q6:U6"/>
    <mergeCell ref="W6:AA6"/>
    <mergeCell ref="AB6:AF6"/>
  </mergeCells>
  <conditionalFormatting sqref="A7">
    <cfRule type="duplicateValues" dxfId="14" priority="1"/>
  </conditionalFormatting>
  <dataValidations count="1">
    <dataValidation type="list" allowBlank="1" showInputMessage="1" showErrorMessage="1" sqref="A177:A179 A184:A186 A191:A193 A198:A200 A205:A207 A212">
      <formula1>$A$18:$A$82</formula1>
    </dataValidation>
  </dataValidations>
  <hyperlinks>
    <hyperlink ref="B1" location="Contents!A1" display="Back to Content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XFD216"/>
  <sheetViews>
    <sheetView workbookViewId="0">
      <pane xSplit="1" ySplit="8" topLeftCell="B9" activePane="bottomRight" state="frozen"/>
      <selection pane="topRight" activeCell="B1" sqref="B1"/>
      <selection pane="bottomLeft" activeCell="A6" sqref="A6"/>
      <selection pane="bottomRight" activeCell="A5" sqref="A5"/>
    </sheetView>
  </sheetViews>
  <sheetFormatPr defaultRowHeight="15" x14ac:dyDescent="0.25"/>
  <cols>
    <col min="1" max="1" width="25.28515625" customWidth="1"/>
    <col min="2" max="42" width="12.5703125" customWidth="1"/>
  </cols>
  <sheetData>
    <row r="1" spans="1:16384" x14ac:dyDescent="0.25">
      <c r="A1" s="29" t="s">
        <v>102</v>
      </c>
      <c r="B1" s="87" t="s">
        <v>189</v>
      </c>
      <c r="W1" s="5" t="s">
        <v>1</v>
      </c>
    </row>
    <row r="2" spans="1:16384" x14ac:dyDescent="0.25">
      <c r="A2" s="1" t="s">
        <v>152</v>
      </c>
      <c r="B2" s="2"/>
      <c r="C2" s="2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5"/>
      <c r="X2" s="6"/>
      <c r="Y2" s="6"/>
      <c r="Z2" s="6"/>
      <c r="AA2" s="7"/>
      <c r="AB2" s="7"/>
      <c r="AC2" s="7"/>
      <c r="AD2" s="7"/>
      <c r="AE2" s="6"/>
      <c r="AF2" s="6"/>
      <c r="AG2" s="6"/>
      <c r="AH2" s="3"/>
      <c r="AI2" s="8"/>
      <c r="AJ2" s="8"/>
      <c r="AK2" s="8"/>
      <c r="AL2" s="8"/>
      <c r="AM2" s="9"/>
      <c r="AN2" s="9"/>
      <c r="AO2" s="9"/>
      <c r="AP2" s="9"/>
    </row>
    <row r="3" spans="1:16384" x14ac:dyDescent="0.25">
      <c r="A3" s="1" t="s">
        <v>204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4" spans="1:16384" x14ac:dyDescent="0.25">
      <c r="A4" s="70" t="s">
        <v>171</v>
      </c>
      <c r="B4" s="2"/>
      <c r="C4" s="2"/>
      <c r="D4" s="3"/>
      <c r="E4" s="3"/>
      <c r="F4" s="3"/>
      <c r="G4" s="3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5"/>
      <c r="X4" s="6"/>
      <c r="Y4" s="6"/>
      <c r="Z4" s="6"/>
      <c r="AA4" s="7"/>
      <c r="AB4" s="7"/>
      <c r="AC4" s="7"/>
      <c r="AD4" s="7"/>
      <c r="AE4" s="6"/>
      <c r="AF4" s="6"/>
      <c r="AG4" s="6"/>
      <c r="AH4" s="3"/>
      <c r="AI4" s="8"/>
      <c r="AJ4" s="8"/>
      <c r="AK4" s="8"/>
      <c r="AL4" s="8"/>
      <c r="AM4" s="9"/>
      <c r="AN4" s="9"/>
      <c r="AO4" s="9"/>
      <c r="AP4" s="9"/>
    </row>
    <row r="5" spans="1:16384" x14ac:dyDescent="0.25">
      <c r="A5" s="1" t="s">
        <v>206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  <c r="XFC5" s="1"/>
      <c r="XFD5" s="1"/>
    </row>
    <row r="6" spans="1:16384" x14ac:dyDescent="0.25">
      <c r="A6" s="10" t="s">
        <v>2</v>
      </c>
      <c r="B6" s="11" t="s">
        <v>3</v>
      </c>
      <c r="C6" s="11" t="s">
        <v>83</v>
      </c>
      <c r="D6" s="4"/>
      <c r="E6" s="12"/>
      <c r="F6" s="13"/>
      <c r="G6" s="13"/>
      <c r="H6" s="4"/>
      <c r="I6" s="4"/>
      <c r="J6" s="4"/>
      <c r="K6" s="4"/>
      <c r="L6" s="4"/>
      <c r="M6" s="4"/>
      <c r="N6" s="4"/>
      <c r="O6" s="13"/>
      <c r="P6" s="13"/>
      <c r="Q6" s="13"/>
      <c r="R6" s="13"/>
      <c r="S6" s="13"/>
      <c r="T6" s="13"/>
      <c r="U6" s="13"/>
      <c r="V6" s="13"/>
      <c r="W6" s="14" t="s">
        <v>5</v>
      </c>
      <c r="X6" s="14"/>
      <c r="Y6" s="14" t="s">
        <v>3</v>
      </c>
      <c r="Z6" s="14" t="s">
        <v>83</v>
      </c>
      <c r="AA6" s="15"/>
      <c r="AB6" s="15"/>
      <c r="AC6" s="15"/>
      <c r="AD6" s="15"/>
      <c r="AE6" s="16"/>
      <c r="AF6" s="16"/>
      <c r="AG6" s="16"/>
      <c r="AH6" s="13"/>
      <c r="AI6" s="17"/>
      <c r="AJ6" s="17"/>
      <c r="AK6" s="17"/>
      <c r="AL6" s="17"/>
      <c r="AM6" s="9"/>
      <c r="AN6" s="9"/>
      <c r="AO6" s="9"/>
      <c r="AP6" s="9"/>
    </row>
    <row r="7" spans="1:16384" x14ac:dyDescent="0.25">
      <c r="A7" s="1" t="s">
        <v>6</v>
      </c>
      <c r="B7" s="122" t="s">
        <v>7</v>
      </c>
      <c r="C7" s="122"/>
      <c r="D7" s="122"/>
      <c r="E7" s="122"/>
      <c r="F7" s="122"/>
      <c r="G7" s="122" t="s">
        <v>8</v>
      </c>
      <c r="H7" s="122"/>
      <c r="I7" s="122"/>
      <c r="J7" s="122"/>
      <c r="K7" s="122"/>
      <c r="L7" s="122" t="s">
        <v>9</v>
      </c>
      <c r="M7" s="122"/>
      <c r="N7" s="122"/>
      <c r="O7" s="122"/>
      <c r="P7" s="122"/>
      <c r="Q7" s="122" t="s">
        <v>10</v>
      </c>
      <c r="R7" s="122"/>
      <c r="S7" s="122"/>
      <c r="T7" s="122"/>
      <c r="U7" s="122"/>
      <c r="V7" s="18"/>
      <c r="W7" s="121" t="s">
        <v>7</v>
      </c>
      <c r="X7" s="121"/>
      <c r="Y7" s="121"/>
      <c r="Z7" s="121"/>
      <c r="AA7" s="121"/>
      <c r="AB7" s="121" t="s">
        <v>8</v>
      </c>
      <c r="AC7" s="121"/>
      <c r="AD7" s="121"/>
      <c r="AE7" s="121"/>
      <c r="AF7" s="121"/>
      <c r="AG7" s="121" t="s">
        <v>9</v>
      </c>
      <c r="AH7" s="121"/>
      <c r="AI7" s="121"/>
      <c r="AJ7" s="121"/>
      <c r="AK7" s="121"/>
      <c r="AL7" s="121" t="s">
        <v>10</v>
      </c>
      <c r="AM7" s="121"/>
      <c r="AN7" s="121"/>
      <c r="AO7" s="121"/>
      <c r="AP7" s="121"/>
    </row>
    <row r="8" spans="1:16384" x14ac:dyDescent="0.25">
      <c r="A8" s="10" t="s">
        <v>11</v>
      </c>
      <c r="B8" s="11" t="s">
        <v>12</v>
      </c>
      <c r="C8" s="11" t="s">
        <v>13</v>
      </c>
      <c r="D8" s="11" t="s">
        <v>14</v>
      </c>
      <c r="E8" s="11" t="s">
        <v>15</v>
      </c>
      <c r="F8" s="11" t="s">
        <v>203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203</v>
      </c>
      <c r="L8" s="11" t="s">
        <v>12</v>
      </c>
      <c r="M8" s="11" t="s">
        <v>13</v>
      </c>
      <c r="N8" s="11" t="s">
        <v>14</v>
      </c>
      <c r="O8" s="11" t="s">
        <v>15</v>
      </c>
      <c r="P8" s="11" t="s">
        <v>16</v>
      </c>
      <c r="Q8" s="11" t="s">
        <v>12</v>
      </c>
      <c r="R8" s="11" t="s">
        <v>13</v>
      </c>
      <c r="S8" s="11" t="s">
        <v>14</v>
      </c>
      <c r="T8" s="11" t="s">
        <v>15</v>
      </c>
      <c r="U8" s="11" t="s">
        <v>16</v>
      </c>
      <c r="V8" s="11"/>
      <c r="W8" s="14" t="s">
        <v>17</v>
      </c>
      <c r="X8" s="14" t="s">
        <v>18</v>
      </c>
      <c r="Y8" s="14" t="s">
        <v>19</v>
      </c>
      <c r="Z8" s="14" t="s">
        <v>20</v>
      </c>
      <c r="AA8" s="14" t="s">
        <v>21</v>
      </c>
      <c r="AB8" s="19" t="s">
        <v>17</v>
      </c>
      <c r="AC8" s="19" t="s">
        <v>18</v>
      </c>
      <c r="AD8" s="19" t="s">
        <v>19</v>
      </c>
      <c r="AE8" s="19" t="s">
        <v>20</v>
      </c>
      <c r="AF8" s="19" t="s">
        <v>21</v>
      </c>
      <c r="AG8" s="14" t="s">
        <v>17</v>
      </c>
      <c r="AH8" s="14" t="s">
        <v>18</v>
      </c>
      <c r="AI8" s="14" t="s">
        <v>19</v>
      </c>
      <c r="AJ8" s="14" t="s">
        <v>20</v>
      </c>
      <c r="AK8" s="14" t="s">
        <v>21</v>
      </c>
      <c r="AL8" s="14" t="s">
        <v>17</v>
      </c>
      <c r="AM8" s="14" t="s">
        <v>18</v>
      </c>
      <c r="AN8" s="14" t="s">
        <v>19</v>
      </c>
      <c r="AO8" s="14" t="s">
        <v>20</v>
      </c>
      <c r="AP8" s="14" t="s">
        <v>21</v>
      </c>
    </row>
    <row r="9" spans="1:16384" x14ac:dyDescent="0.25">
      <c r="A9" s="20" t="s">
        <v>22</v>
      </c>
      <c r="B9" s="21">
        <v>1509</v>
      </c>
      <c r="C9" s="21">
        <v>1467</v>
      </c>
      <c r="D9" s="21">
        <v>1386</v>
      </c>
      <c r="E9" s="21">
        <v>1374</v>
      </c>
      <c r="F9" s="21">
        <v>1356</v>
      </c>
      <c r="G9" s="22">
        <v>2.3190944927268956E-3</v>
      </c>
      <c r="H9" s="22">
        <v>2.2365498284092141E-3</v>
      </c>
      <c r="I9" s="22">
        <v>2.1017482724266096E-3</v>
      </c>
      <c r="J9" s="22">
        <v>2.0730423027365968E-3</v>
      </c>
      <c r="K9" s="22">
        <v>2.0654044750430291E-3</v>
      </c>
      <c r="L9" s="21">
        <v>1422</v>
      </c>
      <c r="M9" s="21">
        <v>1380</v>
      </c>
      <c r="N9" s="21">
        <v>1283</v>
      </c>
      <c r="O9" s="21">
        <v>1271</v>
      </c>
      <c r="P9" s="21">
        <v>1225</v>
      </c>
      <c r="Q9" s="22">
        <v>0.94234592445328036</v>
      </c>
      <c r="R9" s="22">
        <v>0.94069529652351735</v>
      </c>
      <c r="S9" s="22">
        <v>0.92568542568542567</v>
      </c>
      <c r="T9" s="22">
        <v>0.92503639010189231</v>
      </c>
      <c r="U9" s="22">
        <v>0.90339233038348088</v>
      </c>
      <c r="V9" s="21"/>
      <c r="W9" s="21">
        <v>0</v>
      </c>
      <c r="X9" s="21">
        <v>0</v>
      </c>
      <c r="Y9" s="21">
        <v>1813</v>
      </c>
      <c r="Z9" s="21">
        <v>2086</v>
      </c>
      <c r="AA9" s="21">
        <v>1467</v>
      </c>
      <c r="AB9" s="22">
        <v>0</v>
      </c>
      <c r="AC9" s="22">
        <v>0</v>
      </c>
      <c r="AD9" s="22">
        <v>2.7633109128680669E-3</v>
      </c>
      <c r="AE9" s="22">
        <v>3.2336272430769993E-3</v>
      </c>
      <c r="AF9" s="22">
        <v>2.2365498284092141E-3</v>
      </c>
      <c r="AG9" s="21">
        <v>0</v>
      </c>
      <c r="AH9" s="21">
        <v>0</v>
      </c>
      <c r="AI9" s="21">
        <v>1813</v>
      </c>
      <c r="AJ9" s="21">
        <v>1901</v>
      </c>
      <c r="AK9" s="21">
        <v>1380</v>
      </c>
      <c r="AL9" s="22">
        <v>0</v>
      </c>
      <c r="AM9" s="22">
        <v>0</v>
      </c>
      <c r="AN9" s="22">
        <v>1</v>
      </c>
      <c r="AO9" s="22">
        <v>0.91131351869606902</v>
      </c>
      <c r="AP9" s="22">
        <v>0.94069529652351735</v>
      </c>
    </row>
    <row r="10" spans="1:16384" x14ac:dyDescent="0.25">
      <c r="A10" s="20" t="s">
        <v>23</v>
      </c>
      <c r="B10" s="21">
        <v>12130</v>
      </c>
      <c r="C10" s="21">
        <v>12220</v>
      </c>
      <c r="D10" s="21">
        <v>12294</v>
      </c>
      <c r="E10" s="21">
        <v>12509</v>
      </c>
      <c r="F10" s="21">
        <v>11808</v>
      </c>
      <c r="G10" s="22">
        <v>1.8641892774537604E-2</v>
      </c>
      <c r="H10" s="22">
        <v>1.8630292367525968E-2</v>
      </c>
      <c r="I10" s="22">
        <v>1.8642780130745121E-2</v>
      </c>
      <c r="J10" s="22">
        <v>1.8873134035612874E-2</v>
      </c>
      <c r="K10" s="22">
        <v>1.7985469057011864E-2</v>
      </c>
      <c r="L10" s="21">
        <v>2544</v>
      </c>
      <c r="M10" s="21">
        <v>2657</v>
      </c>
      <c r="N10" s="21">
        <v>2687</v>
      </c>
      <c r="O10" s="21">
        <v>2751</v>
      </c>
      <c r="P10" s="21">
        <v>2351</v>
      </c>
      <c r="Q10" s="22">
        <v>0.20972794723825228</v>
      </c>
      <c r="R10" s="22">
        <v>0.217430441898527</v>
      </c>
      <c r="S10" s="22">
        <v>0.21856190011387669</v>
      </c>
      <c r="T10" s="22">
        <v>0.21992165640738667</v>
      </c>
      <c r="U10" s="22">
        <v>0.19910230352303523</v>
      </c>
      <c r="V10" s="21"/>
      <c r="W10" s="21">
        <v>12660</v>
      </c>
      <c r="X10" s="21">
        <v>12465</v>
      </c>
      <c r="Y10" s="21">
        <v>12156</v>
      </c>
      <c r="Z10" s="21">
        <v>11853</v>
      </c>
      <c r="AA10" s="21">
        <v>12220</v>
      </c>
      <c r="AB10" s="22">
        <v>2.8069024080384718E-2</v>
      </c>
      <c r="AC10" s="22">
        <v>2.761304957500493E-2</v>
      </c>
      <c r="AD10" s="22">
        <v>1.8527748183576515E-2</v>
      </c>
      <c r="AE10" s="22">
        <v>1.8374009449756316E-2</v>
      </c>
      <c r="AF10" s="22">
        <v>1.8630292367525968E-2</v>
      </c>
      <c r="AG10" s="21">
        <v>1732</v>
      </c>
      <c r="AH10" s="21">
        <v>2062</v>
      </c>
      <c r="AI10" s="21">
        <v>2355</v>
      </c>
      <c r="AJ10" s="21">
        <v>2323</v>
      </c>
      <c r="AK10" s="21">
        <v>2657</v>
      </c>
      <c r="AL10" s="22">
        <v>0.13680884676145338</v>
      </c>
      <c r="AM10" s="22">
        <v>0.16542318491776975</v>
      </c>
      <c r="AN10" s="22">
        <v>0.19373149062191511</v>
      </c>
      <c r="AO10" s="22">
        <v>0.19598413903653084</v>
      </c>
      <c r="AP10" s="22">
        <v>0.217430441898527</v>
      </c>
    </row>
    <row r="11" spans="1:16384" x14ac:dyDescent="0.25">
      <c r="A11" s="20" t="s">
        <v>24</v>
      </c>
      <c r="B11" s="21">
        <v>115101</v>
      </c>
      <c r="C11" s="21">
        <v>115706</v>
      </c>
      <c r="D11" s="21">
        <v>114283</v>
      </c>
      <c r="E11" s="21">
        <v>115398</v>
      </c>
      <c r="F11" s="21">
        <v>118721</v>
      </c>
      <c r="G11" s="22">
        <v>0.17689204453767951</v>
      </c>
      <c r="H11" s="22">
        <v>0.17640234113559408</v>
      </c>
      <c r="I11" s="22">
        <v>0.17330021487570721</v>
      </c>
      <c r="J11" s="22">
        <v>0.17410839567044964</v>
      </c>
      <c r="K11" s="22">
        <v>0.18083103590087277</v>
      </c>
      <c r="L11" s="21">
        <v>89549</v>
      </c>
      <c r="M11" s="21">
        <v>91557</v>
      </c>
      <c r="N11" s="21">
        <v>90960</v>
      </c>
      <c r="O11" s="21">
        <v>92534</v>
      </c>
      <c r="P11" s="21">
        <v>94751</v>
      </c>
      <c r="Q11" s="22">
        <v>0.7780036663452099</v>
      </c>
      <c r="R11" s="22">
        <v>0.79128999360448027</v>
      </c>
      <c r="S11" s="22">
        <v>0.79591890307394797</v>
      </c>
      <c r="T11" s="22">
        <v>0.80186831660860669</v>
      </c>
      <c r="U11" s="22">
        <v>0.79809806184247101</v>
      </c>
      <c r="V11" s="21"/>
      <c r="W11" s="21">
        <v>96571</v>
      </c>
      <c r="X11" s="21">
        <v>91411</v>
      </c>
      <c r="Y11" s="21">
        <v>110901</v>
      </c>
      <c r="Z11" s="21">
        <v>105707</v>
      </c>
      <c r="AA11" s="21">
        <v>115706</v>
      </c>
      <c r="AB11" s="22">
        <v>0.21411166859927588</v>
      </c>
      <c r="AC11" s="22">
        <v>0.20249791213002613</v>
      </c>
      <c r="AD11" s="22">
        <v>0.16903140846551654</v>
      </c>
      <c r="AE11" s="22">
        <v>0.16386243287820729</v>
      </c>
      <c r="AF11" s="22">
        <v>0.17640234113559408</v>
      </c>
      <c r="AG11" s="21">
        <v>71154</v>
      </c>
      <c r="AH11" s="21">
        <v>66853</v>
      </c>
      <c r="AI11" s="21">
        <v>79332</v>
      </c>
      <c r="AJ11" s="21">
        <v>76873</v>
      </c>
      <c r="AK11" s="21">
        <v>91557</v>
      </c>
      <c r="AL11" s="22">
        <v>0.73680504499280319</v>
      </c>
      <c r="AM11" s="22">
        <v>0.73134524291387248</v>
      </c>
      <c r="AN11" s="22">
        <v>0.71534070928125082</v>
      </c>
      <c r="AO11" s="22">
        <v>0.72722714673578859</v>
      </c>
      <c r="AP11" s="22">
        <v>0.79128999360448027</v>
      </c>
    </row>
    <row r="12" spans="1:16384" x14ac:dyDescent="0.25">
      <c r="A12" s="20" t="s">
        <v>25</v>
      </c>
      <c r="B12" s="21">
        <v>18971</v>
      </c>
      <c r="C12" s="21">
        <v>24231</v>
      </c>
      <c r="D12" s="21">
        <v>26091</v>
      </c>
      <c r="E12" s="21">
        <v>27809</v>
      </c>
      <c r="F12" s="21">
        <v>28235</v>
      </c>
      <c r="G12" s="22">
        <v>2.9155428509954895E-2</v>
      </c>
      <c r="H12" s="22">
        <v>3.6941948801761187E-2</v>
      </c>
      <c r="I12" s="22">
        <v>3.9564728842628183E-2</v>
      </c>
      <c r="J12" s="22">
        <v>4.1957229546435243E-2</v>
      </c>
      <c r="K12" s="22">
        <v>4.3006412502094346E-2</v>
      </c>
      <c r="L12" s="21">
        <v>18697</v>
      </c>
      <c r="M12" s="21">
        <v>23966</v>
      </c>
      <c r="N12" s="21">
        <v>25674</v>
      </c>
      <c r="O12" s="21">
        <v>27323</v>
      </c>
      <c r="P12" s="21">
        <v>27337</v>
      </c>
      <c r="Q12" s="22">
        <v>0.98555690264087292</v>
      </c>
      <c r="R12" s="22">
        <v>0.98906359621971851</v>
      </c>
      <c r="S12" s="22">
        <v>0.98401747729101985</v>
      </c>
      <c r="T12" s="22">
        <v>0.98252364342479048</v>
      </c>
      <c r="U12" s="22">
        <v>0.96819550203647953</v>
      </c>
      <c r="V12" s="21"/>
      <c r="W12" s="21">
        <v>0</v>
      </c>
      <c r="X12" s="21">
        <v>837</v>
      </c>
      <c r="Y12" s="21">
        <v>5348</v>
      </c>
      <c r="Z12" s="21">
        <v>10435</v>
      </c>
      <c r="AA12" s="21">
        <v>24231</v>
      </c>
      <c r="AB12" s="22">
        <v>0</v>
      </c>
      <c r="AC12" s="22">
        <v>1.8541614516068292E-3</v>
      </c>
      <c r="AD12" s="22">
        <v>8.1512337352556107E-3</v>
      </c>
      <c r="AE12" s="22">
        <v>1.6175886999764376E-2</v>
      </c>
      <c r="AF12" s="22">
        <v>3.6941948801761187E-2</v>
      </c>
      <c r="AG12" s="21">
        <v>0</v>
      </c>
      <c r="AH12" s="21">
        <v>823</v>
      </c>
      <c r="AI12" s="21">
        <v>5204</v>
      </c>
      <c r="AJ12" s="21">
        <v>10417</v>
      </c>
      <c r="AK12" s="21">
        <v>23966</v>
      </c>
      <c r="AL12" s="22">
        <v>0</v>
      </c>
      <c r="AM12" s="22">
        <v>0.98327359617682197</v>
      </c>
      <c r="AN12" s="22">
        <v>0.97307404637247574</v>
      </c>
      <c r="AO12" s="22">
        <v>0.99827503593675126</v>
      </c>
      <c r="AP12" s="22">
        <v>0.98906359621971851</v>
      </c>
    </row>
    <row r="13" spans="1:16384" x14ac:dyDescent="0.25">
      <c r="A13" s="20" t="s">
        <v>26</v>
      </c>
      <c r="B13" s="21">
        <v>2879</v>
      </c>
      <c r="C13" s="21">
        <v>2777</v>
      </c>
      <c r="D13" s="21">
        <v>3010</v>
      </c>
      <c r="E13" s="21">
        <v>3010</v>
      </c>
      <c r="F13" s="21">
        <v>3347</v>
      </c>
      <c r="G13" s="22">
        <v>4.4245679553086359E-3</v>
      </c>
      <c r="H13" s="22">
        <v>4.233741563389494E-3</v>
      </c>
      <c r="I13" s="22">
        <v>4.5644028138557679E-3</v>
      </c>
      <c r="J13" s="22">
        <v>4.5413808815408709E-3</v>
      </c>
      <c r="K13" s="22">
        <v>5.0980153229860025E-3</v>
      </c>
      <c r="L13" s="21">
        <v>2697</v>
      </c>
      <c r="M13" s="21">
        <v>2563</v>
      </c>
      <c r="N13" s="21">
        <v>2807</v>
      </c>
      <c r="O13" s="21">
        <v>2788</v>
      </c>
      <c r="P13" s="21">
        <v>2909</v>
      </c>
      <c r="Q13" s="22">
        <v>0.9367836054185481</v>
      </c>
      <c r="R13" s="22">
        <v>0.92293842275837235</v>
      </c>
      <c r="S13" s="22">
        <v>0.93255813953488376</v>
      </c>
      <c r="T13" s="22">
        <v>0.92624584717607972</v>
      </c>
      <c r="U13" s="22">
        <v>0.86913654018524056</v>
      </c>
      <c r="V13" s="21"/>
      <c r="W13" s="21">
        <v>83</v>
      </c>
      <c r="X13" s="21">
        <v>142</v>
      </c>
      <c r="Y13" s="21">
        <v>1541</v>
      </c>
      <c r="Z13" s="21">
        <v>2586</v>
      </c>
      <c r="AA13" s="21">
        <v>2777</v>
      </c>
      <c r="AB13" s="22">
        <v>1.8402282769920472E-4</v>
      </c>
      <c r="AC13" s="22">
        <v>3.1456502524273563E-4</v>
      </c>
      <c r="AD13" s="22">
        <v>2.3487380676942586E-3</v>
      </c>
      <c r="AE13" s="22">
        <v>4.0087056810149185E-3</v>
      </c>
      <c r="AF13" s="22">
        <v>4.233741563389494E-3</v>
      </c>
      <c r="AG13" s="21">
        <v>82</v>
      </c>
      <c r="AH13" s="21">
        <v>141</v>
      </c>
      <c r="AI13" s="21">
        <v>1398</v>
      </c>
      <c r="AJ13" s="21">
        <v>2436</v>
      </c>
      <c r="AK13" s="21">
        <v>2563</v>
      </c>
      <c r="AL13" s="22">
        <v>0.98795180722891562</v>
      </c>
      <c r="AM13" s="22">
        <v>0.99295774647887325</v>
      </c>
      <c r="AN13" s="22">
        <v>0.90720311486048022</v>
      </c>
      <c r="AO13" s="22">
        <v>0.94199535962877035</v>
      </c>
      <c r="AP13" s="22">
        <v>0.92293842275837235</v>
      </c>
    </row>
    <row r="14" spans="1:16384" x14ac:dyDescent="0.25">
      <c r="A14" s="20" t="s">
        <v>27</v>
      </c>
      <c r="B14" s="21">
        <v>35537</v>
      </c>
      <c r="C14" s="21">
        <v>35468</v>
      </c>
      <c r="D14" s="21">
        <v>35441</v>
      </c>
      <c r="E14" s="21">
        <v>35552</v>
      </c>
      <c r="F14" s="21">
        <v>35712</v>
      </c>
      <c r="G14" s="22">
        <v>5.4614752145815564E-2</v>
      </c>
      <c r="H14" s="22">
        <v>5.40735850811302E-2</v>
      </c>
      <c r="I14" s="22">
        <v>5.3743189410585472E-2</v>
      </c>
      <c r="J14" s="22">
        <v>5.363959239220633E-2</v>
      </c>
      <c r="K14" s="22">
        <v>5.4395077148035882E-2</v>
      </c>
      <c r="L14" s="21">
        <v>4355</v>
      </c>
      <c r="M14" s="21">
        <v>4192</v>
      </c>
      <c r="N14" s="21">
        <v>3899</v>
      </c>
      <c r="O14" s="21">
        <v>3750</v>
      </c>
      <c r="P14" s="21">
        <v>3598</v>
      </c>
      <c r="Q14" s="22">
        <v>0.12254832990967161</v>
      </c>
      <c r="R14" s="22">
        <v>0.11819104544941919</v>
      </c>
      <c r="S14" s="22">
        <v>0.11001382579498321</v>
      </c>
      <c r="T14" s="22">
        <v>0.10547929792979298</v>
      </c>
      <c r="U14" s="22">
        <v>0.10075044802867383</v>
      </c>
      <c r="V14" s="21"/>
      <c r="W14" s="21">
        <v>35986</v>
      </c>
      <c r="X14" s="21">
        <v>35881</v>
      </c>
      <c r="Y14" s="21">
        <v>36058</v>
      </c>
      <c r="Z14" s="21">
        <v>35191</v>
      </c>
      <c r="AA14" s="21">
        <v>35468</v>
      </c>
      <c r="AB14" s="22">
        <v>7.9786090091368445E-2</v>
      </c>
      <c r="AC14" s="22">
        <v>7.9485265286863366E-2</v>
      </c>
      <c r="AD14" s="22">
        <v>5.4958336953224905E-2</v>
      </c>
      <c r="AE14" s="22">
        <v>5.4551570618946638E-2</v>
      </c>
      <c r="AF14" s="22">
        <v>5.40735850811302E-2</v>
      </c>
      <c r="AG14" s="21">
        <v>3671</v>
      </c>
      <c r="AH14" s="21">
        <v>2996</v>
      </c>
      <c r="AI14" s="21">
        <v>5479</v>
      </c>
      <c r="AJ14" s="21">
        <v>4537</v>
      </c>
      <c r="AK14" s="21">
        <v>4192</v>
      </c>
      <c r="AL14" s="22">
        <v>0.10201189351414439</v>
      </c>
      <c r="AM14" s="22">
        <v>8.349823026114099E-2</v>
      </c>
      <c r="AN14" s="22">
        <v>0.15194963669643352</v>
      </c>
      <c r="AO14" s="22">
        <v>0.12892500923531586</v>
      </c>
      <c r="AP14" s="22">
        <v>0.11819104544941919</v>
      </c>
    </row>
    <row r="15" spans="1:16384" x14ac:dyDescent="0.25">
      <c r="A15" s="20" t="s">
        <v>29</v>
      </c>
      <c r="B15" s="21">
        <v>4151</v>
      </c>
      <c r="C15" s="21">
        <v>4348</v>
      </c>
      <c r="D15" s="21">
        <v>4750</v>
      </c>
      <c r="E15" s="21">
        <v>5147</v>
      </c>
      <c r="F15" s="21">
        <v>5159</v>
      </c>
      <c r="G15" s="22">
        <v>6.3794309074283254E-3</v>
      </c>
      <c r="H15" s="22">
        <v>6.6288470715223325E-3</v>
      </c>
      <c r="I15" s="22">
        <v>7.2029612511012951E-3</v>
      </c>
      <c r="J15" s="22">
        <v>7.7656104309936419E-3</v>
      </c>
      <c r="K15" s="22">
        <v>7.8579805949461571E-3</v>
      </c>
      <c r="L15" s="21">
        <v>4151</v>
      </c>
      <c r="M15" s="21">
        <v>4348</v>
      </c>
      <c r="N15" s="21">
        <v>4750</v>
      </c>
      <c r="O15" s="21">
        <v>5147</v>
      </c>
      <c r="P15" s="21">
        <v>5064</v>
      </c>
      <c r="Q15" s="22">
        <v>1</v>
      </c>
      <c r="R15" s="22">
        <v>1</v>
      </c>
      <c r="S15" s="22">
        <v>1</v>
      </c>
      <c r="T15" s="22">
        <v>1</v>
      </c>
      <c r="U15" s="22">
        <v>0.98158557860050399</v>
      </c>
      <c r="V15" s="21"/>
      <c r="W15" s="21">
        <v>73</v>
      </c>
      <c r="X15" s="21">
        <v>770</v>
      </c>
      <c r="Y15" s="21">
        <v>1950</v>
      </c>
      <c r="Z15" s="21">
        <v>2259</v>
      </c>
      <c r="AA15" s="21">
        <v>4348</v>
      </c>
      <c r="AB15" s="22">
        <v>1.6185140267520415E-4</v>
      </c>
      <c r="AC15" s="22">
        <v>1.7057399256120173E-3</v>
      </c>
      <c r="AD15" s="22">
        <v>2.9721215003269334E-3</v>
      </c>
      <c r="AE15" s="22">
        <v>3.5018043826035195E-3</v>
      </c>
      <c r="AF15" s="22">
        <v>6.6288470715223325E-3</v>
      </c>
      <c r="AG15" s="21">
        <v>73</v>
      </c>
      <c r="AH15" s="21">
        <v>770</v>
      </c>
      <c r="AI15" s="21">
        <v>1921</v>
      </c>
      <c r="AJ15" s="21">
        <v>2259</v>
      </c>
      <c r="AK15" s="21">
        <v>4348</v>
      </c>
      <c r="AL15" s="22">
        <v>1</v>
      </c>
      <c r="AM15" s="22">
        <v>1</v>
      </c>
      <c r="AN15" s="22">
        <v>0.98512820512820509</v>
      </c>
      <c r="AO15" s="22">
        <v>1</v>
      </c>
      <c r="AP15" s="22">
        <v>1</v>
      </c>
    </row>
    <row r="16" spans="1:16384" x14ac:dyDescent="0.25">
      <c r="A16" s="20" t="s">
        <v>30</v>
      </c>
      <c r="B16" s="21">
        <v>4147</v>
      </c>
      <c r="C16" s="21">
        <v>4267</v>
      </c>
      <c r="D16" s="21">
        <v>4292</v>
      </c>
      <c r="E16" s="21">
        <v>6493</v>
      </c>
      <c r="F16" s="21">
        <v>4952</v>
      </c>
      <c r="G16" s="22">
        <v>6.3732835396543642E-3</v>
      </c>
      <c r="H16" s="22">
        <v>6.5053565901991243E-3</v>
      </c>
      <c r="I16" s="22">
        <v>6.5084441452056335E-3</v>
      </c>
      <c r="J16" s="22">
        <v>9.7964073301810214E-3</v>
      </c>
      <c r="K16" s="22">
        <v>7.5426865489771986E-3</v>
      </c>
      <c r="L16" s="21">
        <v>3976</v>
      </c>
      <c r="M16" s="21">
        <v>4102</v>
      </c>
      <c r="N16" s="21">
        <v>4121</v>
      </c>
      <c r="O16" s="21">
        <v>6077</v>
      </c>
      <c r="P16" s="21">
        <v>4639</v>
      </c>
      <c r="Q16" s="22">
        <v>0.95876537255847605</v>
      </c>
      <c r="R16" s="22">
        <v>0.96133114600421843</v>
      </c>
      <c r="S16" s="22">
        <v>0.96015843429636538</v>
      </c>
      <c r="T16" s="22">
        <v>0.93593100261820417</v>
      </c>
      <c r="U16" s="22">
        <v>0.93679321486268174</v>
      </c>
      <c r="V16" s="21"/>
      <c r="W16" s="21">
        <v>146</v>
      </c>
      <c r="X16" s="21">
        <v>2981</v>
      </c>
      <c r="Y16" s="21">
        <v>4594</v>
      </c>
      <c r="Z16" s="21">
        <v>3792</v>
      </c>
      <c r="AA16" s="21">
        <v>4267</v>
      </c>
      <c r="AB16" s="22">
        <v>3.2370280535040831E-4</v>
      </c>
      <c r="AC16" s="22">
        <v>6.6036502834408099E-3</v>
      </c>
      <c r="AD16" s="22">
        <v>7.0020134217958626E-3</v>
      </c>
      <c r="AE16" s="22">
        <v>5.8781948733211799E-3</v>
      </c>
      <c r="AF16" s="22">
        <v>6.5053565901991243E-3</v>
      </c>
      <c r="AG16" s="21">
        <v>146</v>
      </c>
      <c r="AH16" s="21">
        <v>2981</v>
      </c>
      <c r="AI16" s="21">
        <v>4503</v>
      </c>
      <c r="AJ16" s="21">
        <v>3671</v>
      </c>
      <c r="AK16" s="21">
        <v>4102</v>
      </c>
      <c r="AL16" s="22">
        <v>1</v>
      </c>
      <c r="AM16" s="22">
        <v>1</v>
      </c>
      <c r="AN16" s="22">
        <v>0.98019155420113191</v>
      </c>
      <c r="AO16" s="22">
        <v>0.96809071729957807</v>
      </c>
      <c r="AP16" s="22">
        <v>0.96133114600421843</v>
      </c>
    </row>
    <row r="17" spans="1:42" x14ac:dyDescent="0.25">
      <c r="A17" s="20" t="s">
        <v>31</v>
      </c>
      <c r="B17" s="21">
        <v>752</v>
      </c>
      <c r="C17" s="21">
        <v>773</v>
      </c>
      <c r="D17" s="21">
        <v>763</v>
      </c>
      <c r="E17" s="21">
        <v>784</v>
      </c>
      <c r="F17" s="21">
        <v>775</v>
      </c>
      <c r="G17" s="22">
        <v>1.1557051415047219E-3</v>
      </c>
      <c r="H17" s="22">
        <v>1.1784955810227146E-3</v>
      </c>
      <c r="I17" s="22">
        <v>1.1570230388611132E-3</v>
      </c>
      <c r="J17" s="22">
        <v>1.1828712993780873E-3</v>
      </c>
      <c r="K17" s="22">
        <v>1.1804487228306399E-3</v>
      </c>
      <c r="L17" s="21">
        <v>626</v>
      </c>
      <c r="M17" s="21">
        <v>634</v>
      </c>
      <c r="N17" s="21">
        <v>630</v>
      </c>
      <c r="O17" s="21">
        <v>645</v>
      </c>
      <c r="P17" s="21">
        <v>654</v>
      </c>
      <c r="Q17" s="22">
        <v>0.83244680851063835</v>
      </c>
      <c r="R17" s="22">
        <v>0.82018111254851234</v>
      </c>
      <c r="S17" s="22">
        <v>0.82568807339449546</v>
      </c>
      <c r="T17" s="22">
        <v>0.82270408163265307</v>
      </c>
      <c r="U17" s="22">
        <v>0.84387096774193548</v>
      </c>
      <c r="V17" s="21"/>
      <c r="W17" s="21">
        <v>7</v>
      </c>
      <c r="X17" s="21">
        <v>24</v>
      </c>
      <c r="Y17" s="21">
        <v>502</v>
      </c>
      <c r="Z17" s="21">
        <v>611</v>
      </c>
      <c r="AA17" s="21">
        <v>773</v>
      </c>
      <c r="AB17" s="22">
        <v>1.5519997516800397E-5</v>
      </c>
      <c r="AC17" s="22">
        <v>5.3165919759335605E-5</v>
      </c>
      <c r="AD17" s="22">
        <v>7.6513076572519E-4</v>
      </c>
      <c r="AE17" s="22">
        <v>9.4714585116013742E-4</v>
      </c>
      <c r="AF17" s="22">
        <v>1.1784955810227146E-3</v>
      </c>
      <c r="AG17" s="21">
        <v>7</v>
      </c>
      <c r="AH17" s="21">
        <v>24</v>
      </c>
      <c r="AI17" s="21">
        <v>473</v>
      </c>
      <c r="AJ17" s="21">
        <v>521</v>
      </c>
      <c r="AK17" s="21">
        <v>634</v>
      </c>
      <c r="AL17" s="22">
        <v>1</v>
      </c>
      <c r="AM17" s="22">
        <v>1</v>
      </c>
      <c r="AN17" s="22">
        <v>0.94223107569721121</v>
      </c>
      <c r="AO17" s="22">
        <v>0.85270049099836331</v>
      </c>
      <c r="AP17" s="22">
        <v>0.82018111254851234</v>
      </c>
    </row>
    <row r="18" spans="1:42" x14ac:dyDescent="0.25">
      <c r="A18" s="20" t="s">
        <v>33</v>
      </c>
      <c r="B18" s="21">
        <v>3308</v>
      </c>
      <c r="C18" s="21">
        <v>2993</v>
      </c>
      <c r="D18" s="21">
        <v>2739</v>
      </c>
      <c r="E18" s="21">
        <v>2465</v>
      </c>
      <c r="F18" s="21">
        <v>2336</v>
      </c>
      <c r="G18" s="22">
        <v>5.0838731490659844E-3</v>
      </c>
      <c r="H18" s="22">
        <v>4.5630495135847151E-3</v>
      </c>
      <c r="I18" s="22">
        <v>4.1534549193192518E-3</v>
      </c>
      <c r="J18" s="22">
        <v>3.7191042767436037E-3</v>
      </c>
      <c r="K18" s="22">
        <v>3.5581009245579027E-3</v>
      </c>
      <c r="L18" s="21">
        <v>3133</v>
      </c>
      <c r="M18" s="21">
        <v>2830</v>
      </c>
      <c r="N18" s="21">
        <v>2551</v>
      </c>
      <c r="O18" s="21">
        <v>2293</v>
      </c>
      <c r="P18" s="21">
        <v>2187</v>
      </c>
      <c r="Q18" s="22">
        <v>0.94709794437726724</v>
      </c>
      <c r="R18" s="22">
        <v>0.94553959238222518</v>
      </c>
      <c r="S18" s="22">
        <v>0.93136181087988312</v>
      </c>
      <c r="T18" s="22">
        <v>0.93022312373225147</v>
      </c>
      <c r="U18" s="22">
        <v>0.93621575342465757</v>
      </c>
      <c r="V18" s="21"/>
      <c r="W18" s="21">
        <v>47</v>
      </c>
      <c r="X18" s="21">
        <v>1285</v>
      </c>
      <c r="Y18" s="21">
        <v>2879</v>
      </c>
      <c r="Z18" s="21">
        <v>3578</v>
      </c>
      <c r="AA18" s="21">
        <v>2993</v>
      </c>
      <c r="AB18" s="22">
        <v>1.0420569761280267E-4</v>
      </c>
      <c r="AC18" s="22">
        <v>2.8465919537810939E-3</v>
      </c>
      <c r="AD18" s="22">
        <v>4.3880706663801238E-3</v>
      </c>
      <c r="AE18" s="22">
        <v>5.5464613018837506E-3</v>
      </c>
      <c r="AF18" s="22">
        <v>4.5630495135847151E-3</v>
      </c>
      <c r="AG18" s="21">
        <v>47</v>
      </c>
      <c r="AH18" s="21">
        <v>1281</v>
      </c>
      <c r="AI18" s="21">
        <v>2838</v>
      </c>
      <c r="AJ18" s="21">
        <v>3429</v>
      </c>
      <c r="AK18" s="21">
        <v>2830</v>
      </c>
      <c r="AL18" s="22">
        <v>1</v>
      </c>
      <c r="AM18" s="22">
        <v>0.99688715953307394</v>
      </c>
      <c r="AN18" s="22">
        <v>0.98575894407780484</v>
      </c>
      <c r="AO18" s="22">
        <v>0.95835662381218556</v>
      </c>
      <c r="AP18" s="22">
        <v>0.94553959238222518</v>
      </c>
    </row>
    <row r="19" spans="1:42" x14ac:dyDescent="0.25">
      <c r="A19" s="20" t="s">
        <v>34</v>
      </c>
      <c r="B19" s="21">
        <v>214</v>
      </c>
      <c r="C19" s="21">
        <v>280</v>
      </c>
      <c r="D19" s="21">
        <v>311</v>
      </c>
      <c r="E19" s="21">
        <v>332</v>
      </c>
      <c r="F19" s="21">
        <v>336</v>
      </c>
      <c r="G19" s="22">
        <v>3.2888417590692882E-4</v>
      </c>
      <c r="H19" s="22">
        <v>4.2688067617899109E-4</v>
      </c>
      <c r="I19" s="22">
        <v>4.7160441033526374E-4</v>
      </c>
      <c r="J19" s="22">
        <v>5.0090978494072061E-4</v>
      </c>
      <c r="K19" s="22">
        <v>5.1178163983367096E-4</v>
      </c>
      <c r="L19" s="21">
        <v>213</v>
      </c>
      <c r="M19" s="21">
        <v>279</v>
      </c>
      <c r="N19" s="21">
        <v>302</v>
      </c>
      <c r="O19" s="21">
        <v>316</v>
      </c>
      <c r="P19" s="21">
        <v>336</v>
      </c>
      <c r="Q19" s="22">
        <v>0.99532710280373837</v>
      </c>
      <c r="R19" s="22">
        <v>0.99642857142857144</v>
      </c>
      <c r="S19" s="22">
        <v>0.97106109324758838</v>
      </c>
      <c r="T19" s="22">
        <v>0.95180722891566261</v>
      </c>
      <c r="U19" s="22">
        <v>1</v>
      </c>
      <c r="V19" s="21"/>
      <c r="W19" s="21">
        <v>0</v>
      </c>
      <c r="X19" s="21">
        <v>0</v>
      </c>
      <c r="Y19" s="21">
        <v>0</v>
      </c>
      <c r="Z19" s="21">
        <v>19</v>
      </c>
      <c r="AA19" s="21">
        <v>280</v>
      </c>
      <c r="AB19" s="22">
        <v>0</v>
      </c>
      <c r="AC19" s="22">
        <v>0</v>
      </c>
      <c r="AD19" s="22">
        <v>0</v>
      </c>
      <c r="AE19" s="22">
        <v>2.9452980641640935E-5</v>
      </c>
      <c r="AF19" s="22">
        <v>4.2688067617899109E-4</v>
      </c>
      <c r="AG19" s="21">
        <v>0</v>
      </c>
      <c r="AH19" s="21">
        <v>0</v>
      </c>
      <c r="AI19" s="21">
        <v>0</v>
      </c>
      <c r="AJ19" s="21">
        <v>19</v>
      </c>
      <c r="AK19" s="21">
        <v>279</v>
      </c>
      <c r="AL19" s="22">
        <v>0</v>
      </c>
      <c r="AM19" s="22">
        <v>0</v>
      </c>
      <c r="AN19" s="22">
        <v>0</v>
      </c>
      <c r="AO19" s="22">
        <v>1</v>
      </c>
      <c r="AP19" s="22">
        <v>0.99642857142857144</v>
      </c>
    </row>
    <row r="20" spans="1:42" x14ac:dyDescent="0.25">
      <c r="A20" s="20" t="s">
        <v>172</v>
      </c>
      <c r="B20" s="21">
        <v>99383</v>
      </c>
      <c r="C20" s="21">
        <v>100607</v>
      </c>
      <c r="D20" s="21">
        <v>98784</v>
      </c>
      <c r="E20" s="21">
        <v>98050</v>
      </c>
      <c r="F20" s="21">
        <v>89420</v>
      </c>
      <c r="G20" s="22">
        <v>0.15273596286989866</v>
      </c>
      <c r="H20" s="22">
        <v>0.15338280067264198</v>
      </c>
      <c r="I20" s="22">
        <v>0.14979733141658744</v>
      </c>
      <c r="J20" s="22">
        <v>0.14793435064288452</v>
      </c>
      <c r="K20" s="22">
        <v>0.13620093522002041</v>
      </c>
      <c r="L20" s="21">
        <v>68263</v>
      </c>
      <c r="M20" s="21">
        <v>71412</v>
      </c>
      <c r="N20" s="21">
        <v>71548</v>
      </c>
      <c r="O20" s="21">
        <v>72449</v>
      </c>
      <c r="P20" s="21">
        <v>65489</v>
      </c>
      <c r="Q20" s="22">
        <v>0.68686797540826905</v>
      </c>
      <c r="R20" s="22">
        <v>0.70981144453169265</v>
      </c>
      <c r="S20" s="22">
        <v>0.72428733398121148</v>
      </c>
      <c r="T20" s="22">
        <v>0.73889852116267207</v>
      </c>
      <c r="U20" s="22">
        <v>0.7323753075374636</v>
      </c>
      <c r="V20" s="21"/>
      <c r="W20" s="21">
        <v>105943</v>
      </c>
      <c r="X20" s="21">
        <v>95158</v>
      </c>
      <c r="Y20" s="21">
        <v>98118</v>
      </c>
      <c r="Z20" s="21">
        <v>95901</v>
      </c>
      <c r="AA20" s="21">
        <v>100607</v>
      </c>
      <c r="AB20" s="22">
        <v>0.2348907281317692</v>
      </c>
      <c r="AC20" s="22">
        <v>0.21079844135245238</v>
      </c>
      <c r="AD20" s="22">
        <v>0.1495480089072195</v>
      </c>
      <c r="AE20" s="22">
        <v>0.1486615945533688</v>
      </c>
      <c r="AF20" s="22">
        <v>0.15338280067264198</v>
      </c>
      <c r="AG20" s="21">
        <v>35443</v>
      </c>
      <c r="AH20" s="21">
        <v>41808</v>
      </c>
      <c r="AI20" s="21">
        <v>55700</v>
      </c>
      <c r="AJ20" s="21">
        <v>60262</v>
      </c>
      <c r="AK20" s="21">
        <v>71412</v>
      </c>
      <c r="AL20" s="22">
        <v>0.33454782288589147</v>
      </c>
      <c r="AM20" s="22">
        <v>0.43935349629038023</v>
      </c>
      <c r="AN20" s="22">
        <v>0.56768380929085382</v>
      </c>
      <c r="AO20" s="22">
        <v>0.62837718063419568</v>
      </c>
      <c r="AP20" s="22">
        <v>0.70981144453169265</v>
      </c>
    </row>
    <row r="21" spans="1:42" x14ac:dyDescent="0.25">
      <c r="A21" s="20" t="s">
        <v>36</v>
      </c>
      <c r="B21" s="21">
        <v>263</v>
      </c>
      <c r="C21" s="21">
        <v>291</v>
      </c>
      <c r="D21" s="21">
        <v>329</v>
      </c>
      <c r="E21" s="21">
        <v>329</v>
      </c>
      <c r="F21" s="21">
        <v>371</v>
      </c>
      <c r="G21" s="22">
        <v>4.041894311379546E-4</v>
      </c>
      <c r="H21" s="22">
        <v>4.4365098845745144E-4</v>
      </c>
      <c r="I21" s="22">
        <v>4.9889984244470018E-4</v>
      </c>
      <c r="J21" s="22">
        <v>4.9638349170330446E-4</v>
      </c>
      <c r="K21" s="22">
        <v>5.65092227316345E-4</v>
      </c>
      <c r="L21" s="21">
        <v>263</v>
      </c>
      <c r="M21" s="21">
        <v>276</v>
      </c>
      <c r="N21" s="21">
        <v>313</v>
      </c>
      <c r="O21" s="21">
        <v>313</v>
      </c>
      <c r="P21" s="21">
        <v>355</v>
      </c>
      <c r="Q21" s="22">
        <v>1</v>
      </c>
      <c r="R21" s="22">
        <v>0.94845360824742264</v>
      </c>
      <c r="S21" s="22">
        <v>0.95136778115501519</v>
      </c>
      <c r="T21" s="22">
        <v>0.95136778115501519</v>
      </c>
      <c r="U21" s="22">
        <v>0.95687331536388143</v>
      </c>
      <c r="V21" s="21"/>
      <c r="W21" s="21">
        <v>0</v>
      </c>
      <c r="X21" s="21">
        <v>0</v>
      </c>
      <c r="Y21" s="21">
        <v>2</v>
      </c>
      <c r="Z21" s="21">
        <v>184</v>
      </c>
      <c r="AA21" s="21">
        <v>291</v>
      </c>
      <c r="AB21" s="22">
        <v>0</v>
      </c>
      <c r="AC21" s="22">
        <v>0</v>
      </c>
      <c r="AD21" s="22">
        <v>3.04832974392506E-6</v>
      </c>
      <c r="AE21" s="22">
        <v>2.8522886516115431E-4</v>
      </c>
      <c r="AF21" s="22">
        <v>4.4365098845745144E-4</v>
      </c>
      <c r="AG21" s="21">
        <v>0</v>
      </c>
      <c r="AH21" s="21">
        <v>0</v>
      </c>
      <c r="AI21" s="21">
        <v>2</v>
      </c>
      <c r="AJ21" s="21">
        <v>184</v>
      </c>
      <c r="AK21" s="21">
        <v>276</v>
      </c>
      <c r="AL21" s="22">
        <v>0</v>
      </c>
      <c r="AM21" s="22">
        <v>0</v>
      </c>
      <c r="AN21" s="22">
        <v>1</v>
      </c>
      <c r="AO21" s="22">
        <v>1</v>
      </c>
      <c r="AP21" s="22">
        <v>0.94845360824742264</v>
      </c>
    </row>
    <row r="22" spans="1:42" x14ac:dyDescent="0.25">
      <c r="A22" s="20" t="s">
        <v>84</v>
      </c>
      <c r="B22" s="21">
        <v>0</v>
      </c>
      <c r="C22" s="21">
        <v>0</v>
      </c>
      <c r="D22" s="21">
        <v>0</v>
      </c>
      <c r="E22" s="21">
        <v>42</v>
      </c>
      <c r="F22" s="21">
        <v>41</v>
      </c>
      <c r="G22" s="22">
        <v>0</v>
      </c>
      <c r="H22" s="22">
        <v>0</v>
      </c>
      <c r="I22" s="22">
        <v>0</v>
      </c>
      <c r="J22" s="22">
        <v>6.3368105323826111E-5</v>
      </c>
      <c r="K22" s="22">
        <v>6.244954533684675E-5</v>
      </c>
      <c r="L22" s="21">
        <v>0</v>
      </c>
      <c r="M22" s="21">
        <v>0</v>
      </c>
      <c r="N22" s="21">
        <v>0</v>
      </c>
      <c r="O22" s="21">
        <v>42</v>
      </c>
      <c r="P22" s="21">
        <v>41</v>
      </c>
      <c r="Q22" s="22">
        <v>0</v>
      </c>
      <c r="R22" s="22">
        <v>0</v>
      </c>
      <c r="S22" s="22">
        <v>0</v>
      </c>
      <c r="T22" s="22">
        <v>1</v>
      </c>
      <c r="U22" s="22">
        <v>1</v>
      </c>
      <c r="V22" s="21"/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</row>
    <row r="23" spans="1:42" x14ac:dyDescent="0.25">
      <c r="A23" s="20" t="s">
        <v>37</v>
      </c>
      <c r="B23" s="21">
        <v>86456</v>
      </c>
      <c r="C23" s="21">
        <v>88873</v>
      </c>
      <c r="D23" s="21">
        <v>88214</v>
      </c>
      <c r="E23" s="21">
        <v>88544</v>
      </c>
      <c r="F23" s="21">
        <v>88010</v>
      </c>
      <c r="G23" s="22">
        <v>0.13286920706639926</v>
      </c>
      <c r="H23" s="22">
        <v>0.13549345119305525</v>
      </c>
      <c r="I23" s="22">
        <v>0.13376884711676834</v>
      </c>
      <c r="J23" s="22">
        <v>0.1335920361379252</v>
      </c>
      <c r="K23" s="22">
        <v>0.13405328012428983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1"/>
      <c r="W23" s="21">
        <v>0</v>
      </c>
      <c r="X23" s="21">
        <v>0</v>
      </c>
      <c r="Y23" s="21">
        <v>91580</v>
      </c>
      <c r="Z23" s="21">
        <v>89960</v>
      </c>
      <c r="AA23" s="21">
        <v>88873</v>
      </c>
      <c r="AB23" s="22">
        <v>0</v>
      </c>
      <c r="AC23" s="22">
        <v>0</v>
      </c>
      <c r="AD23" s="22">
        <v>0.13958301897432848</v>
      </c>
      <c r="AE23" s="22">
        <v>0.13945211255379045</v>
      </c>
      <c r="AF23" s="22">
        <v>0.13549345119305525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</row>
    <row r="24" spans="1:42" x14ac:dyDescent="0.25">
      <c r="A24" s="20" t="s">
        <v>85</v>
      </c>
      <c r="B24" s="21">
        <v>3769</v>
      </c>
      <c r="C24" s="21">
        <v>3738</v>
      </c>
      <c r="D24" s="21">
        <v>635</v>
      </c>
      <c r="E24" s="21">
        <v>620</v>
      </c>
      <c r="F24" s="21">
        <v>3020</v>
      </c>
      <c r="G24" s="22">
        <v>5.7923572850150226E-3</v>
      </c>
      <c r="H24" s="22">
        <v>5.6988570269895312E-3</v>
      </c>
      <c r="I24" s="22">
        <v>9.6292218830512047E-4</v>
      </c>
      <c r="J24" s="22">
        <v>9.3543393573267109E-4</v>
      </c>
      <c r="K24" s="22">
        <v>4.5999421199335901E-3</v>
      </c>
      <c r="L24" s="21">
        <v>3707</v>
      </c>
      <c r="M24" s="21">
        <v>3675</v>
      </c>
      <c r="N24" s="21">
        <v>523</v>
      </c>
      <c r="O24" s="21">
        <v>431</v>
      </c>
      <c r="P24" s="21">
        <v>426</v>
      </c>
      <c r="Q24" s="22">
        <v>0.98355001326611835</v>
      </c>
      <c r="R24" s="22">
        <v>0.9831460674157303</v>
      </c>
      <c r="S24" s="22">
        <v>0.82362204724409449</v>
      </c>
      <c r="T24" s="22">
        <v>0.69516129032258067</v>
      </c>
      <c r="U24" s="22">
        <v>0.14105960264900663</v>
      </c>
      <c r="V24" s="21"/>
      <c r="W24" s="21">
        <v>108</v>
      </c>
      <c r="X24" s="21">
        <v>3225</v>
      </c>
      <c r="Y24" s="21">
        <v>4928</v>
      </c>
      <c r="Z24" s="21">
        <v>4227</v>
      </c>
      <c r="AA24" s="21">
        <v>3738</v>
      </c>
      <c r="AB24" s="22">
        <v>2.3945139025920612E-4</v>
      </c>
      <c r="AC24" s="22">
        <v>7.1441704676607218E-3</v>
      </c>
      <c r="AD24" s="22">
        <v>7.5110844890313479E-3</v>
      </c>
      <c r="AE24" s="22">
        <v>6.5525131143271695E-3</v>
      </c>
      <c r="AF24" s="22">
        <v>5.6988570269895312E-3</v>
      </c>
      <c r="AG24" s="21">
        <v>105</v>
      </c>
      <c r="AH24" s="21">
        <v>3223</v>
      </c>
      <c r="AI24" s="21">
        <v>4912</v>
      </c>
      <c r="AJ24" s="21">
        <v>4179</v>
      </c>
      <c r="AK24" s="21">
        <v>3675</v>
      </c>
      <c r="AL24" s="22">
        <v>0.97222222222222221</v>
      </c>
      <c r="AM24" s="22">
        <v>0.99937984496124033</v>
      </c>
      <c r="AN24" s="22">
        <v>0.99675324675324672</v>
      </c>
      <c r="AO24" s="22">
        <v>0.98864442867281765</v>
      </c>
      <c r="AP24" s="22">
        <v>0.9831460674157303</v>
      </c>
    </row>
    <row r="25" spans="1:42" x14ac:dyDescent="0.25">
      <c r="A25" s="20" t="s">
        <v>39</v>
      </c>
      <c r="B25" s="21">
        <v>0</v>
      </c>
      <c r="C25" s="21">
        <v>3</v>
      </c>
      <c r="D25" s="21">
        <v>2</v>
      </c>
      <c r="E25" s="21">
        <v>417</v>
      </c>
      <c r="F25" s="21">
        <v>494</v>
      </c>
      <c r="G25" s="22">
        <v>0</v>
      </c>
      <c r="H25" s="22">
        <v>4.5737215304891902E-6</v>
      </c>
      <c r="I25" s="22">
        <v>3.0328257899373875E-6</v>
      </c>
      <c r="J25" s="22">
        <v>6.2915476000084496E-4</v>
      </c>
      <c r="K25" s="22">
        <v>7.5244086332688529E-4</v>
      </c>
      <c r="L25" s="21">
        <v>0</v>
      </c>
      <c r="M25" s="21">
        <v>3</v>
      </c>
      <c r="N25" s="21">
        <v>2</v>
      </c>
      <c r="O25" s="21">
        <v>417</v>
      </c>
      <c r="P25" s="21">
        <v>394</v>
      </c>
      <c r="Q25" s="22">
        <v>0</v>
      </c>
      <c r="R25" s="22">
        <v>1</v>
      </c>
      <c r="S25" s="22">
        <v>1</v>
      </c>
      <c r="T25" s="22">
        <v>1</v>
      </c>
      <c r="U25" s="22">
        <v>0.79757085020242913</v>
      </c>
      <c r="V25" s="21"/>
      <c r="W25" s="21">
        <v>0</v>
      </c>
      <c r="X25" s="21">
        <v>0</v>
      </c>
      <c r="Y25" s="21">
        <v>0</v>
      </c>
      <c r="Z25" s="21">
        <v>0</v>
      </c>
      <c r="AA25" s="21">
        <v>3</v>
      </c>
      <c r="AB25" s="22">
        <v>0</v>
      </c>
      <c r="AC25" s="22">
        <v>0</v>
      </c>
      <c r="AD25" s="22">
        <v>0</v>
      </c>
      <c r="AE25" s="22">
        <v>0</v>
      </c>
      <c r="AF25" s="22">
        <v>4.5737215304891902E-6</v>
      </c>
      <c r="AG25" s="21">
        <v>0</v>
      </c>
      <c r="AH25" s="21">
        <v>0</v>
      </c>
      <c r="AI25" s="21">
        <v>0</v>
      </c>
      <c r="AJ25" s="21">
        <v>0</v>
      </c>
      <c r="AK25" s="21">
        <v>3</v>
      </c>
      <c r="AL25" s="22">
        <v>0</v>
      </c>
      <c r="AM25" s="22">
        <v>0</v>
      </c>
      <c r="AN25" s="22">
        <v>0</v>
      </c>
      <c r="AO25" s="22">
        <v>0</v>
      </c>
      <c r="AP25" s="22">
        <v>1</v>
      </c>
    </row>
    <row r="26" spans="1:42" x14ac:dyDescent="0.25">
      <c r="A26" s="20" t="s">
        <v>40</v>
      </c>
      <c r="B26" s="21">
        <v>0</v>
      </c>
      <c r="C26" s="21">
        <v>0</v>
      </c>
      <c r="D26" s="21">
        <v>0</v>
      </c>
      <c r="E26" s="21">
        <v>0</v>
      </c>
      <c r="F26" s="21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1"/>
      <c r="W26" s="21">
        <v>8</v>
      </c>
      <c r="X26" s="21">
        <v>237</v>
      </c>
      <c r="Y26" s="21">
        <v>0</v>
      </c>
      <c r="Z26" s="21">
        <v>0</v>
      </c>
      <c r="AA26" s="21">
        <v>0</v>
      </c>
      <c r="AB26" s="22">
        <v>1.7737140019200454E-5</v>
      </c>
      <c r="AC26" s="22">
        <v>5.250134576234391E-4</v>
      </c>
      <c r="AD26" s="22">
        <v>0</v>
      </c>
      <c r="AE26" s="22">
        <v>0</v>
      </c>
      <c r="AF26" s="22">
        <v>0</v>
      </c>
      <c r="AG26" s="21">
        <v>8</v>
      </c>
      <c r="AH26" s="21">
        <v>237</v>
      </c>
      <c r="AI26" s="21">
        <v>0</v>
      </c>
      <c r="AJ26" s="21">
        <v>0</v>
      </c>
      <c r="AK26" s="21">
        <v>0</v>
      </c>
      <c r="AL26" s="22">
        <v>1</v>
      </c>
      <c r="AM26" s="22">
        <v>1</v>
      </c>
      <c r="AN26" s="22">
        <v>0</v>
      </c>
      <c r="AO26" s="22">
        <v>0</v>
      </c>
      <c r="AP26" s="22">
        <v>0</v>
      </c>
    </row>
    <row r="27" spans="1:42" x14ac:dyDescent="0.25">
      <c r="A27" s="20" t="s">
        <v>41</v>
      </c>
      <c r="B27" s="21">
        <v>153</v>
      </c>
      <c r="C27" s="21">
        <v>151</v>
      </c>
      <c r="D27" s="21">
        <v>157</v>
      </c>
      <c r="E27" s="21">
        <v>199</v>
      </c>
      <c r="F27" s="21">
        <v>685</v>
      </c>
      <c r="G27" s="22">
        <v>2.3513681735401923E-4</v>
      </c>
      <c r="H27" s="22">
        <v>2.3021065036795589E-4</v>
      </c>
      <c r="I27" s="22">
        <v>2.380768245100849E-4</v>
      </c>
      <c r="J27" s="22">
        <v>3.0024411808193797E-4</v>
      </c>
      <c r="K27" s="22">
        <v>1.0433643550180494E-3</v>
      </c>
      <c r="L27" s="21">
        <v>153</v>
      </c>
      <c r="M27" s="21">
        <v>151</v>
      </c>
      <c r="N27" s="21">
        <v>157</v>
      </c>
      <c r="O27" s="21">
        <v>199</v>
      </c>
      <c r="P27" s="21">
        <v>685</v>
      </c>
      <c r="Q27" s="22">
        <v>1</v>
      </c>
      <c r="R27" s="22">
        <v>1</v>
      </c>
      <c r="S27" s="22">
        <v>1</v>
      </c>
      <c r="T27" s="22">
        <v>1</v>
      </c>
      <c r="U27" s="22">
        <v>1</v>
      </c>
      <c r="V27" s="21"/>
      <c r="W27" s="21">
        <v>0</v>
      </c>
      <c r="X27" s="21">
        <v>0</v>
      </c>
      <c r="Y27" s="21">
        <v>114</v>
      </c>
      <c r="Z27" s="21">
        <v>117</v>
      </c>
      <c r="AA27" s="21">
        <v>151</v>
      </c>
      <c r="AB27" s="22">
        <v>0</v>
      </c>
      <c r="AC27" s="22">
        <v>0</v>
      </c>
      <c r="AD27" s="22">
        <v>1.737547954037284E-4</v>
      </c>
      <c r="AE27" s="22">
        <v>1.8136835447747312E-4</v>
      </c>
      <c r="AF27" s="22">
        <v>2.3021065036795589E-4</v>
      </c>
      <c r="AG27" s="21">
        <v>0</v>
      </c>
      <c r="AH27" s="21">
        <v>0</v>
      </c>
      <c r="AI27" s="21">
        <v>114</v>
      </c>
      <c r="AJ27" s="21">
        <v>117</v>
      </c>
      <c r="AK27" s="21">
        <v>151</v>
      </c>
      <c r="AL27" s="22">
        <v>0</v>
      </c>
      <c r="AM27" s="22">
        <v>0</v>
      </c>
      <c r="AN27" s="22">
        <v>1</v>
      </c>
      <c r="AO27" s="22">
        <v>1</v>
      </c>
      <c r="AP27" s="22">
        <v>1</v>
      </c>
    </row>
    <row r="28" spans="1:42" x14ac:dyDescent="0.25">
      <c r="A28" s="20" t="s">
        <v>42</v>
      </c>
      <c r="B28" s="21">
        <v>5100</v>
      </c>
      <c r="C28" s="21">
        <v>5396</v>
      </c>
      <c r="D28" s="21">
        <v>5169</v>
      </c>
      <c r="E28" s="21">
        <v>4843</v>
      </c>
      <c r="F28" s="21">
        <v>3899</v>
      </c>
      <c r="G28" s="22">
        <v>7.8378939118006405E-3</v>
      </c>
      <c r="H28" s="22">
        <v>8.2266004595065566E-3</v>
      </c>
      <c r="I28" s="22">
        <v>7.8383382540931773E-3</v>
      </c>
      <c r="J28" s="22">
        <v>7.3069460496021392E-3</v>
      </c>
      <c r="K28" s="22">
        <v>5.9387994455698898E-3</v>
      </c>
      <c r="L28" s="21">
        <v>4894</v>
      </c>
      <c r="M28" s="21">
        <v>5146</v>
      </c>
      <c r="N28" s="21">
        <v>4937</v>
      </c>
      <c r="O28" s="21">
        <v>4658</v>
      </c>
      <c r="P28" s="21">
        <v>3726</v>
      </c>
      <c r="Q28" s="22">
        <v>0.95960784313725489</v>
      </c>
      <c r="R28" s="22">
        <v>0.95366938472942919</v>
      </c>
      <c r="S28" s="22">
        <v>0.955117043915651</v>
      </c>
      <c r="T28" s="22">
        <v>0.96180053685731981</v>
      </c>
      <c r="U28" s="22">
        <v>0.95562964862785327</v>
      </c>
      <c r="V28" s="21"/>
      <c r="W28" s="21">
        <v>2010</v>
      </c>
      <c r="X28" s="21">
        <v>2105</v>
      </c>
      <c r="Y28" s="21">
        <v>3629</v>
      </c>
      <c r="Z28" s="21">
        <v>6198</v>
      </c>
      <c r="AA28" s="21">
        <v>5396</v>
      </c>
      <c r="AB28" s="22">
        <v>4.4564564298241139E-3</v>
      </c>
      <c r="AC28" s="22">
        <v>4.66309421222506E-3</v>
      </c>
      <c r="AD28" s="22">
        <v>5.5311943203520215E-3</v>
      </c>
      <c r="AE28" s="22">
        <v>9.6078723166784473E-3</v>
      </c>
      <c r="AF28" s="22">
        <v>8.2266004595065566E-3</v>
      </c>
      <c r="AG28" s="21">
        <v>1859</v>
      </c>
      <c r="AH28" s="21">
        <v>1942</v>
      </c>
      <c r="AI28" s="21">
        <v>3402</v>
      </c>
      <c r="AJ28" s="21">
        <v>5951</v>
      </c>
      <c r="AK28" s="21">
        <v>5146</v>
      </c>
      <c r="AL28" s="22">
        <v>0.92487562189054728</v>
      </c>
      <c r="AM28" s="22">
        <v>0.92256532066508312</v>
      </c>
      <c r="AN28" s="22">
        <v>0.93744833287407003</v>
      </c>
      <c r="AO28" s="22">
        <v>0.96014843497902547</v>
      </c>
      <c r="AP28" s="22">
        <v>0.95366938472942919</v>
      </c>
    </row>
    <row r="29" spans="1:42" x14ac:dyDescent="0.25">
      <c r="A29" s="20" t="s">
        <v>43</v>
      </c>
      <c r="B29" s="21">
        <v>298</v>
      </c>
      <c r="C29" s="21">
        <v>298</v>
      </c>
      <c r="D29" s="21">
        <v>298</v>
      </c>
      <c r="E29" s="21">
        <v>298</v>
      </c>
      <c r="F29" s="21">
        <v>298</v>
      </c>
      <c r="G29" s="22">
        <v>4.5797889916011588E-4</v>
      </c>
      <c r="H29" s="22">
        <v>4.543230053619262E-4</v>
      </c>
      <c r="I29" s="22">
        <v>4.5189104270067069E-4</v>
      </c>
      <c r="J29" s="22">
        <v>4.4961179491667094E-4</v>
      </c>
      <c r="K29" s="22">
        <v>4.5390157342391056E-4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1"/>
      <c r="W29" s="21">
        <v>0</v>
      </c>
      <c r="X29" s="21">
        <v>0</v>
      </c>
      <c r="Y29" s="21">
        <v>298</v>
      </c>
      <c r="Z29" s="21">
        <v>298</v>
      </c>
      <c r="AA29" s="21">
        <v>298</v>
      </c>
      <c r="AB29" s="22">
        <v>0</v>
      </c>
      <c r="AC29" s="22">
        <v>0</v>
      </c>
      <c r="AD29" s="22">
        <v>4.5420113184483393E-4</v>
      </c>
      <c r="AE29" s="22">
        <v>4.619467490109999E-4</v>
      </c>
      <c r="AF29" s="22">
        <v>4.543230053619262E-4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</row>
    <row r="30" spans="1:42" x14ac:dyDescent="0.25">
      <c r="A30" s="20" t="s">
        <v>44</v>
      </c>
      <c r="B30" s="21">
        <v>0</v>
      </c>
      <c r="C30" s="21">
        <v>8</v>
      </c>
      <c r="D30" s="21">
        <v>8</v>
      </c>
      <c r="E30" s="21">
        <v>7</v>
      </c>
      <c r="F30" s="21">
        <v>7</v>
      </c>
      <c r="G30" s="22">
        <v>0</v>
      </c>
      <c r="H30" s="22">
        <v>1.2196590747971174E-5</v>
      </c>
      <c r="I30" s="22">
        <v>1.213130315974955E-5</v>
      </c>
      <c r="J30" s="22">
        <v>1.0561350887304351E-5</v>
      </c>
      <c r="K30" s="22">
        <v>1.0662117496534812E-5</v>
      </c>
      <c r="L30" s="21">
        <v>0</v>
      </c>
      <c r="M30" s="21">
        <v>8</v>
      </c>
      <c r="N30" s="21">
        <v>8</v>
      </c>
      <c r="O30" s="21">
        <v>7</v>
      </c>
      <c r="P30" s="21">
        <v>7</v>
      </c>
      <c r="Q30" s="22">
        <v>0</v>
      </c>
      <c r="R30" s="22">
        <v>1</v>
      </c>
      <c r="S30" s="22">
        <v>1</v>
      </c>
      <c r="T30" s="22">
        <v>1</v>
      </c>
      <c r="U30" s="22">
        <v>1</v>
      </c>
      <c r="V30" s="21"/>
      <c r="W30" s="21">
        <v>0</v>
      </c>
      <c r="X30" s="21">
        <v>0</v>
      </c>
      <c r="Y30" s="21">
        <v>0</v>
      </c>
      <c r="Z30" s="21">
        <v>0</v>
      </c>
      <c r="AA30" s="21">
        <v>8</v>
      </c>
      <c r="AB30" s="22">
        <v>0</v>
      </c>
      <c r="AC30" s="22">
        <v>0</v>
      </c>
      <c r="AD30" s="22">
        <v>0</v>
      </c>
      <c r="AE30" s="22">
        <v>0</v>
      </c>
      <c r="AF30" s="22">
        <v>1.2196590747971174E-5</v>
      </c>
      <c r="AG30" s="21">
        <v>0</v>
      </c>
      <c r="AH30" s="21">
        <v>0</v>
      </c>
      <c r="AI30" s="21">
        <v>0</v>
      </c>
      <c r="AJ30" s="21">
        <v>0</v>
      </c>
      <c r="AK30" s="21">
        <v>8</v>
      </c>
      <c r="AL30" s="22">
        <v>0</v>
      </c>
      <c r="AM30" s="22">
        <v>0</v>
      </c>
      <c r="AN30" s="22">
        <v>0</v>
      </c>
      <c r="AO30" s="22">
        <v>0</v>
      </c>
      <c r="AP30" s="22">
        <v>1</v>
      </c>
    </row>
    <row r="31" spans="1:42" x14ac:dyDescent="0.25">
      <c r="A31" s="20" t="s">
        <v>45</v>
      </c>
      <c r="B31" s="21">
        <v>9991</v>
      </c>
      <c r="C31" s="21">
        <v>9318</v>
      </c>
      <c r="D31" s="21">
        <v>8745</v>
      </c>
      <c r="E31" s="21">
        <v>8505</v>
      </c>
      <c r="F31" s="21">
        <v>8109</v>
      </c>
      <c r="G31" s="22">
        <v>1.5354587857411804E-2</v>
      </c>
      <c r="H31" s="22">
        <v>1.4205979073699424E-2</v>
      </c>
      <c r="I31" s="22">
        <v>1.3261030766501225E-2</v>
      </c>
      <c r="J31" s="22">
        <v>1.2832041328074787E-2</v>
      </c>
      <c r="K31" s="22">
        <v>1.2351301539914398E-2</v>
      </c>
      <c r="L31" s="21">
        <v>9328</v>
      </c>
      <c r="M31" s="21">
        <v>8826</v>
      </c>
      <c r="N31" s="21">
        <v>8221</v>
      </c>
      <c r="O31" s="21">
        <v>7840</v>
      </c>
      <c r="P31" s="21">
        <v>7944</v>
      </c>
      <c r="Q31" s="22">
        <v>0.93364027624862378</v>
      </c>
      <c r="R31" s="22">
        <v>0.94719896973599482</v>
      </c>
      <c r="S31" s="22">
        <v>0.94008004574042314</v>
      </c>
      <c r="T31" s="22">
        <v>0.92181069958847739</v>
      </c>
      <c r="U31" s="22">
        <v>0.97965223825379211</v>
      </c>
      <c r="V31" s="21"/>
      <c r="W31" s="21">
        <v>14823</v>
      </c>
      <c r="X31" s="21">
        <v>20943</v>
      </c>
      <c r="Y31" s="21">
        <v>15446</v>
      </c>
      <c r="Z31" s="21">
        <v>11295</v>
      </c>
      <c r="AA31" s="21">
        <v>9318</v>
      </c>
      <c r="AB31" s="22">
        <v>3.2864703313076039E-2</v>
      </c>
      <c r="AC31" s="22">
        <v>4.6393910729990231E-2</v>
      </c>
      <c r="AD31" s="22">
        <v>2.3542250612333237E-2</v>
      </c>
      <c r="AE31" s="22">
        <v>1.7509021913017599E-2</v>
      </c>
      <c r="AF31" s="22">
        <v>1.4205979073699424E-2</v>
      </c>
      <c r="AG31" s="21">
        <v>14646</v>
      </c>
      <c r="AH31" s="21">
        <v>20688</v>
      </c>
      <c r="AI31" s="21">
        <v>14896</v>
      </c>
      <c r="AJ31" s="21">
        <v>10551</v>
      </c>
      <c r="AK31" s="21">
        <v>8826</v>
      </c>
      <c r="AL31" s="22">
        <v>0.98805909734871489</v>
      </c>
      <c r="AM31" s="22">
        <v>0.98782409396934534</v>
      </c>
      <c r="AN31" s="22">
        <v>0.964392075618283</v>
      </c>
      <c r="AO31" s="22">
        <v>0.93413014608233735</v>
      </c>
      <c r="AP31" s="22">
        <v>0.94719896973599482</v>
      </c>
    </row>
    <row r="32" spans="1:42" x14ac:dyDescent="0.25">
      <c r="A32" s="20" t="s">
        <v>46</v>
      </c>
      <c r="B32" s="21">
        <v>4706</v>
      </c>
      <c r="C32" s="21">
        <v>3640</v>
      </c>
      <c r="D32" s="21">
        <v>6807</v>
      </c>
      <c r="E32" s="21">
        <v>7246</v>
      </c>
      <c r="F32" s="21">
        <v>7208</v>
      </c>
      <c r="G32" s="22">
        <v>7.2323781860654541E-3</v>
      </c>
      <c r="H32" s="22">
        <v>5.549448790326884E-3</v>
      </c>
      <c r="I32" s="22">
        <v>1.0322222576051898E-2</v>
      </c>
      <c r="J32" s="22">
        <v>1.0932506932772475E-2</v>
      </c>
      <c r="K32" s="22">
        <v>1.0978934702146132E-2</v>
      </c>
      <c r="L32" s="21">
        <v>4210</v>
      </c>
      <c r="M32" s="21">
        <v>3530</v>
      </c>
      <c r="N32" s="21">
        <v>6677</v>
      </c>
      <c r="O32" s="21">
        <v>7017</v>
      </c>
      <c r="P32" s="21">
        <v>6934</v>
      </c>
      <c r="Q32" s="22">
        <v>0.89460263493412662</v>
      </c>
      <c r="R32" s="22">
        <v>0.96978021978021978</v>
      </c>
      <c r="S32" s="22">
        <v>0.98090201263405319</v>
      </c>
      <c r="T32" s="22">
        <v>0.9683963566105438</v>
      </c>
      <c r="U32" s="22">
        <v>0.96198668146503885</v>
      </c>
      <c r="V32" s="21"/>
      <c r="W32" s="21">
        <v>0</v>
      </c>
      <c r="X32" s="21">
        <v>353</v>
      </c>
      <c r="Y32" s="21">
        <v>3141</v>
      </c>
      <c r="Z32" s="21">
        <v>4305</v>
      </c>
      <c r="AA32" s="21">
        <v>3640</v>
      </c>
      <c r="AB32" s="22">
        <v>0</v>
      </c>
      <c r="AC32" s="22">
        <v>7.819820697935612E-4</v>
      </c>
      <c r="AD32" s="22">
        <v>4.7874018628343068E-3</v>
      </c>
      <c r="AE32" s="22">
        <v>6.6734253506454851E-3</v>
      </c>
      <c r="AF32" s="22">
        <v>5.549448790326884E-3</v>
      </c>
      <c r="AG32" s="21">
        <v>0</v>
      </c>
      <c r="AH32" s="21">
        <v>353</v>
      </c>
      <c r="AI32" s="21">
        <v>3077</v>
      </c>
      <c r="AJ32" s="21">
        <v>4194</v>
      </c>
      <c r="AK32" s="21">
        <v>3530</v>
      </c>
      <c r="AL32" s="22">
        <v>0</v>
      </c>
      <c r="AM32" s="22">
        <v>1</v>
      </c>
      <c r="AN32" s="22">
        <v>0.97962432346386497</v>
      </c>
      <c r="AO32" s="22">
        <v>0.97421602787456441</v>
      </c>
      <c r="AP32" s="22">
        <v>0.96978021978021978</v>
      </c>
    </row>
    <row r="33" spans="1:42" x14ac:dyDescent="0.25">
      <c r="A33" s="20" t="s">
        <v>47</v>
      </c>
      <c r="B33" s="21">
        <v>366</v>
      </c>
      <c r="C33" s="21">
        <v>393</v>
      </c>
      <c r="D33" s="21">
        <v>449</v>
      </c>
      <c r="E33" s="21">
        <v>558</v>
      </c>
      <c r="F33" s="21">
        <v>563</v>
      </c>
      <c r="G33" s="22">
        <v>5.6248415131745773E-4</v>
      </c>
      <c r="H33" s="22">
        <v>5.9915752049408393E-4</v>
      </c>
      <c r="I33" s="22">
        <v>6.8086938984094345E-4</v>
      </c>
      <c r="J33" s="22">
        <v>8.4189054215940394E-4</v>
      </c>
      <c r="K33" s="22">
        <v>8.5753887864987131E-4</v>
      </c>
      <c r="L33" s="21">
        <v>34</v>
      </c>
      <c r="M33" s="21">
        <v>108</v>
      </c>
      <c r="N33" s="21">
        <v>203</v>
      </c>
      <c r="O33" s="21">
        <v>313</v>
      </c>
      <c r="P33" s="21">
        <v>355</v>
      </c>
      <c r="Q33" s="22">
        <v>9.2896174863387984E-2</v>
      </c>
      <c r="R33" s="22">
        <v>0.27480916030534353</v>
      </c>
      <c r="S33" s="22">
        <v>0.45211581291759467</v>
      </c>
      <c r="T33" s="22">
        <v>0.56093189964157708</v>
      </c>
      <c r="U33" s="22">
        <v>0.63055062166962694</v>
      </c>
      <c r="V33" s="21"/>
      <c r="W33" s="21">
        <v>0</v>
      </c>
      <c r="X33" s="21">
        <v>0</v>
      </c>
      <c r="Y33" s="21">
        <v>0</v>
      </c>
      <c r="Z33" s="21">
        <v>121</v>
      </c>
      <c r="AA33" s="21">
        <v>393</v>
      </c>
      <c r="AB33" s="22">
        <v>0</v>
      </c>
      <c r="AC33" s="22">
        <v>0</v>
      </c>
      <c r="AD33" s="22">
        <v>0</v>
      </c>
      <c r="AE33" s="22">
        <v>1.8756898198097648E-4</v>
      </c>
      <c r="AF33" s="22">
        <v>5.9915752049408393E-4</v>
      </c>
      <c r="AG33" s="21">
        <v>0</v>
      </c>
      <c r="AH33" s="21">
        <v>0</v>
      </c>
      <c r="AI33" s="21">
        <v>0</v>
      </c>
      <c r="AJ33" s="21">
        <v>121</v>
      </c>
      <c r="AK33" s="21">
        <v>108</v>
      </c>
      <c r="AL33" s="22">
        <v>0</v>
      </c>
      <c r="AM33" s="22">
        <v>0</v>
      </c>
      <c r="AN33" s="22">
        <v>0</v>
      </c>
      <c r="AO33" s="22">
        <v>1</v>
      </c>
      <c r="AP33" s="22">
        <v>0.27480916030534353</v>
      </c>
    </row>
    <row r="34" spans="1:42" x14ac:dyDescent="0.25">
      <c r="A34" s="20" t="s">
        <v>48</v>
      </c>
      <c r="B34" s="21">
        <v>200246</v>
      </c>
      <c r="C34" s="21">
        <v>198443</v>
      </c>
      <c r="D34" s="21">
        <v>206949</v>
      </c>
      <c r="E34" s="21">
        <v>206371</v>
      </c>
      <c r="F34" s="21">
        <v>196422</v>
      </c>
      <c r="G34" s="22">
        <v>0.30774645181616295</v>
      </c>
      <c r="H34" s="22">
        <v>0.30254100722495547</v>
      </c>
      <c r="I34" s="22">
        <v>0.31382013220087618</v>
      </c>
      <c r="J34" s="22">
        <v>0.31136522056626947</v>
      </c>
      <c r="K34" s="22">
        <v>0.29918206327205155</v>
      </c>
      <c r="L34" s="21">
        <v>139279</v>
      </c>
      <c r="M34" s="21">
        <v>140366</v>
      </c>
      <c r="N34" s="21">
        <v>150831</v>
      </c>
      <c r="O34" s="21">
        <v>151162</v>
      </c>
      <c r="P34" s="21">
        <v>146027</v>
      </c>
      <c r="Q34" s="22">
        <v>0.69553948643168906</v>
      </c>
      <c r="R34" s="22">
        <v>0.70733661555207283</v>
      </c>
      <c r="S34" s="22">
        <v>0.7288317411536176</v>
      </c>
      <c r="T34" s="22">
        <v>0.73247694685784337</v>
      </c>
      <c r="U34" s="22">
        <v>0.74343505309995828</v>
      </c>
      <c r="V34" s="21"/>
      <c r="W34" s="21">
        <v>138210</v>
      </c>
      <c r="X34" s="21">
        <v>131557</v>
      </c>
      <c r="Y34" s="21">
        <v>192664</v>
      </c>
      <c r="Z34" s="21">
        <v>204561</v>
      </c>
      <c r="AA34" s="21">
        <v>198443</v>
      </c>
      <c r="AB34" s="22">
        <v>0.30643126525671183</v>
      </c>
      <c r="AC34" s="22">
        <v>0.29143120440745474</v>
      </c>
      <c r="AD34" s="22">
        <v>0.29365170089178888</v>
      </c>
      <c r="AE34" s="22">
        <v>0.31710164068603741</v>
      </c>
      <c r="AF34" s="22">
        <v>0.30254100722495547</v>
      </c>
      <c r="AG34" s="21">
        <v>68645</v>
      </c>
      <c r="AH34" s="21">
        <v>72975</v>
      </c>
      <c r="AI34" s="21">
        <v>117472</v>
      </c>
      <c r="AJ34" s="21">
        <v>135615</v>
      </c>
      <c r="AK34" s="21">
        <v>140366</v>
      </c>
      <c r="AL34" s="22">
        <v>0.49667173142319659</v>
      </c>
      <c r="AM34" s="22">
        <v>0.55470252438106671</v>
      </c>
      <c r="AN34" s="22">
        <v>0.60972470207200102</v>
      </c>
      <c r="AO34" s="22">
        <v>0.66295628198923551</v>
      </c>
      <c r="AP34" s="22">
        <v>0.70733661555207283</v>
      </c>
    </row>
    <row r="35" spans="1:42" x14ac:dyDescent="0.25">
      <c r="A35" s="20" t="s">
        <v>49</v>
      </c>
      <c r="B35" s="21">
        <v>31</v>
      </c>
      <c r="C35" s="21">
        <v>44</v>
      </c>
      <c r="D35" s="21">
        <v>33</v>
      </c>
      <c r="E35" s="21">
        <v>19</v>
      </c>
      <c r="F35" s="21">
        <v>29</v>
      </c>
      <c r="G35" s="22">
        <v>4.7642100248199975E-5</v>
      </c>
      <c r="H35" s="22">
        <v>6.7081249113841457E-5</v>
      </c>
      <c r="I35" s="22">
        <v>5.0041625533966894E-5</v>
      </c>
      <c r="J35" s="22">
        <v>2.8666523836968953E-5</v>
      </c>
      <c r="K35" s="22">
        <v>4.4171629628501362E-5</v>
      </c>
      <c r="L35" s="21">
        <v>26</v>
      </c>
      <c r="M35" s="21">
        <v>34</v>
      </c>
      <c r="N35" s="21">
        <v>23</v>
      </c>
      <c r="O35" s="21">
        <v>6</v>
      </c>
      <c r="P35" s="21">
        <v>9</v>
      </c>
      <c r="Q35" s="22">
        <v>0.83870967741935487</v>
      </c>
      <c r="R35" s="22">
        <v>0.77272727272727271</v>
      </c>
      <c r="S35" s="22">
        <v>0.69696969696969702</v>
      </c>
      <c r="T35" s="22">
        <v>0.31578947368421051</v>
      </c>
      <c r="U35" s="22">
        <v>0.31034482758620691</v>
      </c>
      <c r="V35" s="21"/>
      <c r="W35" s="21">
        <v>0</v>
      </c>
      <c r="X35" s="21">
        <v>0</v>
      </c>
      <c r="Y35" s="21">
        <v>0</v>
      </c>
      <c r="Z35" s="21">
        <v>25</v>
      </c>
      <c r="AA35" s="21">
        <v>44</v>
      </c>
      <c r="AB35" s="22">
        <v>0</v>
      </c>
      <c r="AC35" s="22">
        <v>0</v>
      </c>
      <c r="AD35" s="22">
        <v>0</v>
      </c>
      <c r="AE35" s="22">
        <v>3.8753921896895967E-5</v>
      </c>
      <c r="AF35" s="22">
        <v>6.7081249113841457E-5</v>
      </c>
      <c r="AG35" s="21">
        <v>0</v>
      </c>
      <c r="AH35" s="21">
        <v>0</v>
      </c>
      <c r="AI35" s="21">
        <v>0</v>
      </c>
      <c r="AJ35" s="21">
        <v>25</v>
      </c>
      <c r="AK35" s="21">
        <v>34</v>
      </c>
      <c r="AL35" s="22">
        <v>0</v>
      </c>
      <c r="AM35" s="22">
        <v>0</v>
      </c>
      <c r="AN35" s="22">
        <v>0</v>
      </c>
      <c r="AO35" s="22">
        <v>1</v>
      </c>
      <c r="AP35" s="22">
        <v>0.77272727272727271</v>
      </c>
    </row>
    <row r="36" spans="1:42" x14ac:dyDescent="0.25">
      <c r="A36" s="20" t="s">
        <v>50</v>
      </c>
      <c r="B36" s="21">
        <v>14</v>
      </c>
      <c r="C36" s="21">
        <v>9</v>
      </c>
      <c r="D36" s="21">
        <v>11</v>
      </c>
      <c r="E36" s="21">
        <v>11</v>
      </c>
      <c r="F36" s="21">
        <v>11</v>
      </c>
      <c r="G36" s="22">
        <v>2.1515787208864504E-5</v>
      </c>
      <c r="H36" s="22">
        <v>1.3721164591467571E-5</v>
      </c>
      <c r="I36" s="22">
        <v>1.668054184465563E-5</v>
      </c>
      <c r="J36" s="22">
        <v>1.6596408537192552E-5</v>
      </c>
      <c r="K36" s="22">
        <v>1.6754756065983274E-5</v>
      </c>
      <c r="L36" s="21">
        <v>14</v>
      </c>
      <c r="M36" s="21">
        <v>9</v>
      </c>
      <c r="N36" s="21">
        <v>11</v>
      </c>
      <c r="O36" s="21">
        <v>11</v>
      </c>
      <c r="P36" s="21">
        <v>11</v>
      </c>
      <c r="Q36" s="22">
        <v>1</v>
      </c>
      <c r="R36" s="22">
        <v>1</v>
      </c>
      <c r="S36" s="22">
        <v>1</v>
      </c>
      <c r="T36" s="22">
        <v>1</v>
      </c>
      <c r="U36" s="22">
        <v>1</v>
      </c>
      <c r="V36" s="21"/>
      <c r="W36" s="21">
        <v>0</v>
      </c>
      <c r="X36" s="21">
        <v>6</v>
      </c>
      <c r="Y36" s="21">
        <v>9</v>
      </c>
      <c r="Z36" s="21">
        <v>9</v>
      </c>
      <c r="AA36" s="21">
        <v>9</v>
      </c>
      <c r="AB36" s="22">
        <v>0</v>
      </c>
      <c r="AC36" s="22">
        <v>1.3291479939833901E-5</v>
      </c>
      <c r="AD36" s="22">
        <v>1.3717483847662769E-5</v>
      </c>
      <c r="AE36" s="22">
        <v>1.3951411882882548E-5</v>
      </c>
      <c r="AF36" s="22">
        <v>1.3721164591467571E-5</v>
      </c>
      <c r="AG36" s="21">
        <v>0</v>
      </c>
      <c r="AH36" s="21">
        <v>6</v>
      </c>
      <c r="AI36" s="21">
        <v>9</v>
      </c>
      <c r="AJ36" s="21">
        <v>9</v>
      </c>
      <c r="AK36" s="21">
        <v>9</v>
      </c>
      <c r="AL36" s="22">
        <v>0</v>
      </c>
      <c r="AM36" s="22">
        <v>1</v>
      </c>
      <c r="AN36" s="22">
        <v>1</v>
      </c>
      <c r="AO36" s="22">
        <v>1</v>
      </c>
      <c r="AP36" s="22">
        <v>1</v>
      </c>
    </row>
    <row r="37" spans="1:42" x14ac:dyDescent="0.25">
      <c r="A37" s="20" t="s">
        <v>139</v>
      </c>
      <c r="B37" s="21">
        <v>19784</v>
      </c>
      <c r="C37" s="21">
        <v>18689</v>
      </c>
      <c r="D37" s="21">
        <v>15288</v>
      </c>
      <c r="E37" s="21">
        <v>14412</v>
      </c>
      <c r="F37" s="21">
        <v>13727</v>
      </c>
      <c r="G37" s="22">
        <v>3.0404881010012524E-2</v>
      </c>
      <c r="H37" s="22">
        <v>2.8492760561104159E-2</v>
      </c>
      <c r="I37" s="22">
        <v>2.3182920338281388E-2</v>
      </c>
      <c r="J37" s="22">
        <v>2.1744312712547186E-2</v>
      </c>
      <c r="K37" s="22">
        <v>2.0908412410704767E-2</v>
      </c>
      <c r="L37" s="21">
        <v>16964</v>
      </c>
      <c r="M37" s="21">
        <v>16174</v>
      </c>
      <c r="N37" s="21">
        <v>13059</v>
      </c>
      <c r="O37" s="21">
        <v>12299</v>
      </c>
      <c r="P37" s="21">
        <v>11597</v>
      </c>
      <c r="Q37" s="22">
        <v>0.85746057420137489</v>
      </c>
      <c r="R37" s="22">
        <v>0.86542886189737278</v>
      </c>
      <c r="S37" s="22">
        <v>0.85419937205651486</v>
      </c>
      <c r="T37" s="22">
        <v>0.85338606716625032</v>
      </c>
      <c r="U37" s="22">
        <v>0.84483135426531653</v>
      </c>
      <c r="V37" s="21"/>
      <c r="W37" s="21">
        <v>32159</v>
      </c>
      <c r="X37" s="21">
        <v>31948</v>
      </c>
      <c r="Y37" s="21">
        <v>39880</v>
      </c>
      <c r="Z37" s="21">
        <v>23904</v>
      </c>
      <c r="AA37" s="21">
        <v>18689</v>
      </c>
      <c r="AB37" s="22">
        <v>7.1301085734683425E-2</v>
      </c>
      <c r="AC37" s="22">
        <v>7.0772700186302245E-2</v>
      </c>
      <c r="AD37" s="22">
        <v>6.0783695093865692E-2</v>
      </c>
      <c r="AE37" s="22">
        <v>3.705494996093605E-2</v>
      </c>
      <c r="AF37" s="22">
        <v>2.8492760561104159E-2</v>
      </c>
      <c r="AG37" s="21">
        <v>30690</v>
      </c>
      <c r="AH37" s="21">
        <v>30238</v>
      </c>
      <c r="AI37" s="21">
        <v>37015</v>
      </c>
      <c r="AJ37" s="21">
        <v>21615</v>
      </c>
      <c r="AK37" s="21">
        <v>16174</v>
      </c>
      <c r="AL37" s="22">
        <v>0.95432071892782733</v>
      </c>
      <c r="AM37" s="22">
        <v>0.94647552272442714</v>
      </c>
      <c r="AN37" s="22">
        <v>0.92815947843530588</v>
      </c>
      <c r="AO37" s="22">
        <v>0.90424196787148592</v>
      </c>
      <c r="AP37" s="22">
        <v>0.86542886189737278</v>
      </c>
    </row>
    <row r="38" spans="1:42" x14ac:dyDescent="0.25">
      <c r="A38" s="20" t="s">
        <v>52</v>
      </c>
      <c r="B38" s="21">
        <v>0</v>
      </c>
      <c r="C38" s="21">
        <v>0</v>
      </c>
      <c r="D38" s="21">
        <v>0</v>
      </c>
      <c r="E38" s="21">
        <v>2</v>
      </c>
      <c r="F38" s="21">
        <v>2</v>
      </c>
      <c r="G38" s="22">
        <v>0</v>
      </c>
      <c r="H38" s="22">
        <v>0</v>
      </c>
      <c r="I38" s="22">
        <v>0</v>
      </c>
      <c r="J38" s="22">
        <v>3.0175288249441002E-6</v>
      </c>
      <c r="K38" s="22">
        <v>3.0463192847242318E-6</v>
      </c>
      <c r="L38" s="21">
        <v>0</v>
      </c>
      <c r="M38" s="21">
        <v>0</v>
      </c>
      <c r="N38" s="21">
        <v>0</v>
      </c>
      <c r="O38" s="21">
        <v>2</v>
      </c>
      <c r="P38" s="21">
        <v>2</v>
      </c>
      <c r="Q38" s="22">
        <v>0</v>
      </c>
      <c r="R38" s="22">
        <v>0</v>
      </c>
      <c r="S38" s="22">
        <v>0</v>
      </c>
      <c r="T38" s="22">
        <v>1</v>
      </c>
      <c r="U38" s="22">
        <v>1</v>
      </c>
      <c r="V38" s="21"/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</row>
    <row r="39" spans="1:42" x14ac:dyDescent="0.25">
      <c r="A39" s="20" t="s">
        <v>53</v>
      </c>
      <c r="B39" s="21">
        <v>1524</v>
      </c>
      <c r="C39" s="21">
        <v>1533</v>
      </c>
      <c r="D39" s="21">
        <v>1786</v>
      </c>
      <c r="E39" s="21">
        <v>1810</v>
      </c>
      <c r="F39" s="21">
        <v>2443</v>
      </c>
      <c r="G39" s="22">
        <v>2.3421471218792503E-3</v>
      </c>
      <c r="H39" s="22">
        <v>2.3371717020799761E-3</v>
      </c>
      <c r="I39" s="22">
        <v>2.7083134304140867E-3</v>
      </c>
      <c r="J39" s="22">
        <v>2.7308635865744106E-3</v>
      </c>
      <c r="K39" s="22">
        <v>3.7210790062906494E-3</v>
      </c>
      <c r="L39" s="21">
        <v>1524</v>
      </c>
      <c r="M39" s="21">
        <v>1533</v>
      </c>
      <c r="N39" s="21">
        <v>1786</v>
      </c>
      <c r="O39" s="21">
        <v>1810</v>
      </c>
      <c r="P39" s="21">
        <v>2379</v>
      </c>
      <c r="Q39" s="22">
        <v>1</v>
      </c>
      <c r="R39" s="22">
        <v>1</v>
      </c>
      <c r="S39" s="22">
        <v>1</v>
      </c>
      <c r="T39" s="22">
        <v>1</v>
      </c>
      <c r="U39" s="22">
        <v>0.97380270159639792</v>
      </c>
      <c r="V39" s="21"/>
      <c r="W39" s="21">
        <v>0</v>
      </c>
      <c r="X39" s="21">
        <v>239</v>
      </c>
      <c r="Y39" s="21">
        <v>899</v>
      </c>
      <c r="Z39" s="21">
        <v>1506</v>
      </c>
      <c r="AA39" s="21">
        <v>1533</v>
      </c>
      <c r="AB39" s="22">
        <v>0</v>
      </c>
      <c r="AC39" s="22">
        <v>5.2944395093671706E-4</v>
      </c>
      <c r="AD39" s="22">
        <v>1.3702242198943143E-3</v>
      </c>
      <c r="AE39" s="22">
        <v>2.3345362550690131E-3</v>
      </c>
      <c r="AF39" s="22">
        <v>2.3371717020799761E-3</v>
      </c>
      <c r="AG39" s="21">
        <v>0</v>
      </c>
      <c r="AH39" s="21">
        <v>239</v>
      </c>
      <c r="AI39" s="21">
        <v>899</v>
      </c>
      <c r="AJ39" s="21">
        <v>1506</v>
      </c>
      <c r="AK39" s="21">
        <v>1533</v>
      </c>
      <c r="AL39" s="22">
        <v>0</v>
      </c>
      <c r="AM39" s="22">
        <v>1</v>
      </c>
      <c r="AN39" s="22">
        <v>1</v>
      </c>
      <c r="AO39" s="22">
        <v>1</v>
      </c>
      <c r="AP39" s="22">
        <v>1</v>
      </c>
    </row>
    <row r="40" spans="1:42" x14ac:dyDescent="0.25">
      <c r="A40" s="20" t="s">
        <v>54</v>
      </c>
      <c r="B40" s="21">
        <v>6800</v>
      </c>
      <c r="C40" s="21">
        <v>6943</v>
      </c>
      <c r="D40" s="21">
        <v>6841</v>
      </c>
      <c r="E40" s="21">
        <v>6659</v>
      </c>
      <c r="F40" s="21">
        <v>6935</v>
      </c>
      <c r="G40" s="22">
        <v>1.0450525215734188E-2</v>
      </c>
      <c r="H40" s="22">
        <v>1.0585116195395481E-2</v>
      </c>
      <c r="I40" s="22">
        <v>1.0373780614480833E-2</v>
      </c>
      <c r="J40" s="22">
        <v>1.0046862222651382E-2</v>
      </c>
      <c r="K40" s="22">
        <v>1.0563112119781275E-2</v>
      </c>
      <c r="L40" s="21">
        <v>5121</v>
      </c>
      <c r="M40" s="21">
        <v>5348</v>
      </c>
      <c r="N40" s="21">
        <v>5414</v>
      </c>
      <c r="O40" s="21">
        <v>5332</v>
      </c>
      <c r="P40" s="21">
        <v>5235</v>
      </c>
      <c r="Q40" s="22">
        <v>0.75308823529411761</v>
      </c>
      <c r="R40" s="22">
        <v>0.77027221662105716</v>
      </c>
      <c r="S40" s="22">
        <v>0.79140476538517757</v>
      </c>
      <c r="T40" s="22">
        <v>0.80072082895329633</v>
      </c>
      <c r="U40" s="22">
        <v>0.75486661860129778</v>
      </c>
      <c r="V40" s="21"/>
      <c r="W40" s="21">
        <v>4892</v>
      </c>
      <c r="X40" s="21">
        <v>6220</v>
      </c>
      <c r="Y40" s="21">
        <v>14013</v>
      </c>
      <c r="Z40" s="21">
        <v>9561</v>
      </c>
      <c r="AA40" s="21">
        <v>6943</v>
      </c>
      <c r="AB40" s="22">
        <v>1.0846261121741078E-2</v>
      </c>
      <c r="AC40" s="22">
        <v>1.3778834204294477E-2</v>
      </c>
      <c r="AD40" s="22">
        <v>2.1358122350810933E-2</v>
      </c>
      <c r="AE40" s="22">
        <v>1.4821049890248893E-2</v>
      </c>
      <c r="AF40" s="22">
        <v>1.0585116195395481E-2</v>
      </c>
      <c r="AG40" s="21">
        <v>4892</v>
      </c>
      <c r="AH40" s="21">
        <v>5907</v>
      </c>
      <c r="AI40" s="21">
        <v>11246</v>
      </c>
      <c r="AJ40" s="21">
        <v>5642</v>
      </c>
      <c r="AK40" s="21">
        <v>5348</v>
      </c>
      <c r="AL40" s="22">
        <v>1</v>
      </c>
      <c r="AM40" s="22">
        <v>0.94967845659163985</v>
      </c>
      <c r="AN40" s="22">
        <v>0.80254049810889883</v>
      </c>
      <c r="AO40" s="22">
        <v>0.59010563748561862</v>
      </c>
      <c r="AP40" s="22">
        <v>0.77027221662105716</v>
      </c>
    </row>
    <row r="41" spans="1:42" x14ac:dyDescent="0.25">
      <c r="A41" s="20" t="s">
        <v>55</v>
      </c>
      <c r="B41" s="21">
        <v>0</v>
      </c>
      <c r="C41" s="21">
        <v>1</v>
      </c>
      <c r="D41" s="21">
        <v>2</v>
      </c>
      <c r="E41" s="21">
        <v>5</v>
      </c>
      <c r="F41" s="21">
        <v>4</v>
      </c>
      <c r="G41" s="22">
        <v>0</v>
      </c>
      <c r="H41" s="22">
        <v>1.5245738434963967E-6</v>
      </c>
      <c r="I41" s="22">
        <v>3.0328257899373875E-6</v>
      </c>
      <c r="J41" s="22">
        <v>7.543822062360251E-6</v>
      </c>
      <c r="K41" s="22">
        <v>6.0926385694484637E-6</v>
      </c>
      <c r="L41" s="21">
        <v>0</v>
      </c>
      <c r="M41" s="21">
        <v>1</v>
      </c>
      <c r="N41" s="21">
        <v>2</v>
      </c>
      <c r="O41" s="21">
        <v>5</v>
      </c>
      <c r="P41" s="21">
        <v>4</v>
      </c>
      <c r="Q41" s="22">
        <v>0</v>
      </c>
      <c r="R41" s="22">
        <v>1</v>
      </c>
      <c r="S41" s="22">
        <v>1</v>
      </c>
      <c r="T41" s="22">
        <v>1</v>
      </c>
      <c r="U41" s="22">
        <v>1</v>
      </c>
      <c r="V41" s="21"/>
      <c r="W41" s="21">
        <v>0</v>
      </c>
      <c r="X41" s="21">
        <v>0</v>
      </c>
      <c r="Y41" s="21">
        <v>0</v>
      </c>
      <c r="Z41" s="21">
        <v>0</v>
      </c>
      <c r="AA41" s="21">
        <v>1</v>
      </c>
      <c r="AB41" s="22">
        <v>0</v>
      </c>
      <c r="AC41" s="22">
        <v>0</v>
      </c>
      <c r="AD41" s="22">
        <v>0</v>
      </c>
      <c r="AE41" s="22">
        <v>0</v>
      </c>
      <c r="AF41" s="22">
        <v>1.5245738434963967E-6</v>
      </c>
      <c r="AG41" s="21">
        <v>0</v>
      </c>
      <c r="AH41" s="21">
        <v>0</v>
      </c>
      <c r="AI41" s="21">
        <v>0</v>
      </c>
      <c r="AJ41" s="21">
        <v>0</v>
      </c>
      <c r="AK41" s="21">
        <v>1</v>
      </c>
      <c r="AL41" s="22">
        <v>0</v>
      </c>
      <c r="AM41" s="22">
        <v>0</v>
      </c>
      <c r="AN41" s="22">
        <v>0</v>
      </c>
      <c r="AO41" s="22">
        <v>0</v>
      </c>
      <c r="AP41" s="22">
        <v>1</v>
      </c>
    </row>
    <row r="42" spans="1:42" x14ac:dyDescent="0.25">
      <c r="A42" s="20" t="s">
        <v>57</v>
      </c>
      <c r="B42" s="21">
        <v>5977</v>
      </c>
      <c r="C42" s="21">
        <v>6085</v>
      </c>
      <c r="D42" s="21">
        <v>6243</v>
      </c>
      <c r="E42" s="21">
        <v>6458</v>
      </c>
      <c r="F42" s="21">
        <v>7332</v>
      </c>
      <c r="G42" s="22">
        <v>9.1857042962416539E-3</v>
      </c>
      <c r="H42" s="22">
        <v>9.2770318376755746E-3</v>
      </c>
      <c r="I42" s="22">
        <v>9.4669657032895541E-3</v>
      </c>
      <c r="J42" s="22">
        <v>9.7436005757445005E-3</v>
      </c>
      <c r="K42" s="22">
        <v>1.1167806497799034E-2</v>
      </c>
      <c r="L42" s="21">
        <v>5865</v>
      </c>
      <c r="M42" s="21">
        <v>5977</v>
      </c>
      <c r="N42" s="21">
        <v>6082</v>
      </c>
      <c r="O42" s="21">
        <v>6317</v>
      </c>
      <c r="P42" s="21">
        <v>7186</v>
      </c>
      <c r="Q42" s="22">
        <v>0.98126150242596621</v>
      </c>
      <c r="R42" s="22">
        <v>0.98225143796220216</v>
      </c>
      <c r="S42" s="22">
        <v>0.97421111645042446</v>
      </c>
      <c r="T42" s="22">
        <v>0.97816661505109936</v>
      </c>
      <c r="U42" s="22">
        <v>0.98008728859792693</v>
      </c>
      <c r="V42" s="21"/>
      <c r="W42" s="21">
        <v>2486</v>
      </c>
      <c r="X42" s="21">
        <v>5280</v>
      </c>
      <c r="Y42" s="21">
        <v>5228</v>
      </c>
      <c r="Z42" s="21">
        <v>6174</v>
      </c>
      <c r="AA42" s="21">
        <v>6085</v>
      </c>
      <c r="AB42" s="22">
        <v>5.511816260966541E-3</v>
      </c>
      <c r="AC42" s="22">
        <v>1.1696502347053833E-2</v>
      </c>
      <c r="AD42" s="22">
        <v>7.9683339506201063E-3</v>
      </c>
      <c r="AE42" s="22">
        <v>9.5706685516574273E-3</v>
      </c>
      <c r="AF42" s="22">
        <v>9.2770318376755746E-3</v>
      </c>
      <c r="AG42" s="21">
        <v>2484</v>
      </c>
      <c r="AH42" s="21">
        <v>5278</v>
      </c>
      <c r="AI42" s="21">
        <v>5226</v>
      </c>
      <c r="AJ42" s="21">
        <v>6073</v>
      </c>
      <c r="AK42" s="21">
        <v>5977</v>
      </c>
      <c r="AL42" s="22">
        <v>0.99919549477071601</v>
      </c>
      <c r="AM42" s="22">
        <v>0.99962121212121213</v>
      </c>
      <c r="AN42" s="22">
        <v>0.99961744452945678</v>
      </c>
      <c r="AO42" s="22">
        <v>0.98364107547781021</v>
      </c>
      <c r="AP42" s="22">
        <v>0.98225143796220216</v>
      </c>
    </row>
    <row r="43" spans="1:42" x14ac:dyDescent="0.25">
      <c r="A43" s="20" t="s">
        <v>58</v>
      </c>
      <c r="B43" s="21">
        <v>12</v>
      </c>
      <c r="C43" s="21">
        <v>5</v>
      </c>
      <c r="D43" s="21">
        <v>0</v>
      </c>
      <c r="E43" s="21">
        <v>0</v>
      </c>
      <c r="F43" s="21">
        <v>0</v>
      </c>
      <c r="G43" s="22">
        <v>1.8442103321883862E-5</v>
      </c>
      <c r="H43" s="22">
        <v>7.6228692174819837E-6</v>
      </c>
      <c r="I43" s="22">
        <v>0</v>
      </c>
      <c r="J43" s="22">
        <v>0</v>
      </c>
      <c r="K43" s="22">
        <v>0</v>
      </c>
      <c r="L43" s="21">
        <v>12</v>
      </c>
      <c r="M43" s="21">
        <v>5</v>
      </c>
      <c r="N43" s="21">
        <v>0</v>
      </c>
      <c r="O43" s="21">
        <v>0</v>
      </c>
      <c r="P43" s="21">
        <v>0</v>
      </c>
      <c r="Q43" s="22">
        <v>1</v>
      </c>
      <c r="R43" s="22">
        <v>1</v>
      </c>
      <c r="S43" s="22">
        <v>0</v>
      </c>
      <c r="T43" s="22">
        <v>0</v>
      </c>
      <c r="U43" s="22">
        <v>0</v>
      </c>
      <c r="V43" s="21"/>
      <c r="W43" s="21">
        <v>98</v>
      </c>
      <c r="X43" s="21">
        <v>25</v>
      </c>
      <c r="Y43" s="21">
        <v>86</v>
      </c>
      <c r="Z43" s="21">
        <v>0</v>
      </c>
      <c r="AA43" s="21">
        <v>5</v>
      </c>
      <c r="AB43" s="22">
        <v>2.1727996523520556E-4</v>
      </c>
      <c r="AC43" s="22">
        <v>5.5381166415974585E-5</v>
      </c>
      <c r="AD43" s="22">
        <v>1.3107817898877757E-4</v>
      </c>
      <c r="AE43" s="22">
        <v>0</v>
      </c>
      <c r="AF43" s="22">
        <v>7.6228692174819837E-6</v>
      </c>
      <c r="AG43" s="21">
        <v>96</v>
      </c>
      <c r="AH43" s="21">
        <v>23</v>
      </c>
      <c r="AI43" s="21">
        <v>66</v>
      </c>
      <c r="AJ43" s="21">
        <v>0</v>
      </c>
      <c r="AK43" s="21">
        <v>5</v>
      </c>
      <c r="AL43" s="22">
        <v>0.97959183673469385</v>
      </c>
      <c r="AM43" s="22">
        <v>0.92</v>
      </c>
      <c r="AN43" s="22">
        <v>0.76744186046511631</v>
      </c>
      <c r="AO43" s="22">
        <v>0</v>
      </c>
      <c r="AP43" s="22">
        <v>1</v>
      </c>
    </row>
    <row r="44" spans="1:42" x14ac:dyDescent="0.25">
      <c r="A44" s="20" t="s">
        <v>59</v>
      </c>
      <c r="B44" s="21">
        <v>39</v>
      </c>
      <c r="C44" s="21">
        <v>40</v>
      </c>
      <c r="D44" s="21">
        <v>42</v>
      </c>
      <c r="E44" s="21">
        <v>93</v>
      </c>
      <c r="F44" s="21">
        <v>177</v>
      </c>
      <c r="G44" s="22">
        <v>5.9936835796122548E-5</v>
      </c>
      <c r="H44" s="22">
        <v>6.098295373985587E-5</v>
      </c>
      <c r="I44" s="22">
        <v>6.3689341588685133E-5</v>
      </c>
      <c r="J44" s="22">
        <v>1.4031509035990067E-4</v>
      </c>
      <c r="K44" s="22">
        <v>2.6959925669809451E-4</v>
      </c>
      <c r="L44" s="21">
        <v>39</v>
      </c>
      <c r="M44" s="21">
        <v>40</v>
      </c>
      <c r="N44" s="21">
        <v>42</v>
      </c>
      <c r="O44" s="21">
        <v>93</v>
      </c>
      <c r="P44" s="21">
        <v>169</v>
      </c>
      <c r="Q44" s="22">
        <v>1</v>
      </c>
      <c r="R44" s="22">
        <v>1</v>
      </c>
      <c r="S44" s="22">
        <v>1</v>
      </c>
      <c r="T44" s="22">
        <v>1</v>
      </c>
      <c r="U44" s="22">
        <v>0.95480225988700562</v>
      </c>
      <c r="V44" s="21"/>
      <c r="W44" s="21">
        <v>0</v>
      </c>
      <c r="X44" s="21">
        <v>0</v>
      </c>
      <c r="Y44" s="21">
        <v>11</v>
      </c>
      <c r="Z44" s="21">
        <v>24</v>
      </c>
      <c r="AA44" s="21">
        <v>40</v>
      </c>
      <c r="AB44" s="22">
        <v>0</v>
      </c>
      <c r="AC44" s="22">
        <v>0</v>
      </c>
      <c r="AD44" s="22">
        <v>1.6765813591587828E-5</v>
      </c>
      <c r="AE44" s="22">
        <v>3.7203765021020128E-5</v>
      </c>
      <c r="AF44" s="22">
        <v>6.098295373985587E-5</v>
      </c>
      <c r="AG44" s="21">
        <v>0</v>
      </c>
      <c r="AH44" s="21">
        <v>0</v>
      </c>
      <c r="AI44" s="21">
        <v>11</v>
      </c>
      <c r="AJ44" s="21">
        <v>0</v>
      </c>
      <c r="AK44" s="21">
        <v>40</v>
      </c>
      <c r="AL44" s="22">
        <v>0</v>
      </c>
      <c r="AM44" s="22">
        <v>0</v>
      </c>
      <c r="AN44" s="22">
        <v>1</v>
      </c>
      <c r="AO44" s="22">
        <v>0</v>
      </c>
      <c r="AP44" s="22">
        <v>1</v>
      </c>
    </row>
    <row r="45" spans="1:42" x14ac:dyDescent="0.25">
      <c r="A45" s="20" t="s">
        <v>60</v>
      </c>
      <c r="B45" s="21">
        <v>7016</v>
      </c>
      <c r="C45" s="21">
        <v>6770</v>
      </c>
      <c r="D45" s="21">
        <v>6499</v>
      </c>
      <c r="E45" s="21">
        <v>6321</v>
      </c>
      <c r="F45" s="21">
        <v>6297</v>
      </c>
      <c r="G45" s="22">
        <v>1.0782483075528097E-2</v>
      </c>
      <c r="H45" s="22">
        <v>1.0321364920470606E-2</v>
      </c>
      <c r="I45" s="22">
        <v>9.8551674044015398E-3</v>
      </c>
      <c r="J45" s="22">
        <v>9.5368998512358281E-3</v>
      </c>
      <c r="K45" s="22">
        <v>9.5913362679542445E-3</v>
      </c>
      <c r="L45" s="21">
        <v>6959</v>
      </c>
      <c r="M45" s="21">
        <v>6715</v>
      </c>
      <c r="N45" s="21">
        <v>6447</v>
      </c>
      <c r="O45" s="21">
        <v>6270</v>
      </c>
      <c r="P45" s="21">
        <v>6187</v>
      </c>
      <c r="Q45" s="22">
        <v>0.99187571265678454</v>
      </c>
      <c r="R45" s="22">
        <v>0.99187592319054652</v>
      </c>
      <c r="S45" s="22">
        <v>0.99199876904139095</v>
      </c>
      <c r="T45" s="22">
        <v>0.99193165638348357</v>
      </c>
      <c r="U45" s="22">
        <v>0.98253136414165476</v>
      </c>
      <c r="V45" s="21"/>
      <c r="W45" s="21">
        <v>4712</v>
      </c>
      <c r="X45" s="21">
        <v>8273</v>
      </c>
      <c r="Y45" s="21">
        <v>8173</v>
      </c>
      <c r="Z45" s="21">
        <v>8560</v>
      </c>
      <c r="AA45" s="21">
        <v>6770</v>
      </c>
      <c r="AB45" s="22">
        <v>1.0447175471309068E-2</v>
      </c>
      <c r="AC45" s="22">
        <v>1.8326735590374309E-2</v>
      </c>
      <c r="AD45" s="22">
        <v>1.2456999498549757E-2</v>
      </c>
      <c r="AE45" s="22">
        <v>1.3269342857497179E-2</v>
      </c>
      <c r="AF45" s="22">
        <v>1.0321364920470606E-2</v>
      </c>
      <c r="AG45" s="21">
        <v>4628</v>
      </c>
      <c r="AH45" s="21">
        <v>8233</v>
      </c>
      <c r="AI45" s="21">
        <v>8106</v>
      </c>
      <c r="AJ45" s="21">
        <v>8499</v>
      </c>
      <c r="AK45" s="21">
        <v>6715</v>
      </c>
      <c r="AL45" s="22">
        <v>0.98217317487266553</v>
      </c>
      <c r="AM45" s="22">
        <v>0.99516499456061891</v>
      </c>
      <c r="AN45" s="22">
        <v>0.99180227578612501</v>
      </c>
      <c r="AO45" s="22">
        <v>0.99287383177570099</v>
      </c>
      <c r="AP45" s="22">
        <v>0.99187592319054652</v>
      </c>
    </row>
    <row r="46" spans="1:42" x14ac:dyDescent="0.25">
      <c r="A46" s="20" t="s">
        <v>62</v>
      </c>
      <c r="B46" s="21">
        <v>0</v>
      </c>
      <c r="C46" s="21">
        <v>0</v>
      </c>
      <c r="D46" s="21">
        <v>0</v>
      </c>
      <c r="E46" s="21">
        <v>0</v>
      </c>
      <c r="F46" s="21">
        <v>8084</v>
      </c>
      <c r="G46" s="22">
        <v>0</v>
      </c>
      <c r="H46" s="22">
        <v>0</v>
      </c>
      <c r="I46" s="22">
        <v>0</v>
      </c>
      <c r="J46" s="22">
        <v>0</v>
      </c>
      <c r="K46" s="22">
        <v>1.2313222548855345E-2</v>
      </c>
      <c r="L46" s="21">
        <v>0</v>
      </c>
      <c r="M46" s="21">
        <v>0</v>
      </c>
      <c r="N46" s="21">
        <v>0</v>
      </c>
      <c r="O46" s="21">
        <v>0</v>
      </c>
      <c r="P46" s="21">
        <v>2395</v>
      </c>
      <c r="Q46" s="22">
        <v>0</v>
      </c>
      <c r="R46" s="22">
        <v>0</v>
      </c>
      <c r="S46" s="22">
        <v>0</v>
      </c>
      <c r="T46" s="22">
        <v>0</v>
      </c>
      <c r="U46" s="22">
        <v>0.29626422563087579</v>
      </c>
      <c r="V46" s="21"/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</row>
    <row r="47" spans="1:42" x14ac:dyDescent="0.25">
      <c r="A47" s="20" t="s">
        <v>63</v>
      </c>
      <c r="B47" s="21">
        <v>43</v>
      </c>
      <c r="C47" s="21">
        <v>97</v>
      </c>
      <c r="D47" s="21">
        <v>754</v>
      </c>
      <c r="E47" s="21">
        <v>77</v>
      </c>
      <c r="F47" s="21">
        <v>54</v>
      </c>
      <c r="G47" s="22">
        <v>6.6084203570083831E-5</v>
      </c>
      <c r="H47" s="22">
        <v>1.4788366281915047E-4</v>
      </c>
      <c r="I47" s="22">
        <v>1.143375322806395E-3</v>
      </c>
      <c r="J47" s="22">
        <v>1.1617485976034787E-4</v>
      </c>
      <c r="K47" s="22">
        <v>8.2250620687554258E-5</v>
      </c>
      <c r="L47" s="21">
        <v>43</v>
      </c>
      <c r="M47" s="21">
        <v>97</v>
      </c>
      <c r="N47" s="21">
        <v>482</v>
      </c>
      <c r="O47" s="21">
        <v>0</v>
      </c>
      <c r="P47" s="21">
        <v>30</v>
      </c>
      <c r="Q47" s="22">
        <v>1</v>
      </c>
      <c r="R47" s="22">
        <v>1</v>
      </c>
      <c r="S47" s="22">
        <v>0.63925729442970824</v>
      </c>
      <c r="T47" s="22">
        <v>0</v>
      </c>
      <c r="U47" s="22">
        <v>0.55555555555555558</v>
      </c>
      <c r="V47" s="21"/>
      <c r="W47" s="21">
        <v>6</v>
      </c>
      <c r="X47" s="21">
        <v>51</v>
      </c>
      <c r="Y47" s="21">
        <v>60</v>
      </c>
      <c r="Z47" s="21">
        <v>49</v>
      </c>
      <c r="AA47" s="21">
        <v>97</v>
      </c>
      <c r="AB47" s="22">
        <v>1.3302855014400341E-5</v>
      </c>
      <c r="AC47" s="22">
        <v>1.1297757948858816E-4</v>
      </c>
      <c r="AD47" s="22">
        <v>9.1449892317751791E-5</v>
      </c>
      <c r="AE47" s="22">
        <v>7.5957686917916094E-5</v>
      </c>
      <c r="AF47" s="22">
        <v>1.4788366281915047E-4</v>
      </c>
      <c r="AG47" s="21">
        <v>6</v>
      </c>
      <c r="AH47" s="21">
        <v>51</v>
      </c>
      <c r="AI47" s="21">
        <v>58</v>
      </c>
      <c r="AJ47" s="21">
        <v>49</v>
      </c>
      <c r="AK47" s="21">
        <v>97</v>
      </c>
      <c r="AL47" s="22">
        <v>1</v>
      </c>
      <c r="AM47" s="22">
        <v>1</v>
      </c>
      <c r="AN47" s="22">
        <v>0.96666666666666667</v>
      </c>
      <c r="AO47" s="22">
        <v>1</v>
      </c>
      <c r="AP47" s="22">
        <v>1</v>
      </c>
    </row>
    <row r="48" spans="1:42" x14ac:dyDescent="0.25">
      <c r="A48" s="20" t="s">
        <v>64</v>
      </c>
      <c r="B48" s="21">
        <v>0</v>
      </c>
      <c r="C48" s="21">
        <v>0</v>
      </c>
      <c r="D48" s="21">
        <v>0</v>
      </c>
      <c r="E48" s="21">
        <v>0</v>
      </c>
      <c r="F48" s="21">
        <v>1</v>
      </c>
      <c r="G48" s="22">
        <v>0</v>
      </c>
      <c r="H48" s="22">
        <v>0</v>
      </c>
      <c r="I48" s="22">
        <v>0</v>
      </c>
      <c r="J48" s="22">
        <v>0</v>
      </c>
      <c r="K48" s="22">
        <v>1.5231596423621159E-6</v>
      </c>
      <c r="L48" s="21">
        <v>0</v>
      </c>
      <c r="M48" s="21">
        <v>0</v>
      </c>
      <c r="N48" s="21">
        <v>0</v>
      </c>
      <c r="O48" s="21">
        <v>0</v>
      </c>
      <c r="P48" s="21">
        <v>1</v>
      </c>
      <c r="Q48" s="22">
        <v>0</v>
      </c>
      <c r="R48" s="22">
        <v>0</v>
      </c>
      <c r="S48" s="22">
        <v>0</v>
      </c>
      <c r="T48" s="22">
        <v>0</v>
      </c>
      <c r="U48" s="22">
        <v>1</v>
      </c>
      <c r="V48" s="21"/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</row>
    <row r="49" spans="1:42" x14ac:dyDescent="0.25">
      <c r="A49" s="20" t="s">
        <v>65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1"/>
      <c r="W49" s="21">
        <v>0</v>
      </c>
      <c r="X49" s="21">
        <v>0</v>
      </c>
      <c r="Y49" s="21">
        <v>76</v>
      </c>
      <c r="Z49" s="21">
        <v>0</v>
      </c>
      <c r="AA49" s="21">
        <v>0</v>
      </c>
      <c r="AB49" s="22">
        <v>0</v>
      </c>
      <c r="AC49" s="22">
        <v>0</v>
      </c>
      <c r="AD49" s="22">
        <v>1.1583653026915227E-4</v>
      </c>
      <c r="AE49" s="22">
        <v>0</v>
      </c>
      <c r="AF49" s="22">
        <v>0</v>
      </c>
      <c r="AG49" s="21">
        <v>0</v>
      </c>
      <c r="AH49" s="21">
        <v>0</v>
      </c>
      <c r="AI49" s="21">
        <v>76</v>
      </c>
      <c r="AJ49" s="21">
        <v>0</v>
      </c>
      <c r="AK49" s="21">
        <v>0</v>
      </c>
      <c r="AL49" s="22">
        <v>0</v>
      </c>
      <c r="AM49" s="22">
        <v>0</v>
      </c>
      <c r="AN49" s="22">
        <v>1</v>
      </c>
      <c r="AO49" s="22">
        <v>0</v>
      </c>
      <c r="AP49" s="22">
        <v>0</v>
      </c>
    </row>
    <row r="50" spans="1:42" x14ac:dyDescent="0.25">
      <c r="A50" s="20" t="s">
        <v>66</v>
      </c>
      <c r="B50" s="21">
        <v>15</v>
      </c>
      <c r="C50" s="21">
        <v>16</v>
      </c>
      <c r="D50" s="21">
        <v>46</v>
      </c>
      <c r="E50" s="21">
        <v>25</v>
      </c>
      <c r="F50" s="21">
        <v>150</v>
      </c>
      <c r="G50" s="22">
        <v>2.3052629152354826E-5</v>
      </c>
      <c r="H50" s="22">
        <v>2.4393181495942348E-5</v>
      </c>
      <c r="I50" s="22">
        <v>6.9754993168559908E-5</v>
      </c>
      <c r="J50" s="22">
        <v>3.7719110311801254E-5</v>
      </c>
      <c r="K50" s="22">
        <v>2.284739463543174E-4</v>
      </c>
      <c r="L50" s="21">
        <v>15</v>
      </c>
      <c r="M50" s="21">
        <v>16</v>
      </c>
      <c r="N50" s="21">
        <v>46</v>
      </c>
      <c r="O50" s="21">
        <v>25</v>
      </c>
      <c r="P50" s="21">
        <v>150</v>
      </c>
      <c r="Q50" s="22">
        <v>1</v>
      </c>
      <c r="R50" s="22">
        <v>1</v>
      </c>
      <c r="S50" s="22">
        <v>1</v>
      </c>
      <c r="T50" s="22">
        <v>1</v>
      </c>
      <c r="U50" s="22">
        <v>1</v>
      </c>
      <c r="V50" s="21"/>
      <c r="W50" s="21">
        <v>3</v>
      </c>
      <c r="X50" s="21">
        <v>1</v>
      </c>
      <c r="Y50" s="21">
        <v>0</v>
      </c>
      <c r="Z50" s="21">
        <v>0</v>
      </c>
      <c r="AA50" s="21">
        <v>16</v>
      </c>
      <c r="AB50" s="22">
        <v>6.6514275072001703E-6</v>
      </c>
      <c r="AC50" s="22">
        <v>2.2152466566389833E-6</v>
      </c>
      <c r="AD50" s="22">
        <v>0</v>
      </c>
      <c r="AE50" s="22">
        <v>0</v>
      </c>
      <c r="AF50" s="22">
        <v>2.4393181495942348E-5</v>
      </c>
      <c r="AG50" s="21">
        <v>0</v>
      </c>
      <c r="AH50" s="21">
        <v>1</v>
      </c>
      <c r="AI50" s="21">
        <v>0</v>
      </c>
      <c r="AJ50" s="21">
        <v>0</v>
      </c>
      <c r="AK50" s="21">
        <v>16</v>
      </c>
      <c r="AL50" s="22">
        <v>0</v>
      </c>
      <c r="AM50" s="22">
        <v>1</v>
      </c>
      <c r="AN50" s="22">
        <v>0</v>
      </c>
      <c r="AO50" s="22">
        <v>0</v>
      </c>
      <c r="AP50" s="22">
        <v>1</v>
      </c>
    </row>
    <row r="51" spans="1:42" x14ac:dyDescent="0.25">
      <c r="A51" s="1" t="s">
        <v>67</v>
      </c>
      <c r="B51" s="23">
        <v>650685</v>
      </c>
      <c r="C51" s="23">
        <v>655921</v>
      </c>
      <c r="D51" s="23">
        <v>659451</v>
      </c>
      <c r="E51" s="23">
        <v>662794</v>
      </c>
      <c r="F51" s="23">
        <v>656530</v>
      </c>
      <c r="G51" s="24">
        <v>1</v>
      </c>
      <c r="H51" s="24">
        <v>1</v>
      </c>
      <c r="I51" s="24">
        <v>1</v>
      </c>
      <c r="J51" s="24">
        <v>1</v>
      </c>
      <c r="K51" s="24">
        <v>1</v>
      </c>
      <c r="L51" s="23">
        <v>398076</v>
      </c>
      <c r="M51" s="23">
        <v>407958</v>
      </c>
      <c r="N51" s="23">
        <v>416478</v>
      </c>
      <c r="O51" s="23">
        <v>421913</v>
      </c>
      <c r="P51" s="23">
        <v>412789</v>
      </c>
      <c r="Q51" s="24">
        <v>0.61177989349685336</v>
      </c>
      <c r="R51" s="24">
        <v>0.621962096045103</v>
      </c>
      <c r="S51" s="24">
        <v>0.63155260967077165</v>
      </c>
      <c r="T51" s="24">
        <v>0.63656731955932011</v>
      </c>
      <c r="U51" s="24">
        <v>0.62874354561101553</v>
      </c>
      <c r="V51" s="23"/>
      <c r="W51" s="23">
        <v>451031</v>
      </c>
      <c r="X51" s="23">
        <v>451417</v>
      </c>
      <c r="Y51" s="23">
        <v>656097</v>
      </c>
      <c r="Z51" s="23">
        <v>645096</v>
      </c>
      <c r="AA51" s="23">
        <v>655921</v>
      </c>
      <c r="AB51" s="24">
        <v>1</v>
      </c>
      <c r="AC51" s="24">
        <v>1</v>
      </c>
      <c r="AD51" s="24">
        <v>1</v>
      </c>
      <c r="AE51" s="24">
        <v>1</v>
      </c>
      <c r="AF51" s="24">
        <v>1</v>
      </c>
      <c r="AG51" s="23">
        <v>240414</v>
      </c>
      <c r="AH51" s="23">
        <v>269133</v>
      </c>
      <c r="AI51" s="23">
        <v>367603</v>
      </c>
      <c r="AJ51" s="23">
        <v>372978</v>
      </c>
      <c r="AK51" s="23">
        <v>407958</v>
      </c>
      <c r="AL51" s="24">
        <v>0.5330320975720072</v>
      </c>
      <c r="AM51" s="24">
        <v>0.59619597844121952</v>
      </c>
      <c r="AN51" s="24">
        <v>0.56028757942804186</v>
      </c>
      <c r="AO51" s="24">
        <v>0.57817441125041857</v>
      </c>
      <c r="AP51" s="24">
        <v>0.621962096045103</v>
      </c>
    </row>
    <row r="52" spans="1:42" x14ac:dyDescent="0.25">
      <c r="A52" s="25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</row>
    <row r="53" spans="1:42" x14ac:dyDescent="0.25">
      <c r="A53" s="1" t="s">
        <v>68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</row>
    <row r="54" spans="1:42" x14ac:dyDescent="0.25">
      <c r="A54" s="26" t="s">
        <v>69</v>
      </c>
      <c r="B54" s="27" t="s">
        <v>12</v>
      </c>
      <c r="C54" s="27" t="s">
        <v>13</v>
      </c>
      <c r="D54" s="27" t="s">
        <v>14</v>
      </c>
      <c r="E54" s="27" t="s">
        <v>15</v>
      </c>
      <c r="F54" s="27" t="s">
        <v>16</v>
      </c>
      <c r="G54" s="27" t="s">
        <v>12</v>
      </c>
      <c r="H54" s="27" t="s">
        <v>13</v>
      </c>
      <c r="I54" s="27" t="s">
        <v>14</v>
      </c>
      <c r="J54" s="27" t="s">
        <v>15</v>
      </c>
      <c r="K54" s="27" t="s">
        <v>16</v>
      </c>
      <c r="L54" s="27" t="s">
        <v>12</v>
      </c>
      <c r="M54" s="27" t="s">
        <v>13</v>
      </c>
      <c r="N54" s="27" t="s">
        <v>14</v>
      </c>
      <c r="O54" s="27" t="s">
        <v>15</v>
      </c>
      <c r="P54" s="27" t="s">
        <v>16</v>
      </c>
      <c r="Q54" s="27" t="s">
        <v>12</v>
      </c>
      <c r="R54" s="27" t="s">
        <v>13</v>
      </c>
      <c r="S54" s="27" t="s">
        <v>14</v>
      </c>
      <c r="T54" s="27" t="s">
        <v>15</v>
      </c>
      <c r="U54" s="27" t="s">
        <v>16</v>
      </c>
      <c r="V54" s="27"/>
      <c r="W54" s="27" t="s">
        <v>17</v>
      </c>
      <c r="X54" s="27" t="s">
        <v>18</v>
      </c>
      <c r="Y54" s="27" t="s">
        <v>19</v>
      </c>
      <c r="Z54" s="27" t="s">
        <v>20</v>
      </c>
      <c r="AA54" s="27" t="s">
        <v>21</v>
      </c>
      <c r="AB54" s="27" t="s">
        <v>17</v>
      </c>
      <c r="AC54" s="27" t="s">
        <v>18</v>
      </c>
      <c r="AD54" s="27" t="s">
        <v>19</v>
      </c>
      <c r="AE54" s="27" t="s">
        <v>20</v>
      </c>
      <c r="AF54" s="27" t="s">
        <v>21</v>
      </c>
      <c r="AG54" s="27" t="s">
        <v>17</v>
      </c>
      <c r="AH54" s="27" t="s">
        <v>18</v>
      </c>
      <c r="AI54" s="27" t="s">
        <v>19</v>
      </c>
      <c r="AJ54" s="27" t="s">
        <v>20</v>
      </c>
      <c r="AK54" s="27" t="s">
        <v>21</v>
      </c>
      <c r="AL54" s="27" t="s">
        <v>17</v>
      </c>
      <c r="AM54" s="27" t="s">
        <v>18</v>
      </c>
      <c r="AN54" s="27" t="s">
        <v>19</v>
      </c>
      <c r="AO54" s="27" t="s">
        <v>20</v>
      </c>
      <c r="AP54" s="27" t="s">
        <v>21</v>
      </c>
    </row>
    <row r="55" spans="1:42" x14ac:dyDescent="0.25">
      <c r="A55" s="20" t="s">
        <v>23</v>
      </c>
      <c r="B55" s="21">
        <v>10759</v>
      </c>
      <c r="C55" s="21">
        <v>10879</v>
      </c>
      <c r="D55" s="21">
        <v>11014</v>
      </c>
      <c r="E55" s="21">
        <v>11219</v>
      </c>
      <c r="F55" s="21">
        <v>10538</v>
      </c>
      <c r="G55" s="22">
        <v>0.83441910966340938</v>
      </c>
      <c r="H55" s="22">
        <v>0.82573055028462994</v>
      </c>
      <c r="I55" s="22">
        <v>0.82607065176629413</v>
      </c>
      <c r="J55" s="22">
        <v>0.82772613250700899</v>
      </c>
      <c r="K55" s="22">
        <v>0.81412237330037085</v>
      </c>
      <c r="L55" s="21">
        <v>1610</v>
      </c>
      <c r="M55" s="21">
        <v>1678</v>
      </c>
      <c r="N55" s="21">
        <v>1750</v>
      </c>
      <c r="O55" s="21">
        <v>1863</v>
      </c>
      <c r="P55" s="21">
        <v>1734</v>
      </c>
      <c r="Q55" s="22">
        <v>0.14964216005204944</v>
      </c>
      <c r="R55" s="22">
        <v>0.15424211784171341</v>
      </c>
      <c r="S55" s="22">
        <v>0.15888868712547666</v>
      </c>
      <c r="T55" s="22">
        <v>0.16605758088956235</v>
      </c>
      <c r="U55" s="22">
        <v>0.16454735243879293</v>
      </c>
      <c r="V55" s="21"/>
      <c r="W55" s="21">
        <v>11702</v>
      </c>
      <c r="X55" s="21">
        <v>11194</v>
      </c>
      <c r="Y55" s="21">
        <v>10760</v>
      </c>
      <c r="Z55" s="21">
        <v>10489</v>
      </c>
      <c r="AA55" s="21">
        <v>10879</v>
      </c>
      <c r="AB55" s="22">
        <v>0.93265322387821792</v>
      </c>
      <c r="AC55" s="22">
        <v>0.89230769230769236</v>
      </c>
      <c r="AD55" s="22">
        <v>0.84891518737672589</v>
      </c>
      <c r="AE55" s="22">
        <v>0.83985907598686849</v>
      </c>
      <c r="AF55" s="22">
        <v>0.82573055028462994</v>
      </c>
      <c r="AG55" s="21">
        <v>1247</v>
      </c>
      <c r="AH55" s="21">
        <v>1299</v>
      </c>
      <c r="AI55" s="21">
        <v>1489</v>
      </c>
      <c r="AJ55" s="21">
        <v>1667</v>
      </c>
      <c r="AK55" s="21">
        <v>1678</v>
      </c>
      <c r="AL55" s="22">
        <v>0.10656298068706203</v>
      </c>
      <c r="AM55" s="22">
        <v>0.11604430945149187</v>
      </c>
      <c r="AN55" s="22">
        <v>0.13838289962825279</v>
      </c>
      <c r="AO55" s="22">
        <v>0.15892840118219087</v>
      </c>
      <c r="AP55" s="22">
        <v>0.15424211784171341</v>
      </c>
    </row>
    <row r="56" spans="1:42" x14ac:dyDescent="0.25">
      <c r="A56" s="20" t="s">
        <v>34</v>
      </c>
      <c r="B56" s="21">
        <v>0</v>
      </c>
      <c r="C56" s="21">
        <v>0</v>
      </c>
      <c r="D56" s="21">
        <v>0</v>
      </c>
      <c r="E56" s="21">
        <v>0</v>
      </c>
      <c r="F56" s="21">
        <v>1</v>
      </c>
      <c r="G56" s="22">
        <v>0</v>
      </c>
      <c r="H56" s="22">
        <v>0</v>
      </c>
      <c r="I56" s="22">
        <v>0</v>
      </c>
      <c r="J56" s="22">
        <v>0</v>
      </c>
      <c r="K56" s="22">
        <v>7.7255871446229907E-5</v>
      </c>
      <c r="L56" s="21">
        <v>0</v>
      </c>
      <c r="M56" s="21">
        <v>0</v>
      </c>
      <c r="N56" s="21">
        <v>0</v>
      </c>
      <c r="O56" s="21">
        <v>0</v>
      </c>
      <c r="P56" s="21">
        <v>1</v>
      </c>
      <c r="Q56" s="22">
        <v>0</v>
      </c>
      <c r="R56" s="22">
        <v>0</v>
      </c>
      <c r="S56" s="22">
        <v>0</v>
      </c>
      <c r="T56" s="22">
        <v>0</v>
      </c>
      <c r="U56" s="22">
        <v>1</v>
      </c>
      <c r="V56" s="21"/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</row>
    <row r="57" spans="1:42" x14ac:dyDescent="0.25">
      <c r="A57" s="20" t="s">
        <v>35</v>
      </c>
      <c r="B57" s="21">
        <v>368</v>
      </c>
      <c r="C57" s="21">
        <v>396</v>
      </c>
      <c r="D57" s="21">
        <v>412</v>
      </c>
      <c r="E57" s="21">
        <v>446</v>
      </c>
      <c r="F57" s="21">
        <v>390</v>
      </c>
      <c r="G57" s="22">
        <v>2.8540406390569258E-2</v>
      </c>
      <c r="H57" s="22">
        <v>3.0056925996204933E-2</v>
      </c>
      <c r="I57" s="22">
        <v>3.0900772519312981E-2</v>
      </c>
      <c r="J57" s="22">
        <v>3.2905415375534895E-2</v>
      </c>
      <c r="K57" s="22">
        <v>3.0129789864029668E-2</v>
      </c>
      <c r="L57" s="21">
        <v>358</v>
      </c>
      <c r="M57" s="21">
        <v>382</v>
      </c>
      <c r="N57" s="21">
        <v>401</v>
      </c>
      <c r="O57" s="21">
        <v>435</v>
      </c>
      <c r="P57" s="21">
        <v>380</v>
      </c>
      <c r="Q57" s="22">
        <v>0.97282608695652173</v>
      </c>
      <c r="R57" s="22">
        <v>0.96464646464646464</v>
      </c>
      <c r="S57" s="22">
        <v>0.97330097087378642</v>
      </c>
      <c r="T57" s="22">
        <v>0.9753363228699552</v>
      </c>
      <c r="U57" s="22">
        <v>0.97435897435897434</v>
      </c>
      <c r="V57" s="21"/>
      <c r="W57" s="21">
        <v>298</v>
      </c>
      <c r="X57" s="21">
        <v>264</v>
      </c>
      <c r="Y57" s="21">
        <v>224</v>
      </c>
      <c r="Z57" s="21">
        <v>256</v>
      </c>
      <c r="AA57" s="21">
        <v>396</v>
      </c>
      <c r="AB57" s="22">
        <v>2.3750697377859249E-2</v>
      </c>
      <c r="AC57" s="22">
        <v>2.1044240733359903E-2</v>
      </c>
      <c r="AD57" s="22">
        <v>1.7672583826429979E-2</v>
      </c>
      <c r="AE57" s="22">
        <v>2.0498038273680838E-2</v>
      </c>
      <c r="AF57" s="22">
        <v>3.0056925996204933E-2</v>
      </c>
      <c r="AG57" s="21">
        <v>282</v>
      </c>
      <c r="AH57" s="21">
        <v>248</v>
      </c>
      <c r="AI57" s="21">
        <v>209</v>
      </c>
      <c r="AJ57" s="21">
        <v>250</v>
      </c>
      <c r="AK57" s="21">
        <v>382</v>
      </c>
      <c r="AL57" s="22">
        <v>0.94630872483221473</v>
      </c>
      <c r="AM57" s="22">
        <v>0.93939393939393945</v>
      </c>
      <c r="AN57" s="22">
        <v>0.9330357142857143</v>
      </c>
      <c r="AO57" s="22">
        <v>0.9765625</v>
      </c>
      <c r="AP57" s="22">
        <v>0.96464646464646464</v>
      </c>
    </row>
    <row r="58" spans="1:42" x14ac:dyDescent="0.25">
      <c r="A58" s="20" t="s">
        <v>85</v>
      </c>
      <c r="B58" s="21">
        <v>29</v>
      </c>
      <c r="C58" s="21">
        <v>34</v>
      </c>
      <c r="D58" s="21">
        <v>23</v>
      </c>
      <c r="E58" s="21">
        <v>27</v>
      </c>
      <c r="F58" s="21">
        <v>38</v>
      </c>
      <c r="G58" s="22">
        <v>2.2491081123002946E-3</v>
      </c>
      <c r="H58" s="22">
        <v>2.5806451612903226E-3</v>
      </c>
      <c r="I58" s="22">
        <v>1.7250431260781519E-3</v>
      </c>
      <c r="J58" s="22">
        <v>1.9920318725099601E-3</v>
      </c>
      <c r="K58" s="22">
        <v>2.9357231149567367E-3</v>
      </c>
      <c r="L58" s="21">
        <v>28</v>
      </c>
      <c r="M58" s="21">
        <v>32</v>
      </c>
      <c r="N58" s="21">
        <v>18</v>
      </c>
      <c r="O58" s="21">
        <v>22</v>
      </c>
      <c r="P58" s="21">
        <v>26</v>
      </c>
      <c r="Q58" s="22">
        <v>0.96551724137931039</v>
      </c>
      <c r="R58" s="22">
        <v>0.94117647058823528</v>
      </c>
      <c r="S58" s="22">
        <v>0.78260869565217395</v>
      </c>
      <c r="T58" s="22">
        <v>0.81481481481481477</v>
      </c>
      <c r="U58" s="22">
        <v>0.68421052631578949</v>
      </c>
      <c r="V58" s="21"/>
      <c r="W58" s="21">
        <v>6</v>
      </c>
      <c r="X58" s="21">
        <v>14</v>
      </c>
      <c r="Y58" s="21">
        <v>26</v>
      </c>
      <c r="Z58" s="21">
        <v>27</v>
      </c>
      <c r="AA58" s="21">
        <v>34</v>
      </c>
      <c r="AB58" s="22">
        <v>4.7820196062803858E-4</v>
      </c>
      <c r="AC58" s="22">
        <v>1.1159824631327222E-3</v>
      </c>
      <c r="AD58" s="22">
        <v>2.0512820512820513E-3</v>
      </c>
      <c r="AE58" s="22">
        <v>2.1619024741772758E-3</v>
      </c>
      <c r="AF58" s="22">
        <v>2.5806451612903226E-3</v>
      </c>
      <c r="AG58" s="21">
        <v>6</v>
      </c>
      <c r="AH58" s="21">
        <v>13</v>
      </c>
      <c r="AI58" s="21">
        <v>26</v>
      </c>
      <c r="AJ58" s="21">
        <v>26</v>
      </c>
      <c r="AK58" s="21">
        <v>32</v>
      </c>
      <c r="AL58" s="22">
        <v>1</v>
      </c>
      <c r="AM58" s="22">
        <v>0.9285714285714286</v>
      </c>
      <c r="AN58" s="22">
        <v>1</v>
      </c>
      <c r="AO58" s="22">
        <v>0.96296296296296291</v>
      </c>
      <c r="AP58" s="22">
        <v>0.94117647058823528</v>
      </c>
    </row>
    <row r="59" spans="1:42" x14ac:dyDescent="0.25">
      <c r="A59" s="20" t="s">
        <v>45</v>
      </c>
      <c r="B59" s="21">
        <v>3</v>
      </c>
      <c r="C59" s="21">
        <v>2</v>
      </c>
      <c r="D59" s="21">
        <v>1</v>
      </c>
      <c r="E59" s="21">
        <v>0</v>
      </c>
      <c r="F59" s="21">
        <v>0</v>
      </c>
      <c r="G59" s="22">
        <v>2.3266635644485808E-4</v>
      </c>
      <c r="H59" s="22">
        <v>1.5180265654648957E-4</v>
      </c>
      <c r="I59" s="22">
        <v>7.5001875046876168E-5</v>
      </c>
      <c r="J59" s="22">
        <v>0</v>
      </c>
      <c r="K59" s="22">
        <v>0</v>
      </c>
      <c r="L59" s="21">
        <v>1</v>
      </c>
      <c r="M59" s="21">
        <v>2</v>
      </c>
      <c r="N59" s="21">
        <v>1</v>
      </c>
      <c r="O59" s="21">
        <v>0</v>
      </c>
      <c r="P59" s="21">
        <v>0</v>
      </c>
      <c r="Q59" s="22">
        <v>0.33333333333333331</v>
      </c>
      <c r="R59" s="22">
        <v>1</v>
      </c>
      <c r="S59" s="22">
        <v>1</v>
      </c>
      <c r="T59" s="22">
        <v>0</v>
      </c>
      <c r="U59" s="22">
        <v>0</v>
      </c>
      <c r="V59" s="21"/>
      <c r="W59" s="21">
        <v>0</v>
      </c>
      <c r="X59" s="21">
        <v>31</v>
      </c>
      <c r="Y59" s="21">
        <v>0</v>
      </c>
      <c r="Z59" s="21">
        <v>0</v>
      </c>
      <c r="AA59" s="21">
        <v>2</v>
      </c>
      <c r="AB59" s="22">
        <v>0</v>
      </c>
      <c r="AC59" s="22">
        <v>2.4711040255081707E-3</v>
      </c>
      <c r="AD59" s="22">
        <v>0</v>
      </c>
      <c r="AE59" s="22">
        <v>0</v>
      </c>
      <c r="AF59" s="22">
        <v>1.5180265654648957E-4</v>
      </c>
      <c r="AG59" s="21">
        <v>0</v>
      </c>
      <c r="AH59" s="21">
        <v>0</v>
      </c>
      <c r="AI59" s="21">
        <v>0</v>
      </c>
      <c r="AJ59" s="21">
        <v>0</v>
      </c>
      <c r="AK59" s="21">
        <v>2</v>
      </c>
      <c r="AL59" s="22">
        <v>0</v>
      </c>
      <c r="AM59" s="22">
        <v>0</v>
      </c>
      <c r="AN59" s="22">
        <v>0</v>
      </c>
      <c r="AO59" s="22">
        <v>0</v>
      </c>
      <c r="AP59" s="22">
        <v>1</v>
      </c>
    </row>
    <row r="60" spans="1:42" x14ac:dyDescent="0.25">
      <c r="A60" s="20" t="s">
        <v>46</v>
      </c>
      <c r="B60" s="21">
        <v>66</v>
      </c>
      <c r="C60" s="21">
        <v>59</v>
      </c>
      <c r="D60" s="21">
        <v>87</v>
      </c>
      <c r="E60" s="21">
        <v>92</v>
      </c>
      <c r="F60" s="21">
        <v>89</v>
      </c>
      <c r="G60" s="22">
        <v>5.1186598417868774E-3</v>
      </c>
      <c r="H60" s="22">
        <v>4.4781783681214424E-3</v>
      </c>
      <c r="I60" s="22">
        <v>6.5251631290782269E-3</v>
      </c>
      <c r="J60" s="22">
        <v>6.7876641581820869E-3</v>
      </c>
      <c r="K60" s="22">
        <v>6.8757725587144623E-3</v>
      </c>
      <c r="L60" s="21">
        <v>66</v>
      </c>
      <c r="M60" s="21">
        <v>58</v>
      </c>
      <c r="N60" s="21">
        <v>85</v>
      </c>
      <c r="O60" s="21">
        <v>90</v>
      </c>
      <c r="P60" s="21">
        <v>86</v>
      </c>
      <c r="Q60" s="22">
        <v>1</v>
      </c>
      <c r="R60" s="22">
        <v>0.98305084745762716</v>
      </c>
      <c r="S60" s="22">
        <v>0.97701149425287359</v>
      </c>
      <c r="T60" s="22">
        <v>0.97826086956521741</v>
      </c>
      <c r="U60" s="22">
        <v>0.9662921348314607</v>
      </c>
      <c r="V60" s="21"/>
      <c r="W60" s="21">
        <v>0</v>
      </c>
      <c r="X60" s="21">
        <v>0</v>
      </c>
      <c r="Y60" s="21">
        <v>61</v>
      </c>
      <c r="Z60" s="21">
        <v>98</v>
      </c>
      <c r="AA60" s="21">
        <v>59</v>
      </c>
      <c r="AB60" s="22">
        <v>0</v>
      </c>
      <c r="AC60" s="22">
        <v>0</v>
      </c>
      <c r="AD60" s="22">
        <v>4.8126232741617361E-3</v>
      </c>
      <c r="AE60" s="22">
        <v>7.8469052766434455E-3</v>
      </c>
      <c r="AF60" s="22">
        <v>4.4781783681214424E-3</v>
      </c>
      <c r="AG60" s="21">
        <v>0</v>
      </c>
      <c r="AH60" s="21">
        <v>0</v>
      </c>
      <c r="AI60" s="21">
        <v>60</v>
      </c>
      <c r="AJ60" s="21">
        <v>98</v>
      </c>
      <c r="AK60" s="21">
        <v>58</v>
      </c>
      <c r="AL60" s="22">
        <v>0</v>
      </c>
      <c r="AM60" s="22">
        <v>0</v>
      </c>
      <c r="AN60" s="22">
        <v>0.98360655737704916</v>
      </c>
      <c r="AO60" s="22">
        <v>1</v>
      </c>
      <c r="AP60" s="22">
        <v>0.98305084745762716</v>
      </c>
    </row>
    <row r="61" spans="1:42" x14ac:dyDescent="0.25">
      <c r="A61" s="20" t="s">
        <v>48</v>
      </c>
      <c r="B61" s="21">
        <v>1542</v>
      </c>
      <c r="C61" s="21">
        <v>1683</v>
      </c>
      <c r="D61" s="21">
        <v>1729</v>
      </c>
      <c r="E61" s="21">
        <v>1702</v>
      </c>
      <c r="F61" s="21">
        <v>1816</v>
      </c>
      <c r="G61" s="22">
        <v>0.11959050721265704</v>
      </c>
      <c r="H61" s="22">
        <v>0.12774193548387097</v>
      </c>
      <c r="I61" s="22">
        <v>0.12967824195604891</v>
      </c>
      <c r="J61" s="22">
        <v>0.12557178692636861</v>
      </c>
      <c r="K61" s="22">
        <v>0.14029666254635353</v>
      </c>
      <c r="L61" s="21">
        <v>1467</v>
      </c>
      <c r="M61" s="21">
        <v>1590</v>
      </c>
      <c r="N61" s="21">
        <v>1626</v>
      </c>
      <c r="O61" s="21">
        <v>1591</v>
      </c>
      <c r="P61" s="21">
        <v>1674</v>
      </c>
      <c r="Q61" s="22">
        <v>0.95136186770428011</v>
      </c>
      <c r="R61" s="22">
        <v>0.94474153297682706</v>
      </c>
      <c r="S61" s="22">
        <v>0.94042799305957203</v>
      </c>
      <c r="T61" s="22">
        <v>0.93478260869565222</v>
      </c>
      <c r="U61" s="22">
        <v>0.92180616740088106</v>
      </c>
      <c r="V61" s="21"/>
      <c r="W61" s="21">
        <v>56</v>
      </c>
      <c r="X61" s="21">
        <v>618</v>
      </c>
      <c r="Y61" s="21">
        <v>1237</v>
      </c>
      <c r="Z61" s="21">
        <v>1458</v>
      </c>
      <c r="AA61" s="21">
        <v>1683</v>
      </c>
      <c r="AB61" s="22">
        <v>4.463218299195027E-3</v>
      </c>
      <c r="AC61" s="22">
        <v>4.9262654444001595E-2</v>
      </c>
      <c r="AD61" s="22">
        <v>9.7593688362919137E-2</v>
      </c>
      <c r="AE61" s="22">
        <v>0.1167427336055729</v>
      </c>
      <c r="AF61" s="22">
        <v>0.12774193548387097</v>
      </c>
      <c r="AG61" s="21">
        <v>52</v>
      </c>
      <c r="AH61" s="21">
        <v>610</v>
      </c>
      <c r="AI61" s="21">
        <v>1213</v>
      </c>
      <c r="AJ61" s="21">
        <v>1403</v>
      </c>
      <c r="AK61" s="21">
        <v>1590</v>
      </c>
      <c r="AL61" s="22">
        <v>0.9285714285714286</v>
      </c>
      <c r="AM61" s="22">
        <v>0.98705501618122982</v>
      </c>
      <c r="AN61" s="22">
        <v>0.98059822150363785</v>
      </c>
      <c r="AO61" s="22">
        <v>0.9622770919067215</v>
      </c>
      <c r="AP61" s="22">
        <v>0.94474153297682706</v>
      </c>
    </row>
    <row r="62" spans="1:42" x14ac:dyDescent="0.25">
      <c r="A62" s="20" t="s">
        <v>139</v>
      </c>
      <c r="B62" s="21">
        <v>102</v>
      </c>
      <c r="C62" s="21">
        <v>99</v>
      </c>
      <c r="D62" s="21">
        <v>54</v>
      </c>
      <c r="E62" s="21">
        <v>51</v>
      </c>
      <c r="F62" s="21">
        <v>55</v>
      </c>
      <c r="G62" s="22">
        <v>7.9106561191251753E-3</v>
      </c>
      <c r="H62" s="22">
        <v>7.5142314990512332E-3</v>
      </c>
      <c r="I62" s="22">
        <v>4.0501012525313131E-3</v>
      </c>
      <c r="J62" s="22">
        <v>3.7627268702965914E-3</v>
      </c>
      <c r="K62" s="22">
        <v>4.2490729295426456E-3</v>
      </c>
      <c r="L62" s="21">
        <v>93</v>
      </c>
      <c r="M62" s="21">
        <v>91</v>
      </c>
      <c r="N62" s="21">
        <v>46</v>
      </c>
      <c r="O62" s="21">
        <v>44</v>
      </c>
      <c r="P62" s="21">
        <v>50</v>
      </c>
      <c r="Q62" s="22">
        <v>0.91176470588235292</v>
      </c>
      <c r="R62" s="22">
        <v>0.91919191919191923</v>
      </c>
      <c r="S62" s="22">
        <v>0.85185185185185186</v>
      </c>
      <c r="T62" s="22">
        <v>0.86274509803921573</v>
      </c>
      <c r="U62" s="22">
        <v>0.90909090909090906</v>
      </c>
      <c r="V62" s="21"/>
      <c r="W62" s="21">
        <v>472</v>
      </c>
      <c r="X62" s="21">
        <v>380</v>
      </c>
      <c r="Y62" s="21">
        <v>302</v>
      </c>
      <c r="Z62" s="21">
        <v>121</v>
      </c>
      <c r="AA62" s="21">
        <v>99</v>
      </c>
      <c r="AB62" s="22">
        <v>3.7618554236072368E-2</v>
      </c>
      <c r="AC62" s="22">
        <v>3.0290952570745319E-2</v>
      </c>
      <c r="AD62" s="22">
        <v>2.3826429980276134E-2</v>
      </c>
      <c r="AE62" s="22">
        <v>9.6885259027944589E-3</v>
      </c>
      <c r="AF62" s="22">
        <v>7.5142314990512332E-3</v>
      </c>
      <c r="AG62" s="21">
        <v>466</v>
      </c>
      <c r="AH62" s="21">
        <v>376</v>
      </c>
      <c r="AI62" s="21">
        <v>298</v>
      </c>
      <c r="AJ62" s="21">
        <v>110</v>
      </c>
      <c r="AK62" s="21">
        <v>91</v>
      </c>
      <c r="AL62" s="22">
        <v>0.98728813559322037</v>
      </c>
      <c r="AM62" s="22">
        <v>0.98947368421052628</v>
      </c>
      <c r="AN62" s="22">
        <v>0.98675496688741726</v>
      </c>
      <c r="AO62" s="22">
        <v>0.90909090909090906</v>
      </c>
      <c r="AP62" s="22">
        <v>0.91919191919191923</v>
      </c>
    </row>
    <row r="63" spans="1:42" x14ac:dyDescent="0.25">
      <c r="A63" s="20" t="s">
        <v>57</v>
      </c>
      <c r="B63" s="21">
        <v>21</v>
      </c>
      <c r="C63" s="21">
        <v>19</v>
      </c>
      <c r="D63" s="21">
        <v>12</v>
      </c>
      <c r="E63" s="21">
        <v>13</v>
      </c>
      <c r="F63" s="21">
        <v>13</v>
      </c>
      <c r="G63" s="22">
        <v>1.6286644951140066E-3</v>
      </c>
      <c r="H63" s="22">
        <v>1.4421252371916509E-3</v>
      </c>
      <c r="I63" s="22">
        <v>9.0002250056251407E-4</v>
      </c>
      <c r="J63" s="22">
        <v>9.5912645713442529E-4</v>
      </c>
      <c r="K63" s="22">
        <v>1.0043263288009889E-3</v>
      </c>
      <c r="L63" s="21">
        <v>21</v>
      </c>
      <c r="M63" s="21">
        <v>19</v>
      </c>
      <c r="N63" s="21">
        <v>12</v>
      </c>
      <c r="O63" s="21">
        <v>13</v>
      </c>
      <c r="P63" s="21">
        <v>13</v>
      </c>
      <c r="Q63" s="22">
        <v>1</v>
      </c>
      <c r="R63" s="22">
        <v>1</v>
      </c>
      <c r="S63" s="22">
        <v>1</v>
      </c>
      <c r="T63" s="22">
        <v>1</v>
      </c>
      <c r="U63" s="22">
        <v>1</v>
      </c>
      <c r="V63" s="21"/>
      <c r="W63" s="21">
        <v>13</v>
      </c>
      <c r="X63" s="21">
        <v>41</v>
      </c>
      <c r="Y63" s="21">
        <v>40</v>
      </c>
      <c r="Z63" s="21">
        <v>35</v>
      </c>
      <c r="AA63" s="21">
        <v>19</v>
      </c>
      <c r="AB63" s="22">
        <v>1.0361042480274169E-3</v>
      </c>
      <c r="AC63" s="22">
        <v>3.2682343563172579E-3</v>
      </c>
      <c r="AD63" s="22">
        <v>3.1558185404339249E-3</v>
      </c>
      <c r="AE63" s="22">
        <v>2.802466170229802E-3</v>
      </c>
      <c r="AF63" s="22">
        <v>1.4421252371916509E-3</v>
      </c>
      <c r="AG63" s="21">
        <v>13</v>
      </c>
      <c r="AH63" s="21">
        <v>41</v>
      </c>
      <c r="AI63" s="21">
        <v>40</v>
      </c>
      <c r="AJ63" s="21">
        <v>35</v>
      </c>
      <c r="AK63" s="21">
        <v>19</v>
      </c>
      <c r="AL63" s="22">
        <v>1</v>
      </c>
      <c r="AM63" s="22">
        <v>1</v>
      </c>
      <c r="AN63" s="22">
        <v>1</v>
      </c>
      <c r="AO63" s="22">
        <v>1</v>
      </c>
      <c r="AP63" s="22">
        <v>1</v>
      </c>
    </row>
    <row r="64" spans="1:42" x14ac:dyDescent="0.25">
      <c r="A64" s="20" t="s">
        <v>60</v>
      </c>
      <c r="B64" s="21">
        <v>4</v>
      </c>
      <c r="C64" s="21">
        <v>4</v>
      </c>
      <c r="D64" s="21">
        <v>1</v>
      </c>
      <c r="E64" s="21">
        <v>4</v>
      </c>
      <c r="F64" s="21">
        <v>4</v>
      </c>
      <c r="G64" s="22">
        <v>3.1022180859314411E-4</v>
      </c>
      <c r="H64" s="22">
        <v>3.0360531309297915E-4</v>
      </c>
      <c r="I64" s="22">
        <v>7.5001875046876168E-5</v>
      </c>
      <c r="J64" s="22">
        <v>2.9511583296443856E-4</v>
      </c>
      <c r="K64" s="22">
        <v>3.0902348578491963E-4</v>
      </c>
      <c r="L64" s="21">
        <v>4</v>
      </c>
      <c r="M64" s="21">
        <v>4</v>
      </c>
      <c r="N64" s="21">
        <v>1</v>
      </c>
      <c r="O64" s="21">
        <v>4</v>
      </c>
      <c r="P64" s="21">
        <v>4</v>
      </c>
      <c r="Q64" s="22">
        <v>1</v>
      </c>
      <c r="R64" s="22">
        <v>1</v>
      </c>
      <c r="S64" s="22">
        <v>1</v>
      </c>
      <c r="T64" s="22">
        <v>1</v>
      </c>
      <c r="U64" s="22">
        <v>1</v>
      </c>
      <c r="V64" s="21"/>
      <c r="W64" s="21">
        <v>0</v>
      </c>
      <c r="X64" s="21">
        <v>3</v>
      </c>
      <c r="Y64" s="21">
        <v>25</v>
      </c>
      <c r="Z64" s="21">
        <v>5</v>
      </c>
      <c r="AA64" s="21">
        <v>4</v>
      </c>
      <c r="AB64" s="22">
        <v>0</v>
      </c>
      <c r="AC64" s="22">
        <v>2.3913909924272618E-4</v>
      </c>
      <c r="AD64" s="22">
        <v>1.9723865877712033E-3</v>
      </c>
      <c r="AE64" s="22">
        <v>4.0035231003282887E-4</v>
      </c>
      <c r="AF64" s="22">
        <v>3.0360531309297915E-4</v>
      </c>
      <c r="AG64" s="21">
        <v>0</v>
      </c>
      <c r="AH64" s="21">
        <v>3</v>
      </c>
      <c r="AI64" s="21">
        <v>25</v>
      </c>
      <c r="AJ64" s="21">
        <v>5</v>
      </c>
      <c r="AK64" s="21">
        <v>4</v>
      </c>
      <c r="AL64" s="22">
        <v>0</v>
      </c>
      <c r="AM64" s="22">
        <v>1</v>
      </c>
      <c r="AN64" s="22">
        <v>1</v>
      </c>
      <c r="AO64" s="22">
        <v>1</v>
      </c>
      <c r="AP64" s="22">
        <v>1</v>
      </c>
    </row>
    <row r="65" spans="1:42" x14ac:dyDescent="0.25">
      <c r="A65" s="28" t="s">
        <v>70</v>
      </c>
      <c r="B65" s="29">
        <v>12894</v>
      </c>
      <c r="C65" s="29">
        <v>13175</v>
      </c>
      <c r="D65" s="29">
        <v>13333</v>
      </c>
      <c r="E65" s="29">
        <v>13554</v>
      </c>
      <c r="F65" s="29">
        <v>12944</v>
      </c>
      <c r="G65" s="24">
        <v>1</v>
      </c>
      <c r="H65" s="24">
        <v>1</v>
      </c>
      <c r="I65" s="24">
        <v>1</v>
      </c>
      <c r="J65" s="24">
        <v>1</v>
      </c>
      <c r="K65" s="24">
        <v>1</v>
      </c>
      <c r="L65" s="29">
        <v>3648</v>
      </c>
      <c r="M65" s="29">
        <v>3856</v>
      </c>
      <c r="N65" s="29">
        <v>3940</v>
      </c>
      <c r="O65" s="29">
        <v>4062</v>
      </c>
      <c r="P65" s="29">
        <v>3968</v>
      </c>
      <c r="Q65" s="24">
        <v>0.28292228943694742</v>
      </c>
      <c r="R65" s="24">
        <v>0.29267552182163187</v>
      </c>
      <c r="S65" s="24">
        <v>0.29550738768469209</v>
      </c>
      <c r="T65" s="24">
        <v>0.29969012837538733</v>
      </c>
      <c r="U65" s="24">
        <v>0.30655129789864027</v>
      </c>
      <c r="V65" s="29"/>
      <c r="W65" s="29">
        <v>12547</v>
      </c>
      <c r="X65" s="29">
        <v>12545</v>
      </c>
      <c r="Y65" s="29">
        <v>12675</v>
      </c>
      <c r="Z65" s="29">
        <v>12489</v>
      </c>
      <c r="AA65" s="29">
        <v>13175</v>
      </c>
      <c r="AB65" s="24">
        <v>1</v>
      </c>
      <c r="AC65" s="24">
        <v>1</v>
      </c>
      <c r="AD65" s="24">
        <v>1</v>
      </c>
      <c r="AE65" s="24">
        <v>1</v>
      </c>
      <c r="AF65" s="24">
        <v>1</v>
      </c>
      <c r="AG65" s="29">
        <v>2066</v>
      </c>
      <c r="AH65" s="29">
        <v>2590</v>
      </c>
      <c r="AI65" s="29">
        <v>3360</v>
      </c>
      <c r="AJ65" s="29">
        <v>3594</v>
      </c>
      <c r="AK65" s="29">
        <v>3856</v>
      </c>
      <c r="AL65" s="24">
        <v>0.16466087510958796</v>
      </c>
      <c r="AM65" s="24">
        <v>0.2064567556795536</v>
      </c>
      <c r="AN65" s="24">
        <v>0.26508875739644971</v>
      </c>
      <c r="AO65" s="24">
        <v>0.28777324045159741</v>
      </c>
      <c r="AP65" s="24">
        <v>0.29267552182163187</v>
      </c>
    </row>
    <row r="66" spans="1:42" x14ac:dyDescent="0.25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2"/>
      <c r="AC66" s="22"/>
      <c r="AD66" s="22"/>
      <c r="AE66" s="22"/>
      <c r="AF66" s="22"/>
      <c r="AG66" s="21"/>
      <c r="AH66" s="21"/>
      <c r="AI66" s="21"/>
      <c r="AJ66" s="21"/>
      <c r="AK66" s="21"/>
      <c r="AL66" s="22"/>
      <c r="AM66" s="22"/>
      <c r="AN66" s="22"/>
      <c r="AO66" s="22"/>
      <c r="AP66" s="22"/>
    </row>
    <row r="67" spans="1:42" x14ac:dyDescent="0.25">
      <c r="A67" s="30" t="s">
        <v>71</v>
      </c>
      <c r="B67" s="27" t="s">
        <v>12</v>
      </c>
      <c r="C67" s="27" t="s">
        <v>13</v>
      </c>
      <c r="D67" s="27" t="s">
        <v>14</v>
      </c>
      <c r="E67" s="27" t="s">
        <v>15</v>
      </c>
      <c r="F67" s="27" t="s">
        <v>16</v>
      </c>
      <c r="G67" s="27" t="s">
        <v>12</v>
      </c>
      <c r="H67" s="27" t="s">
        <v>13</v>
      </c>
      <c r="I67" s="27" t="s">
        <v>14</v>
      </c>
      <c r="J67" s="27" t="s">
        <v>15</v>
      </c>
      <c r="K67" s="27" t="s">
        <v>16</v>
      </c>
      <c r="L67" s="27" t="s">
        <v>12</v>
      </c>
      <c r="M67" s="27" t="s">
        <v>13</v>
      </c>
      <c r="N67" s="27" t="s">
        <v>14</v>
      </c>
      <c r="O67" s="27" t="s">
        <v>15</v>
      </c>
      <c r="P67" s="27" t="s">
        <v>16</v>
      </c>
      <c r="Q67" s="27" t="s">
        <v>12</v>
      </c>
      <c r="R67" s="27" t="s">
        <v>13</v>
      </c>
      <c r="S67" s="27" t="s">
        <v>14</v>
      </c>
      <c r="T67" s="27" t="s">
        <v>15</v>
      </c>
      <c r="U67" s="27" t="s">
        <v>16</v>
      </c>
      <c r="V67" s="27"/>
      <c r="W67" s="27" t="s">
        <v>17</v>
      </c>
      <c r="X67" s="27" t="s">
        <v>18</v>
      </c>
      <c r="Y67" s="27" t="s">
        <v>19</v>
      </c>
      <c r="Z67" s="27" t="s">
        <v>20</v>
      </c>
      <c r="AA67" s="27" t="s">
        <v>21</v>
      </c>
      <c r="AB67" s="27" t="s">
        <v>17</v>
      </c>
      <c r="AC67" s="27" t="s">
        <v>18</v>
      </c>
      <c r="AD67" s="27" t="s">
        <v>19</v>
      </c>
      <c r="AE67" s="27" t="s">
        <v>20</v>
      </c>
      <c r="AF67" s="27" t="s">
        <v>21</v>
      </c>
      <c r="AG67" s="27" t="s">
        <v>17</v>
      </c>
      <c r="AH67" s="27" t="s">
        <v>18</v>
      </c>
      <c r="AI67" s="27" t="s">
        <v>19</v>
      </c>
      <c r="AJ67" s="27" t="s">
        <v>20</v>
      </c>
      <c r="AK67" s="27" t="s">
        <v>21</v>
      </c>
      <c r="AL67" s="27" t="s">
        <v>17</v>
      </c>
      <c r="AM67" s="27" t="s">
        <v>18</v>
      </c>
      <c r="AN67" s="27" t="s">
        <v>19</v>
      </c>
      <c r="AO67" s="27" t="s">
        <v>20</v>
      </c>
      <c r="AP67" s="27" t="s">
        <v>21</v>
      </c>
    </row>
    <row r="68" spans="1:42" x14ac:dyDescent="0.25">
      <c r="A68" s="20" t="s">
        <v>22</v>
      </c>
      <c r="B68" s="21">
        <v>1485</v>
      </c>
      <c r="C68" s="21">
        <v>1417</v>
      </c>
      <c r="D68" s="21">
        <v>1316</v>
      </c>
      <c r="E68" s="21">
        <v>1288</v>
      </c>
      <c r="F68" s="21">
        <v>1262</v>
      </c>
      <c r="G68" s="22">
        <v>4.6340359800908087E-3</v>
      </c>
      <c r="H68" s="22">
        <v>4.4099477466318518E-3</v>
      </c>
      <c r="I68" s="22">
        <v>4.0441289450232013E-3</v>
      </c>
      <c r="J68" s="22">
        <v>3.9179660645734344E-3</v>
      </c>
      <c r="K68" s="22">
        <v>3.8810707080647543E-3</v>
      </c>
      <c r="L68" s="21">
        <v>1398</v>
      </c>
      <c r="M68" s="21">
        <v>1331</v>
      </c>
      <c r="N68" s="21">
        <v>1216</v>
      </c>
      <c r="O68" s="21">
        <v>1187</v>
      </c>
      <c r="P68" s="21">
        <v>1136</v>
      </c>
      <c r="Q68" s="22">
        <v>0.94141414141414137</v>
      </c>
      <c r="R68" s="22">
        <v>0.93930839802399435</v>
      </c>
      <c r="S68" s="22">
        <v>0.92401215805471126</v>
      </c>
      <c r="T68" s="22">
        <v>0.92158385093167705</v>
      </c>
      <c r="U68" s="22">
        <v>0.90015847860538822</v>
      </c>
      <c r="V68" s="21"/>
      <c r="W68" s="21">
        <v>0</v>
      </c>
      <c r="X68" s="21">
        <v>0</v>
      </c>
      <c r="Y68" s="21">
        <v>1813</v>
      </c>
      <c r="Z68" s="21">
        <v>2086</v>
      </c>
      <c r="AA68" s="21">
        <v>1417</v>
      </c>
      <c r="AB68" s="22">
        <v>0</v>
      </c>
      <c r="AC68" s="22">
        <v>0</v>
      </c>
      <c r="AD68" s="22">
        <v>5.7966288111315732E-3</v>
      </c>
      <c r="AE68" s="22">
        <v>6.6664536128599279E-3</v>
      </c>
      <c r="AF68" s="22">
        <v>4.4099477466318518E-3</v>
      </c>
      <c r="AG68" s="21">
        <v>0</v>
      </c>
      <c r="AH68" s="21">
        <v>0</v>
      </c>
      <c r="AI68" s="21">
        <v>1813</v>
      </c>
      <c r="AJ68" s="21">
        <v>1901</v>
      </c>
      <c r="AK68" s="21">
        <v>1331</v>
      </c>
      <c r="AL68" s="22">
        <v>0</v>
      </c>
      <c r="AM68" s="22">
        <v>0</v>
      </c>
      <c r="AN68" s="22">
        <v>1</v>
      </c>
      <c r="AO68" s="22">
        <v>0.91131351869606902</v>
      </c>
      <c r="AP68" s="22">
        <v>0.93930839802399435</v>
      </c>
    </row>
    <row r="69" spans="1:42" x14ac:dyDescent="0.25">
      <c r="A69" s="20" t="s">
        <v>23</v>
      </c>
      <c r="B69" s="21">
        <v>1371</v>
      </c>
      <c r="C69" s="21">
        <v>1341</v>
      </c>
      <c r="D69" s="21">
        <v>1280</v>
      </c>
      <c r="E69" s="21">
        <v>1290</v>
      </c>
      <c r="F69" s="21">
        <v>1270</v>
      </c>
      <c r="G69" s="22">
        <v>4.2782918038414127E-3</v>
      </c>
      <c r="H69" s="22">
        <v>4.1734226734180049E-3</v>
      </c>
      <c r="I69" s="22">
        <v>3.9334992778341168E-3</v>
      </c>
      <c r="J69" s="22">
        <v>3.9240498628103498E-3</v>
      </c>
      <c r="K69" s="22">
        <v>3.9056733749938495E-3</v>
      </c>
      <c r="L69" s="21">
        <v>934</v>
      </c>
      <c r="M69" s="21">
        <v>979</v>
      </c>
      <c r="N69" s="21">
        <v>937</v>
      </c>
      <c r="O69" s="21">
        <v>888</v>
      </c>
      <c r="P69" s="21">
        <v>617</v>
      </c>
      <c r="Q69" s="22">
        <v>0.6812545587162655</v>
      </c>
      <c r="R69" s="22">
        <v>0.73005219985085756</v>
      </c>
      <c r="S69" s="22">
        <v>0.73203125000000002</v>
      </c>
      <c r="T69" s="22">
        <v>0.68837209302325586</v>
      </c>
      <c r="U69" s="22">
        <v>0.48582677165354332</v>
      </c>
      <c r="V69" s="21"/>
      <c r="W69" s="21">
        <v>958</v>
      </c>
      <c r="X69" s="21">
        <v>1271</v>
      </c>
      <c r="Y69" s="21">
        <v>1396</v>
      </c>
      <c r="Z69" s="21">
        <v>1364</v>
      </c>
      <c r="AA69" s="21">
        <v>1341</v>
      </c>
      <c r="AB69" s="22">
        <v>3.0613483993429925E-3</v>
      </c>
      <c r="AC69" s="22">
        <v>4.0763048344782905E-3</v>
      </c>
      <c r="AD69" s="22">
        <v>4.4633722119909961E-3</v>
      </c>
      <c r="AE69" s="22">
        <v>4.3590808858777284E-3</v>
      </c>
      <c r="AF69" s="22">
        <v>4.1734226734180049E-3</v>
      </c>
      <c r="AG69" s="21">
        <v>485</v>
      </c>
      <c r="AH69" s="21">
        <v>763</v>
      </c>
      <c r="AI69" s="21">
        <v>866</v>
      </c>
      <c r="AJ69" s="21">
        <v>656</v>
      </c>
      <c r="AK69" s="21">
        <v>979</v>
      </c>
      <c r="AL69" s="22">
        <v>0.50626304801670141</v>
      </c>
      <c r="AM69" s="22">
        <v>0.60031471282454762</v>
      </c>
      <c r="AN69" s="22">
        <v>0.62034383954154726</v>
      </c>
      <c r="AO69" s="22">
        <v>0.48093841642228741</v>
      </c>
      <c r="AP69" s="22">
        <v>0.73005219985085756</v>
      </c>
    </row>
    <row r="70" spans="1:42" x14ac:dyDescent="0.25">
      <c r="A70" s="20" t="s">
        <v>24</v>
      </c>
      <c r="B70" s="21">
        <v>55450</v>
      </c>
      <c r="C70" s="21">
        <v>56579</v>
      </c>
      <c r="D70" s="21">
        <v>56140</v>
      </c>
      <c r="E70" s="21">
        <v>57385</v>
      </c>
      <c r="F70" s="21">
        <v>59867</v>
      </c>
      <c r="G70" s="22">
        <v>0.17303521555288573</v>
      </c>
      <c r="H70" s="22">
        <v>0.17608358049166092</v>
      </c>
      <c r="I70" s="22">
        <v>0.17252081988875573</v>
      </c>
      <c r="J70" s="22">
        <v>0.17455938091269141</v>
      </c>
      <c r="K70" s="22">
        <v>0.18411098263051714</v>
      </c>
      <c r="L70" s="21">
        <v>49113</v>
      </c>
      <c r="M70" s="21">
        <v>50513</v>
      </c>
      <c r="N70" s="21">
        <v>50226</v>
      </c>
      <c r="O70" s="21">
        <v>51503</v>
      </c>
      <c r="P70" s="21">
        <v>52813</v>
      </c>
      <c r="Q70" s="22">
        <v>0.88571686203787192</v>
      </c>
      <c r="R70" s="22">
        <v>0.89278707647713818</v>
      </c>
      <c r="S70" s="22">
        <v>0.89465621660135375</v>
      </c>
      <c r="T70" s="22">
        <v>0.89749934651912522</v>
      </c>
      <c r="U70" s="22">
        <v>0.88217214826198076</v>
      </c>
      <c r="V70" s="21"/>
      <c r="W70" s="21">
        <v>49508</v>
      </c>
      <c r="X70" s="21">
        <v>47124</v>
      </c>
      <c r="Y70" s="21">
        <v>47292</v>
      </c>
      <c r="Z70" s="21">
        <v>50007</v>
      </c>
      <c r="AA70" s="21">
        <v>56579</v>
      </c>
      <c r="AB70" s="22">
        <v>0.15820588366876082</v>
      </c>
      <c r="AC70" s="22">
        <v>0.15113437373717936</v>
      </c>
      <c r="AD70" s="22">
        <v>0.15120472682627378</v>
      </c>
      <c r="AE70" s="22">
        <v>0.1598127257038765</v>
      </c>
      <c r="AF70" s="22">
        <v>0.17608358049166092</v>
      </c>
      <c r="AG70" s="21">
        <v>44195</v>
      </c>
      <c r="AH70" s="21">
        <v>41170</v>
      </c>
      <c r="AI70" s="21">
        <v>40672</v>
      </c>
      <c r="AJ70" s="21">
        <v>42963</v>
      </c>
      <c r="AK70" s="21">
        <v>50513</v>
      </c>
      <c r="AL70" s="22">
        <v>0.89268401066494307</v>
      </c>
      <c r="AM70" s="22">
        <v>0.87365249129955014</v>
      </c>
      <c r="AN70" s="22">
        <v>0.86001860779835915</v>
      </c>
      <c r="AO70" s="22">
        <v>0.85913972043913855</v>
      </c>
      <c r="AP70" s="22">
        <v>0.89278707647713818</v>
      </c>
    </row>
    <row r="71" spans="1:42" x14ac:dyDescent="0.25">
      <c r="A71" s="20" t="s">
        <v>25</v>
      </c>
      <c r="B71" s="21">
        <v>8873</v>
      </c>
      <c r="C71" s="21">
        <v>10195</v>
      </c>
      <c r="D71" s="21">
        <v>10207</v>
      </c>
      <c r="E71" s="21">
        <v>10309</v>
      </c>
      <c r="F71" s="21">
        <v>10148</v>
      </c>
      <c r="G71" s="22">
        <v>2.7688755051411273E-2</v>
      </c>
      <c r="H71" s="22">
        <v>3.172859370283114E-2</v>
      </c>
      <c r="I71" s="22">
        <v>3.1366583694416278E-2</v>
      </c>
      <c r="J71" s="22">
        <v>3.1358938012179767E-2</v>
      </c>
      <c r="K71" s="22">
        <v>3.1208482999557152E-2</v>
      </c>
      <c r="L71" s="21">
        <v>8703</v>
      </c>
      <c r="M71" s="21">
        <v>10039</v>
      </c>
      <c r="N71" s="21">
        <v>9977</v>
      </c>
      <c r="O71" s="21">
        <v>10069</v>
      </c>
      <c r="P71" s="21">
        <v>9658</v>
      </c>
      <c r="Q71" s="22">
        <v>0.98084075284571171</v>
      </c>
      <c r="R71" s="22">
        <v>0.984698381559588</v>
      </c>
      <c r="S71" s="22">
        <v>0.97746644459684529</v>
      </c>
      <c r="T71" s="22">
        <v>0.97671937142302845</v>
      </c>
      <c r="U71" s="22">
        <v>0.951714623571147</v>
      </c>
      <c r="V71" s="21"/>
      <c r="W71" s="21">
        <v>0</v>
      </c>
      <c r="X71" s="21">
        <v>0</v>
      </c>
      <c r="Y71" s="21">
        <v>1131</v>
      </c>
      <c r="Z71" s="21">
        <v>6205</v>
      </c>
      <c r="AA71" s="21">
        <v>10195</v>
      </c>
      <c r="AB71" s="22">
        <v>0</v>
      </c>
      <c r="AC71" s="22">
        <v>0</v>
      </c>
      <c r="AD71" s="22">
        <v>3.61609883364027E-3</v>
      </c>
      <c r="AE71" s="22">
        <v>1.9829983062222365E-2</v>
      </c>
      <c r="AF71" s="22">
        <v>3.172859370283114E-2</v>
      </c>
      <c r="AG71" s="21">
        <v>0</v>
      </c>
      <c r="AH71" s="21">
        <v>0</v>
      </c>
      <c r="AI71" s="21">
        <v>1069</v>
      </c>
      <c r="AJ71" s="21">
        <v>6204</v>
      </c>
      <c r="AK71" s="21">
        <v>10039</v>
      </c>
      <c r="AL71" s="22">
        <v>0</v>
      </c>
      <c r="AM71" s="22">
        <v>0</v>
      </c>
      <c r="AN71" s="22">
        <v>0.94518125552608312</v>
      </c>
      <c r="AO71" s="22">
        <v>0.99983883964544717</v>
      </c>
      <c r="AP71" s="22">
        <v>0.984698381559588</v>
      </c>
    </row>
    <row r="72" spans="1:42" x14ac:dyDescent="0.25">
      <c r="A72" s="20" t="s">
        <v>26</v>
      </c>
      <c r="B72" s="21">
        <v>1274</v>
      </c>
      <c r="C72" s="21">
        <v>1257</v>
      </c>
      <c r="D72" s="21">
        <v>1469</v>
      </c>
      <c r="E72" s="21">
        <v>1514</v>
      </c>
      <c r="F72" s="21">
        <v>1744</v>
      </c>
      <c r="G72" s="22">
        <v>3.9755971977344711E-3</v>
      </c>
      <c r="H72" s="22">
        <v>3.9120002240763847E-3</v>
      </c>
      <c r="I72" s="22">
        <v>4.5143050305768108E-3</v>
      </c>
      <c r="J72" s="22">
        <v>4.6054352653448604E-3</v>
      </c>
      <c r="K72" s="22">
        <v>5.3633813905427348E-3</v>
      </c>
      <c r="L72" s="21">
        <v>1227</v>
      </c>
      <c r="M72" s="21">
        <v>1205</v>
      </c>
      <c r="N72" s="21">
        <v>1408</v>
      </c>
      <c r="O72" s="21">
        <v>1430</v>
      </c>
      <c r="P72" s="21">
        <v>1568</v>
      </c>
      <c r="Q72" s="22">
        <v>0.96310832025117743</v>
      </c>
      <c r="R72" s="22">
        <v>0.95863166268894195</v>
      </c>
      <c r="S72" s="22">
        <v>0.95847515316541865</v>
      </c>
      <c r="T72" s="22">
        <v>0.94451783355350061</v>
      </c>
      <c r="U72" s="22">
        <v>0.8990825688073395</v>
      </c>
      <c r="V72" s="21"/>
      <c r="W72" s="21">
        <v>83</v>
      </c>
      <c r="X72" s="21">
        <v>142</v>
      </c>
      <c r="Y72" s="21">
        <v>262</v>
      </c>
      <c r="Z72" s="21">
        <v>943</v>
      </c>
      <c r="AA72" s="21">
        <v>1257</v>
      </c>
      <c r="AB72" s="22">
        <v>2.6523164628963297E-4</v>
      </c>
      <c r="AC72" s="22">
        <v>4.5541721990237393E-4</v>
      </c>
      <c r="AD72" s="22">
        <v>8.3768160425618985E-4</v>
      </c>
      <c r="AE72" s="22">
        <v>3.0136460963216261E-3</v>
      </c>
      <c r="AF72" s="22">
        <v>3.9120002240763847E-3</v>
      </c>
      <c r="AG72" s="21">
        <v>82</v>
      </c>
      <c r="AH72" s="21">
        <v>141</v>
      </c>
      <c r="AI72" s="21">
        <v>249</v>
      </c>
      <c r="AJ72" s="21">
        <v>911</v>
      </c>
      <c r="AK72" s="21">
        <v>1205</v>
      </c>
      <c r="AL72" s="22">
        <v>0.98795180722891562</v>
      </c>
      <c r="AM72" s="22">
        <v>0.99295774647887325</v>
      </c>
      <c r="AN72" s="22">
        <v>0.95038167938931295</v>
      </c>
      <c r="AO72" s="22">
        <v>0.96606574761399788</v>
      </c>
      <c r="AP72" s="22">
        <v>0.95863166268894195</v>
      </c>
    </row>
    <row r="73" spans="1:42" x14ac:dyDescent="0.25">
      <c r="A73" s="20" t="s">
        <v>29</v>
      </c>
      <c r="B73" s="21">
        <v>4055</v>
      </c>
      <c r="C73" s="21">
        <v>4261</v>
      </c>
      <c r="D73" s="21">
        <v>4628</v>
      </c>
      <c r="E73" s="21">
        <v>5021</v>
      </c>
      <c r="F73" s="21">
        <v>5026</v>
      </c>
      <c r="G73" s="22">
        <v>1.2653882760449986E-2</v>
      </c>
      <c r="H73" s="22">
        <v>1.3260964960055271E-2</v>
      </c>
      <c r="I73" s="22">
        <v>1.422205832641898E-2</v>
      </c>
      <c r="J73" s="22">
        <v>1.5273375473775788E-2</v>
      </c>
      <c r="K73" s="22">
        <v>1.5456625498204006E-2</v>
      </c>
      <c r="L73" s="21">
        <v>4055</v>
      </c>
      <c r="M73" s="21">
        <v>4261</v>
      </c>
      <c r="N73" s="21">
        <v>4628</v>
      </c>
      <c r="O73" s="21">
        <v>5021</v>
      </c>
      <c r="P73" s="21">
        <v>4931</v>
      </c>
      <c r="Q73" s="22">
        <v>1</v>
      </c>
      <c r="R73" s="22">
        <v>1</v>
      </c>
      <c r="S73" s="22">
        <v>1</v>
      </c>
      <c r="T73" s="22">
        <v>1</v>
      </c>
      <c r="U73" s="22">
        <v>0.98109828889773176</v>
      </c>
      <c r="V73" s="21"/>
      <c r="W73" s="21">
        <v>73</v>
      </c>
      <c r="X73" s="21">
        <v>770</v>
      </c>
      <c r="Y73" s="21">
        <v>1847</v>
      </c>
      <c r="Z73" s="21">
        <v>2157</v>
      </c>
      <c r="AA73" s="21">
        <v>4261</v>
      </c>
      <c r="AB73" s="22">
        <v>2.3327602625473743E-4</v>
      </c>
      <c r="AC73" s="22">
        <v>2.4695159107382251E-3</v>
      </c>
      <c r="AD73" s="22">
        <v>5.9053355842029875E-3</v>
      </c>
      <c r="AE73" s="22">
        <v>6.8933559170368478E-3</v>
      </c>
      <c r="AF73" s="22">
        <v>1.3260964960055271E-2</v>
      </c>
      <c r="AG73" s="21">
        <v>73</v>
      </c>
      <c r="AH73" s="21">
        <v>770</v>
      </c>
      <c r="AI73" s="21">
        <v>1818</v>
      </c>
      <c r="AJ73" s="21">
        <v>2157</v>
      </c>
      <c r="AK73" s="21">
        <v>4261</v>
      </c>
      <c r="AL73" s="22">
        <v>1</v>
      </c>
      <c r="AM73" s="22">
        <v>1</v>
      </c>
      <c r="AN73" s="22">
        <v>0.98429886302111536</v>
      </c>
      <c r="AO73" s="22">
        <v>1</v>
      </c>
      <c r="AP73" s="22">
        <v>1</v>
      </c>
    </row>
    <row r="74" spans="1:42" x14ac:dyDescent="0.25">
      <c r="A74" s="20" t="s">
        <v>30</v>
      </c>
      <c r="B74" s="21">
        <v>4147</v>
      </c>
      <c r="C74" s="21">
        <v>4267</v>
      </c>
      <c r="D74" s="21">
        <v>4292</v>
      </c>
      <c r="E74" s="21">
        <v>6493</v>
      </c>
      <c r="F74" s="21">
        <v>4952</v>
      </c>
      <c r="G74" s="22">
        <v>1.2940974551809146E-2</v>
      </c>
      <c r="H74" s="22">
        <v>1.3279637992151103E-2</v>
      </c>
      <c r="I74" s="22">
        <v>1.3189514765987523E-2</v>
      </c>
      <c r="J74" s="22">
        <v>1.9751050976145428E-2</v>
      </c>
      <c r="K74" s="22">
        <v>1.5229050829109875E-2</v>
      </c>
      <c r="L74" s="21">
        <v>3976</v>
      </c>
      <c r="M74" s="21">
        <v>4102</v>
      </c>
      <c r="N74" s="21">
        <v>4121</v>
      </c>
      <c r="O74" s="21">
        <v>6077</v>
      </c>
      <c r="P74" s="21">
        <v>4639</v>
      </c>
      <c r="Q74" s="22">
        <v>0.95876537255847605</v>
      </c>
      <c r="R74" s="22">
        <v>0.96133114600421843</v>
      </c>
      <c r="S74" s="22">
        <v>0.96015843429636538</v>
      </c>
      <c r="T74" s="22">
        <v>0.93593100261820417</v>
      </c>
      <c r="U74" s="22">
        <v>0.93679321486268174</v>
      </c>
      <c r="V74" s="21"/>
      <c r="W74" s="21">
        <v>146</v>
      </c>
      <c r="X74" s="21">
        <v>2981</v>
      </c>
      <c r="Y74" s="21">
        <v>4594</v>
      </c>
      <c r="Z74" s="21">
        <v>3792</v>
      </c>
      <c r="AA74" s="21">
        <v>4267</v>
      </c>
      <c r="AB74" s="22">
        <v>4.6655205250947486E-4</v>
      </c>
      <c r="AC74" s="22">
        <v>9.5605544544294131E-3</v>
      </c>
      <c r="AD74" s="22">
        <v>1.4688203396766932E-2</v>
      </c>
      <c r="AE74" s="22">
        <v>1.2118500527308172E-2</v>
      </c>
      <c r="AF74" s="22">
        <v>1.3279637992151103E-2</v>
      </c>
      <c r="AG74" s="21">
        <v>146</v>
      </c>
      <c r="AH74" s="21">
        <v>2981</v>
      </c>
      <c r="AI74" s="21">
        <v>4503</v>
      </c>
      <c r="AJ74" s="21">
        <v>3671</v>
      </c>
      <c r="AK74" s="21">
        <v>4102</v>
      </c>
      <c r="AL74" s="22">
        <v>1</v>
      </c>
      <c r="AM74" s="22">
        <v>1</v>
      </c>
      <c r="AN74" s="22">
        <v>0.98019155420113191</v>
      </c>
      <c r="AO74" s="22">
        <v>0.96809071729957807</v>
      </c>
      <c r="AP74" s="22">
        <v>0.96133114600421843</v>
      </c>
    </row>
    <row r="75" spans="1:42" x14ac:dyDescent="0.25">
      <c r="A75" s="20" t="s">
        <v>31</v>
      </c>
      <c r="B75" s="21">
        <v>46</v>
      </c>
      <c r="C75" s="21">
        <v>50</v>
      </c>
      <c r="D75" s="21">
        <v>41</v>
      </c>
      <c r="E75" s="21">
        <v>53</v>
      </c>
      <c r="F75" s="21">
        <v>47</v>
      </c>
      <c r="G75" s="22">
        <v>1.435458956795806E-4</v>
      </c>
      <c r="H75" s="22">
        <v>1.5560860079858333E-4</v>
      </c>
      <c r="I75" s="22">
        <v>1.2599489874312407E-4</v>
      </c>
      <c r="J75" s="22">
        <v>1.6122065327825468E-4</v>
      </c>
      <c r="K75" s="22">
        <v>1.4454066820843378E-4</v>
      </c>
      <c r="L75" s="21">
        <v>45</v>
      </c>
      <c r="M75" s="21">
        <v>50</v>
      </c>
      <c r="N75" s="21">
        <v>41</v>
      </c>
      <c r="O75" s="21">
        <v>45</v>
      </c>
      <c r="P75" s="21">
        <v>47</v>
      </c>
      <c r="Q75" s="22">
        <v>0.97826086956521741</v>
      </c>
      <c r="R75" s="22">
        <v>1</v>
      </c>
      <c r="S75" s="22">
        <v>1</v>
      </c>
      <c r="T75" s="22">
        <v>0.84905660377358494</v>
      </c>
      <c r="U75" s="22">
        <v>1</v>
      </c>
      <c r="V75" s="21"/>
      <c r="W75" s="21">
        <v>0</v>
      </c>
      <c r="X75" s="21">
        <v>12</v>
      </c>
      <c r="Y75" s="21">
        <v>27</v>
      </c>
      <c r="Z75" s="21">
        <v>48</v>
      </c>
      <c r="AA75" s="21">
        <v>50</v>
      </c>
      <c r="AB75" s="22">
        <v>0</v>
      </c>
      <c r="AC75" s="22">
        <v>3.8485962245271034E-5</v>
      </c>
      <c r="AD75" s="22">
        <v>8.6325966850828726E-5</v>
      </c>
      <c r="AE75" s="22">
        <v>1.5339874085200218E-4</v>
      </c>
      <c r="AF75" s="22">
        <v>1.5560860079858333E-4</v>
      </c>
      <c r="AG75" s="21">
        <v>0</v>
      </c>
      <c r="AH75" s="21">
        <v>12</v>
      </c>
      <c r="AI75" s="21">
        <v>27</v>
      </c>
      <c r="AJ75" s="21">
        <v>48</v>
      </c>
      <c r="AK75" s="21">
        <v>50</v>
      </c>
      <c r="AL75" s="22">
        <v>0</v>
      </c>
      <c r="AM75" s="22">
        <v>1</v>
      </c>
      <c r="AN75" s="22">
        <v>1</v>
      </c>
      <c r="AO75" s="22">
        <v>1</v>
      </c>
      <c r="AP75" s="22">
        <v>1</v>
      </c>
    </row>
    <row r="76" spans="1:42" x14ac:dyDescent="0.25">
      <c r="A76" s="20" t="s">
        <v>33</v>
      </c>
      <c r="B76" s="21">
        <v>2034</v>
      </c>
      <c r="C76" s="21">
        <v>1869</v>
      </c>
      <c r="D76" s="21">
        <v>1735</v>
      </c>
      <c r="E76" s="21">
        <v>1615</v>
      </c>
      <c r="F76" s="21">
        <v>1534</v>
      </c>
      <c r="G76" s="22">
        <v>6.3472250393971068E-3</v>
      </c>
      <c r="H76" s="22">
        <v>5.8166494978510452E-3</v>
      </c>
      <c r="I76" s="22">
        <v>5.3317353492517133E-3</v>
      </c>
      <c r="J76" s="22">
        <v>4.9126670763090814E-3</v>
      </c>
      <c r="K76" s="22">
        <v>4.7175613836539882E-3</v>
      </c>
      <c r="L76" s="21">
        <v>1884</v>
      </c>
      <c r="M76" s="21">
        <v>1729</v>
      </c>
      <c r="N76" s="21">
        <v>1580</v>
      </c>
      <c r="O76" s="21">
        <v>1473</v>
      </c>
      <c r="P76" s="21">
        <v>1411</v>
      </c>
      <c r="Q76" s="22">
        <v>0.92625368731563418</v>
      </c>
      <c r="R76" s="22">
        <v>0.92509363295880154</v>
      </c>
      <c r="S76" s="22">
        <v>0.91066282420749278</v>
      </c>
      <c r="T76" s="22">
        <v>0.91207430340557272</v>
      </c>
      <c r="U76" s="22">
        <v>0.91981747066492825</v>
      </c>
      <c r="V76" s="21"/>
      <c r="W76" s="21">
        <v>42</v>
      </c>
      <c r="X76" s="21">
        <v>865</v>
      </c>
      <c r="Y76" s="21">
        <v>2066</v>
      </c>
      <c r="Z76" s="21">
        <v>2332</v>
      </c>
      <c r="AA76" s="21">
        <v>1869</v>
      </c>
      <c r="AB76" s="22">
        <v>1.3421360414656125E-4</v>
      </c>
      <c r="AC76" s="22">
        <v>2.7741964451799541E-3</v>
      </c>
      <c r="AD76" s="22">
        <v>6.6055350931041538E-3</v>
      </c>
      <c r="AE76" s="22">
        <v>7.4526221597264386E-3</v>
      </c>
      <c r="AF76" s="22">
        <v>5.8166494978510452E-3</v>
      </c>
      <c r="AG76" s="21">
        <v>42</v>
      </c>
      <c r="AH76" s="21">
        <v>863</v>
      </c>
      <c r="AI76" s="21">
        <v>2036</v>
      </c>
      <c r="AJ76" s="21">
        <v>2216</v>
      </c>
      <c r="AK76" s="21">
        <v>1729</v>
      </c>
      <c r="AL76" s="22">
        <v>1</v>
      </c>
      <c r="AM76" s="22">
        <v>0.9976878612716763</v>
      </c>
      <c r="AN76" s="22">
        <v>0.98547918683446278</v>
      </c>
      <c r="AO76" s="22">
        <v>0.95025728987993141</v>
      </c>
      <c r="AP76" s="22">
        <v>0.92509363295880154</v>
      </c>
    </row>
    <row r="77" spans="1:42" x14ac:dyDescent="0.25">
      <c r="A77" s="20" t="s">
        <v>34</v>
      </c>
      <c r="B77" s="21">
        <v>191</v>
      </c>
      <c r="C77" s="21">
        <v>246</v>
      </c>
      <c r="D77" s="21">
        <v>267</v>
      </c>
      <c r="E77" s="21">
        <v>279</v>
      </c>
      <c r="F77" s="21">
        <v>258</v>
      </c>
      <c r="G77" s="22">
        <v>5.9602752336521505E-4</v>
      </c>
      <c r="H77" s="22">
        <v>7.6559431592902998E-4</v>
      </c>
      <c r="I77" s="22">
        <v>8.2050336498571037E-4</v>
      </c>
      <c r="J77" s="22">
        <v>8.4868985404968028E-4</v>
      </c>
      <c r="K77" s="22">
        <v>7.9343600846331741E-4</v>
      </c>
      <c r="L77" s="21">
        <v>190</v>
      </c>
      <c r="M77" s="21">
        <v>245</v>
      </c>
      <c r="N77" s="21">
        <v>258</v>
      </c>
      <c r="O77" s="21">
        <v>264</v>
      </c>
      <c r="P77" s="21">
        <v>258</v>
      </c>
      <c r="Q77" s="22">
        <v>0.99476439790575921</v>
      </c>
      <c r="R77" s="22">
        <v>0.99593495934959353</v>
      </c>
      <c r="S77" s="22">
        <v>0.9662921348314607</v>
      </c>
      <c r="T77" s="22">
        <v>0.94623655913978499</v>
      </c>
      <c r="U77" s="22">
        <v>1</v>
      </c>
      <c r="V77" s="21"/>
      <c r="W77" s="21">
        <v>0</v>
      </c>
      <c r="X77" s="21">
        <v>0</v>
      </c>
      <c r="Y77" s="21">
        <v>0</v>
      </c>
      <c r="Z77" s="21">
        <v>12</v>
      </c>
      <c r="AA77" s="21">
        <v>246</v>
      </c>
      <c r="AB77" s="22">
        <v>0</v>
      </c>
      <c r="AC77" s="22">
        <v>0</v>
      </c>
      <c r="AD77" s="22">
        <v>0</v>
      </c>
      <c r="AE77" s="22">
        <v>3.8349685213000545E-5</v>
      </c>
      <c r="AF77" s="22">
        <v>7.6559431592902998E-4</v>
      </c>
      <c r="AG77" s="21">
        <v>0</v>
      </c>
      <c r="AH77" s="21">
        <v>0</v>
      </c>
      <c r="AI77" s="21">
        <v>0</v>
      </c>
      <c r="AJ77" s="21">
        <v>12</v>
      </c>
      <c r="AK77" s="21">
        <v>245</v>
      </c>
      <c r="AL77" s="22">
        <v>0</v>
      </c>
      <c r="AM77" s="22">
        <v>0</v>
      </c>
      <c r="AN77" s="22">
        <v>0</v>
      </c>
      <c r="AO77" s="22">
        <v>1</v>
      </c>
      <c r="AP77" s="22">
        <v>0.99593495934959353</v>
      </c>
    </row>
    <row r="78" spans="1:42" x14ac:dyDescent="0.25">
      <c r="A78" s="20" t="s">
        <v>35</v>
      </c>
      <c r="B78" s="21">
        <v>85219</v>
      </c>
      <c r="C78" s="21">
        <v>86079</v>
      </c>
      <c r="D78" s="21">
        <v>85168</v>
      </c>
      <c r="E78" s="21">
        <v>84581</v>
      </c>
      <c r="F78" s="21">
        <v>77710</v>
      </c>
      <c r="G78" s="22">
        <v>0.26593125399822126</v>
      </c>
      <c r="H78" s="22">
        <v>0.26789265496282511</v>
      </c>
      <c r="I78" s="22">
        <v>0.26172520819888756</v>
      </c>
      <c r="J78" s="22">
        <v>0.25728686933826528</v>
      </c>
      <c r="K78" s="22">
        <v>0.23898415588249766</v>
      </c>
      <c r="L78" s="21">
        <v>55243</v>
      </c>
      <c r="M78" s="21">
        <v>58007</v>
      </c>
      <c r="N78" s="21">
        <v>58987</v>
      </c>
      <c r="O78" s="21">
        <v>59981</v>
      </c>
      <c r="P78" s="21">
        <v>54486</v>
      </c>
      <c r="Q78" s="22">
        <v>0.64824745655311611</v>
      </c>
      <c r="R78" s="22">
        <v>0.67388096980680534</v>
      </c>
      <c r="S78" s="22">
        <v>0.69259581063310161</v>
      </c>
      <c r="T78" s="22">
        <v>0.70915453825327202</v>
      </c>
      <c r="U78" s="22">
        <v>0.70114528374726548</v>
      </c>
      <c r="V78" s="21"/>
      <c r="W78" s="21">
        <v>101169</v>
      </c>
      <c r="X78" s="21">
        <v>90829</v>
      </c>
      <c r="Y78" s="21">
        <v>84934</v>
      </c>
      <c r="Z78" s="21">
        <v>82573</v>
      </c>
      <c r="AA78" s="21">
        <v>86079</v>
      </c>
      <c r="AB78" s="22">
        <v>0.32329181233103466</v>
      </c>
      <c r="AC78" s="22">
        <v>0.29130345539797692</v>
      </c>
      <c r="AD78" s="22">
        <v>0.27155591364845511</v>
      </c>
      <c r="AE78" s="22">
        <v>0.26388737975775783</v>
      </c>
      <c r="AF78" s="22">
        <v>0.26789265496282511</v>
      </c>
      <c r="AG78" s="21">
        <v>30829</v>
      </c>
      <c r="AH78" s="21">
        <v>37712</v>
      </c>
      <c r="AI78" s="21">
        <v>43365</v>
      </c>
      <c r="AJ78" s="21">
        <v>47654</v>
      </c>
      <c r="AK78" s="21">
        <v>58007</v>
      </c>
      <c r="AL78" s="22">
        <v>0.30472773280352677</v>
      </c>
      <c r="AM78" s="22">
        <v>0.41519778925233131</v>
      </c>
      <c r="AN78" s="22">
        <v>0.51057291544022421</v>
      </c>
      <c r="AO78" s="22">
        <v>0.57711358434355053</v>
      </c>
      <c r="AP78" s="22">
        <v>0.67388096980680534</v>
      </c>
    </row>
    <row r="79" spans="1:42" x14ac:dyDescent="0.25">
      <c r="A79" s="20" t="s">
        <v>36</v>
      </c>
      <c r="B79" s="21">
        <v>263</v>
      </c>
      <c r="C79" s="21">
        <v>291</v>
      </c>
      <c r="D79" s="21">
        <v>329</v>
      </c>
      <c r="E79" s="21">
        <v>329</v>
      </c>
      <c r="F79" s="21">
        <v>371</v>
      </c>
      <c r="G79" s="22">
        <v>8.2070805573325424E-4</v>
      </c>
      <c r="H79" s="22">
        <v>9.0564205664775508E-4</v>
      </c>
      <c r="I79" s="22">
        <v>1.0110322362558003E-3</v>
      </c>
      <c r="J79" s="22">
        <v>1.0007848099725621E-3</v>
      </c>
      <c r="K79" s="22">
        <v>1.140948678836786E-3</v>
      </c>
      <c r="L79" s="21">
        <v>263</v>
      </c>
      <c r="M79" s="21">
        <v>276</v>
      </c>
      <c r="N79" s="21">
        <v>313</v>
      </c>
      <c r="O79" s="21">
        <v>313</v>
      </c>
      <c r="P79" s="21">
        <v>355</v>
      </c>
      <c r="Q79" s="22">
        <v>1</v>
      </c>
      <c r="R79" s="22">
        <v>0.94845360824742264</v>
      </c>
      <c r="S79" s="22">
        <v>0.95136778115501519</v>
      </c>
      <c r="T79" s="22">
        <v>0.95136778115501519</v>
      </c>
      <c r="U79" s="22">
        <v>0.95687331536388143</v>
      </c>
      <c r="V79" s="21"/>
      <c r="W79" s="21">
        <v>0</v>
      </c>
      <c r="X79" s="21">
        <v>0</v>
      </c>
      <c r="Y79" s="21">
        <v>2</v>
      </c>
      <c r="Z79" s="21">
        <v>184</v>
      </c>
      <c r="AA79" s="21">
        <v>291</v>
      </c>
      <c r="AB79" s="22">
        <v>0</v>
      </c>
      <c r="AC79" s="22">
        <v>0</v>
      </c>
      <c r="AD79" s="22">
        <v>6.3945160630243504E-6</v>
      </c>
      <c r="AE79" s="22">
        <v>5.8802850659934167E-4</v>
      </c>
      <c r="AF79" s="22">
        <v>9.0564205664775508E-4</v>
      </c>
      <c r="AG79" s="21">
        <v>0</v>
      </c>
      <c r="AH79" s="21">
        <v>0</v>
      </c>
      <c r="AI79" s="21">
        <v>2</v>
      </c>
      <c r="AJ79" s="21">
        <v>184</v>
      </c>
      <c r="AK79" s="21">
        <v>276</v>
      </c>
      <c r="AL79" s="22">
        <v>0</v>
      </c>
      <c r="AM79" s="22">
        <v>0</v>
      </c>
      <c r="AN79" s="22">
        <v>1</v>
      </c>
      <c r="AO79" s="22">
        <v>1</v>
      </c>
      <c r="AP79" s="22">
        <v>0.94845360824742264</v>
      </c>
    </row>
    <row r="80" spans="1:42" x14ac:dyDescent="0.25">
      <c r="A80" s="20" t="s">
        <v>84</v>
      </c>
      <c r="B80" s="21">
        <v>0</v>
      </c>
      <c r="C80" s="21">
        <v>0</v>
      </c>
      <c r="D80" s="21">
        <v>0</v>
      </c>
      <c r="E80" s="21">
        <v>15</v>
      </c>
      <c r="F80" s="21">
        <v>15</v>
      </c>
      <c r="G80" s="22">
        <v>0</v>
      </c>
      <c r="H80" s="22">
        <v>0</v>
      </c>
      <c r="I80" s="22">
        <v>0</v>
      </c>
      <c r="J80" s="22">
        <v>4.5628486776864535E-5</v>
      </c>
      <c r="K80" s="22">
        <v>4.6130000492053339E-5</v>
      </c>
      <c r="L80" s="21">
        <v>0</v>
      </c>
      <c r="M80" s="21">
        <v>0</v>
      </c>
      <c r="N80" s="21">
        <v>0</v>
      </c>
      <c r="O80" s="21">
        <v>15</v>
      </c>
      <c r="P80" s="21">
        <v>15</v>
      </c>
      <c r="Q80" s="22">
        <v>0</v>
      </c>
      <c r="R80" s="22">
        <v>0</v>
      </c>
      <c r="S80" s="22">
        <v>0</v>
      </c>
      <c r="T80" s="22">
        <v>1</v>
      </c>
      <c r="U80" s="22">
        <v>1</v>
      </c>
      <c r="V80" s="21"/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</row>
    <row r="81" spans="1:42" x14ac:dyDescent="0.25">
      <c r="A81" s="20" t="s">
        <v>85</v>
      </c>
      <c r="B81" s="21">
        <v>3036</v>
      </c>
      <c r="C81" s="21">
        <v>2973</v>
      </c>
      <c r="D81" s="21">
        <v>349</v>
      </c>
      <c r="E81" s="21">
        <v>331</v>
      </c>
      <c r="F81" s="21">
        <v>2634</v>
      </c>
      <c r="G81" s="22">
        <v>9.4740291148523188E-3</v>
      </c>
      <c r="H81" s="22">
        <v>9.2524874034837657E-3</v>
      </c>
      <c r="I81" s="22">
        <v>1.0724931624719585E-3</v>
      </c>
      <c r="J81" s="22">
        <v>1.0068686082094773E-3</v>
      </c>
      <c r="K81" s="22">
        <v>8.1004280864045656E-3</v>
      </c>
      <c r="L81" s="21">
        <v>2994</v>
      </c>
      <c r="M81" s="21">
        <v>2931</v>
      </c>
      <c r="N81" s="21">
        <v>276</v>
      </c>
      <c r="O81" s="21">
        <v>181</v>
      </c>
      <c r="P81" s="21">
        <v>168</v>
      </c>
      <c r="Q81" s="22">
        <v>0.98616600790513831</v>
      </c>
      <c r="R81" s="22">
        <v>0.98587285570131178</v>
      </c>
      <c r="S81" s="22">
        <v>0.79083094555873923</v>
      </c>
      <c r="T81" s="22">
        <v>0.54682779456193353</v>
      </c>
      <c r="U81" s="22">
        <v>6.3781321184510256E-2</v>
      </c>
      <c r="V81" s="21"/>
      <c r="W81" s="21">
        <v>84</v>
      </c>
      <c r="X81" s="21">
        <v>2556</v>
      </c>
      <c r="Y81" s="21">
        <v>4049</v>
      </c>
      <c r="Z81" s="21">
        <v>3483</v>
      </c>
      <c r="AA81" s="21">
        <v>2973</v>
      </c>
      <c r="AB81" s="22">
        <v>2.6842720829312251E-4</v>
      </c>
      <c r="AC81" s="22">
        <v>8.1975099582427303E-3</v>
      </c>
      <c r="AD81" s="22">
        <v>1.2945697769592797E-2</v>
      </c>
      <c r="AE81" s="22">
        <v>1.1130996133073407E-2</v>
      </c>
      <c r="AF81" s="22">
        <v>9.2524874034837657E-3</v>
      </c>
      <c r="AG81" s="21">
        <v>81</v>
      </c>
      <c r="AH81" s="21">
        <v>2555</v>
      </c>
      <c r="AI81" s="21">
        <v>4036</v>
      </c>
      <c r="AJ81" s="21">
        <v>3450</v>
      </c>
      <c r="AK81" s="21">
        <v>2931</v>
      </c>
      <c r="AL81" s="22">
        <v>0.9642857142857143</v>
      </c>
      <c r="AM81" s="22">
        <v>0.99960876369327079</v>
      </c>
      <c r="AN81" s="22">
        <v>0.99678933069893805</v>
      </c>
      <c r="AO81" s="22">
        <v>0.99052540913006026</v>
      </c>
      <c r="AP81" s="22">
        <v>0.98587285570131178</v>
      </c>
    </row>
    <row r="82" spans="1:42" x14ac:dyDescent="0.25">
      <c r="A82" s="20" t="s">
        <v>39</v>
      </c>
      <c r="B82" s="21">
        <v>0</v>
      </c>
      <c r="C82" s="21">
        <v>0</v>
      </c>
      <c r="D82" s="21">
        <v>2</v>
      </c>
      <c r="E82" s="21">
        <v>9</v>
      </c>
      <c r="F82" s="21">
        <v>9</v>
      </c>
      <c r="G82" s="22">
        <v>0</v>
      </c>
      <c r="H82" s="22">
        <v>0</v>
      </c>
      <c r="I82" s="22">
        <v>6.1460926216158079E-6</v>
      </c>
      <c r="J82" s="22">
        <v>2.7377092066118718E-5</v>
      </c>
      <c r="K82" s="22">
        <v>2.7678000295232004E-5</v>
      </c>
      <c r="L82" s="21">
        <v>0</v>
      </c>
      <c r="M82" s="21">
        <v>0</v>
      </c>
      <c r="N82" s="21">
        <v>2</v>
      </c>
      <c r="O82" s="21">
        <v>9</v>
      </c>
      <c r="P82" s="21">
        <v>9</v>
      </c>
      <c r="Q82" s="22">
        <v>0</v>
      </c>
      <c r="R82" s="22">
        <v>0</v>
      </c>
      <c r="S82" s="22">
        <v>1</v>
      </c>
      <c r="T82" s="22">
        <v>1</v>
      </c>
      <c r="U82" s="22">
        <v>1</v>
      </c>
      <c r="V82" s="21"/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</row>
    <row r="83" spans="1:42" x14ac:dyDescent="0.25">
      <c r="A83" s="20" t="s">
        <v>40</v>
      </c>
      <c r="B83" s="21">
        <v>0</v>
      </c>
      <c r="C83" s="21">
        <v>0</v>
      </c>
      <c r="D83" s="21">
        <v>0</v>
      </c>
      <c r="E83" s="21">
        <v>0</v>
      </c>
      <c r="F83" s="21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1"/>
      <c r="W83" s="21">
        <v>7</v>
      </c>
      <c r="X83" s="21">
        <v>230</v>
      </c>
      <c r="Y83" s="21">
        <v>0</v>
      </c>
      <c r="Z83" s="21">
        <v>0</v>
      </c>
      <c r="AA83" s="21">
        <v>0</v>
      </c>
      <c r="AB83" s="22">
        <v>2.2368934024426877E-5</v>
      </c>
      <c r="AC83" s="22">
        <v>7.3764760970102818E-4</v>
      </c>
      <c r="AD83" s="22">
        <v>0</v>
      </c>
      <c r="AE83" s="22">
        <v>0</v>
      </c>
      <c r="AF83" s="22">
        <v>0</v>
      </c>
      <c r="AG83" s="21">
        <v>7</v>
      </c>
      <c r="AH83" s="21">
        <v>230</v>
      </c>
      <c r="AI83" s="21">
        <v>0</v>
      </c>
      <c r="AJ83" s="21">
        <v>0</v>
      </c>
      <c r="AK83" s="21">
        <v>0</v>
      </c>
      <c r="AL83" s="22">
        <v>1</v>
      </c>
      <c r="AM83" s="22">
        <v>1</v>
      </c>
      <c r="AN83" s="22">
        <v>0</v>
      </c>
      <c r="AO83" s="22">
        <v>0</v>
      </c>
      <c r="AP83" s="22">
        <v>0</v>
      </c>
    </row>
    <row r="84" spans="1:42" x14ac:dyDescent="0.25">
      <c r="A84" s="20" t="s">
        <v>41</v>
      </c>
      <c r="B84" s="21">
        <v>6</v>
      </c>
      <c r="C84" s="21">
        <v>6</v>
      </c>
      <c r="D84" s="21">
        <v>6</v>
      </c>
      <c r="E84" s="21">
        <v>6</v>
      </c>
      <c r="F84" s="21">
        <v>7</v>
      </c>
      <c r="G84" s="22">
        <v>1.8723377697336599E-5</v>
      </c>
      <c r="H84" s="22">
        <v>1.8673032095830001E-5</v>
      </c>
      <c r="I84" s="22">
        <v>1.8438277864847422E-5</v>
      </c>
      <c r="J84" s="22">
        <v>1.8251394710745813E-5</v>
      </c>
      <c r="K84" s="22">
        <v>2.1527333562958226E-5</v>
      </c>
      <c r="L84" s="21">
        <v>6</v>
      </c>
      <c r="M84" s="21">
        <v>6</v>
      </c>
      <c r="N84" s="21">
        <v>6</v>
      </c>
      <c r="O84" s="21">
        <v>6</v>
      </c>
      <c r="P84" s="21">
        <v>7</v>
      </c>
      <c r="Q84" s="22">
        <v>1</v>
      </c>
      <c r="R84" s="22">
        <v>1</v>
      </c>
      <c r="S84" s="22">
        <v>1</v>
      </c>
      <c r="T84" s="22">
        <v>1</v>
      </c>
      <c r="U84" s="22">
        <v>1</v>
      </c>
      <c r="V84" s="21"/>
      <c r="W84" s="21">
        <v>0</v>
      </c>
      <c r="X84" s="21">
        <v>0</v>
      </c>
      <c r="Y84" s="21">
        <v>0</v>
      </c>
      <c r="Z84" s="21">
        <v>3</v>
      </c>
      <c r="AA84" s="21">
        <v>6</v>
      </c>
      <c r="AB84" s="22">
        <v>0</v>
      </c>
      <c r="AC84" s="22">
        <v>0</v>
      </c>
      <c r="AD84" s="22">
        <v>0</v>
      </c>
      <c r="AE84" s="22">
        <v>9.5874213032501362E-6</v>
      </c>
      <c r="AF84" s="22">
        <v>1.8673032095830001E-5</v>
      </c>
      <c r="AG84" s="21">
        <v>0</v>
      </c>
      <c r="AH84" s="21">
        <v>0</v>
      </c>
      <c r="AI84" s="21">
        <v>0</v>
      </c>
      <c r="AJ84" s="21">
        <v>3</v>
      </c>
      <c r="AK84" s="21">
        <v>6</v>
      </c>
      <c r="AL84" s="22">
        <v>0</v>
      </c>
      <c r="AM84" s="22">
        <v>0</v>
      </c>
      <c r="AN84" s="22">
        <v>0</v>
      </c>
      <c r="AO84" s="22">
        <v>1</v>
      </c>
      <c r="AP84" s="22">
        <v>1</v>
      </c>
    </row>
    <row r="85" spans="1:42" x14ac:dyDescent="0.25">
      <c r="A85" s="20" t="s">
        <v>42</v>
      </c>
      <c r="B85" s="21">
        <v>1104</v>
      </c>
      <c r="C85" s="21">
        <v>1062</v>
      </c>
      <c r="D85" s="21">
        <v>1000</v>
      </c>
      <c r="E85" s="21">
        <v>946</v>
      </c>
      <c r="F85" s="21">
        <v>672</v>
      </c>
      <c r="G85" s="22">
        <v>3.4451014963099344E-3</v>
      </c>
      <c r="H85" s="22">
        <v>3.3051266809619099E-3</v>
      </c>
      <c r="I85" s="22">
        <v>3.073046310807904E-3</v>
      </c>
      <c r="J85" s="22">
        <v>2.8776365660609232E-3</v>
      </c>
      <c r="K85" s="22">
        <v>2.0666240220439894E-3</v>
      </c>
      <c r="L85" s="21">
        <v>1065</v>
      </c>
      <c r="M85" s="21">
        <v>1014</v>
      </c>
      <c r="N85" s="21">
        <v>953</v>
      </c>
      <c r="O85" s="21">
        <v>908</v>
      </c>
      <c r="P85" s="21">
        <v>644</v>
      </c>
      <c r="Q85" s="22">
        <v>0.96467391304347827</v>
      </c>
      <c r="R85" s="22">
        <v>0.95480225988700562</v>
      </c>
      <c r="S85" s="22">
        <v>0.95299999999999996</v>
      </c>
      <c r="T85" s="22">
        <v>0.95983086680761098</v>
      </c>
      <c r="U85" s="22">
        <v>0.95833333333333337</v>
      </c>
      <c r="V85" s="21"/>
      <c r="W85" s="21">
        <v>445</v>
      </c>
      <c r="X85" s="21">
        <v>552</v>
      </c>
      <c r="Y85" s="21">
        <v>507</v>
      </c>
      <c r="Z85" s="21">
        <v>1395</v>
      </c>
      <c r="AA85" s="21">
        <v>1062</v>
      </c>
      <c r="AB85" s="22">
        <v>1.4220250915528514E-3</v>
      </c>
      <c r="AC85" s="22">
        <v>1.7703542632824677E-3</v>
      </c>
      <c r="AD85" s="22">
        <v>1.6210098219766728E-3</v>
      </c>
      <c r="AE85" s="22">
        <v>4.458150906011313E-3</v>
      </c>
      <c r="AF85" s="22">
        <v>3.3051266809619099E-3</v>
      </c>
      <c r="AG85" s="21">
        <v>412</v>
      </c>
      <c r="AH85" s="21">
        <v>488</v>
      </c>
      <c r="AI85" s="21">
        <v>458</v>
      </c>
      <c r="AJ85" s="21">
        <v>1335</v>
      </c>
      <c r="AK85" s="21">
        <v>1014</v>
      </c>
      <c r="AL85" s="22">
        <v>0.92584269662921348</v>
      </c>
      <c r="AM85" s="22">
        <v>0.88405797101449279</v>
      </c>
      <c r="AN85" s="22">
        <v>0.903353057199211</v>
      </c>
      <c r="AO85" s="22">
        <v>0.956989247311828</v>
      </c>
      <c r="AP85" s="22">
        <v>0.95480225988700562</v>
      </c>
    </row>
    <row r="86" spans="1:42" x14ac:dyDescent="0.25">
      <c r="A86" s="20" t="s">
        <v>44</v>
      </c>
      <c r="B86" s="21">
        <v>0</v>
      </c>
      <c r="C86" s="21">
        <v>8</v>
      </c>
      <c r="D86" s="21">
        <v>8</v>
      </c>
      <c r="E86" s="21">
        <v>7</v>
      </c>
      <c r="F86" s="21">
        <v>7</v>
      </c>
      <c r="G86" s="22">
        <v>0</v>
      </c>
      <c r="H86" s="22">
        <v>2.4897376127773335E-5</v>
      </c>
      <c r="I86" s="22">
        <v>2.4584370486463232E-5</v>
      </c>
      <c r="J86" s="22">
        <v>2.1293293829203448E-5</v>
      </c>
      <c r="K86" s="22">
        <v>2.1527333562958226E-5</v>
      </c>
      <c r="L86" s="21">
        <v>0</v>
      </c>
      <c r="M86" s="21">
        <v>8</v>
      </c>
      <c r="N86" s="21">
        <v>8</v>
      </c>
      <c r="O86" s="21">
        <v>7</v>
      </c>
      <c r="P86" s="21">
        <v>7</v>
      </c>
      <c r="Q86" s="22">
        <v>0</v>
      </c>
      <c r="R86" s="22">
        <v>1</v>
      </c>
      <c r="S86" s="22">
        <v>1</v>
      </c>
      <c r="T86" s="22">
        <v>1</v>
      </c>
      <c r="U86" s="22">
        <v>1</v>
      </c>
      <c r="V86" s="21"/>
      <c r="W86" s="21">
        <v>0</v>
      </c>
      <c r="X86" s="21">
        <v>0</v>
      </c>
      <c r="Y86" s="21">
        <v>0</v>
      </c>
      <c r="Z86" s="21">
        <v>0</v>
      </c>
      <c r="AA86" s="21">
        <v>8</v>
      </c>
      <c r="AB86" s="22">
        <v>0</v>
      </c>
      <c r="AC86" s="22">
        <v>0</v>
      </c>
      <c r="AD86" s="22">
        <v>0</v>
      </c>
      <c r="AE86" s="22">
        <v>0</v>
      </c>
      <c r="AF86" s="22">
        <v>2.4897376127773335E-5</v>
      </c>
      <c r="AG86" s="21">
        <v>0</v>
      </c>
      <c r="AH86" s="21">
        <v>0</v>
      </c>
      <c r="AI86" s="21">
        <v>0</v>
      </c>
      <c r="AJ86" s="21">
        <v>0</v>
      </c>
      <c r="AK86" s="21">
        <v>8</v>
      </c>
      <c r="AL86" s="22">
        <v>0</v>
      </c>
      <c r="AM86" s="22">
        <v>0</v>
      </c>
      <c r="AN86" s="22">
        <v>0</v>
      </c>
      <c r="AO86" s="22">
        <v>0</v>
      </c>
      <c r="AP86" s="22">
        <v>1</v>
      </c>
    </row>
    <row r="87" spans="1:42" x14ac:dyDescent="0.25">
      <c r="A87" s="20" t="s">
        <v>45</v>
      </c>
      <c r="B87" s="21">
        <v>6089</v>
      </c>
      <c r="C87" s="21">
        <v>5747</v>
      </c>
      <c r="D87" s="21">
        <v>5384</v>
      </c>
      <c r="E87" s="21">
        <v>5323</v>
      </c>
      <c r="F87" s="21">
        <v>5146</v>
      </c>
      <c r="G87" s="22">
        <v>1.9001107799847091E-2</v>
      </c>
      <c r="H87" s="22">
        <v>1.7885652575789168E-2</v>
      </c>
      <c r="I87" s="22">
        <v>1.6545281337389754E-2</v>
      </c>
      <c r="J87" s="22">
        <v>1.6192029007549992E-2</v>
      </c>
      <c r="K87" s="22">
        <v>1.5825665502140433E-2</v>
      </c>
      <c r="L87" s="21">
        <v>5670</v>
      </c>
      <c r="M87" s="21">
        <v>5445</v>
      </c>
      <c r="N87" s="21">
        <v>5082</v>
      </c>
      <c r="O87" s="21">
        <v>4915</v>
      </c>
      <c r="P87" s="21">
        <v>5037</v>
      </c>
      <c r="Q87" s="22">
        <v>0.93118738709147642</v>
      </c>
      <c r="R87" s="22">
        <v>0.94745084391856615</v>
      </c>
      <c r="S87" s="22">
        <v>0.94390787518573549</v>
      </c>
      <c r="T87" s="22">
        <v>0.9233514935186925</v>
      </c>
      <c r="U87" s="22">
        <v>0.97881849980567426</v>
      </c>
      <c r="V87" s="21"/>
      <c r="W87" s="21">
        <v>7898</v>
      </c>
      <c r="X87" s="21">
        <v>12365</v>
      </c>
      <c r="Y87" s="21">
        <v>9169</v>
      </c>
      <c r="Z87" s="21">
        <v>6826</v>
      </c>
      <c r="AA87" s="21">
        <v>5747</v>
      </c>
      <c r="AB87" s="22">
        <v>2.5238548703560494E-2</v>
      </c>
      <c r="AC87" s="22">
        <v>3.9656576930231363E-2</v>
      </c>
      <c r="AD87" s="22">
        <v>2.9315658890935133E-2</v>
      </c>
      <c r="AE87" s="22">
        <v>2.1814579271995142E-2</v>
      </c>
      <c r="AF87" s="22">
        <v>1.7885652575789168E-2</v>
      </c>
      <c r="AG87" s="21">
        <v>7759</v>
      </c>
      <c r="AH87" s="21">
        <v>12183</v>
      </c>
      <c r="AI87" s="21">
        <v>8849</v>
      </c>
      <c r="AJ87" s="21">
        <v>6325</v>
      </c>
      <c r="AK87" s="21">
        <v>5445</v>
      </c>
      <c r="AL87" s="22">
        <v>0.98240060774879712</v>
      </c>
      <c r="AM87" s="22">
        <v>0.98528103517994337</v>
      </c>
      <c r="AN87" s="22">
        <v>0.96509979278001967</v>
      </c>
      <c r="AO87" s="22">
        <v>0.9266041605625549</v>
      </c>
      <c r="AP87" s="22">
        <v>0.94745084391856615</v>
      </c>
    </row>
    <row r="88" spans="1:42" x14ac:dyDescent="0.25">
      <c r="A88" s="20" t="s">
        <v>46</v>
      </c>
      <c r="B88" s="21">
        <v>4559</v>
      </c>
      <c r="C88" s="21">
        <v>3468</v>
      </c>
      <c r="D88" s="21">
        <v>6012</v>
      </c>
      <c r="E88" s="21">
        <v>6340</v>
      </c>
      <c r="F88" s="21">
        <v>6163</v>
      </c>
      <c r="G88" s="22">
        <v>1.422664648702626E-2</v>
      </c>
      <c r="H88" s="22">
        <v>1.0793012551389741E-2</v>
      </c>
      <c r="I88" s="22">
        <v>1.8475154420577119E-2</v>
      </c>
      <c r="J88" s="22">
        <v>1.9285640411021408E-2</v>
      </c>
      <c r="K88" s="22">
        <v>1.895327953550165E-2</v>
      </c>
      <c r="L88" s="21">
        <v>4063</v>
      </c>
      <c r="M88" s="21">
        <v>3363</v>
      </c>
      <c r="N88" s="21">
        <v>5890</v>
      </c>
      <c r="O88" s="21">
        <v>6130</v>
      </c>
      <c r="P88" s="21">
        <v>5926</v>
      </c>
      <c r="Q88" s="22">
        <v>0.89120421144987938</v>
      </c>
      <c r="R88" s="22">
        <v>0.9697231833910035</v>
      </c>
      <c r="S88" s="22">
        <v>0.979707252162342</v>
      </c>
      <c r="T88" s="22">
        <v>0.96687697160883279</v>
      </c>
      <c r="U88" s="22">
        <v>0.96154470225539512</v>
      </c>
      <c r="V88" s="21"/>
      <c r="W88" s="21">
        <v>0</v>
      </c>
      <c r="X88" s="21">
        <v>353</v>
      </c>
      <c r="Y88" s="21">
        <v>3034</v>
      </c>
      <c r="Z88" s="21">
        <v>4159</v>
      </c>
      <c r="AA88" s="21">
        <v>3468</v>
      </c>
      <c r="AB88" s="22">
        <v>0</v>
      </c>
      <c r="AC88" s="22">
        <v>1.1321287227150562E-3</v>
      </c>
      <c r="AD88" s="22">
        <v>9.7004808676079395E-3</v>
      </c>
      <c r="AE88" s="22">
        <v>1.3291361733405772E-2</v>
      </c>
      <c r="AF88" s="22">
        <v>1.0793012551389741E-2</v>
      </c>
      <c r="AG88" s="21">
        <v>0</v>
      </c>
      <c r="AH88" s="21">
        <v>353</v>
      </c>
      <c r="AI88" s="21">
        <v>2971</v>
      </c>
      <c r="AJ88" s="21">
        <v>4052</v>
      </c>
      <c r="AK88" s="21">
        <v>3363</v>
      </c>
      <c r="AL88" s="22">
        <v>0</v>
      </c>
      <c r="AM88" s="22">
        <v>1</v>
      </c>
      <c r="AN88" s="22">
        <v>0.97923533289386944</v>
      </c>
      <c r="AO88" s="22">
        <v>0.97427266169752347</v>
      </c>
      <c r="AP88" s="22">
        <v>0.9697231833910035</v>
      </c>
    </row>
    <row r="89" spans="1:42" x14ac:dyDescent="0.25">
      <c r="A89" s="20" t="s">
        <v>47</v>
      </c>
      <c r="B89" s="21">
        <v>350</v>
      </c>
      <c r="C89" s="21">
        <v>344</v>
      </c>
      <c r="D89" s="21">
        <v>388</v>
      </c>
      <c r="E89" s="21">
        <v>480</v>
      </c>
      <c r="F89" s="21">
        <v>493</v>
      </c>
      <c r="G89" s="22">
        <v>1.092197032344635E-3</v>
      </c>
      <c r="H89" s="22">
        <v>1.0705871734942533E-3</v>
      </c>
      <c r="I89" s="22">
        <v>1.1923419685934667E-3</v>
      </c>
      <c r="J89" s="22">
        <v>1.4601115768596651E-3</v>
      </c>
      <c r="K89" s="22">
        <v>1.5161393495054863E-3</v>
      </c>
      <c r="L89" s="21">
        <v>29</v>
      </c>
      <c r="M89" s="21">
        <v>67</v>
      </c>
      <c r="N89" s="21">
        <v>148</v>
      </c>
      <c r="O89" s="21">
        <v>240</v>
      </c>
      <c r="P89" s="21">
        <v>290</v>
      </c>
      <c r="Q89" s="22">
        <v>8.2857142857142851E-2</v>
      </c>
      <c r="R89" s="22">
        <v>0.19476744186046513</v>
      </c>
      <c r="S89" s="22">
        <v>0.38144329896907214</v>
      </c>
      <c r="T89" s="22">
        <v>0.5</v>
      </c>
      <c r="U89" s="22">
        <v>0.58823529411764708</v>
      </c>
      <c r="V89" s="21"/>
      <c r="W89" s="21">
        <v>0</v>
      </c>
      <c r="X89" s="21">
        <v>0</v>
      </c>
      <c r="Y89" s="21">
        <v>0</v>
      </c>
      <c r="Z89" s="21">
        <v>80</v>
      </c>
      <c r="AA89" s="21">
        <v>344</v>
      </c>
      <c r="AB89" s="22">
        <v>0</v>
      </c>
      <c r="AC89" s="22">
        <v>0</v>
      </c>
      <c r="AD89" s="22">
        <v>0</v>
      </c>
      <c r="AE89" s="22">
        <v>2.5566456808667027E-4</v>
      </c>
      <c r="AF89" s="22">
        <v>1.0705871734942533E-3</v>
      </c>
      <c r="AG89" s="21">
        <v>0</v>
      </c>
      <c r="AH89" s="21">
        <v>0</v>
      </c>
      <c r="AI89" s="21">
        <v>0</v>
      </c>
      <c r="AJ89" s="21">
        <v>80</v>
      </c>
      <c r="AK89" s="21">
        <v>67</v>
      </c>
      <c r="AL89" s="22">
        <v>0</v>
      </c>
      <c r="AM89" s="22">
        <v>0</v>
      </c>
      <c r="AN89" s="22">
        <v>0</v>
      </c>
      <c r="AO89" s="22">
        <v>1</v>
      </c>
      <c r="AP89" s="22">
        <v>0.19476744186046513</v>
      </c>
    </row>
    <row r="90" spans="1:42" x14ac:dyDescent="0.25">
      <c r="A90" s="20" t="s">
        <v>48</v>
      </c>
      <c r="B90" s="21">
        <v>121302</v>
      </c>
      <c r="C90" s="21">
        <v>120623</v>
      </c>
      <c r="D90" s="21">
        <v>128282</v>
      </c>
      <c r="E90" s="21">
        <v>128546</v>
      </c>
      <c r="F90" s="21">
        <v>128763</v>
      </c>
      <c r="G90" s="22">
        <v>0.37853052690705402</v>
      </c>
      <c r="H90" s="22">
        <v>0.37539952508255037</v>
      </c>
      <c r="I90" s="22">
        <v>0.39421652684305952</v>
      </c>
      <c r="J90" s="22">
        <v>0.39102396408125523</v>
      </c>
      <c r="K90" s="22">
        <v>0.39598915022388426</v>
      </c>
      <c r="L90" s="21">
        <v>81006</v>
      </c>
      <c r="M90" s="21">
        <v>82086</v>
      </c>
      <c r="N90" s="21">
        <v>91128</v>
      </c>
      <c r="O90" s="21">
        <v>91840</v>
      </c>
      <c r="P90" s="21">
        <v>91225</v>
      </c>
      <c r="Q90" s="22">
        <v>0.6678043230944255</v>
      </c>
      <c r="R90" s="22">
        <v>0.68051698266499761</v>
      </c>
      <c r="S90" s="22">
        <v>0.71037246067258075</v>
      </c>
      <c r="T90" s="22">
        <v>0.71445241392186454</v>
      </c>
      <c r="U90" s="22">
        <v>0.70847215426791854</v>
      </c>
      <c r="V90" s="21"/>
      <c r="W90" s="21">
        <v>123216</v>
      </c>
      <c r="X90" s="21">
        <v>115442</v>
      </c>
      <c r="Y90" s="21">
        <v>115470</v>
      </c>
      <c r="Z90" s="21">
        <v>121385</v>
      </c>
      <c r="AA90" s="21">
        <v>120623</v>
      </c>
      <c r="AB90" s="22">
        <v>0.39374436782196887</v>
      </c>
      <c r="AC90" s="22">
        <v>0.37024137112654826</v>
      </c>
      <c r="AD90" s="22">
        <v>0.36918738489871089</v>
      </c>
      <c r="AE90" s="22">
        <v>0.3879230449650059</v>
      </c>
      <c r="AF90" s="22">
        <v>0.37539952508255037</v>
      </c>
      <c r="AG90" s="21">
        <v>54303</v>
      </c>
      <c r="AH90" s="21">
        <v>57535</v>
      </c>
      <c r="AI90" s="21">
        <v>65088</v>
      </c>
      <c r="AJ90" s="21">
        <v>75626</v>
      </c>
      <c r="AK90" s="21">
        <v>82086</v>
      </c>
      <c r="AL90" s="22">
        <v>0.44071386832878845</v>
      </c>
      <c r="AM90" s="22">
        <v>0.49838880130281871</v>
      </c>
      <c r="AN90" s="22">
        <v>0.56367887763055335</v>
      </c>
      <c r="AO90" s="22">
        <v>0.6230259092968653</v>
      </c>
      <c r="AP90" s="22">
        <v>0.68051698266499761</v>
      </c>
    </row>
    <row r="91" spans="1:42" x14ac:dyDescent="0.25">
      <c r="A91" s="20" t="s">
        <v>49</v>
      </c>
      <c r="B91" s="21">
        <v>17</v>
      </c>
      <c r="C91" s="21">
        <v>30</v>
      </c>
      <c r="D91" s="21">
        <v>19</v>
      </c>
      <c r="E91" s="21">
        <v>6</v>
      </c>
      <c r="F91" s="21">
        <v>17</v>
      </c>
      <c r="G91" s="22">
        <v>5.3049570142453702E-5</v>
      </c>
      <c r="H91" s="22">
        <v>9.336516047915E-5</v>
      </c>
      <c r="I91" s="22">
        <v>5.8387879905350176E-5</v>
      </c>
      <c r="J91" s="22">
        <v>1.8251394710745813E-5</v>
      </c>
      <c r="K91" s="22">
        <v>5.228066722432712E-5</v>
      </c>
      <c r="L91" s="21">
        <v>12</v>
      </c>
      <c r="M91" s="21">
        <v>20</v>
      </c>
      <c r="N91" s="21">
        <v>9</v>
      </c>
      <c r="O91" s="21">
        <v>6</v>
      </c>
      <c r="P91" s="21">
        <v>9</v>
      </c>
      <c r="Q91" s="22">
        <v>0.70588235294117652</v>
      </c>
      <c r="R91" s="22">
        <v>0.66666666666666663</v>
      </c>
      <c r="S91" s="22">
        <v>0.47368421052631576</v>
      </c>
      <c r="T91" s="22">
        <v>1</v>
      </c>
      <c r="U91" s="22">
        <v>0.52941176470588236</v>
      </c>
      <c r="V91" s="21"/>
      <c r="W91" s="21">
        <v>0</v>
      </c>
      <c r="X91" s="21">
        <v>0</v>
      </c>
      <c r="Y91" s="21">
        <v>0</v>
      </c>
      <c r="Z91" s="21">
        <v>14</v>
      </c>
      <c r="AA91" s="21">
        <v>30</v>
      </c>
      <c r="AB91" s="22">
        <v>0</v>
      </c>
      <c r="AC91" s="22">
        <v>0</v>
      </c>
      <c r="AD91" s="22">
        <v>0</v>
      </c>
      <c r="AE91" s="22">
        <v>4.4741299415167299E-5</v>
      </c>
      <c r="AF91" s="22">
        <v>9.336516047915E-5</v>
      </c>
      <c r="AG91" s="21">
        <v>0</v>
      </c>
      <c r="AH91" s="21">
        <v>0</v>
      </c>
      <c r="AI91" s="21">
        <v>0</v>
      </c>
      <c r="AJ91" s="21">
        <v>14</v>
      </c>
      <c r="AK91" s="21">
        <v>20</v>
      </c>
      <c r="AL91" s="22">
        <v>0</v>
      </c>
      <c r="AM91" s="22">
        <v>0</v>
      </c>
      <c r="AN91" s="22">
        <v>0</v>
      </c>
      <c r="AO91" s="22">
        <v>1</v>
      </c>
      <c r="AP91" s="22">
        <v>0.66666666666666663</v>
      </c>
    </row>
    <row r="92" spans="1:42" x14ac:dyDescent="0.25">
      <c r="A92" s="20" t="s">
        <v>50</v>
      </c>
      <c r="B92" s="21">
        <v>14</v>
      </c>
      <c r="C92" s="21">
        <v>9</v>
      </c>
      <c r="D92" s="21">
        <v>11</v>
      </c>
      <c r="E92" s="21">
        <v>11</v>
      </c>
      <c r="F92" s="21">
        <v>11</v>
      </c>
      <c r="G92" s="22">
        <v>4.3687881293785396E-5</v>
      </c>
      <c r="H92" s="22">
        <v>2.8009548143745003E-5</v>
      </c>
      <c r="I92" s="22">
        <v>3.3803509418886944E-5</v>
      </c>
      <c r="J92" s="22">
        <v>3.3460890303033988E-5</v>
      </c>
      <c r="K92" s="22">
        <v>3.3828667027505782E-5</v>
      </c>
      <c r="L92" s="21">
        <v>14</v>
      </c>
      <c r="M92" s="21">
        <v>9</v>
      </c>
      <c r="N92" s="21">
        <v>11</v>
      </c>
      <c r="O92" s="21">
        <v>11</v>
      </c>
      <c r="P92" s="21">
        <v>11</v>
      </c>
      <c r="Q92" s="22">
        <v>1</v>
      </c>
      <c r="R92" s="22">
        <v>1</v>
      </c>
      <c r="S92" s="22">
        <v>1</v>
      </c>
      <c r="T92" s="22">
        <v>1</v>
      </c>
      <c r="U92" s="22">
        <v>1</v>
      </c>
      <c r="V92" s="21"/>
      <c r="W92" s="21">
        <v>0</v>
      </c>
      <c r="X92" s="21">
        <v>6</v>
      </c>
      <c r="Y92" s="21">
        <v>9</v>
      </c>
      <c r="Z92" s="21">
        <v>9</v>
      </c>
      <c r="AA92" s="21">
        <v>9</v>
      </c>
      <c r="AB92" s="22">
        <v>0</v>
      </c>
      <c r="AC92" s="22">
        <v>1.9242981122635517E-5</v>
      </c>
      <c r="AD92" s="22">
        <v>2.8775322283609577E-5</v>
      </c>
      <c r="AE92" s="22">
        <v>2.8762263909750407E-5</v>
      </c>
      <c r="AF92" s="22">
        <v>2.8009548143745003E-5</v>
      </c>
      <c r="AG92" s="21">
        <v>0</v>
      </c>
      <c r="AH92" s="21">
        <v>6</v>
      </c>
      <c r="AI92" s="21">
        <v>9</v>
      </c>
      <c r="AJ92" s="21">
        <v>9</v>
      </c>
      <c r="AK92" s="21">
        <v>9</v>
      </c>
      <c r="AL92" s="22">
        <v>0</v>
      </c>
      <c r="AM92" s="22">
        <v>1</v>
      </c>
      <c r="AN92" s="22">
        <v>1</v>
      </c>
      <c r="AO92" s="22">
        <v>1</v>
      </c>
      <c r="AP92" s="22">
        <v>1</v>
      </c>
    </row>
    <row r="93" spans="1:42" x14ac:dyDescent="0.25">
      <c r="A93" s="20" t="s">
        <v>139</v>
      </c>
      <c r="B93" s="21">
        <v>7396</v>
      </c>
      <c r="C93" s="21">
        <v>7010</v>
      </c>
      <c r="D93" s="21">
        <v>4838</v>
      </c>
      <c r="E93" s="21">
        <v>4452</v>
      </c>
      <c r="F93" s="21">
        <v>4165</v>
      </c>
      <c r="G93" s="22">
        <v>2.3079683574916916E-2</v>
      </c>
      <c r="H93" s="22">
        <v>2.1816325831961383E-2</v>
      </c>
      <c r="I93" s="22">
        <v>1.4867398051688638E-2</v>
      </c>
      <c r="J93" s="22">
        <v>1.3542534875373394E-2</v>
      </c>
      <c r="K93" s="22">
        <v>1.2808763469960145E-2</v>
      </c>
      <c r="L93" s="21">
        <v>6468</v>
      </c>
      <c r="M93" s="21">
        <v>6247</v>
      </c>
      <c r="N93" s="21">
        <v>4226</v>
      </c>
      <c r="O93" s="21">
        <v>3867</v>
      </c>
      <c r="P93" s="21">
        <v>3515</v>
      </c>
      <c r="Q93" s="22">
        <v>0.87452677122769062</v>
      </c>
      <c r="R93" s="22">
        <v>0.89115549215406564</v>
      </c>
      <c r="S93" s="22">
        <v>0.87350144687887554</v>
      </c>
      <c r="T93" s="22">
        <v>0.8685983827493261</v>
      </c>
      <c r="U93" s="22">
        <v>0.84393757503001199</v>
      </c>
      <c r="V93" s="21"/>
      <c r="W93" s="21">
        <v>22148</v>
      </c>
      <c r="X93" s="21">
        <v>22120</v>
      </c>
      <c r="Y93" s="21">
        <v>20142</v>
      </c>
      <c r="Z93" s="21">
        <v>9629</v>
      </c>
      <c r="AA93" s="21">
        <v>7010</v>
      </c>
      <c r="AB93" s="22">
        <v>7.0775307253286637E-2</v>
      </c>
      <c r="AC93" s="22">
        <v>7.0942457072116286E-2</v>
      </c>
      <c r="AD93" s="22">
        <v>6.4399171270718231E-2</v>
      </c>
      <c r="AE93" s="22">
        <v>3.0772426576331852E-2</v>
      </c>
      <c r="AF93" s="22">
        <v>2.1816325831961383E-2</v>
      </c>
      <c r="AG93" s="21">
        <v>21100</v>
      </c>
      <c r="AH93" s="21">
        <v>20952</v>
      </c>
      <c r="AI93" s="21">
        <v>18857</v>
      </c>
      <c r="AJ93" s="21">
        <v>9166</v>
      </c>
      <c r="AK93" s="21">
        <v>6247</v>
      </c>
      <c r="AL93" s="22">
        <v>0.95268195773884778</v>
      </c>
      <c r="AM93" s="22">
        <v>0.94719710669077761</v>
      </c>
      <c r="AN93" s="22">
        <v>0.93620295899116279</v>
      </c>
      <c r="AO93" s="22">
        <v>0.95191608682106132</v>
      </c>
      <c r="AP93" s="22">
        <v>0.89115549215406564</v>
      </c>
    </row>
    <row r="94" spans="1:42" x14ac:dyDescent="0.25">
      <c r="A94" s="20" t="s">
        <v>53</v>
      </c>
      <c r="B94" s="21">
        <v>1366</v>
      </c>
      <c r="C94" s="21">
        <v>1376</v>
      </c>
      <c r="D94" s="21">
        <v>1565</v>
      </c>
      <c r="E94" s="21">
        <v>1471</v>
      </c>
      <c r="F94" s="21">
        <v>1844</v>
      </c>
      <c r="G94" s="22">
        <v>4.2626889890936322E-3</v>
      </c>
      <c r="H94" s="22">
        <v>4.2823486939770131E-3</v>
      </c>
      <c r="I94" s="22">
        <v>4.8093174764143693E-3</v>
      </c>
      <c r="J94" s="22">
        <v>4.4746336032511821E-3</v>
      </c>
      <c r="K94" s="22">
        <v>5.6709147271564236E-3</v>
      </c>
      <c r="L94" s="21">
        <v>1366</v>
      </c>
      <c r="M94" s="21">
        <v>1376</v>
      </c>
      <c r="N94" s="21">
        <v>1565</v>
      </c>
      <c r="O94" s="21">
        <v>1471</v>
      </c>
      <c r="P94" s="21">
        <v>1782</v>
      </c>
      <c r="Q94" s="22">
        <v>1</v>
      </c>
      <c r="R94" s="22">
        <v>1</v>
      </c>
      <c r="S94" s="22">
        <v>1</v>
      </c>
      <c r="T94" s="22">
        <v>1</v>
      </c>
      <c r="U94" s="22">
        <v>0.96637744034707163</v>
      </c>
      <c r="V94" s="21"/>
      <c r="W94" s="21">
        <v>0</v>
      </c>
      <c r="X94" s="21">
        <v>239</v>
      </c>
      <c r="Y94" s="21">
        <v>899</v>
      </c>
      <c r="Z94" s="21">
        <v>1408</v>
      </c>
      <c r="AA94" s="21">
        <v>1376</v>
      </c>
      <c r="AB94" s="22">
        <v>0</v>
      </c>
      <c r="AC94" s="22">
        <v>7.6651208138498145E-4</v>
      </c>
      <c r="AD94" s="22">
        <v>2.8743349703294454E-3</v>
      </c>
      <c r="AE94" s="22">
        <v>4.499696398325397E-3</v>
      </c>
      <c r="AF94" s="22">
        <v>4.2823486939770131E-3</v>
      </c>
      <c r="AG94" s="21">
        <v>0</v>
      </c>
      <c r="AH94" s="21">
        <v>239</v>
      </c>
      <c r="AI94" s="21">
        <v>899</v>
      </c>
      <c r="AJ94" s="21">
        <v>1408</v>
      </c>
      <c r="AK94" s="21">
        <v>1376</v>
      </c>
      <c r="AL94" s="22">
        <v>0</v>
      </c>
      <c r="AM94" s="22">
        <v>1</v>
      </c>
      <c r="AN94" s="22">
        <v>1</v>
      </c>
      <c r="AO94" s="22">
        <v>1</v>
      </c>
      <c r="AP94" s="22">
        <v>1</v>
      </c>
    </row>
    <row r="95" spans="1:42" x14ac:dyDescent="0.25">
      <c r="A95" s="20" t="s">
        <v>54</v>
      </c>
      <c r="B95" s="21">
        <v>3516</v>
      </c>
      <c r="C95" s="21">
        <v>3453</v>
      </c>
      <c r="D95" s="21">
        <v>3257</v>
      </c>
      <c r="E95" s="21">
        <v>3071</v>
      </c>
      <c r="F95" s="21">
        <v>3098</v>
      </c>
      <c r="G95" s="22">
        <v>1.0971899330639247E-2</v>
      </c>
      <c r="H95" s="22">
        <v>1.0746329971150166E-2</v>
      </c>
      <c r="I95" s="22">
        <v>1.0008911834301342E-2</v>
      </c>
      <c r="J95" s="22">
        <v>9.3416721927833991E-3</v>
      </c>
      <c r="K95" s="22">
        <v>9.5273827682920836E-3</v>
      </c>
      <c r="L95" s="21">
        <v>3236</v>
      </c>
      <c r="M95" s="21">
        <v>3094</v>
      </c>
      <c r="N95" s="21">
        <v>2981</v>
      </c>
      <c r="O95" s="21">
        <v>2803</v>
      </c>
      <c r="P95" s="21">
        <v>2637</v>
      </c>
      <c r="Q95" s="22">
        <v>0.92036405005688282</v>
      </c>
      <c r="R95" s="22">
        <v>0.89603243556327827</v>
      </c>
      <c r="S95" s="22">
        <v>0.91525944120356151</v>
      </c>
      <c r="T95" s="22">
        <v>0.91273200911755126</v>
      </c>
      <c r="U95" s="22">
        <v>0.85119431891542929</v>
      </c>
      <c r="V95" s="21"/>
      <c r="W95" s="21">
        <v>4573</v>
      </c>
      <c r="X95" s="21">
        <v>5857</v>
      </c>
      <c r="Y95" s="21">
        <v>6266</v>
      </c>
      <c r="Z95" s="21">
        <v>4271</v>
      </c>
      <c r="AA95" s="21">
        <v>3453</v>
      </c>
      <c r="AB95" s="22">
        <v>1.4613305041957729E-2</v>
      </c>
      <c r="AC95" s="22">
        <v>1.8784356739212707E-2</v>
      </c>
      <c r="AD95" s="22">
        <v>2.0034018825455288E-2</v>
      </c>
      <c r="AE95" s="22">
        <v>1.3649292128727109E-2</v>
      </c>
      <c r="AF95" s="22">
        <v>1.0746329971150166E-2</v>
      </c>
      <c r="AG95" s="21">
        <v>4573</v>
      </c>
      <c r="AH95" s="21">
        <v>5584</v>
      </c>
      <c r="AI95" s="21">
        <v>5992</v>
      </c>
      <c r="AJ95" s="21">
        <v>3981</v>
      </c>
      <c r="AK95" s="21">
        <v>3094</v>
      </c>
      <c r="AL95" s="22">
        <v>1</v>
      </c>
      <c r="AM95" s="22">
        <v>0.95338910705139146</v>
      </c>
      <c r="AN95" s="22">
        <v>0.95627194382381109</v>
      </c>
      <c r="AO95" s="22">
        <v>0.93210021072348392</v>
      </c>
      <c r="AP95" s="22">
        <v>0.89603243556327827</v>
      </c>
    </row>
    <row r="96" spans="1:42" x14ac:dyDescent="0.25">
      <c r="A96" s="20" t="s">
        <v>55</v>
      </c>
      <c r="B96" s="21">
        <v>0</v>
      </c>
      <c r="C96" s="21">
        <v>1</v>
      </c>
      <c r="D96" s="21">
        <v>2</v>
      </c>
      <c r="E96" s="21">
        <v>5</v>
      </c>
      <c r="F96" s="21">
        <v>4</v>
      </c>
      <c r="G96" s="22">
        <v>0</v>
      </c>
      <c r="H96" s="22">
        <v>3.1121720159716669E-6</v>
      </c>
      <c r="I96" s="22">
        <v>6.1460926216158079E-6</v>
      </c>
      <c r="J96" s="22">
        <v>1.5209495592288177E-5</v>
      </c>
      <c r="K96" s="22">
        <v>1.2301333464547557E-5</v>
      </c>
      <c r="L96" s="21">
        <v>0</v>
      </c>
      <c r="M96" s="21">
        <v>1</v>
      </c>
      <c r="N96" s="21">
        <v>2</v>
      </c>
      <c r="O96" s="21">
        <v>5</v>
      </c>
      <c r="P96" s="21">
        <v>4</v>
      </c>
      <c r="Q96" s="22">
        <v>0</v>
      </c>
      <c r="R96" s="22">
        <v>1</v>
      </c>
      <c r="S96" s="22">
        <v>1</v>
      </c>
      <c r="T96" s="22">
        <v>1</v>
      </c>
      <c r="U96" s="22">
        <v>1</v>
      </c>
      <c r="V96" s="21"/>
      <c r="W96" s="21">
        <v>0</v>
      </c>
      <c r="X96" s="21">
        <v>0</v>
      </c>
      <c r="Y96" s="21">
        <v>0</v>
      </c>
      <c r="Z96" s="21">
        <v>0</v>
      </c>
      <c r="AA96" s="21">
        <v>1</v>
      </c>
      <c r="AB96" s="22">
        <v>0</v>
      </c>
      <c r="AC96" s="22">
        <v>0</v>
      </c>
      <c r="AD96" s="22">
        <v>0</v>
      </c>
      <c r="AE96" s="22">
        <v>0</v>
      </c>
      <c r="AF96" s="22">
        <v>3.1121720159716669E-6</v>
      </c>
      <c r="AG96" s="21">
        <v>0</v>
      </c>
      <c r="AH96" s="21">
        <v>0</v>
      </c>
      <c r="AI96" s="21">
        <v>0</v>
      </c>
      <c r="AJ96" s="21">
        <v>0</v>
      </c>
      <c r="AK96" s="21">
        <v>1</v>
      </c>
      <c r="AL96" s="22">
        <v>0</v>
      </c>
      <c r="AM96" s="22">
        <v>0</v>
      </c>
      <c r="AN96" s="22">
        <v>0</v>
      </c>
      <c r="AO96" s="22">
        <v>0</v>
      </c>
      <c r="AP96" s="22">
        <v>1</v>
      </c>
    </row>
    <row r="97" spans="1:42" x14ac:dyDescent="0.25">
      <c r="A97" s="20" t="s">
        <v>57</v>
      </c>
      <c r="B97" s="21">
        <v>4560</v>
      </c>
      <c r="C97" s="21">
        <v>4729</v>
      </c>
      <c r="D97" s="21">
        <v>4919</v>
      </c>
      <c r="E97" s="21">
        <v>5156</v>
      </c>
      <c r="F97" s="21">
        <v>5470</v>
      </c>
      <c r="G97" s="22">
        <v>1.4229767049975816E-2</v>
      </c>
      <c r="H97" s="22">
        <v>1.4717461463530012E-2</v>
      </c>
      <c r="I97" s="22">
        <v>1.511631480286408E-2</v>
      </c>
      <c r="J97" s="22">
        <v>1.5684031854767567E-2</v>
      </c>
      <c r="K97" s="22">
        <v>1.6822073512768786E-2</v>
      </c>
      <c r="L97" s="21">
        <v>4480</v>
      </c>
      <c r="M97" s="21">
        <v>4650</v>
      </c>
      <c r="N97" s="21">
        <v>4792</v>
      </c>
      <c r="O97" s="21">
        <v>5046</v>
      </c>
      <c r="P97" s="21">
        <v>5352</v>
      </c>
      <c r="Q97" s="22">
        <v>0.98245614035087714</v>
      </c>
      <c r="R97" s="22">
        <v>0.98329456544724048</v>
      </c>
      <c r="S97" s="22">
        <v>0.9741817442569628</v>
      </c>
      <c r="T97" s="22">
        <v>0.9786656322730799</v>
      </c>
      <c r="U97" s="22">
        <v>0.9784277879341865</v>
      </c>
      <c r="V97" s="21"/>
      <c r="W97" s="21">
        <v>2107</v>
      </c>
      <c r="X97" s="21">
        <v>4539</v>
      </c>
      <c r="Y97" s="21">
        <v>4338</v>
      </c>
      <c r="Z97" s="21">
        <v>5277</v>
      </c>
      <c r="AA97" s="21">
        <v>4729</v>
      </c>
      <c r="AB97" s="22">
        <v>6.7330491413524892E-3</v>
      </c>
      <c r="AC97" s="22">
        <v>1.4557315219273771E-2</v>
      </c>
      <c r="AD97" s="22">
        <v>1.3869705340699815E-2</v>
      </c>
      <c r="AE97" s="22">
        <v>1.6864274072416988E-2</v>
      </c>
      <c r="AF97" s="22">
        <v>1.4717461463530012E-2</v>
      </c>
      <c r="AG97" s="21">
        <v>2106</v>
      </c>
      <c r="AH97" s="21">
        <v>4538</v>
      </c>
      <c r="AI97" s="21">
        <v>4337</v>
      </c>
      <c r="AJ97" s="21">
        <v>5176</v>
      </c>
      <c r="AK97" s="21">
        <v>4650</v>
      </c>
      <c r="AL97" s="22">
        <v>0.99952539155196962</v>
      </c>
      <c r="AM97" s="22">
        <v>0.99977968715576115</v>
      </c>
      <c r="AN97" s="22">
        <v>0.99976947902259106</v>
      </c>
      <c r="AO97" s="22">
        <v>0.98086033731286715</v>
      </c>
      <c r="AP97" s="22">
        <v>0.98329456544724048</v>
      </c>
    </row>
    <row r="98" spans="1:42" x14ac:dyDescent="0.25">
      <c r="A98" s="20" t="s">
        <v>58</v>
      </c>
      <c r="B98" s="21">
        <v>5</v>
      </c>
      <c r="C98" s="21">
        <v>0</v>
      </c>
      <c r="D98" s="21">
        <v>0</v>
      </c>
      <c r="E98" s="21">
        <v>0</v>
      </c>
      <c r="F98" s="21">
        <v>0</v>
      </c>
      <c r="G98" s="22">
        <v>1.56028147477805E-5</v>
      </c>
      <c r="H98" s="22">
        <v>0</v>
      </c>
      <c r="I98" s="22">
        <v>0</v>
      </c>
      <c r="J98" s="22">
        <v>0</v>
      </c>
      <c r="K98" s="22">
        <v>0</v>
      </c>
      <c r="L98" s="21">
        <v>5</v>
      </c>
      <c r="M98" s="21">
        <v>0</v>
      </c>
      <c r="N98" s="21">
        <v>0</v>
      </c>
      <c r="O98" s="21">
        <v>0</v>
      </c>
      <c r="P98" s="21">
        <v>0</v>
      </c>
      <c r="Q98" s="22">
        <v>1</v>
      </c>
      <c r="R98" s="22">
        <v>0</v>
      </c>
      <c r="S98" s="22">
        <v>0</v>
      </c>
      <c r="T98" s="22">
        <v>0</v>
      </c>
      <c r="U98" s="22">
        <v>0</v>
      </c>
      <c r="V98" s="21"/>
      <c r="W98" s="21">
        <v>98</v>
      </c>
      <c r="X98" s="21">
        <v>16</v>
      </c>
      <c r="Y98" s="21">
        <v>82</v>
      </c>
      <c r="Z98" s="21">
        <v>0</v>
      </c>
      <c r="AA98" s="21">
        <v>0</v>
      </c>
      <c r="AB98" s="22">
        <v>3.1316507634197627E-4</v>
      </c>
      <c r="AC98" s="22">
        <v>5.1314616327028052E-5</v>
      </c>
      <c r="AD98" s="22">
        <v>2.6217515858399838E-4</v>
      </c>
      <c r="AE98" s="22">
        <v>0</v>
      </c>
      <c r="AF98" s="22">
        <v>0</v>
      </c>
      <c r="AG98" s="21">
        <v>96</v>
      </c>
      <c r="AH98" s="21">
        <v>14</v>
      </c>
      <c r="AI98" s="21">
        <v>63</v>
      </c>
      <c r="AJ98" s="21">
        <v>0</v>
      </c>
      <c r="AK98" s="21">
        <v>0</v>
      </c>
      <c r="AL98" s="22">
        <v>0.97959183673469385</v>
      </c>
      <c r="AM98" s="22">
        <v>0.875</v>
      </c>
      <c r="AN98" s="22">
        <v>0.76829268292682928</v>
      </c>
      <c r="AO98" s="22">
        <v>0</v>
      </c>
      <c r="AP98" s="22">
        <v>0</v>
      </c>
    </row>
    <row r="99" spans="1:42" x14ac:dyDescent="0.25">
      <c r="A99" s="20" t="s">
        <v>59</v>
      </c>
      <c r="B99" s="21">
        <v>4</v>
      </c>
      <c r="C99" s="21">
        <v>4</v>
      </c>
      <c r="D99" s="21">
        <v>4</v>
      </c>
      <c r="E99" s="21">
        <v>4</v>
      </c>
      <c r="F99" s="21">
        <v>4</v>
      </c>
      <c r="G99" s="22">
        <v>1.24822517982244E-5</v>
      </c>
      <c r="H99" s="22">
        <v>1.2448688063886668E-5</v>
      </c>
      <c r="I99" s="22">
        <v>1.2292185243231616E-5</v>
      </c>
      <c r="J99" s="22">
        <v>1.2167596473830542E-5</v>
      </c>
      <c r="K99" s="22">
        <v>1.2301333464547557E-5</v>
      </c>
      <c r="L99" s="21">
        <v>4</v>
      </c>
      <c r="M99" s="21">
        <v>4</v>
      </c>
      <c r="N99" s="21">
        <v>4</v>
      </c>
      <c r="O99" s="21">
        <v>4</v>
      </c>
      <c r="P99" s="21">
        <v>4</v>
      </c>
      <c r="Q99" s="22">
        <v>1</v>
      </c>
      <c r="R99" s="22">
        <v>1</v>
      </c>
      <c r="S99" s="22">
        <v>1</v>
      </c>
      <c r="T99" s="22">
        <v>1</v>
      </c>
      <c r="U99" s="22">
        <v>1</v>
      </c>
      <c r="V99" s="21"/>
      <c r="W99" s="21">
        <v>0</v>
      </c>
      <c r="X99" s="21">
        <v>0</v>
      </c>
      <c r="Y99" s="21">
        <v>0</v>
      </c>
      <c r="Z99" s="21">
        <v>4</v>
      </c>
      <c r="AA99" s="21">
        <v>4</v>
      </c>
      <c r="AB99" s="22">
        <v>0</v>
      </c>
      <c r="AC99" s="22">
        <v>0</v>
      </c>
      <c r="AD99" s="22">
        <v>0</v>
      </c>
      <c r="AE99" s="22">
        <v>1.2783228404333515E-5</v>
      </c>
      <c r="AF99" s="22">
        <v>1.2448688063886668E-5</v>
      </c>
      <c r="AG99" s="21">
        <v>0</v>
      </c>
      <c r="AH99" s="21">
        <v>0</v>
      </c>
      <c r="AI99" s="21">
        <v>0</v>
      </c>
      <c r="AJ99" s="21">
        <v>0</v>
      </c>
      <c r="AK99" s="21">
        <v>4</v>
      </c>
      <c r="AL99" s="22">
        <v>0</v>
      </c>
      <c r="AM99" s="22">
        <v>0</v>
      </c>
      <c r="AN99" s="22">
        <v>0</v>
      </c>
      <c r="AO99" s="22">
        <v>0</v>
      </c>
      <c r="AP99" s="22">
        <v>1</v>
      </c>
    </row>
    <row r="100" spans="1:42" x14ac:dyDescent="0.25">
      <c r="A100" s="20" t="s">
        <v>60</v>
      </c>
      <c r="B100" s="21">
        <v>2708</v>
      </c>
      <c r="C100" s="21">
        <v>2608</v>
      </c>
      <c r="D100" s="21">
        <v>2446</v>
      </c>
      <c r="E100" s="21">
        <v>2381</v>
      </c>
      <c r="F100" s="21">
        <v>2372</v>
      </c>
      <c r="G100" s="22">
        <v>8.4504844673979184E-3</v>
      </c>
      <c r="H100" s="22">
        <v>8.1165446176541065E-3</v>
      </c>
      <c r="I100" s="22">
        <v>7.5166712762361329E-3</v>
      </c>
      <c r="J100" s="22">
        <v>7.2427618010476305E-3</v>
      </c>
      <c r="K100" s="22">
        <v>7.2946907444767011E-3</v>
      </c>
      <c r="L100" s="21">
        <v>2701</v>
      </c>
      <c r="M100" s="21">
        <v>2602</v>
      </c>
      <c r="N100" s="21">
        <v>2441</v>
      </c>
      <c r="O100" s="21">
        <v>2377</v>
      </c>
      <c r="P100" s="21">
        <v>2320</v>
      </c>
      <c r="Q100" s="22">
        <v>0.99741506646971934</v>
      </c>
      <c r="R100" s="22">
        <v>0.99769938650306744</v>
      </c>
      <c r="S100" s="22">
        <v>0.99795584627964018</v>
      </c>
      <c r="T100" s="22">
        <v>0.99832003359932797</v>
      </c>
      <c r="U100" s="22">
        <v>0.97807757166947729</v>
      </c>
      <c r="V100" s="21"/>
      <c r="W100" s="21">
        <v>377</v>
      </c>
      <c r="X100" s="21">
        <v>3533</v>
      </c>
      <c r="Y100" s="21">
        <v>3388</v>
      </c>
      <c r="Z100" s="21">
        <v>3264</v>
      </c>
      <c r="AA100" s="21">
        <v>2608</v>
      </c>
      <c r="AB100" s="22">
        <v>1.2047268753155617E-3</v>
      </c>
      <c r="AC100" s="22">
        <v>1.1330908717711882E-2</v>
      </c>
      <c r="AD100" s="22">
        <v>1.083231021076325E-2</v>
      </c>
      <c r="AE100" s="22">
        <v>1.0431114377936148E-2</v>
      </c>
      <c r="AF100" s="22">
        <v>8.1165446176541065E-3</v>
      </c>
      <c r="AG100" s="21">
        <v>375</v>
      </c>
      <c r="AH100" s="21">
        <v>3531</v>
      </c>
      <c r="AI100" s="21">
        <v>3381</v>
      </c>
      <c r="AJ100" s="21">
        <v>3259</v>
      </c>
      <c r="AK100" s="21">
        <v>2602</v>
      </c>
      <c r="AL100" s="22">
        <v>0.99469496021220161</v>
      </c>
      <c r="AM100" s="22">
        <v>0.99943390885932637</v>
      </c>
      <c r="AN100" s="22">
        <v>0.99793388429752061</v>
      </c>
      <c r="AO100" s="22">
        <v>0.99846813725490191</v>
      </c>
      <c r="AP100" s="22">
        <v>0.99769938650306744</v>
      </c>
    </row>
    <row r="101" spans="1:42" x14ac:dyDescent="0.25">
      <c r="A101" s="20" t="s">
        <v>62</v>
      </c>
      <c r="B101" s="21">
        <v>0</v>
      </c>
      <c r="C101" s="21">
        <v>0</v>
      </c>
      <c r="D101" s="21">
        <v>0</v>
      </c>
      <c r="E101" s="21">
        <v>0</v>
      </c>
      <c r="F101" s="21">
        <v>1</v>
      </c>
      <c r="G101" s="22">
        <v>0</v>
      </c>
      <c r="H101" s="22">
        <v>0</v>
      </c>
      <c r="I101" s="22">
        <v>0</v>
      </c>
      <c r="J101" s="22">
        <v>0</v>
      </c>
      <c r="K101" s="22">
        <v>3.0753333661368891E-6</v>
      </c>
      <c r="L101" s="21">
        <v>0</v>
      </c>
      <c r="M101" s="21">
        <v>0</v>
      </c>
      <c r="N101" s="21">
        <v>0</v>
      </c>
      <c r="O101" s="21">
        <v>0</v>
      </c>
      <c r="P101" s="21">
        <v>1</v>
      </c>
      <c r="Q101" s="22">
        <v>0</v>
      </c>
      <c r="R101" s="22">
        <v>0</v>
      </c>
      <c r="S101" s="22">
        <v>0</v>
      </c>
      <c r="T101" s="22">
        <v>0</v>
      </c>
      <c r="U101" s="22">
        <v>1</v>
      </c>
      <c r="V101" s="21"/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</row>
    <row r="102" spans="1:42" x14ac:dyDescent="0.25">
      <c r="A102" s="20" t="s">
        <v>65</v>
      </c>
      <c r="B102" s="21">
        <v>0</v>
      </c>
      <c r="C102" s="21">
        <v>0</v>
      </c>
      <c r="D102" s="21">
        <v>0</v>
      </c>
      <c r="E102" s="21">
        <v>0</v>
      </c>
      <c r="F102" s="21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1"/>
      <c r="W102" s="21">
        <v>0</v>
      </c>
      <c r="X102" s="21">
        <v>0</v>
      </c>
      <c r="Y102" s="21">
        <v>51</v>
      </c>
      <c r="Z102" s="21">
        <v>0</v>
      </c>
      <c r="AA102" s="21">
        <v>0</v>
      </c>
      <c r="AB102" s="22">
        <v>0</v>
      </c>
      <c r="AC102" s="22">
        <v>0</v>
      </c>
      <c r="AD102" s="22">
        <v>1.6306015960712092E-4</v>
      </c>
      <c r="AE102" s="22">
        <v>0</v>
      </c>
      <c r="AF102" s="22">
        <v>0</v>
      </c>
      <c r="AG102" s="21">
        <v>0</v>
      </c>
      <c r="AH102" s="21">
        <v>0</v>
      </c>
      <c r="AI102" s="21">
        <v>51</v>
      </c>
      <c r="AJ102" s="21">
        <v>0</v>
      </c>
      <c r="AK102" s="21">
        <v>0</v>
      </c>
      <c r="AL102" s="22">
        <v>0</v>
      </c>
      <c r="AM102" s="22">
        <v>0</v>
      </c>
      <c r="AN102" s="22">
        <v>1</v>
      </c>
      <c r="AO102" s="22">
        <v>0</v>
      </c>
      <c r="AP102" s="22">
        <v>0</v>
      </c>
    </row>
    <row r="103" spans="1:42" x14ac:dyDescent="0.25">
      <c r="A103" s="20" t="s">
        <v>66</v>
      </c>
      <c r="B103" s="21">
        <v>15</v>
      </c>
      <c r="C103" s="21">
        <v>16</v>
      </c>
      <c r="D103" s="21">
        <v>46</v>
      </c>
      <c r="E103" s="21">
        <v>25</v>
      </c>
      <c r="F103" s="21">
        <v>84</v>
      </c>
      <c r="G103" s="22">
        <v>4.6808444243341498E-5</v>
      </c>
      <c r="H103" s="22">
        <v>4.9794752255546671E-5</v>
      </c>
      <c r="I103" s="22">
        <v>1.4136013029716359E-4</v>
      </c>
      <c r="J103" s="22">
        <v>7.6047477961440892E-5</v>
      </c>
      <c r="K103" s="22">
        <v>2.5832800275549868E-4</v>
      </c>
      <c r="L103" s="21">
        <v>15</v>
      </c>
      <c r="M103" s="21">
        <v>16</v>
      </c>
      <c r="N103" s="21">
        <v>46</v>
      </c>
      <c r="O103" s="21">
        <v>25</v>
      </c>
      <c r="P103" s="21">
        <v>84</v>
      </c>
      <c r="Q103" s="22">
        <v>1</v>
      </c>
      <c r="R103" s="22">
        <v>1</v>
      </c>
      <c r="S103" s="22">
        <v>1</v>
      </c>
      <c r="T103" s="22">
        <v>1</v>
      </c>
      <c r="U103" s="22">
        <v>1</v>
      </c>
      <c r="V103" s="21"/>
      <c r="W103" s="21">
        <v>2</v>
      </c>
      <c r="X103" s="21">
        <v>0</v>
      </c>
      <c r="Y103" s="21">
        <v>0</v>
      </c>
      <c r="Z103" s="21">
        <v>0</v>
      </c>
      <c r="AA103" s="21">
        <v>16</v>
      </c>
      <c r="AB103" s="22">
        <v>6.3911240069791071E-6</v>
      </c>
      <c r="AC103" s="22">
        <v>0</v>
      </c>
      <c r="AD103" s="22">
        <v>0</v>
      </c>
      <c r="AE103" s="22">
        <v>0</v>
      </c>
      <c r="AF103" s="22">
        <v>4.9794752255546671E-5</v>
      </c>
      <c r="AG103" s="21">
        <v>0</v>
      </c>
      <c r="AH103" s="21">
        <v>0</v>
      </c>
      <c r="AI103" s="21">
        <v>0</v>
      </c>
      <c r="AJ103" s="21">
        <v>0</v>
      </c>
      <c r="AK103" s="21">
        <v>16</v>
      </c>
      <c r="AL103" s="22">
        <v>0</v>
      </c>
      <c r="AM103" s="22">
        <v>0</v>
      </c>
      <c r="AN103" s="22">
        <v>0</v>
      </c>
      <c r="AO103" s="22">
        <v>0</v>
      </c>
      <c r="AP103" s="22">
        <v>1</v>
      </c>
    </row>
    <row r="104" spans="1:42" x14ac:dyDescent="0.25">
      <c r="A104" s="31" t="s">
        <v>72</v>
      </c>
      <c r="B104" s="29">
        <v>320455</v>
      </c>
      <c r="C104" s="29">
        <v>321319</v>
      </c>
      <c r="D104" s="29">
        <v>325410</v>
      </c>
      <c r="E104" s="29">
        <v>328742</v>
      </c>
      <c r="F104" s="29">
        <v>325168</v>
      </c>
      <c r="G104" s="24">
        <v>1</v>
      </c>
      <c r="H104" s="24">
        <v>1</v>
      </c>
      <c r="I104" s="24">
        <v>1</v>
      </c>
      <c r="J104" s="24">
        <v>1</v>
      </c>
      <c r="K104" s="24">
        <v>1</v>
      </c>
      <c r="L104" s="29">
        <v>240165</v>
      </c>
      <c r="M104" s="29">
        <v>245676</v>
      </c>
      <c r="N104" s="29">
        <v>253262</v>
      </c>
      <c r="O104" s="29">
        <v>258117</v>
      </c>
      <c r="P104" s="29">
        <v>250966</v>
      </c>
      <c r="Q104" s="24">
        <v>0.74945000078014079</v>
      </c>
      <c r="R104" s="24">
        <v>0.76458597219585522</v>
      </c>
      <c r="S104" s="24">
        <v>0.7782858547678313</v>
      </c>
      <c r="T104" s="24">
        <v>0.78516587475892952</v>
      </c>
      <c r="U104" s="24">
        <v>0.7718041135659105</v>
      </c>
      <c r="V104" s="23"/>
      <c r="W104" s="29">
        <v>312934</v>
      </c>
      <c r="X104" s="29">
        <v>311802</v>
      </c>
      <c r="Y104" s="29">
        <v>312768</v>
      </c>
      <c r="Z104" s="29">
        <v>312910</v>
      </c>
      <c r="AA104" s="29">
        <v>321319</v>
      </c>
      <c r="AB104" s="24">
        <v>1</v>
      </c>
      <c r="AC104" s="24">
        <v>1</v>
      </c>
      <c r="AD104" s="24">
        <v>1</v>
      </c>
      <c r="AE104" s="24">
        <v>1</v>
      </c>
      <c r="AF104" s="24">
        <v>1</v>
      </c>
      <c r="AG104" s="29">
        <v>166664</v>
      </c>
      <c r="AH104" s="29">
        <v>192620</v>
      </c>
      <c r="AI104" s="29">
        <v>211411</v>
      </c>
      <c r="AJ104" s="29">
        <v>222461</v>
      </c>
      <c r="AK104" s="29">
        <v>245676</v>
      </c>
      <c r="AL104" s="24">
        <v>0.53258514574958293</v>
      </c>
      <c r="AM104" s="24">
        <v>0.6177638373070089</v>
      </c>
      <c r="AN104" s="24">
        <v>0.67593551770002047</v>
      </c>
      <c r="AO104" s="24">
        <v>0.71094244351410951</v>
      </c>
      <c r="AP104" s="24">
        <v>0.76458597219585522</v>
      </c>
    </row>
    <row r="105" spans="1:42" x14ac:dyDescent="0.25">
      <c r="A105" s="20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</row>
    <row r="106" spans="1:42" x14ac:dyDescent="0.25">
      <c r="A106" s="30" t="s">
        <v>73</v>
      </c>
      <c r="B106" s="27" t="s">
        <v>12</v>
      </c>
      <c r="C106" s="27" t="s">
        <v>13</v>
      </c>
      <c r="D106" s="27" t="s">
        <v>14</v>
      </c>
      <c r="E106" s="27" t="s">
        <v>15</v>
      </c>
      <c r="F106" s="27" t="s">
        <v>16</v>
      </c>
      <c r="G106" s="27" t="s">
        <v>12</v>
      </c>
      <c r="H106" s="27" t="s">
        <v>13</v>
      </c>
      <c r="I106" s="27" t="s">
        <v>14</v>
      </c>
      <c r="J106" s="27" t="s">
        <v>15</v>
      </c>
      <c r="K106" s="27" t="s">
        <v>16</v>
      </c>
      <c r="L106" s="27" t="s">
        <v>12</v>
      </c>
      <c r="M106" s="27" t="s">
        <v>13</v>
      </c>
      <c r="N106" s="27" t="s">
        <v>14</v>
      </c>
      <c r="O106" s="27" t="s">
        <v>15</v>
      </c>
      <c r="P106" s="27" t="s">
        <v>16</v>
      </c>
      <c r="Q106" s="27" t="s">
        <v>12</v>
      </c>
      <c r="R106" s="27" t="s">
        <v>13</v>
      </c>
      <c r="S106" s="27" t="s">
        <v>14</v>
      </c>
      <c r="T106" s="27" t="s">
        <v>15</v>
      </c>
      <c r="U106" s="27" t="s">
        <v>16</v>
      </c>
      <c r="V106" s="27"/>
      <c r="W106" s="27" t="s">
        <v>17</v>
      </c>
      <c r="X106" s="27" t="s">
        <v>18</v>
      </c>
      <c r="Y106" s="27" t="s">
        <v>19</v>
      </c>
      <c r="Z106" s="27" t="s">
        <v>20</v>
      </c>
      <c r="AA106" s="27" t="s">
        <v>21</v>
      </c>
      <c r="AB106" s="27" t="s">
        <v>17</v>
      </c>
      <c r="AC106" s="27" t="s">
        <v>18</v>
      </c>
      <c r="AD106" s="27" t="s">
        <v>19</v>
      </c>
      <c r="AE106" s="27" t="s">
        <v>20</v>
      </c>
      <c r="AF106" s="27" t="s">
        <v>21</v>
      </c>
      <c r="AG106" s="27" t="s">
        <v>17</v>
      </c>
      <c r="AH106" s="27" t="s">
        <v>18</v>
      </c>
      <c r="AI106" s="27" t="s">
        <v>19</v>
      </c>
      <c r="AJ106" s="27" t="s">
        <v>20</v>
      </c>
      <c r="AK106" s="27" t="s">
        <v>21</v>
      </c>
      <c r="AL106" s="27" t="s">
        <v>17</v>
      </c>
      <c r="AM106" s="27" t="s">
        <v>18</v>
      </c>
      <c r="AN106" s="27" t="s">
        <v>19</v>
      </c>
      <c r="AO106" s="27" t="s">
        <v>20</v>
      </c>
      <c r="AP106" s="27" t="s">
        <v>21</v>
      </c>
    </row>
    <row r="107" spans="1:42" x14ac:dyDescent="0.25">
      <c r="A107" s="20" t="s">
        <v>22</v>
      </c>
      <c r="B107" s="21">
        <v>24</v>
      </c>
      <c r="C107" s="21">
        <v>50</v>
      </c>
      <c r="D107" s="21">
        <v>70</v>
      </c>
      <c r="E107" s="21">
        <v>86</v>
      </c>
      <c r="F107" s="21">
        <v>87</v>
      </c>
      <c r="G107" s="22">
        <v>1.2537809331264596E-4</v>
      </c>
      <c r="H107" s="22">
        <v>2.5683700096570711E-4</v>
      </c>
      <c r="I107" s="22">
        <v>3.6161320818072396E-4</v>
      </c>
      <c r="J107" s="22">
        <v>4.426304601812726E-4</v>
      </c>
      <c r="K107" s="22">
        <v>4.4792025989672093E-4</v>
      </c>
      <c r="L107" s="21">
        <v>24</v>
      </c>
      <c r="M107" s="21">
        <v>49</v>
      </c>
      <c r="N107" s="21">
        <v>67</v>
      </c>
      <c r="O107" s="21">
        <v>84</v>
      </c>
      <c r="P107" s="21">
        <v>82</v>
      </c>
      <c r="Q107" s="22">
        <v>1</v>
      </c>
      <c r="R107" s="22">
        <v>0.98</v>
      </c>
      <c r="S107" s="22">
        <v>0.95714285714285718</v>
      </c>
      <c r="T107" s="22">
        <v>0.97674418604651159</v>
      </c>
      <c r="U107" s="22">
        <v>0.94252873563218387</v>
      </c>
      <c r="V107" s="21"/>
      <c r="W107" s="21">
        <v>0</v>
      </c>
      <c r="X107" s="21">
        <v>0</v>
      </c>
      <c r="Y107" s="21">
        <v>0</v>
      </c>
      <c r="Z107" s="21">
        <v>0</v>
      </c>
      <c r="AA107" s="21">
        <v>50</v>
      </c>
      <c r="AB107" s="22">
        <v>0</v>
      </c>
      <c r="AC107" s="22">
        <v>0</v>
      </c>
      <c r="AD107" s="22">
        <v>0</v>
      </c>
      <c r="AE107" s="22">
        <v>0</v>
      </c>
      <c r="AF107" s="22">
        <v>2.5683700096570711E-4</v>
      </c>
      <c r="AG107" s="21">
        <v>0</v>
      </c>
      <c r="AH107" s="21">
        <v>0</v>
      </c>
      <c r="AI107" s="21">
        <v>0</v>
      </c>
      <c r="AJ107" s="21">
        <v>0</v>
      </c>
      <c r="AK107" s="21">
        <v>49</v>
      </c>
      <c r="AL107" s="22">
        <v>0</v>
      </c>
      <c r="AM107" s="22">
        <v>0</v>
      </c>
      <c r="AN107" s="22">
        <v>0</v>
      </c>
      <c r="AO107" s="22">
        <v>0</v>
      </c>
      <c r="AP107" s="22">
        <v>0.98</v>
      </c>
    </row>
    <row r="108" spans="1:42" x14ac:dyDescent="0.25">
      <c r="A108" s="20" t="s">
        <v>24</v>
      </c>
      <c r="B108" s="21">
        <v>20448</v>
      </c>
      <c r="C108" s="21">
        <v>20192</v>
      </c>
      <c r="D108" s="21">
        <v>20229</v>
      </c>
      <c r="E108" s="21">
        <v>20159</v>
      </c>
      <c r="F108" s="21">
        <v>20441</v>
      </c>
      <c r="G108" s="22">
        <v>0.10682213550237435</v>
      </c>
      <c r="H108" s="22">
        <v>0.10372105446999116</v>
      </c>
      <c r="I108" s="22">
        <v>0.10450105126125521</v>
      </c>
      <c r="J108" s="22">
        <v>0.10375566798597993</v>
      </c>
      <c r="K108" s="22">
        <v>0.10524066704079163</v>
      </c>
      <c r="L108" s="21">
        <v>14137</v>
      </c>
      <c r="M108" s="21">
        <v>14301</v>
      </c>
      <c r="N108" s="21">
        <v>14558</v>
      </c>
      <c r="O108" s="21">
        <v>14561</v>
      </c>
      <c r="P108" s="21">
        <v>14936</v>
      </c>
      <c r="Q108" s="22">
        <v>0.69136345852895154</v>
      </c>
      <c r="R108" s="22">
        <v>0.70825079239302691</v>
      </c>
      <c r="S108" s="22">
        <v>0.71965989421128085</v>
      </c>
      <c r="T108" s="22">
        <v>0.72230765414951137</v>
      </c>
      <c r="U108" s="22">
        <v>0.73068832248911497</v>
      </c>
      <c r="V108" s="21"/>
      <c r="W108" s="21">
        <v>0</v>
      </c>
      <c r="X108" s="21">
        <v>0</v>
      </c>
      <c r="Y108" s="21">
        <v>20491</v>
      </c>
      <c r="Z108" s="21">
        <v>18627</v>
      </c>
      <c r="AA108" s="21">
        <v>20192</v>
      </c>
      <c r="AB108" s="22">
        <v>0</v>
      </c>
      <c r="AC108" s="22">
        <v>0</v>
      </c>
      <c r="AD108" s="22">
        <v>0.10099810237326565</v>
      </c>
      <c r="AE108" s="22">
        <v>9.5121129177220362E-2</v>
      </c>
      <c r="AF108" s="22">
        <v>0.10372105446999116</v>
      </c>
      <c r="AG108" s="21">
        <v>0</v>
      </c>
      <c r="AH108" s="21">
        <v>0</v>
      </c>
      <c r="AI108" s="21">
        <v>12138</v>
      </c>
      <c r="AJ108" s="21">
        <v>11527</v>
      </c>
      <c r="AK108" s="21">
        <v>14301</v>
      </c>
      <c r="AL108" s="22">
        <v>0</v>
      </c>
      <c r="AM108" s="22">
        <v>0</v>
      </c>
      <c r="AN108" s="22">
        <v>0.59235762041872042</v>
      </c>
      <c r="AO108" s="22">
        <v>0.61883287700649592</v>
      </c>
      <c r="AP108" s="22">
        <v>0.70825079239302691</v>
      </c>
    </row>
    <row r="109" spans="1:42" x14ac:dyDescent="0.25">
      <c r="A109" s="20" t="s">
        <v>25</v>
      </c>
      <c r="B109" s="21">
        <v>4004</v>
      </c>
      <c r="C109" s="21">
        <v>6897</v>
      </c>
      <c r="D109" s="21">
        <v>8079</v>
      </c>
      <c r="E109" s="21">
        <v>9105</v>
      </c>
      <c r="F109" s="21">
        <v>9634</v>
      </c>
      <c r="G109" s="22">
        <v>2.0917245234326431E-2</v>
      </c>
      <c r="H109" s="22">
        <v>3.542809591320964E-2</v>
      </c>
      <c r="I109" s="22">
        <v>4.1735330127029555E-2</v>
      </c>
      <c r="J109" s="22">
        <v>4.6862213255238219E-2</v>
      </c>
      <c r="K109" s="22">
        <v>4.9600733147643787E-2</v>
      </c>
      <c r="L109" s="21">
        <v>3995</v>
      </c>
      <c r="M109" s="21">
        <v>6869</v>
      </c>
      <c r="N109" s="21">
        <v>8000</v>
      </c>
      <c r="O109" s="21">
        <v>8977</v>
      </c>
      <c r="P109" s="21">
        <v>9414</v>
      </c>
      <c r="Q109" s="22">
        <v>0.9977522477522478</v>
      </c>
      <c r="R109" s="22">
        <v>0.99594026388284762</v>
      </c>
      <c r="S109" s="22">
        <v>0.99022156207451417</v>
      </c>
      <c r="T109" s="22">
        <v>0.98594179022515105</v>
      </c>
      <c r="U109" s="22">
        <v>0.97716421008926713</v>
      </c>
      <c r="V109" s="21"/>
      <c r="W109" s="21">
        <v>0</v>
      </c>
      <c r="X109" s="21">
        <v>0</v>
      </c>
      <c r="Y109" s="21">
        <v>0</v>
      </c>
      <c r="Z109" s="21">
        <v>0</v>
      </c>
      <c r="AA109" s="21">
        <v>6897</v>
      </c>
      <c r="AB109" s="22">
        <v>0</v>
      </c>
      <c r="AC109" s="22">
        <v>0</v>
      </c>
      <c r="AD109" s="22">
        <v>0</v>
      </c>
      <c r="AE109" s="22">
        <v>0</v>
      </c>
      <c r="AF109" s="22">
        <v>3.542809591320964E-2</v>
      </c>
      <c r="AG109" s="21">
        <v>0</v>
      </c>
      <c r="AH109" s="21">
        <v>0</v>
      </c>
      <c r="AI109" s="21">
        <v>0</v>
      </c>
      <c r="AJ109" s="21">
        <v>0</v>
      </c>
      <c r="AK109" s="21">
        <v>6869</v>
      </c>
      <c r="AL109" s="22">
        <v>0</v>
      </c>
      <c r="AM109" s="22">
        <v>0</v>
      </c>
      <c r="AN109" s="22">
        <v>0</v>
      </c>
      <c r="AO109" s="22">
        <v>0</v>
      </c>
      <c r="AP109" s="22">
        <v>0.99594026388284762</v>
      </c>
    </row>
    <row r="110" spans="1:42" x14ac:dyDescent="0.25">
      <c r="A110" s="20" t="s">
        <v>26</v>
      </c>
      <c r="B110" s="21">
        <v>1427</v>
      </c>
      <c r="C110" s="21">
        <v>1318</v>
      </c>
      <c r="D110" s="21">
        <v>1324</v>
      </c>
      <c r="E110" s="21">
        <v>1283</v>
      </c>
      <c r="F110" s="21">
        <v>1378</v>
      </c>
      <c r="G110" s="22">
        <v>7.4547724648810739E-3</v>
      </c>
      <c r="H110" s="22">
        <v>6.7702233454560402E-3</v>
      </c>
      <c r="I110" s="22">
        <v>6.8396555375896933E-3</v>
      </c>
      <c r="J110" s="22">
        <v>6.6034288420066603E-3</v>
      </c>
      <c r="K110" s="22">
        <v>7.0946450360653036E-3</v>
      </c>
      <c r="L110" s="21">
        <v>1296</v>
      </c>
      <c r="M110" s="21">
        <v>1162</v>
      </c>
      <c r="N110" s="21">
        <v>1187</v>
      </c>
      <c r="O110" s="21">
        <v>1151</v>
      </c>
      <c r="P110" s="21">
        <v>1134</v>
      </c>
      <c r="Q110" s="22">
        <v>0.90819901892081289</v>
      </c>
      <c r="R110" s="22">
        <v>0.88163884673748105</v>
      </c>
      <c r="S110" s="22">
        <v>0.8965256797583081</v>
      </c>
      <c r="T110" s="22">
        <v>0.89711613406079505</v>
      </c>
      <c r="U110" s="22">
        <v>0.82293178519593613</v>
      </c>
      <c r="V110" s="21"/>
      <c r="W110" s="21">
        <v>0</v>
      </c>
      <c r="X110" s="21">
        <v>0</v>
      </c>
      <c r="Y110" s="21">
        <v>1268</v>
      </c>
      <c r="Z110" s="21">
        <v>1551</v>
      </c>
      <c r="AA110" s="21">
        <v>1318</v>
      </c>
      <c r="AB110" s="22">
        <v>0</v>
      </c>
      <c r="AC110" s="22">
        <v>0</v>
      </c>
      <c r="AD110" s="22">
        <v>6.2498459718559772E-3</v>
      </c>
      <c r="AE110" s="22">
        <v>7.920377481820411E-3</v>
      </c>
      <c r="AF110" s="22">
        <v>6.7702233454560402E-3</v>
      </c>
      <c r="AG110" s="21">
        <v>0</v>
      </c>
      <c r="AH110" s="21">
        <v>0</v>
      </c>
      <c r="AI110" s="21">
        <v>1138</v>
      </c>
      <c r="AJ110" s="21">
        <v>1436</v>
      </c>
      <c r="AK110" s="21">
        <v>1162</v>
      </c>
      <c r="AL110" s="22">
        <v>0</v>
      </c>
      <c r="AM110" s="22">
        <v>0</v>
      </c>
      <c r="AN110" s="22">
        <v>0.89747634069400628</v>
      </c>
      <c r="AO110" s="22">
        <v>0.92585428755641519</v>
      </c>
      <c r="AP110" s="22">
        <v>0.88163884673748105</v>
      </c>
    </row>
    <row r="111" spans="1:42" x14ac:dyDescent="0.25">
      <c r="A111" s="20" t="s">
        <v>31</v>
      </c>
      <c r="B111" s="21">
        <v>563</v>
      </c>
      <c r="C111" s="21">
        <v>580</v>
      </c>
      <c r="D111" s="21">
        <v>577</v>
      </c>
      <c r="E111" s="21">
        <v>589</v>
      </c>
      <c r="F111" s="21">
        <v>588</v>
      </c>
      <c r="G111" s="22">
        <v>2.9411611056258196E-3</v>
      </c>
      <c r="H111" s="22">
        <v>2.9793092112022027E-3</v>
      </c>
      <c r="I111" s="22">
        <v>2.9807260160039672E-3</v>
      </c>
      <c r="J111" s="22">
        <v>3.0315039656601114E-3</v>
      </c>
      <c r="K111" s="22">
        <v>3.0273231358537E-3</v>
      </c>
      <c r="L111" s="21">
        <v>438</v>
      </c>
      <c r="M111" s="21">
        <v>441</v>
      </c>
      <c r="N111" s="21">
        <v>444</v>
      </c>
      <c r="O111" s="21">
        <v>458</v>
      </c>
      <c r="P111" s="21">
        <v>467</v>
      </c>
      <c r="Q111" s="22">
        <v>0.77797513321492007</v>
      </c>
      <c r="R111" s="22">
        <v>0.76034482758620692</v>
      </c>
      <c r="S111" s="22">
        <v>0.7694974003466204</v>
      </c>
      <c r="T111" s="22">
        <v>0.77758913412563668</v>
      </c>
      <c r="U111" s="22">
        <v>0.79421768707482998</v>
      </c>
      <c r="V111" s="21"/>
      <c r="W111" s="21">
        <v>0</v>
      </c>
      <c r="X111" s="21">
        <v>0</v>
      </c>
      <c r="Y111" s="21">
        <v>451</v>
      </c>
      <c r="Z111" s="21">
        <v>532</v>
      </c>
      <c r="AA111" s="21">
        <v>580</v>
      </c>
      <c r="AB111" s="22">
        <v>0</v>
      </c>
      <c r="AC111" s="22">
        <v>0</v>
      </c>
      <c r="AD111" s="22">
        <v>2.2229341745323705E-3</v>
      </c>
      <c r="AE111" s="22">
        <v>2.7167252226489094E-3</v>
      </c>
      <c r="AF111" s="22">
        <v>2.9793092112022027E-3</v>
      </c>
      <c r="AG111" s="21">
        <v>0</v>
      </c>
      <c r="AH111" s="21">
        <v>0</v>
      </c>
      <c r="AI111" s="21">
        <v>422</v>
      </c>
      <c r="AJ111" s="21">
        <v>442</v>
      </c>
      <c r="AK111" s="21">
        <v>441</v>
      </c>
      <c r="AL111" s="22">
        <v>0</v>
      </c>
      <c r="AM111" s="22">
        <v>0</v>
      </c>
      <c r="AN111" s="22">
        <v>0.93569844789356982</v>
      </c>
      <c r="AO111" s="22">
        <v>0.83082706766917291</v>
      </c>
      <c r="AP111" s="22">
        <v>0.76034482758620692</v>
      </c>
    </row>
    <row r="112" spans="1:42" x14ac:dyDescent="0.25">
      <c r="A112" s="20" t="s">
        <v>33</v>
      </c>
      <c r="B112" s="21">
        <v>0</v>
      </c>
      <c r="C112" s="21">
        <v>0</v>
      </c>
      <c r="D112" s="21">
        <v>1</v>
      </c>
      <c r="E112" s="21">
        <v>1</v>
      </c>
      <c r="F112" s="21">
        <v>1</v>
      </c>
      <c r="G112" s="22">
        <v>0</v>
      </c>
      <c r="H112" s="22">
        <v>0</v>
      </c>
      <c r="I112" s="22">
        <v>5.1659029740103422E-6</v>
      </c>
      <c r="J112" s="22">
        <v>5.1468658160613094E-6</v>
      </c>
      <c r="K112" s="22">
        <v>5.148508734445068E-6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1"/>
      <c r="W112" s="21">
        <v>0</v>
      </c>
      <c r="X112" s="21">
        <v>0</v>
      </c>
      <c r="Y112" s="21">
        <v>0</v>
      </c>
      <c r="Z112" s="21">
        <v>0</v>
      </c>
      <c r="AA112" s="21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1">
        <v>0</v>
      </c>
      <c r="AH112" s="21">
        <v>0</v>
      </c>
      <c r="AI112" s="21">
        <v>0</v>
      </c>
      <c r="AJ112" s="21">
        <v>0</v>
      </c>
      <c r="AK112" s="21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</row>
    <row r="113" spans="1:42" x14ac:dyDescent="0.25">
      <c r="A113" s="20" t="s">
        <v>34</v>
      </c>
      <c r="B113" s="21">
        <v>23</v>
      </c>
      <c r="C113" s="21">
        <v>34</v>
      </c>
      <c r="D113" s="21">
        <v>44</v>
      </c>
      <c r="E113" s="21">
        <v>51</v>
      </c>
      <c r="F113" s="21">
        <v>55</v>
      </c>
      <c r="G113" s="22">
        <v>1.2015400609128569E-4</v>
      </c>
      <c r="H113" s="22">
        <v>1.7464916065668083E-4</v>
      </c>
      <c r="I113" s="22">
        <v>2.2729973085645506E-4</v>
      </c>
      <c r="J113" s="22">
        <v>2.6249015661912678E-4</v>
      </c>
      <c r="K113" s="22">
        <v>2.8316798039447873E-4</v>
      </c>
      <c r="L113" s="21">
        <v>23</v>
      </c>
      <c r="M113" s="21">
        <v>34</v>
      </c>
      <c r="N113" s="21">
        <v>44</v>
      </c>
      <c r="O113" s="21">
        <v>50</v>
      </c>
      <c r="P113" s="21">
        <v>55</v>
      </c>
      <c r="Q113" s="22">
        <v>1</v>
      </c>
      <c r="R113" s="22">
        <v>1</v>
      </c>
      <c r="S113" s="22">
        <v>1</v>
      </c>
      <c r="T113" s="22">
        <v>0.98039215686274506</v>
      </c>
      <c r="U113" s="22">
        <v>1</v>
      </c>
      <c r="V113" s="21"/>
      <c r="W113" s="21">
        <v>0</v>
      </c>
      <c r="X113" s="21">
        <v>0</v>
      </c>
      <c r="Y113" s="21">
        <v>0</v>
      </c>
      <c r="Z113" s="21">
        <v>7</v>
      </c>
      <c r="AA113" s="21">
        <v>34</v>
      </c>
      <c r="AB113" s="22">
        <v>0</v>
      </c>
      <c r="AC113" s="22">
        <v>0</v>
      </c>
      <c r="AD113" s="22">
        <v>0</v>
      </c>
      <c r="AE113" s="22">
        <v>3.5746384508538277E-5</v>
      </c>
      <c r="AF113" s="22">
        <v>1.7464916065668083E-4</v>
      </c>
      <c r="AG113" s="21">
        <v>0</v>
      </c>
      <c r="AH113" s="21">
        <v>0</v>
      </c>
      <c r="AI113" s="21">
        <v>0</v>
      </c>
      <c r="AJ113" s="21">
        <v>7</v>
      </c>
      <c r="AK113" s="21">
        <v>34</v>
      </c>
      <c r="AL113" s="22">
        <v>0</v>
      </c>
      <c r="AM113" s="22">
        <v>0</v>
      </c>
      <c r="AN113" s="22">
        <v>0</v>
      </c>
      <c r="AO113" s="22">
        <v>1</v>
      </c>
      <c r="AP113" s="22">
        <v>1</v>
      </c>
    </row>
    <row r="114" spans="1:42" x14ac:dyDescent="0.25">
      <c r="A114" s="20" t="s">
        <v>35</v>
      </c>
      <c r="B114" s="21">
        <v>10109</v>
      </c>
      <c r="C114" s="21">
        <v>10099</v>
      </c>
      <c r="D114" s="21">
        <v>9238</v>
      </c>
      <c r="E114" s="21">
        <v>9086</v>
      </c>
      <c r="F114" s="21">
        <v>8081</v>
      </c>
      <c r="G114" s="22">
        <v>5.2810297720730745E-2</v>
      </c>
      <c r="H114" s="22">
        <v>5.1875937455053527E-2</v>
      </c>
      <c r="I114" s="22">
        <v>4.7722611673907539E-2</v>
      </c>
      <c r="J114" s="22">
        <v>4.6764422804733058E-2</v>
      </c>
      <c r="K114" s="22">
        <v>4.1605099083050594E-2</v>
      </c>
      <c r="L114" s="21">
        <v>9161</v>
      </c>
      <c r="M114" s="21">
        <v>9172</v>
      </c>
      <c r="N114" s="21">
        <v>8365</v>
      </c>
      <c r="O114" s="21">
        <v>8245</v>
      </c>
      <c r="P114" s="21">
        <v>7514</v>
      </c>
      <c r="Q114" s="22">
        <v>0.90622217825699869</v>
      </c>
      <c r="R114" s="22">
        <v>0.90820873353797404</v>
      </c>
      <c r="S114" s="22">
        <v>0.90549902576315222</v>
      </c>
      <c r="T114" s="22">
        <v>0.9074400176095091</v>
      </c>
      <c r="U114" s="22">
        <v>0.92983541640886025</v>
      </c>
      <c r="V114" s="21"/>
      <c r="W114" s="21">
        <v>0</v>
      </c>
      <c r="X114" s="21">
        <v>0</v>
      </c>
      <c r="Y114" s="21">
        <v>9320</v>
      </c>
      <c r="Z114" s="21">
        <v>9408</v>
      </c>
      <c r="AA114" s="21">
        <v>10099</v>
      </c>
      <c r="AB114" s="22">
        <v>0</v>
      </c>
      <c r="AC114" s="22">
        <v>0</v>
      </c>
      <c r="AD114" s="22">
        <v>4.5937353673263182E-2</v>
      </c>
      <c r="AE114" s="22">
        <v>4.8043140779475448E-2</v>
      </c>
      <c r="AF114" s="22">
        <v>5.1875937455053527E-2</v>
      </c>
      <c r="AG114" s="21">
        <v>0</v>
      </c>
      <c r="AH114" s="21">
        <v>0</v>
      </c>
      <c r="AI114" s="21">
        <v>8718</v>
      </c>
      <c r="AJ114" s="21">
        <v>8900</v>
      </c>
      <c r="AK114" s="21">
        <v>9172</v>
      </c>
      <c r="AL114" s="22">
        <v>0</v>
      </c>
      <c r="AM114" s="22">
        <v>0</v>
      </c>
      <c r="AN114" s="22">
        <v>0.93540772532188843</v>
      </c>
      <c r="AO114" s="22">
        <v>0.94600340136054417</v>
      </c>
      <c r="AP114" s="22">
        <v>0.90820873353797404</v>
      </c>
    </row>
    <row r="115" spans="1:42" x14ac:dyDescent="0.25">
      <c r="A115" s="20" t="s">
        <v>37</v>
      </c>
      <c r="B115" s="21">
        <v>86456</v>
      </c>
      <c r="C115" s="21">
        <v>88873</v>
      </c>
      <c r="D115" s="21">
        <v>88214</v>
      </c>
      <c r="E115" s="21">
        <v>88544</v>
      </c>
      <c r="F115" s="21">
        <v>88010</v>
      </c>
      <c r="G115" s="22">
        <v>0.45165368480992157</v>
      </c>
      <c r="H115" s="22">
        <v>0.4565174957365058</v>
      </c>
      <c r="I115" s="22">
        <v>0.45570496494934831</v>
      </c>
      <c r="J115" s="22">
        <v>0.45572408681733256</v>
      </c>
      <c r="K115" s="22">
        <v>0.45312025371851045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1"/>
      <c r="W115" s="21">
        <v>0</v>
      </c>
      <c r="X115" s="21">
        <v>0</v>
      </c>
      <c r="Y115" s="21">
        <v>91580</v>
      </c>
      <c r="Z115" s="21">
        <v>89960</v>
      </c>
      <c r="AA115" s="21">
        <v>88873</v>
      </c>
      <c r="AB115" s="22">
        <v>0</v>
      </c>
      <c r="AC115" s="22">
        <v>0</v>
      </c>
      <c r="AD115" s="22">
        <v>0.45138871774650663</v>
      </c>
      <c r="AE115" s="22">
        <v>0.45939210719830054</v>
      </c>
      <c r="AF115" s="22">
        <v>0.4565174957365058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</row>
    <row r="116" spans="1:42" x14ac:dyDescent="0.25">
      <c r="A116" s="20" t="s">
        <v>85</v>
      </c>
      <c r="B116" s="21">
        <v>218</v>
      </c>
      <c r="C116" s="21">
        <v>245</v>
      </c>
      <c r="D116" s="21">
        <v>42</v>
      </c>
      <c r="E116" s="21">
        <v>46</v>
      </c>
      <c r="F116" s="21">
        <v>58</v>
      </c>
      <c r="G116" s="22">
        <v>1.1388510142565341E-3</v>
      </c>
      <c r="H116" s="22">
        <v>1.2585013047319649E-3</v>
      </c>
      <c r="I116" s="22">
        <v>2.1696792490843436E-4</v>
      </c>
      <c r="J116" s="22">
        <v>2.3675582753882024E-4</v>
      </c>
      <c r="K116" s="22">
        <v>2.9861350659781392E-4</v>
      </c>
      <c r="L116" s="21">
        <v>215</v>
      </c>
      <c r="M116" s="21">
        <v>244</v>
      </c>
      <c r="N116" s="21">
        <v>40</v>
      </c>
      <c r="O116" s="21">
        <v>42</v>
      </c>
      <c r="P116" s="21">
        <v>47</v>
      </c>
      <c r="Q116" s="22">
        <v>0.98623853211009171</v>
      </c>
      <c r="R116" s="22">
        <v>0.99591836734693873</v>
      </c>
      <c r="S116" s="22">
        <v>0.95238095238095233</v>
      </c>
      <c r="T116" s="22">
        <v>0.91304347826086951</v>
      </c>
      <c r="U116" s="22">
        <v>0.81034482758620685</v>
      </c>
      <c r="V116" s="21"/>
      <c r="W116" s="21">
        <v>0</v>
      </c>
      <c r="X116" s="21">
        <v>0</v>
      </c>
      <c r="Y116" s="21">
        <v>34</v>
      </c>
      <c r="Z116" s="21">
        <v>158</v>
      </c>
      <c r="AA116" s="21">
        <v>245</v>
      </c>
      <c r="AB116" s="22">
        <v>0</v>
      </c>
      <c r="AC116" s="22">
        <v>0</v>
      </c>
      <c r="AD116" s="22">
        <v>1.6758262069645365E-4</v>
      </c>
      <c r="AE116" s="22">
        <v>8.0684696462129263E-4</v>
      </c>
      <c r="AF116" s="22">
        <v>1.2585013047319649E-3</v>
      </c>
      <c r="AG116" s="21">
        <v>0</v>
      </c>
      <c r="AH116" s="21">
        <v>0</v>
      </c>
      <c r="AI116" s="21">
        <v>34</v>
      </c>
      <c r="AJ116" s="21">
        <v>157</v>
      </c>
      <c r="AK116" s="21">
        <v>244</v>
      </c>
      <c r="AL116" s="22">
        <v>0</v>
      </c>
      <c r="AM116" s="22">
        <v>0</v>
      </c>
      <c r="AN116" s="22">
        <v>1</v>
      </c>
      <c r="AO116" s="22">
        <v>0.99367088607594933</v>
      </c>
      <c r="AP116" s="22">
        <v>0.99591836734693873</v>
      </c>
    </row>
    <row r="117" spans="1:42" x14ac:dyDescent="0.25">
      <c r="A117" s="20" t="s">
        <v>39</v>
      </c>
      <c r="B117" s="21">
        <v>0</v>
      </c>
      <c r="C117" s="21">
        <v>3</v>
      </c>
      <c r="D117" s="21">
        <v>0</v>
      </c>
      <c r="E117" s="21">
        <v>408</v>
      </c>
      <c r="F117" s="21">
        <v>485</v>
      </c>
      <c r="G117" s="22">
        <v>0</v>
      </c>
      <c r="H117" s="22">
        <v>1.5410220057942429E-5</v>
      </c>
      <c r="I117" s="22">
        <v>0</v>
      </c>
      <c r="J117" s="22">
        <v>2.0999212529530143E-3</v>
      </c>
      <c r="K117" s="22">
        <v>2.4970267362058578E-3</v>
      </c>
      <c r="L117" s="21">
        <v>0</v>
      </c>
      <c r="M117" s="21">
        <v>3</v>
      </c>
      <c r="N117" s="21">
        <v>0</v>
      </c>
      <c r="O117" s="21">
        <v>408</v>
      </c>
      <c r="P117" s="21">
        <v>385</v>
      </c>
      <c r="Q117" s="22">
        <v>0</v>
      </c>
      <c r="R117" s="22">
        <v>1</v>
      </c>
      <c r="S117" s="22">
        <v>0</v>
      </c>
      <c r="T117" s="22">
        <v>1</v>
      </c>
      <c r="U117" s="22">
        <v>0.79381443298969068</v>
      </c>
      <c r="V117" s="21"/>
      <c r="W117" s="21">
        <v>0</v>
      </c>
      <c r="X117" s="21">
        <v>0</v>
      </c>
      <c r="Y117" s="21">
        <v>0</v>
      </c>
      <c r="Z117" s="21">
        <v>0</v>
      </c>
      <c r="AA117" s="21">
        <v>3</v>
      </c>
      <c r="AB117" s="22">
        <v>0</v>
      </c>
      <c r="AC117" s="22">
        <v>0</v>
      </c>
      <c r="AD117" s="22">
        <v>0</v>
      </c>
      <c r="AE117" s="22">
        <v>0</v>
      </c>
      <c r="AF117" s="22">
        <v>1.5410220057942429E-5</v>
      </c>
      <c r="AG117" s="21">
        <v>0</v>
      </c>
      <c r="AH117" s="21">
        <v>0</v>
      </c>
      <c r="AI117" s="21">
        <v>0</v>
      </c>
      <c r="AJ117" s="21">
        <v>0</v>
      </c>
      <c r="AK117" s="21">
        <v>3</v>
      </c>
      <c r="AL117" s="22">
        <v>0</v>
      </c>
      <c r="AM117" s="22">
        <v>0</v>
      </c>
      <c r="AN117" s="22">
        <v>0</v>
      </c>
      <c r="AO117" s="22">
        <v>0</v>
      </c>
      <c r="AP117" s="22">
        <v>1</v>
      </c>
    </row>
    <row r="118" spans="1:42" x14ac:dyDescent="0.25">
      <c r="A118" s="20" t="s">
        <v>40</v>
      </c>
      <c r="B118" s="21">
        <v>0</v>
      </c>
      <c r="C118" s="21">
        <v>0</v>
      </c>
      <c r="D118" s="21">
        <v>0</v>
      </c>
      <c r="E118" s="21">
        <v>0</v>
      </c>
      <c r="F118" s="21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1"/>
      <c r="W118" s="21">
        <v>1</v>
      </c>
      <c r="X118" s="21">
        <v>0</v>
      </c>
      <c r="Y118" s="21">
        <v>0</v>
      </c>
      <c r="Z118" s="21">
        <v>0</v>
      </c>
      <c r="AA118" s="21">
        <v>0</v>
      </c>
      <c r="AB118" s="22">
        <v>1</v>
      </c>
      <c r="AC118" s="22">
        <v>0</v>
      </c>
      <c r="AD118" s="22">
        <v>0</v>
      </c>
      <c r="AE118" s="22">
        <v>0</v>
      </c>
      <c r="AF118" s="22">
        <v>0</v>
      </c>
      <c r="AG118" s="21">
        <v>1</v>
      </c>
      <c r="AH118" s="21">
        <v>0</v>
      </c>
      <c r="AI118" s="21">
        <v>0</v>
      </c>
      <c r="AJ118" s="21">
        <v>0</v>
      </c>
      <c r="AK118" s="21">
        <v>0</v>
      </c>
      <c r="AL118" s="22">
        <v>1</v>
      </c>
      <c r="AM118" s="22">
        <v>0</v>
      </c>
      <c r="AN118" s="22">
        <v>0</v>
      </c>
      <c r="AO118" s="22">
        <v>0</v>
      </c>
      <c r="AP118" s="22">
        <v>0</v>
      </c>
    </row>
    <row r="119" spans="1:42" x14ac:dyDescent="0.25">
      <c r="A119" s="20" t="s">
        <v>41</v>
      </c>
      <c r="B119" s="21">
        <v>147</v>
      </c>
      <c r="C119" s="21">
        <v>145</v>
      </c>
      <c r="D119" s="21">
        <v>151</v>
      </c>
      <c r="E119" s="21">
        <v>193</v>
      </c>
      <c r="F119" s="21">
        <v>678</v>
      </c>
      <c r="G119" s="22">
        <v>7.6794082153995645E-4</v>
      </c>
      <c r="H119" s="22">
        <v>7.4482730280055068E-4</v>
      </c>
      <c r="I119" s="22">
        <v>7.8005134907556167E-4</v>
      </c>
      <c r="J119" s="22">
        <v>9.933451024998327E-4</v>
      </c>
      <c r="K119" s="22">
        <v>3.490688921953756E-3</v>
      </c>
      <c r="L119" s="21">
        <v>147</v>
      </c>
      <c r="M119" s="21">
        <v>145</v>
      </c>
      <c r="N119" s="21">
        <v>151</v>
      </c>
      <c r="O119" s="21">
        <v>193</v>
      </c>
      <c r="P119" s="21">
        <v>678</v>
      </c>
      <c r="Q119" s="22">
        <v>1</v>
      </c>
      <c r="R119" s="22">
        <v>1</v>
      </c>
      <c r="S119" s="22">
        <v>1</v>
      </c>
      <c r="T119" s="22">
        <v>1</v>
      </c>
      <c r="U119" s="22">
        <v>1</v>
      </c>
      <c r="V119" s="21"/>
      <c r="W119" s="21">
        <v>0</v>
      </c>
      <c r="X119" s="21">
        <v>0</v>
      </c>
      <c r="Y119" s="21">
        <v>114</v>
      </c>
      <c r="Z119" s="21">
        <v>114</v>
      </c>
      <c r="AA119" s="21">
        <v>145</v>
      </c>
      <c r="AB119" s="22">
        <v>0</v>
      </c>
      <c r="AC119" s="22">
        <v>0</v>
      </c>
      <c r="AD119" s="22">
        <v>5.6189466939399169E-4</v>
      </c>
      <c r="AE119" s="22">
        <v>5.821554048533377E-4</v>
      </c>
      <c r="AF119" s="22">
        <v>7.4482730280055068E-4</v>
      </c>
      <c r="AG119" s="21">
        <v>0</v>
      </c>
      <c r="AH119" s="21">
        <v>0</v>
      </c>
      <c r="AI119" s="21">
        <v>114</v>
      </c>
      <c r="AJ119" s="21">
        <v>114</v>
      </c>
      <c r="AK119" s="21">
        <v>145</v>
      </c>
      <c r="AL119" s="22">
        <v>0</v>
      </c>
      <c r="AM119" s="22">
        <v>0</v>
      </c>
      <c r="AN119" s="22">
        <v>1</v>
      </c>
      <c r="AO119" s="22">
        <v>1</v>
      </c>
      <c r="AP119" s="22">
        <v>1</v>
      </c>
    </row>
    <row r="120" spans="1:42" x14ac:dyDescent="0.25">
      <c r="A120" s="20" t="s">
        <v>42</v>
      </c>
      <c r="B120" s="21">
        <v>1551</v>
      </c>
      <c r="C120" s="21">
        <v>1458</v>
      </c>
      <c r="D120" s="21">
        <v>1349</v>
      </c>
      <c r="E120" s="21">
        <v>1199</v>
      </c>
      <c r="F120" s="21">
        <v>532</v>
      </c>
      <c r="G120" s="22">
        <v>8.1025592803297443E-3</v>
      </c>
      <c r="H120" s="22">
        <v>7.48936694816002E-3</v>
      </c>
      <c r="I120" s="22">
        <v>6.9688031119399512E-3</v>
      </c>
      <c r="J120" s="22">
        <v>6.1710921134575103E-3</v>
      </c>
      <c r="K120" s="22">
        <v>2.7390066467247762E-3</v>
      </c>
      <c r="L120" s="21">
        <v>1488</v>
      </c>
      <c r="M120" s="21">
        <v>1374</v>
      </c>
      <c r="N120" s="21">
        <v>1282</v>
      </c>
      <c r="O120" s="21">
        <v>1169</v>
      </c>
      <c r="P120" s="21">
        <v>497</v>
      </c>
      <c r="Q120" s="22">
        <v>0.95938104448742745</v>
      </c>
      <c r="R120" s="22">
        <v>0.9423868312757202</v>
      </c>
      <c r="S120" s="22">
        <v>0.95033358042994809</v>
      </c>
      <c r="T120" s="22">
        <v>0.97497914929107588</v>
      </c>
      <c r="U120" s="22">
        <v>0.93421052631578949</v>
      </c>
      <c r="V120" s="21"/>
      <c r="W120" s="21">
        <v>0</v>
      </c>
      <c r="X120" s="21">
        <v>0</v>
      </c>
      <c r="Y120" s="21">
        <v>1483</v>
      </c>
      <c r="Z120" s="21">
        <v>2197</v>
      </c>
      <c r="AA120" s="21">
        <v>1458</v>
      </c>
      <c r="AB120" s="22">
        <v>0</v>
      </c>
      <c r="AC120" s="22">
        <v>0</v>
      </c>
      <c r="AD120" s="22">
        <v>7.3095596027306113E-3</v>
      </c>
      <c r="AE120" s="22">
        <v>1.1219258109322658E-2</v>
      </c>
      <c r="AF120" s="22">
        <v>7.48936694816002E-3</v>
      </c>
      <c r="AG120" s="21">
        <v>0</v>
      </c>
      <c r="AH120" s="21">
        <v>0</v>
      </c>
      <c r="AI120" s="21">
        <v>1397</v>
      </c>
      <c r="AJ120" s="21">
        <v>2128</v>
      </c>
      <c r="AK120" s="21">
        <v>1374</v>
      </c>
      <c r="AL120" s="22">
        <v>0</v>
      </c>
      <c r="AM120" s="22">
        <v>0</v>
      </c>
      <c r="AN120" s="22">
        <v>0.94200944032366829</v>
      </c>
      <c r="AO120" s="22">
        <v>0.96859353664087389</v>
      </c>
      <c r="AP120" s="22">
        <v>0.9423868312757202</v>
      </c>
    </row>
    <row r="121" spans="1:42" x14ac:dyDescent="0.25">
      <c r="A121" s="20" t="s">
        <v>43</v>
      </c>
      <c r="B121" s="21">
        <v>298</v>
      </c>
      <c r="C121" s="21">
        <v>298</v>
      </c>
      <c r="D121" s="21">
        <v>298</v>
      </c>
      <c r="E121" s="21">
        <v>298</v>
      </c>
      <c r="F121" s="21">
        <v>298</v>
      </c>
      <c r="G121" s="22">
        <v>1.5567779919653539E-3</v>
      </c>
      <c r="H121" s="22">
        <v>1.5307485257556144E-3</v>
      </c>
      <c r="I121" s="22">
        <v>1.5394390862550819E-3</v>
      </c>
      <c r="J121" s="22">
        <v>1.5337660131862702E-3</v>
      </c>
      <c r="K121" s="22">
        <v>1.5342556028646302E-3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1"/>
      <c r="W121" s="21">
        <v>0</v>
      </c>
      <c r="X121" s="21">
        <v>0</v>
      </c>
      <c r="Y121" s="21">
        <v>298</v>
      </c>
      <c r="Z121" s="21">
        <v>298</v>
      </c>
      <c r="AA121" s="21">
        <v>298</v>
      </c>
      <c r="AB121" s="22">
        <v>0</v>
      </c>
      <c r="AC121" s="22">
        <v>0</v>
      </c>
      <c r="AD121" s="22">
        <v>1.468812381398329E-3</v>
      </c>
      <c r="AE121" s="22">
        <v>1.5217746547920581E-3</v>
      </c>
      <c r="AF121" s="22">
        <v>1.5307485257556144E-3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</row>
    <row r="122" spans="1:42" x14ac:dyDescent="0.25">
      <c r="A122" s="20" t="s">
        <v>45</v>
      </c>
      <c r="B122" s="21">
        <v>26</v>
      </c>
      <c r="C122" s="21">
        <v>25</v>
      </c>
      <c r="D122" s="21">
        <v>24</v>
      </c>
      <c r="E122" s="21">
        <v>18</v>
      </c>
      <c r="F122" s="21">
        <v>18</v>
      </c>
      <c r="G122" s="22">
        <v>1.3582626775536643E-4</v>
      </c>
      <c r="H122" s="22">
        <v>1.2841850048285355E-4</v>
      </c>
      <c r="I122" s="22">
        <v>1.2398167137624822E-4</v>
      </c>
      <c r="J122" s="22">
        <v>9.2643584689103571E-5</v>
      </c>
      <c r="K122" s="22">
        <v>9.2673157220011219E-5</v>
      </c>
      <c r="L122" s="21">
        <v>23</v>
      </c>
      <c r="M122" s="21">
        <v>22</v>
      </c>
      <c r="N122" s="21">
        <v>3</v>
      </c>
      <c r="O122" s="21">
        <v>0</v>
      </c>
      <c r="P122" s="21">
        <v>0</v>
      </c>
      <c r="Q122" s="22">
        <v>0.88461538461538458</v>
      </c>
      <c r="R122" s="22">
        <v>0.88</v>
      </c>
      <c r="S122" s="22">
        <v>0.125</v>
      </c>
      <c r="T122" s="22">
        <v>0</v>
      </c>
      <c r="U122" s="22">
        <v>0</v>
      </c>
      <c r="V122" s="21"/>
      <c r="W122" s="21">
        <v>0</v>
      </c>
      <c r="X122" s="21">
        <v>0</v>
      </c>
      <c r="Y122" s="21">
        <v>6</v>
      </c>
      <c r="Z122" s="21">
        <v>9</v>
      </c>
      <c r="AA122" s="21">
        <v>25</v>
      </c>
      <c r="AB122" s="22">
        <v>0</v>
      </c>
      <c r="AC122" s="22">
        <v>0</v>
      </c>
      <c r="AD122" s="22">
        <v>2.9573403652315352E-5</v>
      </c>
      <c r="AE122" s="22">
        <v>4.59596372252635E-5</v>
      </c>
      <c r="AF122" s="22">
        <v>1.2841850048285355E-4</v>
      </c>
      <c r="AG122" s="21">
        <v>0</v>
      </c>
      <c r="AH122" s="21">
        <v>0</v>
      </c>
      <c r="AI122" s="21">
        <v>6</v>
      </c>
      <c r="AJ122" s="21">
        <v>9</v>
      </c>
      <c r="AK122" s="21">
        <v>22</v>
      </c>
      <c r="AL122" s="22">
        <v>0</v>
      </c>
      <c r="AM122" s="22">
        <v>0</v>
      </c>
      <c r="AN122" s="22">
        <v>1</v>
      </c>
      <c r="AO122" s="22">
        <v>1</v>
      </c>
      <c r="AP122" s="22">
        <v>0.88</v>
      </c>
    </row>
    <row r="123" spans="1:42" x14ac:dyDescent="0.25">
      <c r="A123" s="20" t="s">
        <v>46</v>
      </c>
      <c r="B123" s="21">
        <v>68</v>
      </c>
      <c r="C123" s="21">
        <v>103</v>
      </c>
      <c r="D123" s="21">
        <v>439</v>
      </c>
      <c r="E123" s="21">
        <v>539</v>
      </c>
      <c r="F123" s="21">
        <v>698</v>
      </c>
      <c r="G123" s="22">
        <v>3.5523793105249687E-4</v>
      </c>
      <c r="H123" s="22">
        <v>5.2908422198935667E-4</v>
      </c>
      <c r="I123" s="22">
        <v>2.26783140559054E-3</v>
      </c>
      <c r="J123" s="22">
        <v>2.7741606748570456E-3</v>
      </c>
      <c r="K123" s="22">
        <v>3.5936590966426573E-3</v>
      </c>
      <c r="L123" s="21">
        <v>68</v>
      </c>
      <c r="M123" s="21">
        <v>102</v>
      </c>
      <c r="N123" s="21">
        <v>436</v>
      </c>
      <c r="O123" s="21">
        <v>531</v>
      </c>
      <c r="P123" s="21">
        <v>682</v>
      </c>
      <c r="Q123" s="22">
        <v>1</v>
      </c>
      <c r="R123" s="22">
        <v>0.99029126213592233</v>
      </c>
      <c r="S123" s="22">
        <v>0.99316628701594534</v>
      </c>
      <c r="T123" s="22">
        <v>0.98515769944341369</v>
      </c>
      <c r="U123" s="22">
        <v>0.97707736389684818</v>
      </c>
      <c r="V123" s="21"/>
      <c r="W123" s="21">
        <v>0</v>
      </c>
      <c r="X123" s="21">
        <v>0</v>
      </c>
      <c r="Y123" s="21">
        <v>22</v>
      </c>
      <c r="Z123" s="21">
        <v>31</v>
      </c>
      <c r="AA123" s="21">
        <v>103</v>
      </c>
      <c r="AB123" s="22">
        <v>0</v>
      </c>
      <c r="AC123" s="22">
        <v>0</v>
      </c>
      <c r="AD123" s="22">
        <v>1.0843581339182296E-4</v>
      </c>
      <c r="AE123" s="22">
        <v>1.5830541710924094E-4</v>
      </c>
      <c r="AF123" s="22">
        <v>5.2908422198935667E-4</v>
      </c>
      <c r="AG123" s="21">
        <v>0</v>
      </c>
      <c r="AH123" s="21">
        <v>0</v>
      </c>
      <c r="AI123" s="21">
        <v>22</v>
      </c>
      <c r="AJ123" s="21">
        <v>31</v>
      </c>
      <c r="AK123" s="21">
        <v>102</v>
      </c>
      <c r="AL123" s="22">
        <v>0</v>
      </c>
      <c r="AM123" s="22">
        <v>0</v>
      </c>
      <c r="AN123" s="22">
        <v>1</v>
      </c>
      <c r="AO123" s="22">
        <v>1</v>
      </c>
      <c r="AP123" s="22">
        <v>0.99029126213592233</v>
      </c>
    </row>
    <row r="124" spans="1:42" x14ac:dyDescent="0.25">
      <c r="A124" s="20" t="s">
        <v>47</v>
      </c>
      <c r="B124" s="21">
        <v>16</v>
      </c>
      <c r="C124" s="21">
        <v>49</v>
      </c>
      <c r="D124" s="21">
        <v>61</v>
      </c>
      <c r="E124" s="21">
        <v>78</v>
      </c>
      <c r="F124" s="21">
        <v>70</v>
      </c>
      <c r="G124" s="22">
        <v>8.3585395541763968E-5</v>
      </c>
      <c r="H124" s="22">
        <v>2.5170026094639296E-4</v>
      </c>
      <c r="I124" s="22">
        <v>3.1512008141463085E-4</v>
      </c>
      <c r="J124" s="22">
        <v>4.0145553365278212E-4</v>
      </c>
      <c r="K124" s="22">
        <v>3.6039561141115479E-4</v>
      </c>
      <c r="L124" s="21">
        <v>5</v>
      </c>
      <c r="M124" s="21">
        <v>41</v>
      </c>
      <c r="N124" s="21">
        <v>55</v>
      </c>
      <c r="O124" s="21">
        <v>73</v>
      </c>
      <c r="P124" s="21">
        <v>65</v>
      </c>
      <c r="Q124" s="22">
        <v>0.3125</v>
      </c>
      <c r="R124" s="22">
        <v>0.83673469387755106</v>
      </c>
      <c r="S124" s="22">
        <v>0.90163934426229508</v>
      </c>
      <c r="T124" s="22">
        <v>0.9358974358974359</v>
      </c>
      <c r="U124" s="22">
        <v>0.9285714285714286</v>
      </c>
      <c r="V124" s="21"/>
      <c r="W124" s="21">
        <v>0</v>
      </c>
      <c r="X124" s="21">
        <v>0</v>
      </c>
      <c r="Y124" s="21">
        <v>0</v>
      </c>
      <c r="Z124" s="21">
        <v>41</v>
      </c>
      <c r="AA124" s="21">
        <v>49</v>
      </c>
      <c r="AB124" s="22">
        <v>0</v>
      </c>
      <c r="AC124" s="22">
        <v>0</v>
      </c>
      <c r="AD124" s="22">
        <v>0</v>
      </c>
      <c r="AE124" s="22">
        <v>2.0937168069286706E-4</v>
      </c>
      <c r="AF124" s="22">
        <v>2.5170026094639296E-4</v>
      </c>
      <c r="AG124" s="21">
        <v>0</v>
      </c>
      <c r="AH124" s="21">
        <v>0</v>
      </c>
      <c r="AI124" s="21">
        <v>0</v>
      </c>
      <c r="AJ124" s="21">
        <v>41</v>
      </c>
      <c r="AK124" s="21">
        <v>41</v>
      </c>
      <c r="AL124" s="22">
        <v>0</v>
      </c>
      <c r="AM124" s="22">
        <v>0</v>
      </c>
      <c r="AN124" s="22">
        <v>0</v>
      </c>
      <c r="AO124" s="22">
        <v>1</v>
      </c>
      <c r="AP124" s="22">
        <v>0.83673469387755106</v>
      </c>
    </row>
    <row r="125" spans="1:42" x14ac:dyDescent="0.25">
      <c r="A125" s="20" t="s">
        <v>48</v>
      </c>
      <c r="B125" s="21">
        <v>53812</v>
      </c>
      <c r="C125" s="21">
        <v>52399</v>
      </c>
      <c r="D125" s="21">
        <v>52111</v>
      </c>
      <c r="E125" s="21">
        <v>51481</v>
      </c>
      <c r="F125" s="21">
        <v>43117</v>
      </c>
      <c r="G125" s="22">
        <v>0.28111858155583763</v>
      </c>
      <c r="H125" s="22">
        <v>0.26916004027204177</v>
      </c>
      <c r="I125" s="22">
        <v>0.26920036987865292</v>
      </c>
      <c r="J125" s="22">
        <v>0.2649657990766523</v>
      </c>
      <c r="K125" s="22">
        <v>0.221988251103068</v>
      </c>
      <c r="L125" s="21">
        <v>34093</v>
      </c>
      <c r="M125" s="21">
        <v>33839</v>
      </c>
      <c r="N125" s="21">
        <v>34207</v>
      </c>
      <c r="O125" s="21">
        <v>34070</v>
      </c>
      <c r="P125" s="21">
        <v>31572</v>
      </c>
      <c r="Q125" s="22">
        <v>0.63355757080205155</v>
      </c>
      <c r="R125" s="22">
        <v>0.6457947670757076</v>
      </c>
      <c r="S125" s="22">
        <v>0.65642570666461975</v>
      </c>
      <c r="T125" s="22">
        <v>0.66179755638002369</v>
      </c>
      <c r="U125" s="22">
        <v>0.73224018368624899</v>
      </c>
      <c r="V125" s="21"/>
      <c r="W125" s="21">
        <v>0</v>
      </c>
      <c r="X125" s="21">
        <v>0</v>
      </c>
      <c r="Y125" s="21">
        <v>58390</v>
      </c>
      <c r="Z125" s="21">
        <v>58297</v>
      </c>
      <c r="AA125" s="21">
        <v>52399</v>
      </c>
      <c r="AB125" s="22">
        <v>0</v>
      </c>
      <c r="AC125" s="22">
        <v>0</v>
      </c>
      <c r="AD125" s="22">
        <v>0.28779850654311556</v>
      </c>
      <c r="AE125" s="22">
        <v>0.29770099681346518</v>
      </c>
      <c r="AF125" s="22">
        <v>0.26916004027204177</v>
      </c>
      <c r="AG125" s="21">
        <v>0</v>
      </c>
      <c r="AH125" s="21">
        <v>0</v>
      </c>
      <c r="AI125" s="21">
        <v>34382</v>
      </c>
      <c r="AJ125" s="21">
        <v>35988</v>
      </c>
      <c r="AK125" s="21">
        <v>33839</v>
      </c>
      <c r="AL125" s="22">
        <v>0</v>
      </c>
      <c r="AM125" s="22">
        <v>0</v>
      </c>
      <c r="AN125" s="22">
        <v>0.58883370440143856</v>
      </c>
      <c r="AO125" s="22">
        <v>0.61732164605382778</v>
      </c>
      <c r="AP125" s="22">
        <v>0.6457947670757076</v>
      </c>
    </row>
    <row r="126" spans="1:42" x14ac:dyDescent="0.25">
      <c r="A126" s="20" t="s">
        <v>49</v>
      </c>
      <c r="B126" s="21">
        <v>0</v>
      </c>
      <c r="C126" s="21">
        <v>0</v>
      </c>
      <c r="D126" s="21">
        <v>1</v>
      </c>
      <c r="E126" s="21">
        <v>1</v>
      </c>
      <c r="F126" s="21">
        <v>0</v>
      </c>
      <c r="G126" s="22">
        <v>0</v>
      </c>
      <c r="H126" s="22">
        <v>0</v>
      </c>
      <c r="I126" s="22">
        <v>5.1659029740103422E-6</v>
      </c>
      <c r="J126" s="22">
        <v>5.1468658160613094E-6</v>
      </c>
      <c r="K126" s="22">
        <v>0</v>
      </c>
      <c r="L126" s="21">
        <v>0</v>
      </c>
      <c r="M126" s="21">
        <v>0</v>
      </c>
      <c r="N126" s="21">
        <v>1</v>
      </c>
      <c r="O126" s="21">
        <v>0</v>
      </c>
      <c r="P126" s="21">
        <v>0</v>
      </c>
      <c r="Q126" s="22">
        <v>0</v>
      </c>
      <c r="R126" s="22">
        <v>0</v>
      </c>
      <c r="S126" s="22">
        <v>1</v>
      </c>
      <c r="T126" s="22">
        <v>0</v>
      </c>
      <c r="U126" s="22">
        <v>0</v>
      </c>
      <c r="V126" s="21"/>
      <c r="W126" s="21">
        <v>0</v>
      </c>
      <c r="X126" s="21">
        <v>0</v>
      </c>
      <c r="Y126" s="21">
        <v>0</v>
      </c>
      <c r="Z126" s="21">
        <v>1</v>
      </c>
      <c r="AA126" s="21">
        <v>0</v>
      </c>
      <c r="AB126" s="22">
        <v>0</v>
      </c>
      <c r="AC126" s="22">
        <v>0</v>
      </c>
      <c r="AD126" s="22">
        <v>0</v>
      </c>
      <c r="AE126" s="22">
        <v>5.1066263583626111E-6</v>
      </c>
      <c r="AF126" s="22">
        <v>0</v>
      </c>
      <c r="AG126" s="21">
        <v>0</v>
      </c>
      <c r="AH126" s="21">
        <v>0</v>
      </c>
      <c r="AI126" s="21">
        <v>0</v>
      </c>
      <c r="AJ126" s="21">
        <v>1</v>
      </c>
      <c r="AK126" s="21">
        <v>0</v>
      </c>
      <c r="AL126" s="22">
        <v>0</v>
      </c>
      <c r="AM126" s="22">
        <v>0</v>
      </c>
      <c r="AN126" s="22">
        <v>0</v>
      </c>
      <c r="AO126" s="22">
        <v>1</v>
      </c>
      <c r="AP126" s="22">
        <v>0</v>
      </c>
    </row>
    <row r="127" spans="1:42" x14ac:dyDescent="0.25">
      <c r="A127" s="20" t="s">
        <v>139</v>
      </c>
      <c r="B127" s="21">
        <v>7767</v>
      </c>
      <c r="C127" s="21">
        <v>7276</v>
      </c>
      <c r="D127" s="21">
        <v>6557</v>
      </c>
      <c r="E127" s="21">
        <v>6206</v>
      </c>
      <c r="F127" s="21">
        <v>5858</v>
      </c>
      <c r="G127" s="22">
        <v>4.0575485448305047E-2</v>
      </c>
      <c r="H127" s="22">
        <v>3.7374920380529704E-2</v>
      </c>
      <c r="I127" s="22">
        <v>3.3872825800585815E-2</v>
      </c>
      <c r="J127" s="22">
        <v>3.1941449254476485E-2</v>
      </c>
      <c r="K127" s="22">
        <v>3.015996416637921E-2</v>
      </c>
      <c r="L127" s="21">
        <v>6400</v>
      </c>
      <c r="M127" s="21">
        <v>6006</v>
      </c>
      <c r="N127" s="21">
        <v>5363</v>
      </c>
      <c r="O127" s="21">
        <v>5068</v>
      </c>
      <c r="P127" s="21">
        <v>4761</v>
      </c>
      <c r="Q127" s="22">
        <v>0.82399897000128752</v>
      </c>
      <c r="R127" s="22">
        <v>0.82545354590434306</v>
      </c>
      <c r="S127" s="22">
        <v>0.8179045295104469</v>
      </c>
      <c r="T127" s="22">
        <v>0.81662906864324847</v>
      </c>
      <c r="U127" s="22">
        <v>0.81273472174803685</v>
      </c>
      <c r="V127" s="21"/>
      <c r="W127" s="21">
        <v>0</v>
      </c>
      <c r="X127" s="21">
        <v>0</v>
      </c>
      <c r="Y127" s="21">
        <v>11766</v>
      </c>
      <c r="Z127" s="21">
        <v>9127</v>
      </c>
      <c r="AA127" s="21">
        <v>7276</v>
      </c>
      <c r="AB127" s="22">
        <v>0</v>
      </c>
      <c r="AC127" s="22">
        <v>0</v>
      </c>
      <c r="AD127" s="22">
        <v>5.7993444562190404E-2</v>
      </c>
      <c r="AE127" s="22">
        <v>4.6608178772775552E-2</v>
      </c>
      <c r="AF127" s="22">
        <v>3.7374920380529704E-2</v>
      </c>
      <c r="AG127" s="21">
        <v>0</v>
      </c>
      <c r="AH127" s="21">
        <v>0</v>
      </c>
      <c r="AI127" s="21">
        <v>10739</v>
      </c>
      <c r="AJ127" s="21">
        <v>7765</v>
      </c>
      <c r="AK127" s="21">
        <v>6006</v>
      </c>
      <c r="AL127" s="22">
        <v>0</v>
      </c>
      <c r="AM127" s="22">
        <v>0</v>
      </c>
      <c r="AN127" s="22">
        <v>0.91271460139384664</v>
      </c>
      <c r="AO127" s="22">
        <v>0.85077243343924625</v>
      </c>
      <c r="AP127" s="22">
        <v>0.82545354590434306</v>
      </c>
    </row>
    <row r="128" spans="1:42" x14ac:dyDescent="0.25">
      <c r="A128" s="20" t="s">
        <v>52</v>
      </c>
      <c r="B128" s="21">
        <v>0</v>
      </c>
      <c r="C128" s="21">
        <v>0</v>
      </c>
      <c r="D128" s="21">
        <v>0</v>
      </c>
      <c r="E128" s="21">
        <v>2</v>
      </c>
      <c r="F128" s="21">
        <v>2</v>
      </c>
      <c r="G128" s="22">
        <v>0</v>
      </c>
      <c r="H128" s="22">
        <v>0</v>
      </c>
      <c r="I128" s="22">
        <v>0</v>
      </c>
      <c r="J128" s="22">
        <v>1.0293731632122619E-5</v>
      </c>
      <c r="K128" s="22">
        <v>1.0297017468890136E-5</v>
      </c>
      <c r="L128" s="21">
        <v>0</v>
      </c>
      <c r="M128" s="21">
        <v>0</v>
      </c>
      <c r="N128" s="21">
        <v>0</v>
      </c>
      <c r="O128" s="21">
        <v>2</v>
      </c>
      <c r="P128" s="21">
        <v>2</v>
      </c>
      <c r="Q128" s="22">
        <v>0</v>
      </c>
      <c r="R128" s="22">
        <v>0</v>
      </c>
      <c r="S128" s="22">
        <v>0</v>
      </c>
      <c r="T128" s="22">
        <v>1</v>
      </c>
      <c r="U128" s="22">
        <v>1</v>
      </c>
      <c r="V128" s="21"/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</row>
    <row r="129" spans="1:42" x14ac:dyDescent="0.25">
      <c r="A129" s="20" t="s">
        <v>53</v>
      </c>
      <c r="B129" s="21">
        <v>158</v>
      </c>
      <c r="C129" s="21">
        <v>157</v>
      </c>
      <c r="D129" s="21">
        <v>221</v>
      </c>
      <c r="E129" s="21">
        <v>339</v>
      </c>
      <c r="F129" s="21">
        <v>597</v>
      </c>
      <c r="G129" s="22">
        <v>8.2540578097491915E-4</v>
      </c>
      <c r="H129" s="22">
        <v>8.0646818303232038E-4</v>
      </c>
      <c r="I129" s="22">
        <v>1.1416645572562855E-3</v>
      </c>
      <c r="J129" s="22">
        <v>1.7447875116447839E-3</v>
      </c>
      <c r="K129" s="22">
        <v>3.0736597144637055E-3</v>
      </c>
      <c r="L129" s="21">
        <v>158</v>
      </c>
      <c r="M129" s="21">
        <v>157</v>
      </c>
      <c r="N129" s="21">
        <v>221</v>
      </c>
      <c r="O129" s="21">
        <v>339</v>
      </c>
      <c r="P129" s="21">
        <v>595</v>
      </c>
      <c r="Q129" s="22">
        <v>1</v>
      </c>
      <c r="R129" s="22">
        <v>1</v>
      </c>
      <c r="S129" s="22">
        <v>1</v>
      </c>
      <c r="T129" s="22">
        <v>1</v>
      </c>
      <c r="U129" s="22">
        <v>0.99664991624790622</v>
      </c>
      <c r="V129" s="21"/>
      <c r="W129" s="21">
        <v>0</v>
      </c>
      <c r="X129" s="21">
        <v>0</v>
      </c>
      <c r="Y129" s="21">
        <v>0</v>
      </c>
      <c r="Z129" s="21">
        <v>98</v>
      </c>
      <c r="AA129" s="21">
        <v>157</v>
      </c>
      <c r="AB129" s="22">
        <v>0</v>
      </c>
      <c r="AC129" s="22">
        <v>0</v>
      </c>
      <c r="AD129" s="22">
        <v>0</v>
      </c>
      <c r="AE129" s="22">
        <v>5.0044938311953591E-4</v>
      </c>
      <c r="AF129" s="22">
        <v>8.0646818303232038E-4</v>
      </c>
      <c r="AG129" s="21">
        <v>0</v>
      </c>
      <c r="AH129" s="21">
        <v>0</v>
      </c>
      <c r="AI129" s="21">
        <v>0</v>
      </c>
      <c r="AJ129" s="21">
        <v>98</v>
      </c>
      <c r="AK129" s="21">
        <v>157</v>
      </c>
      <c r="AL129" s="22">
        <v>0</v>
      </c>
      <c r="AM129" s="22">
        <v>0</v>
      </c>
      <c r="AN129" s="22">
        <v>0</v>
      </c>
      <c r="AO129" s="22">
        <v>1</v>
      </c>
      <c r="AP129" s="22">
        <v>1</v>
      </c>
    </row>
    <row r="130" spans="1:42" x14ac:dyDescent="0.25">
      <c r="A130" s="20" t="s">
        <v>54</v>
      </c>
      <c r="B130" s="21">
        <v>3119</v>
      </c>
      <c r="C130" s="21">
        <v>3330</v>
      </c>
      <c r="D130" s="21">
        <v>3423</v>
      </c>
      <c r="E130" s="21">
        <v>3427</v>
      </c>
      <c r="F130" s="21">
        <v>3671</v>
      </c>
      <c r="G130" s="22">
        <v>1.6293928043422612E-2</v>
      </c>
      <c r="H130" s="22">
        <v>1.7105344264316095E-2</v>
      </c>
      <c r="I130" s="22">
        <v>1.7682885880037399E-2</v>
      </c>
      <c r="J130" s="22">
        <v>1.7638309151642106E-2</v>
      </c>
      <c r="K130" s="22">
        <v>1.8900175564147845E-2</v>
      </c>
      <c r="L130" s="21">
        <v>1771</v>
      </c>
      <c r="M130" s="21">
        <v>2135</v>
      </c>
      <c r="N130" s="21">
        <v>2312</v>
      </c>
      <c r="O130" s="21">
        <v>2406</v>
      </c>
      <c r="P130" s="21">
        <v>2478</v>
      </c>
      <c r="Q130" s="22">
        <v>0.56781019557550494</v>
      </c>
      <c r="R130" s="22">
        <v>0.64114114114114118</v>
      </c>
      <c r="S130" s="22">
        <v>0.67543090855974297</v>
      </c>
      <c r="T130" s="22">
        <v>0.7020717829004961</v>
      </c>
      <c r="U130" s="22">
        <v>0.6750204304004358</v>
      </c>
      <c r="V130" s="21"/>
      <c r="W130" s="21">
        <v>0</v>
      </c>
      <c r="X130" s="21">
        <v>0</v>
      </c>
      <c r="Y130" s="21">
        <v>7410</v>
      </c>
      <c r="Z130" s="21">
        <v>5097</v>
      </c>
      <c r="AA130" s="21">
        <v>3330</v>
      </c>
      <c r="AB130" s="22">
        <v>0</v>
      </c>
      <c r="AC130" s="22">
        <v>0</v>
      </c>
      <c r="AD130" s="22">
        <v>3.652315351060946E-2</v>
      </c>
      <c r="AE130" s="22">
        <v>2.6028474548574231E-2</v>
      </c>
      <c r="AF130" s="22">
        <v>1.7105344264316095E-2</v>
      </c>
      <c r="AG130" s="21">
        <v>0</v>
      </c>
      <c r="AH130" s="21">
        <v>0</v>
      </c>
      <c r="AI130" s="21">
        <v>4964</v>
      </c>
      <c r="AJ130" s="21">
        <v>1529</v>
      </c>
      <c r="AK130" s="21">
        <v>2135</v>
      </c>
      <c r="AL130" s="22">
        <v>0</v>
      </c>
      <c r="AM130" s="22">
        <v>0</v>
      </c>
      <c r="AN130" s="22">
        <v>0.66990553306342782</v>
      </c>
      <c r="AO130" s="22">
        <v>0.29998038061604865</v>
      </c>
      <c r="AP130" s="22">
        <v>0.64114114114114118</v>
      </c>
    </row>
    <row r="131" spans="1:42" x14ac:dyDescent="0.25">
      <c r="A131" s="20" t="s">
        <v>57</v>
      </c>
      <c r="B131" s="21">
        <v>1103</v>
      </c>
      <c r="C131" s="21">
        <v>1052</v>
      </c>
      <c r="D131" s="21">
        <v>1030</v>
      </c>
      <c r="E131" s="21">
        <v>1017</v>
      </c>
      <c r="F131" s="21">
        <v>1578</v>
      </c>
      <c r="G131" s="22">
        <v>5.7621682051603538E-3</v>
      </c>
      <c r="H131" s="22">
        <v>5.4038505003184776E-3</v>
      </c>
      <c r="I131" s="22">
        <v>5.3208800632306525E-3</v>
      </c>
      <c r="J131" s="22">
        <v>5.2343625349343514E-3</v>
      </c>
      <c r="K131" s="22">
        <v>8.124346782954317E-3</v>
      </c>
      <c r="L131" s="21">
        <v>1072</v>
      </c>
      <c r="M131" s="21">
        <v>1024</v>
      </c>
      <c r="N131" s="21">
        <v>1005</v>
      </c>
      <c r="O131" s="21">
        <v>992</v>
      </c>
      <c r="P131" s="21">
        <v>1555</v>
      </c>
      <c r="Q131" s="22">
        <v>0.97189483227561202</v>
      </c>
      <c r="R131" s="22">
        <v>0.97338403041825095</v>
      </c>
      <c r="S131" s="22">
        <v>0.97572815533980584</v>
      </c>
      <c r="T131" s="22">
        <v>0.9754178957718781</v>
      </c>
      <c r="U131" s="22">
        <v>0.98542458808618505</v>
      </c>
      <c r="V131" s="21"/>
      <c r="W131" s="21">
        <v>0</v>
      </c>
      <c r="X131" s="21">
        <v>0</v>
      </c>
      <c r="Y131" s="21">
        <v>166</v>
      </c>
      <c r="Z131" s="21">
        <v>202</v>
      </c>
      <c r="AA131" s="21">
        <v>1052</v>
      </c>
      <c r="AB131" s="22">
        <v>0</v>
      </c>
      <c r="AC131" s="22">
        <v>0</v>
      </c>
      <c r="AD131" s="22">
        <v>8.181975010473914E-4</v>
      </c>
      <c r="AE131" s="22">
        <v>1.0315385243892475E-3</v>
      </c>
      <c r="AF131" s="22">
        <v>5.4038505003184776E-3</v>
      </c>
      <c r="AG131" s="21">
        <v>0</v>
      </c>
      <c r="AH131" s="21">
        <v>0</v>
      </c>
      <c r="AI131" s="21">
        <v>166</v>
      </c>
      <c r="AJ131" s="21">
        <v>202</v>
      </c>
      <c r="AK131" s="21">
        <v>1024</v>
      </c>
      <c r="AL131" s="22">
        <v>0</v>
      </c>
      <c r="AM131" s="22">
        <v>0</v>
      </c>
      <c r="AN131" s="22">
        <v>1</v>
      </c>
      <c r="AO131" s="22">
        <v>1</v>
      </c>
      <c r="AP131" s="22">
        <v>0.97338403041825095</v>
      </c>
    </row>
    <row r="132" spans="1:42" x14ac:dyDescent="0.25">
      <c r="A132" s="20" t="s">
        <v>58</v>
      </c>
      <c r="B132" s="21">
        <v>1</v>
      </c>
      <c r="C132" s="21">
        <v>0</v>
      </c>
      <c r="D132" s="21">
        <v>0</v>
      </c>
      <c r="E132" s="21">
        <v>0</v>
      </c>
      <c r="F132" s="21">
        <v>0</v>
      </c>
      <c r="G132" s="22">
        <v>5.224087221360248E-6</v>
      </c>
      <c r="H132" s="22">
        <v>0</v>
      </c>
      <c r="I132" s="22">
        <v>0</v>
      </c>
      <c r="J132" s="22">
        <v>0</v>
      </c>
      <c r="K132" s="22">
        <v>0</v>
      </c>
      <c r="L132" s="21">
        <v>1</v>
      </c>
      <c r="M132" s="21">
        <v>0</v>
      </c>
      <c r="N132" s="21">
        <v>0</v>
      </c>
      <c r="O132" s="21">
        <v>0</v>
      </c>
      <c r="P132" s="21">
        <v>0</v>
      </c>
      <c r="Q132" s="22">
        <v>1</v>
      </c>
      <c r="R132" s="22">
        <v>0</v>
      </c>
      <c r="S132" s="22">
        <v>0</v>
      </c>
      <c r="T132" s="22">
        <v>0</v>
      </c>
      <c r="U132" s="22">
        <v>0</v>
      </c>
      <c r="V132" s="21"/>
      <c r="W132" s="21">
        <v>0</v>
      </c>
      <c r="X132" s="21">
        <v>0</v>
      </c>
      <c r="Y132" s="21">
        <v>2</v>
      </c>
      <c r="Z132" s="21">
        <v>0</v>
      </c>
      <c r="AA132" s="21">
        <v>0</v>
      </c>
      <c r="AB132" s="22">
        <v>0</v>
      </c>
      <c r="AC132" s="22">
        <v>0</v>
      </c>
      <c r="AD132" s="22">
        <v>9.85780121743845E-6</v>
      </c>
      <c r="AE132" s="22">
        <v>0</v>
      </c>
      <c r="AF132" s="22">
        <v>0</v>
      </c>
      <c r="AG132" s="21">
        <v>0</v>
      </c>
      <c r="AH132" s="21">
        <v>0</v>
      </c>
      <c r="AI132" s="21">
        <v>1</v>
      </c>
      <c r="AJ132" s="21">
        <v>0</v>
      </c>
      <c r="AK132" s="21">
        <v>0</v>
      </c>
      <c r="AL132" s="22">
        <v>0</v>
      </c>
      <c r="AM132" s="22">
        <v>0</v>
      </c>
      <c r="AN132" s="22">
        <v>0.5</v>
      </c>
      <c r="AO132" s="22">
        <v>0</v>
      </c>
      <c r="AP132" s="22">
        <v>0</v>
      </c>
    </row>
    <row r="133" spans="1:42" x14ac:dyDescent="0.25">
      <c r="A133" s="20" t="s">
        <v>59</v>
      </c>
      <c r="B133" s="21">
        <v>9</v>
      </c>
      <c r="C133" s="21">
        <v>9</v>
      </c>
      <c r="D133" s="21">
        <v>11</v>
      </c>
      <c r="E133" s="21">
        <v>55</v>
      </c>
      <c r="F133" s="21">
        <v>135</v>
      </c>
      <c r="G133" s="22">
        <v>4.7016784992242228E-5</v>
      </c>
      <c r="H133" s="22">
        <v>4.6230660173827283E-5</v>
      </c>
      <c r="I133" s="22">
        <v>5.6824932714113765E-5</v>
      </c>
      <c r="J133" s="22">
        <v>2.8307761988337202E-4</v>
      </c>
      <c r="K133" s="22">
        <v>6.9504867915008413E-4</v>
      </c>
      <c r="L133" s="21">
        <v>9</v>
      </c>
      <c r="M133" s="21">
        <v>9</v>
      </c>
      <c r="N133" s="21">
        <v>11</v>
      </c>
      <c r="O133" s="21">
        <v>55</v>
      </c>
      <c r="P133" s="21">
        <v>127</v>
      </c>
      <c r="Q133" s="22">
        <v>1</v>
      </c>
      <c r="R133" s="22">
        <v>1</v>
      </c>
      <c r="S133" s="22">
        <v>1</v>
      </c>
      <c r="T133" s="22">
        <v>1</v>
      </c>
      <c r="U133" s="22">
        <v>0.94074074074074077</v>
      </c>
      <c r="V133" s="21"/>
      <c r="W133" s="21">
        <v>0</v>
      </c>
      <c r="X133" s="21">
        <v>0</v>
      </c>
      <c r="Y133" s="21">
        <v>0</v>
      </c>
      <c r="Z133" s="21">
        <v>1</v>
      </c>
      <c r="AA133" s="21">
        <v>9</v>
      </c>
      <c r="AB133" s="22">
        <v>0</v>
      </c>
      <c r="AC133" s="22">
        <v>0</v>
      </c>
      <c r="AD133" s="22">
        <v>0</v>
      </c>
      <c r="AE133" s="22">
        <v>5.1066263583626111E-6</v>
      </c>
      <c r="AF133" s="22">
        <v>4.6230660173827283E-5</v>
      </c>
      <c r="AG133" s="21">
        <v>0</v>
      </c>
      <c r="AH133" s="21">
        <v>0</v>
      </c>
      <c r="AI133" s="21">
        <v>0</v>
      </c>
      <c r="AJ133" s="21">
        <v>0</v>
      </c>
      <c r="AK133" s="21">
        <v>9</v>
      </c>
      <c r="AL133" s="22">
        <v>0</v>
      </c>
      <c r="AM133" s="22">
        <v>0</v>
      </c>
      <c r="AN133" s="22">
        <v>0</v>
      </c>
      <c r="AO133" s="22">
        <v>0</v>
      </c>
      <c r="AP133" s="22">
        <v>1</v>
      </c>
    </row>
    <row r="134" spans="1:42" x14ac:dyDescent="0.25">
      <c r="A134" s="20" t="s">
        <v>60</v>
      </c>
      <c r="B134" s="21">
        <v>74</v>
      </c>
      <c r="C134" s="21">
        <v>84</v>
      </c>
      <c r="D134" s="21">
        <v>83</v>
      </c>
      <c r="E134" s="21">
        <v>82</v>
      </c>
      <c r="F134" s="21">
        <v>77</v>
      </c>
      <c r="G134" s="22">
        <v>3.8658245438065832E-4</v>
      </c>
      <c r="H134" s="22">
        <v>4.3148616162238797E-4</v>
      </c>
      <c r="I134" s="22">
        <v>4.2876994684285842E-4</v>
      </c>
      <c r="J134" s="22">
        <v>4.2204299691702736E-4</v>
      </c>
      <c r="K134" s="22">
        <v>3.9643517255227021E-4</v>
      </c>
      <c r="L134" s="21">
        <v>74</v>
      </c>
      <c r="M134" s="21">
        <v>84</v>
      </c>
      <c r="N134" s="21">
        <v>83</v>
      </c>
      <c r="O134" s="21">
        <v>82</v>
      </c>
      <c r="P134" s="21">
        <v>77</v>
      </c>
      <c r="Q134" s="22">
        <v>1</v>
      </c>
      <c r="R134" s="22">
        <v>1</v>
      </c>
      <c r="S134" s="22">
        <v>1</v>
      </c>
      <c r="T134" s="22">
        <v>1</v>
      </c>
      <c r="U134" s="22">
        <v>1</v>
      </c>
      <c r="V134" s="21"/>
      <c r="W134" s="21">
        <v>0</v>
      </c>
      <c r="X134" s="21">
        <v>0</v>
      </c>
      <c r="Y134" s="21">
        <v>59</v>
      </c>
      <c r="Z134" s="21">
        <v>68</v>
      </c>
      <c r="AA134" s="21">
        <v>84</v>
      </c>
      <c r="AB134" s="22">
        <v>0</v>
      </c>
      <c r="AC134" s="22">
        <v>0</v>
      </c>
      <c r="AD134" s="22">
        <v>2.9080513591443427E-4</v>
      </c>
      <c r="AE134" s="22">
        <v>3.4725059236865755E-4</v>
      </c>
      <c r="AF134" s="22">
        <v>4.3148616162238797E-4</v>
      </c>
      <c r="AG134" s="21">
        <v>0</v>
      </c>
      <c r="AH134" s="21">
        <v>0</v>
      </c>
      <c r="AI134" s="21">
        <v>59</v>
      </c>
      <c r="AJ134" s="21">
        <v>68</v>
      </c>
      <c r="AK134" s="21">
        <v>84</v>
      </c>
      <c r="AL134" s="22">
        <v>0</v>
      </c>
      <c r="AM134" s="22">
        <v>0</v>
      </c>
      <c r="AN134" s="22">
        <v>1</v>
      </c>
      <c r="AO134" s="22">
        <v>1</v>
      </c>
      <c r="AP134" s="22">
        <v>1</v>
      </c>
    </row>
    <row r="135" spans="1:42" x14ac:dyDescent="0.25">
      <c r="A135" s="20" t="s">
        <v>62</v>
      </c>
      <c r="B135" s="21">
        <v>0</v>
      </c>
      <c r="C135" s="21">
        <v>0</v>
      </c>
      <c r="D135" s="21">
        <v>0</v>
      </c>
      <c r="E135" s="21">
        <v>0</v>
      </c>
      <c r="F135" s="21">
        <v>8083</v>
      </c>
      <c r="G135" s="22">
        <v>0</v>
      </c>
      <c r="H135" s="22">
        <v>0</v>
      </c>
      <c r="I135" s="22">
        <v>0</v>
      </c>
      <c r="J135" s="22">
        <v>0</v>
      </c>
      <c r="K135" s="22">
        <v>4.1615396100519488E-2</v>
      </c>
      <c r="L135" s="21">
        <v>0</v>
      </c>
      <c r="M135" s="21">
        <v>0</v>
      </c>
      <c r="N135" s="21">
        <v>0</v>
      </c>
      <c r="O135" s="21">
        <v>0</v>
      </c>
      <c r="P135" s="21">
        <v>2394</v>
      </c>
      <c r="Q135" s="22">
        <v>0</v>
      </c>
      <c r="R135" s="22">
        <v>0</v>
      </c>
      <c r="S135" s="22">
        <v>0</v>
      </c>
      <c r="T135" s="22">
        <v>0</v>
      </c>
      <c r="U135" s="22">
        <v>0.29617716194482246</v>
      </c>
      <c r="V135" s="21"/>
      <c r="W135" s="21">
        <v>0</v>
      </c>
      <c r="X135" s="21">
        <v>0</v>
      </c>
      <c r="Y135" s="21">
        <v>0</v>
      </c>
      <c r="Z135" s="21">
        <v>0</v>
      </c>
      <c r="AA135" s="21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1">
        <v>0</v>
      </c>
      <c r="AH135" s="21">
        <v>0</v>
      </c>
      <c r="AI135" s="21">
        <v>0</v>
      </c>
      <c r="AJ135" s="21">
        <v>0</v>
      </c>
      <c r="AK135" s="21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</row>
    <row r="136" spans="1:42" x14ac:dyDescent="0.25">
      <c r="A136" s="20" t="s">
        <v>64</v>
      </c>
      <c r="B136" s="21">
        <v>0</v>
      </c>
      <c r="C136" s="21">
        <v>0</v>
      </c>
      <c r="D136" s="21">
        <v>0</v>
      </c>
      <c r="E136" s="21">
        <v>0</v>
      </c>
      <c r="F136" s="21">
        <v>1</v>
      </c>
      <c r="G136" s="22">
        <v>0</v>
      </c>
      <c r="H136" s="22">
        <v>0</v>
      </c>
      <c r="I136" s="22">
        <v>0</v>
      </c>
      <c r="J136" s="22">
        <v>0</v>
      </c>
      <c r="K136" s="22">
        <v>5.148508734445068E-6</v>
      </c>
      <c r="L136" s="21">
        <v>0</v>
      </c>
      <c r="M136" s="21">
        <v>0</v>
      </c>
      <c r="N136" s="21">
        <v>0</v>
      </c>
      <c r="O136" s="21">
        <v>0</v>
      </c>
      <c r="P136" s="21">
        <v>1</v>
      </c>
      <c r="Q136" s="22">
        <v>0</v>
      </c>
      <c r="R136" s="22">
        <v>0</v>
      </c>
      <c r="S136" s="22">
        <v>0</v>
      </c>
      <c r="T136" s="22">
        <v>0</v>
      </c>
      <c r="U136" s="22">
        <v>1</v>
      </c>
      <c r="V136" s="21"/>
      <c r="W136" s="21">
        <v>0</v>
      </c>
      <c r="X136" s="21">
        <v>0</v>
      </c>
      <c r="Y136" s="21">
        <v>0</v>
      </c>
      <c r="Z136" s="21">
        <v>0</v>
      </c>
      <c r="AA136" s="21">
        <v>0</v>
      </c>
      <c r="AB136" s="22">
        <v>0</v>
      </c>
      <c r="AC136" s="22">
        <v>0</v>
      </c>
      <c r="AD136" s="22">
        <v>0</v>
      </c>
      <c r="AE136" s="22">
        <v>0</v>
      </c>
      <c r="AF136" s="22">
        <v>0</v>
      </c>
      <c r="AG136" s="21">
        <v>0</v>
      </c>
      <c r="AH136" s="21">
        <v>0</v>
      </c>
      <c r="AI136" s="21">
        <v>0</v>
      </c>
      <c r="AJ136" s="21">
        <v>0</v>
      </c>
      <c r="AK136" s="21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</row>
    <row r="137" spans="1:42" x14ac:dyDescent="0.25">
      <c r="A137" s="20" t="s">
        <v>65</v>
      </c>
      <c r="B137" s="21">
        <v>0</v>
      </c>
      <c r="C137" s="21">
        <v>0</v>
      </c>
      <c r="D137" s="21">
        <v>0</v>
      </c>
      <c r="E137" s="21">
        <v>0</v>
      </c>
      <c r="F137" s="21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1">
        <v>0</v>
      </c>
      <c r="M137" s="21">
        <v>0</v>
      </c>
      <c r="N137" s="21">
        <v>0</v>
      </c>
      <c r="O137" s="21">
        <v>0</v>
      </c>
      <c r="P137" s="21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1"/>
      <c r="W137" s="21">
        <v>0</v>
      </c>
      <c r="X137" s="21">
        <v>0</v>
      </c>
      <c r="Y137" s="21">
        <v>25</v>
      </c>
      <c r="Z137" s="21">
        <v>0</v>
      </c>
      <c r="AA137" s="21">
        <v>0</v>
      </c>
      <c r="AB137" s="22">
        <v>0</v>
      </c>
      <c r="AC137" s="22">
        <v>0</v>
      </c>
      <c r="AD137" s="22">
        <v>1.2322251521798062E-4</v>
      </c>
      <c r="AE137" s="22">
        <v>0</v>
      </c>
      <c r="AF137" s="22">
        <v>0</v>
      </c>
      <c r="AG137" s="21">
        <v>0</v>
      </c>
      <c r="AH137" s="21">
        <v>0</v>
      </c>
      <c r="AI137" s="21">
        <v>25</v>
      </c>
      <c r="AJ137" s="21">
        <v>0</v>
      </c>
      <c r="AK137" s="21">
        <v>0</v>
      </c>
      <c r="AL137" s="22">
        <v>0</v>
      </c>
      <c r="AM137" s="22">
        <v>0</v>
      </c>
      <c r="AN137" s="22">
        <v>1</v>
      </c>
      <c r="AO137" s="22">
        <v>0</v>
      </c>
      <c r="AP137" s="22">
        <v>0</v>
      </c>
    </row>
    <row r="138" spans="1:42" x14ac:dyDescent="0.25">
      <c r="A138" s="31" t="s">
        <v>74</v>
      </c>
      <c r="B138" s="29">
        <v>191421</v>
      </c>
      <c r="C138" s="29">
        <v>194676</v>
      </c>
      <c r="D138" s="29">
        <v>193577</v>
      </c>
      <c r="E138" s="29">
        <v>194293</v>
      </c>
      <c r="F138" s="29">
        <v>194231</v>
      </c>
      <c r="G138" s="24">
        <v>1</v>
      </c>
      <c r="H138" s="24">
        <v>1</v>
      </c>
      <c r="I138" s="24">
        <v>1</v>
      </c>
      <c r="J138" s="24">
        <v>1</v>
      </c>
      <c r="K138" s="24">
        <v>1</v>
      </c>
      <c r="L138" s="29">
        <v>74598</v>
      </c>
      <c r="M138" s="29">
        <v>77213</v>
      </c>
      <c r="N138" s="29">
        <v>77835</v>
      </c>
      <c r="O138" s="29">
        <v>78956</v>
      </c>
      <c r="P138" s="29">
        <v>79518</v>
      </c>
      <c r="Q138" s="24">
        <v>0.38970645853903174</v>
      </c>
      <c r="R138" s="24">
        <v>0.39662310711130289</v>
      </c>
      <c r="S138" s="24">
        <v>0.40208805798209496</v>
      </c>
      <c r="T138" s="24">
        <v>0.40637593737293676</v>
      </c>
      <c r="U138" s="24">
        <v>0.40939911754560293</v>
      </c>
      <c r="V138" s="23"/>
      <c r="W138" s="29">
        <v>1</v>
      </c>
      <c r="X138" s="29">
        <v>0</v>
      </c>
      <c r="Y138" s="29">
        <v>202885</v>
      </c>
      <c r="Z138" s="29">
        <v>195824</v>
      </c>
      <c r="AA138" s="29">
        <v>194676</v>
      </c>
      <c r="AB138" s="24">
        <v>1</v>
      </c>
      <c r="AC138" s="24">
        <v>0</v>
      </c>
      <c r="AD138" s="24">
        <v>1</v>
      </c>
      <c r="AE138" s="24">
        <v>1</v>
      </c>
      <c r="AF138" s="24">
        <v>1</v>
      </c>
      <c r="AG138" s="29">
        <v>1</v>
      </c>
      <c r="AH138" s="29">
        <v>0</v>
      </c>
      <c r="AI138" s="29">
        <v>74325</v>
      </c>
      <c r="AJ138" s="29">
        <v>70443</v>
      </c>
      <c r="AK138" s="29">
        <v>77213</v>
      </c>
      <c r="AL138" s="24">
        <v>1</v>
      </c>
      <c r="AM138" s="24">
        <v>0</v>
      </c>
      <c r="AN138" s="24">
        <v>0.36634053774305642</v>
      </c>
      <c r="AO138" s="24">
        <v>0.35972608056213745</v>
      </c>
      <c r="AP138" s="24">
        <v>0.39662310711130289</v>
      </c>
    </row>
    <row r="139" spans="1:42" x14ac:dyDescent="0.25">
      <c r="A139" s="20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</row>
    <row r="140" spans="1:42" x14ac:dyDescent="0.25">
      <c r="A140" s="30" t="s">
        <v>75</v>
      </c>
      <c r="B140" s="27" t="s">
        <v>12</v>
      </c>
      <c r="C140" s="27" t="s">
        <v>13</v>
      </c>
      <c r="D140" s="27" t="s">
        <v>14</v>
      </c>
      <c r="E140" s="27" t="s">
        <v>15</v>
      </c>
      <c r="F140" s="27" t="s">
        <v>16</v>
      </c>
      <c r="G140" s="27" t="s">
        <v>12</v>
      </c>
      <c r="H140" s="27" t="s">
        <v>13</v>
      </c>
      <c r="I140" s="27" t="s">
        <v>14</v>
      </c>
      <c r="J140" s="27" t="s">
        <v>15</v>
      </c>
      <c r="K140" s="27" t="s">
        <v>16</v>
      </c>
      <c r="L140" s="27" t="s">
        <v>12</v>
      </c>
      <c r="M140" s="27" t="s">
        <v>13</v>
      </c>
      <c r="N140" s="27" t="s">
        <v>14</v>
      </c>
      <c r="O140" s="27" t="s">
        <v>15</v>
      </c>
      <c r="P140" s="27" t="s">
        <v>16</v>
      </c>
      <c r="Q140" s="27" t="s">
        <v>12</v>
      </c>
      <c r="R140" s="27" t="s">
        <v>13</v>
      </c>
      <c r="S140" s="27" t="s">
        <v>14</v>
      </c>
      <c r="T140" s="27" t="s">
        <v>15</v>
      </c>
      <c r="U140" s="27" t="s">
        <v>16</v>
      </c>
      <c r="V140" s="27"/>
      <c r="W140" s="27" t="s">
        <v>17</v>
      </c>
      <c r="X140" s="27" t="s">
        <v>18</v>
      </c>
      <c r="Y140" s="27" t="s">
        <v>19</v>
      </c>
      <c r="Z140" s="27" t="s">
        <v>20</v>
      </c>
      <c r="AA140" s="27" t="s">
        <v>21</v>
      </c>
      <c r="AB140" s="27" t="s">
        <v>17</v>
      </c>
      <c r="AC140" s="27" t="s">
        <v>18</v>
      </c>
      <c r="AD140" s="27" t="s">
        <v>19</v>
      </c>
      <c r="AE140" s="27" t="s">
        <v>20</v>
      </c>
      <c r="AF140" s="27" t="s">
        <v>21</v>
      </c>
      <c r="AG140" s="27" t="s">
        <v>17</v>
      </c>
      <c r="AH140" s="27" t="s">
        <v>18</v>
      </c>
      <c r="AI140" s="27" t="s">
        <v>19</v>
      </c>
      <c r="AJ140" s="27" t="s">
        <v>20</v>
      </c>
      <c r="AK140" s="27" t="s">
        <v>21</v>
      </c>
      <c r="AL140" s="27" t="s">
        <v>17</v>
      </c>
      <c r="AM140" s="27" t="s">
        <v>18</v>
      </c>
      <c r="AN140" s="27" t="s">
        <v>19</v>
      </c>
      <c r="AO140" s="27" t="s">
        <v>20</v>
      </c>
      <c r="AP140" s="27" t="s">
        <v>21</v>
      </c>
    </row>
    <row r="141" spans="1:42" x14ac:dyDescent="0.25">
      <c r="A141" s="20" t="s">
        <v>24</v>
      </c>
      <c r="B141" s="21">
        <v>39203</v>
      </c>
      <c r="C141" s="21">
        <v>38935</v>
      </c>
      <c r="D141" s="21">
        <v>37914</v>
      </c>
      <c r="E141" s="21">
        <v>37854</v>
      </c>
      <c r="F141" s="21">
        <v>38413</v>
      </c>
      <c r="G141" s="22">
        <v>0.43458451578573964</v>
      </c>
      <c r="H141" s="22">
        <v>0.42737341251111377</v>
      </c>
      <c r="I141" s="22">
        <v>0.41431084787621159</v>
      </c>
      <c r="J141" s="22">
        <v>0.41839644538762516</v>
      </c>
      <c r="K141" s="22">
        <v>0.43535865265830243</v>
      </c>
      <c r="L141" s="21">
        <v>26299</v>
      </c>
      <c r="M141" s="21">
        <v>26743</v>
      </c>
      <c r="N141" s="21">
        <v>26176</v>
      </c>
      <c r="O141" s="21">
        <v>26470</v>
      </c>
      <c r="P141" s="21">
        <v>27002</v>
      </c>
      <c r="Q141" s="22">
        <v>0.67084151723082419</v>
      </c>
      <c r="R141" s="22">
        <v>0.68686271991781178</v>
      </c>
      <c r="S141" s="22">
        <v>0.69040459988394787</v>
      </c>
      <c r="T141" s="22">
        <v>0.69926559940825272</v>
      </c>
      <c r="U141" s="22">
        <v>0.70293910915575453</v>
      </c>
      <c r="V141" s="21"/>
      <c r="W141" s="21">
        <v>47063</v>
      </c>
      <c r="X141" s="21">
        <v>44287</v>
      </c>
      <c r="Y141" s="21">
        <v>43118</v>
      </c>
      <c r="Z141" s="21">
        <v>37073</v>
      </c>
      <c r="AA141" s="21">
        <v>38935</v>
      </c>
      <c r="AB141" s="22">
        <v>0.52549715829788179</v>
      </c>
      <c r="AC141" s="22">
        <v>0.48599741017931214</v>
      </c>
      <c r="AD141" s="22">
        <v>0.47076163857105424</v>
      </c>
      <c r="AE141" s="22">
        <v>0.41883296616392701</v>
      </c>
      <c r="AF141" s="22">
        <v>0.42737341251111377</v>
      </c>
      <c r="AG141" s="21">
        <v>26959</v>
      </c>
      <c r="AH141" s="21">
        <v>25683</v>
      </c>
      <c r="AI141" s="21">
        <v>26522</v>
      </c>
      <c r="AJ141" s="21">
        <v>22383</v>
      </c>
      <c r="AK141" s="21">
        <v>26743</v>
      </c>
      <c r="AL141" s="22">
        <v>0.5728279115228524</v>
      </c>
      <c r="AM141" s="22">
        <v>0.57992187323593836</v>
      </c>
      <c r="AN141" s="22">
        <v>0.61510274131453224</v>
      </c>
      <c r="AO141" s="22">
        <v>0.60375475413373614</v>
      </c>
      <c r="AP141" s="22">
        <v>0.68686271991781178</v>
      </c>
    </row>
    <row r="142" spans="1:42" x14ac:dyDescent="0.25">
      <c r="A142" s="20" t="s">
        <v>25</v>
      </c>
      <c r="B142" s="21">
        <v>6094</v>
      </c>
      <c r="C142" s="21">
        <v>7139</v>
      </c>
      <c r="D142" s="21">
        <v>7805</v>
      </c>
      <c r="E142" s="21">
        <v>8395</v>
      </c>
      <c r="F142" s="21">
        <v>8453</v>
      </c>
      <c r="G142" s="22">
        <v>6.7554984036892515E-2</v>
      </c>
      <c r="H142" s="22">
        <v>7.8361854165065914E-2</v>
      </c>
      <c r="I142" s="22">
        <v>8.5290292970244014E-2</v>
      </c>
      <c r="J142" s="22">
        <v>9.2789088577933998E-2</v>
      </c>
      <c r="K142" s="22">
        <v>9.5803157548762938E-2</v>
      </c>
      <c r="L142" s="21">
        <v>5999</v>
      </c>
      <c r="M142" s="21">
        <v>7058</v>
      </c>
      <c r="N142" s="21">
        <v>7697</v>
      </c>
      <c r="O142" s="21">
        <v>8277</v>
      </c>
      <c r="P142" s="21">
        <v>8265</v>
      </c>
      <c r="Q142" s="22">
        <v>0.98441089596324249</v>
      </c>
      <c r="R142" s="22">
        <v>0.98865387309146935</v>
      </c>
      <c r="S142" s="22">
        <v>0.98616271620755924</v>
      </c>
      <c r="T142" s="22">
        <v>0.98594401429422274</v>
      </c>
      <c r="U142" s="22">
        <v>0.97775937536969126</v>
      </c>
      <c r="V142" s="21"/>
      <c r="W142" s="21">
        <v>0</v>
      </c>
      <c r="X142" s="21">
        <v>837</v>
      </c>
      <c r="Y142" s="21">
        <v>4217</v>
      </c>
      <c r="Z142" s="21">
        <v>4230</v>
      </c>
      <c r="AA142" s="21">
        <v>7139</v>
      </c>
      <c r="AB142" s="22">
        <v>0</v>
      </c>
      <c r="AC142" s="22">
        <v>9.185084388648684E-3</v>
      </c>
      <c r="AD142" s="22">
        <v>4.6041138964101669E-2</v>
      </c>
      <c r="AE142" s="22">
        <v>4.7788510421962381E-2</v>
      </c>
      <c r="AF142" s="22">
        <v>7.8361854165065914E-2</v>
      </c>
      <c r="AG142" s="21">
        <v>0</v>
      </c>
      <c r="AH142" s="21">
        <v>823</v>
      </c>
      <c r="AI142" s="21">
        <v>4135</v>
      </c>
      <c r="AJ142" s="21">
        <v>4213</v>
      </c>
      <c r="AK142" s="21">
        <v>7058</v>
      </c>
      <c r="AL142" s="22">
        <v>0</v>
      </c>
      <c r="AM142" s="22">
        <v>0.98327359617682197</v>
      </c>
      <c r="AN142" s="22">
        <v>0.98055489684609909</v>
      </c>
      <c r="AO142" s="22">
        <v>0.99598108747044922</v>
      </c>
      <c r="AP142" s="22">
        <v>0.98865387309146935</v>
      </c>
    </row>
    <row r="143" spans="1:42" x14ac:dyDescent="0.25">
      <c r="A143" s="20" t="s">
        <v>26</v>
      </c>
      <c r="B143" s="21">
        <v>178</v>
      </c>
      <c r="C143" s="21">
        <v>202</v>
      </c>
      <c r="D143" s="21">
        <v>217</v>
      </c>
      <c r="E143" s="21">
        <v>213</v>
      </c>
      <c r="F143" s="21">
        <v>225</v>
      </c>
      <c r="G143" s="22">
        <v>1.9732174529975169E-3</v>
      </c>
      <c r="H143" s="22">
        <v>2.2172705618914855E-3</v>
      </c>
      <c r="I143" s="22">
        <v>2.3712996251816719E-3</v>
      </c>
      <c r="J143" s="22">
        <v>2.3542675243716426E-3</v>
      </c>
      <c r="K143" s="22">
        <v>2.5500663017238448E-3</v>
      </c>
      <c r="L143" s="21">
        <v>174</v>
      </c>
      <c r="M143" s="21">
        <v>196</v>
      </c>
      <c r="N143" s="21">
        <v>212</v>
      </c>
      <c r="O143" s="21">
        <v>207</v>
      </c>
      <c r="P143" s="21">
        <v>207</v>
      </c>
      <c r="Q143" s="22">
        <v>0.97752808988764039</v>
      </c>
      <c r="R143" s="22">
        <v>0.97029702970297027</v>
      </c>
      <c r="S143" s="22">
        <v>0.97695852534562211</v>
      </c>
      <c r="T143" s="22">
        <v>0.971830985915493</v>
      </c>
      <c r="U143" s="22">
        <v>0.92</v>
      </c>
      <c r="V143" s="21"/>
      <c r="W143" s="21">
        <v>0</v>
      </c>
      <c r="X143" s="21">
        <v>0</v>
      </c>
      <c r="Y143" s="21">
        <v>11</v>
      </c>
      <c r="Z143" s="21">
        <v>92</v>
      </c>
      <c r="AA143" s="21">
        <v>202</v>
      </c>
      <c r="AB143" s="22">
        <v>0</v>
      </c>
      <c r="AC143" s="22">
        <v>0</v>
      </c>
      <c r="AD143" s="22">
        <v>1.200978251375666E-4</v>
      </c>
      <c r="AE143" s="22">
        <v>1.039371857877196E-3</v>
      </c>
      <c r="AF143" s="22">
        <v>2.2172705618914855E-3</v>
      </c>
      <c r="AG143" s="21">
        <v>0</v>
      </c>
      <c r="AH143" s="21">
        <v>0</v>
      </c>
      <c r="AI143" s="21">
        <v>11</v>
      </c>
      <c r="AJ143" s="21">
        <v>89</v>
      </c>
      <c r="AK143" s="21">
        <v>196</v>
      </c>
      <c r="AL143" s="22">
        <v>0</v>
      </c>
      <c r="AM143" s="22">
        <v>0</v>
      </c>
      <c r="AN143" s="22">
        <v>1</v>
      </c>
      <c r="AO143" s="22">
        <v>0.96739130434782605</v>
      </c>
      <c r="AP143" s="22">
        <v>0.97029702970297027</v>
      </c>
    </row>
    <row r="144" spans="1:42" x14ac:dyDescent="0.25">
      <c r="A144" s="20" t="s">
        <v>29</v>
      </c>
      <c r="B144" s="21">
        <v>96</v>
      </c>
      <c r="C144" s="21">
        <v>87</v>
      </c>
      <c r="D144" s="21">
        <v>122</v>
      </c>
      <c r="E144" s="21">
        <v>126</v>
      </c>
      <c r="F144" s="21">
        <v>133</v>
      </c>
      <c r="G144" s="22">
        <v>1.0642071656615821E-3</v>
      </c>
      <c r="H144" s="22">
        <v>9.549630637849467E-4</v>
      </c>
      <c r="I144" s="22">
        <v>1.3331730611620461E-3</v>
      </c>
      <c r="J144" s="22">
        <v>1.3926652961071689E-3</v>
      </c>
      <c r="K144" s="22">
        <v>1.5073725250189839E-3</v>
      </c>
      <c r="L144" s="21">
        <v>96</v>
      </c>
      <c r="M144" s="21">
        <v>87</v>
      </c>
      <c r="N144" s="21">
        <v>122</v>
      </c>
      <c r="O144" s="21">
        <v>126</v>
      </c>
      <c r="P144" s="21">
        <v>133</v>
      </c>
      <c r="Q144" s="22">
        <v>1</v>
      </c>
      <c r="R144" s="22">
        <v>1</v>
      </c>
      <c r="S144" s="22">
        <v>1</v>
      </c>
      <c r="T144" s="22">
        <v>1</v>
      </c>
      <c r="U144" s="22">
        <v>1</v>
      </c>
      <c r="V144" s="21"/>
      <c r="W144" s="21">
        <v>0</v>
      </c>
      <c r="X144" s="21">
        <v>0</v>
      </c>
      <c r="Y144" s="21">
        <v>103</v>
      </c>
      <c r="Z144" s="21">
        <v>102</v>
      </c>
      <c r="AA144" s="21">
        <v>87</v>
      </c>
      <c r="AB144" s="22">
        <v>0</v>
      </c>
      <c r="AC144" s="22">
        <v>0</v>
      </c>
      <c r="AD144" s="22">
        <v>1.12455236265176E-3</v>
      </c>
      <c r="AE144" s="22">
        <v>1.1523470598203693E-3</v>
      </c>
      <c r="AF144" s="22">
        <v>9.549630637849467E-4</v>
      </c>
      <c r="AG144" s="21">
        <v>0</v>
      </c>
      <c r="AH144" s="21">
        <v>0</v>
      </c>
      <c r="AI144" s="21">
        <v>103</v>
      </c>
      <c r="AJ144" s="21">
        <v>102</v>
      </c>
      <c r="AK144" s="21">
        <v>87</v>
      </c>
      <c r="AL144" s="22">
        <v>0</v>
      </c>
      <c r="AM144" s="22">
        <v>0</v>
      </c>
      <c r="AN144" s="22">
        <v>1</v>
      </c>
      <c r="AO144" s="22">
        <v>1</v>
      </c>
      <c r="AP144" s="22">
        <v>1</v>
      </c>
    </row>
    <row r="145" spans="1:42" x14ac:dyDescent="0.25">
      <c r="A145" s="20" t="s">
        <v>31</v>
      </c>
      <c r="B145" s="21">
        <v>143</v>
      </c>
      <c r="C145" s="21">
        <v>143</v>
      </c>
      <c r="D145" s="21">
        <v>145</v>
      </c>
      <c r="E145" s="21">
        <v>142</v>
      </c>
      <c r="F145" s="21">
        <v>140</v>
      </c>
      <c r="G145" s="22">
        <v>1.5852252571833983E-3</v>
      </c>
      <c r="H145" s="22">
        <v>1.5696519324281308E-3</v>
      </c>
      <c r="I145" s="22">
        <v>1.5845089661352188E-3</v>
      </c>
      <c r="J145" s="22">
        <v>1.5695116829144286E-3</v>
      </c>
      <c r="K145" s="22">
        <v>1.5867079210726146E-3</v>
      </c>
      <c r="L145" s="21">
        <v>143</v>
      </c>
      <c r="M145" s="21">
        <v>143</v>
      </c>
      <c r="N145" s="21">
        <v>145</v>
      </c>
      <c r="O145" s="21">
        <v>142</v>
      </c>
      <c r="P145" s="21">
        <v>140</v>
      </c>
      <c r="Q145" s="22">
        <v>1</v>
      </c>
      <c r="R145" s="22">
        <v>1</v>
      </c>
      <c r="S145" s="22">
        <v>1</v>
      </c>
      <c r="T145" s="22">
        <v>1</v>
      </c>
      <c r="U145" s="22">
        <v>1</v>
      </c>
      <c r="V145" s="21"/>
      <c r="W145" s="21">
        <v>7</v>
      </c>
      <c r="X145" s="21">
        <v>12</v>
      </c>
      <c r="Y145" s="21">
        <v>24</v>
      </c>
      <c r="Z145" s="21">
        <v>31</v>
      </c>
      <c r="AA145" s="21">
        <v>143</v>
      </c>
      <c r="AB145" s="22">
        <v>7.8160765528869242E-5</v>
      </c>
      <c r="AC145" s="22">
        <v>1.3168579768671948E-4</v>
      </c>
      <c r="AD145" s="22">
        <v>2.6203161848196348E-4</v>
      </c>
      <c r="AE145" s="22">
        <v>3.5022312602383778E-4</v>
      </c>
      <c r="AF145" s="22">
        <v>1.5696519324281308E-3</v>
      </c>
      <c r="AG145" s="21">
        <v>7</v>
      </c>
      <c r="AH145" s="21">
        <v>12</v>
      </c>
      <c r="AI145" s="21">
        <v>24</v>
      </c>
      <c r="AJ145" s="21">
        <v>31</v>
      </c>
      <c r="AK145" s="21">
        <v>143</v>
      </c>
      <c r="AL145" s="22">
        <v>1</v>
      </c>
      <c r="AM145" s="22">
        <v>1</v>
      </c>
      <c r="AN145" s="22">
        <v>1</v>
      </c>
      <c r="AO145" s="22">
        <v>1</v>
      </c>
      <c r="AP145" s="22">
        <v>1</v>
      </c>
    </row>
    <row r="146" spans="1:42" x14ac:dyDescent="0.25">
      <c r="A146" s="20" t="s">
        <v>33</v>
      </c>
      <c r="B146" s="21">
        <v>1274</v>
      </c>
      <c r="C146" s="21">
        <v>1124</v>
      </c>
      <c r="D146" s="21">
        <v>1003</v>
      </c>
      <c r="E146" s="21">
        <v>849</v>
      </c>
      <c r="F146" s="21">
        <v>801</v>
      </c>
      <c r="G146" s="22">
        <v>1.4122915927633912E-2</v>
      </c>
      <c r="H146" s="22">
        <v>1.233768372062391E-2</v>
      </c>
      <c r="I146" s="22">
        <v>1.0960430986438788E-2</v>
      </c>
      <c r="J146" s="22">
        <v>9.383911399960209E-3</v>
      </c>
      <c r="K146" s="22">
        <v>9.0782360341368877E-3</v>
      </c>
      <c r="L146" s="21">
        <v>1249</v>
      </c>
      <c r="M146" s="21">
        <v>1101</v>
      </c>
      <c r="N146" s="21">
        <v>971</v>
      </c>
      <c r="O146" s="21">
        <v>820</v>
      </c>
      <c r="P146" s="21">
        <v>776</v>
      </c>
      <c r="Q146" s="22">
        <v>0.98037676609105184</v>
      </c>
      <c r="R146" s="22">
        <v>0.97953736654804269</v>
      </c>
      <c r="S146" s="22">
        <v>0.96809571286141571</v>
      </c>
      <c r="T146" s="22">
        <v>0.9658421672555948</v>
      </c>
      <c r="U146" s="22">
        <v>0.96878901373283399</v>
      </c>
      <c r="V146" s="21"/>
      <c r="W146" s="21">
        <v>5</v>
      </c>
      <c r="X146" s="21">
        <v>420</v>
      </c>
      <c r="Y146" s="21">
        <v>813</v>
      </c>
      <c r="Z146" s="21">
        <v>1246</v>
      </c>
      <c r="AA146" s="21">
        <v>1124</v>
      </c>
      <c r="AB146" s="22">
        <v>5.5829118234906597E-5</v>
      </c>
      <c r="AC146" s="22">
        <v>4.6090029190351822E-3</v>
      </c>
      <c r="AD146" s="22">
        <v>8.8763210760765127E-3</v>
      </c>
      <c r="AE146" s="22">
        <v>1.4076710162119414E-2</v>
      </c>
      <c r="AF146" s="22">
        <v>1.233768372062391E-2</v>
      </c>
      <c r="AG146" s="21">
        <v>5</v>
      </c>
      <c r="AH146" s="21">
        <v>418</v>
      </c>
      <c r="AI146" s="21">
        <v>802</v>
      </c>
      <c r="AJ146" s="21">
        <v>1213</v>
      </c>
      <c r="AK146" s="21">
        <v>1101</v>
      </c>
      <c r="AL146" s="22">
        <v>1</v>
      </c>
      <c r="AM146" s="22">
        <v>0.99523809523809526</v>
      </c>
      <c r="AN146" s="22">
        <v>0.98646986469864695</v>
      </c>
      <c r="AO146" s="22">
        <v>0.9735152487961477</v>
      </c>
      <c r="AP146" s="22">
        <v>0.97953736654804269</v>
      </c>
    </row>
    <row r="147" spans="1:42" x14ac:dyDescent="0.25">
      <c r="A147" s="20" t="s">
        <v>34</v>
      </c>
      <c r="B147" s="21">
        <v>0</v>
      </c>
      <c r="C147" s="21">
        <v>0</v>
      </c>
      <c r="D147" s="21">
        <v>0</v>
      </c>
      <c r="E147" s="21">
        <v>2</v>
      </c>
      <c r="F147" s="21">
        <v>22</v>
      </c>
      <c r="G147" s="22">
        <v>0</v>
      </c>
      <c r="H147" s="22">
        <v>0</v>
      </c>
      <c r="I147" s="22">
        <v>0</v>
      </c>
      <c r="J147" s="22">
        <v>2.2105798350907443E-5</v>
      </c>
      <c r="K147" s="22">
        <v>2.493398161685537E-4</v>
      </c>
      <c r="L147" s="21">
        <v>0</v>
      </c>
      <c r="M147" s="21">
        <v>0</v>
      </c>
      <c r="N147" s="21">
        <v>0</v>
      </c>
      <c r="O147" s="21">
        <v>2</v>
      </c>
      <c r="P147" s="21">
        <v>22</v>
      </c>
      <c r="Q147" s="22">
        <v>0</v>
      </c>
      <c r="R147" s="22">
        <v>0</v>
      </c>
      <c r="S147" s="22">
        <v>0</v>
      </c>
      <c r="T147" s="22">
        <v>1</v>
      </c>
      <c r="U147" s="22">
        <v>1</v>
      </c>
      <c r="V147" s="21"/>
      <c r="W147" s="21">
        <v>0</v>
      </c>
      <c r="X147" s="21">
        <v>0</v>
      </c>
      <c r="Y147" s="21">
        <v>0</v>
      </c>
      <c r="Z147" s="21">
        <v>0</v>
      </c>
      <c r="AA147" s="21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1">
        <v>0</v>
      </c>
      <c r="AH147" s="21">
        <v>0</v>
      </c>
      <c r="AI147" s="21">
        <v>0</v>
      </c>
      <c r="AJ147" s="21">
        <v>0</v>
      </c>
      <c r="AK147" s="21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</row>
    <row r="148" spans="1:42" x14ac:dyDescent="0.25">
      <c r="A148" s="20" t="s">
        <v>35</v>
      </c>
      <c r="B148" s="21">
        <v>3687</v>
      </c>
      <c r="C148" s="21">
        <v>4033</v>
      </c>
      <c r="D148" s="21">
        <v>3966</v>
      </c>
      <c r="E148" s="21">
        <v>3937</v>
      </c>
      <c r="F148" s="21">
        <v>3239</v>
      </c>
      <c r="G148" s="22">
        <v>4.0872206456190135E-2</v>
      </c>
      <c r="H148" s="22">
        <v>4.426857512924931E-2</v>
      </c>
      <c r="I148" s="22">
        <v>4.3339052135808812E-2</v>
      </c>
      <c r="J148" s="22">
        <v>4.3515264053761299E-2</v>
      </c>
      <c r="K148" s="22">
        <v>3.6709621116815701E-2</v>
      </c>
      <c r="L148" s="21">
        <v>3501</v>
      </c>
      <c r="M148" s="21">
        <v>3851</v>
      </c>
      <c r="N148" s="21">
        <v>3795</v>
      </c>
      <c r="O148" s="21">
        <v>3788</v>
      </c>
      <c r="P148" s="21">
        <v>3109</v>
      </c>
      <c r="Q148" s="22">
        <v>0.94955248169243289</v>
      </c>
      <c r="R148" s="22">
        <v>0.9548723034961567</v>
      </c>
      <c r="S148" s="22">
        <v>0.9568835098335855</v>
      </c>
      <c r="T148" s="22">
        <v>0.96215392430784863</v>
      </c>
      <c r="U148" s="22">
        <v>0.9598641556035814</v>
      </c>
      <c r="V148" s="21"/>
      <c r="W148" s="21">
        <v>4476</v>
      </c>
      <c r="X148" s="21">
        <v>4065</v>
      </c>
      <c r="Y148" s="21">
        <v>3640</v>
      </c>
      <c r="Z148" s="21">
        <v>3664</v>
      </c>
      <c r="AA148" s="21">
        <v>4033</v>
      </c>
      <c r="AB148" s="22">
        <v>4.9978226643888388E-2</v>
      </c>
      <c r="AC148" s="22">
        <v>4.4608563966376226E-2</v>
      </c>
      <c r="AD148" s="22">
        <v>3.9741462136431129E-2</v>
      </c>
      <c r="AE148" s="22">
        <v>4.1394113991978759E-2</v>
      </c>
      <c r="AF148" s="22">
        <v>4.426857512924931E-2</v>
      </c>
      <c r="AG148" s="21">
        <v>4332</v>
      </c>
      <c r="AH148" s="21">
        <v>3848</v>
      </c>
      <c r="AI148" s="21">
        <v>3408</v>
      </c>
      <c r="AJ148" s="21">
        <v>3458</v>
      </c>
      <c r="AK148" s="21">
        <v>3851</v>
      </c>
      <c r="AL148" s="22">
        <v>0.96782841823056298</v>
      </c>
      <c r="AM148" s="22">
        <v>0.94661746617466169</v>
      </c>
      <c r="AN148" s="22">
        <v>0.93626373626373627</v>
      </c>
      <c r="AO148" s="22">
        <v>0.94377729257641918</v>
      </c>
      <c r="AP148" s="22">
        <v>0.9548723034961567</v>
      </c>
    </row>
    <row r="149" spans="1:42" x14ac:dyDescent="0.25">
      <c r="A149" s="20" t="s">
        <v>84</v>
      </c>
      <c r="B149" s="21">
        <v>0</v>
      </c>
      <c r="C149" s="21">
        <v>0</v>
      </c>
      <c r="D149" s="21">
        <v>0</v>
      </c>
      <c r="E149" s="21">
        <v>27</v>
      </c>
      <c r="F149" s="21">
        <v>26</v>
      </c>
      <c r="G149" s="22">
        <v>0</v>
      </c>
      <c r="H149" s="22">
        <v>0</v>
      </c>
      <c r="I149" s="22">
        <v>0</v>
      </c>
      <c r="J149" s="22">
        <v>2.9842827773725046E-4</v>
      </c>
      <c r="K149" s="22">
        <v>2.9467432819919984E-4</v>
      </c>
      <c r="L149" s="21">
        <v>0</v>
      </c>
      <c r="M149" s="21">
        <v>0</v>
      </c>
      <c r="N149" s="21">
        <v>0</v>
      </c>
      <c r="O149" s="21">
        <v>27</v>
      </c>
      <c r="P149" s="21">
        <v>26</v>
      </c>
      <c r="Q149" s="22">
        <v>0</v>
      </c>
      <c r="R149" s="22">
        <v>0</v>
      </c>
      <c r="S149" s="22">
        <v>0</v>
      </c>
      <c r="T149" s="22">
        <v>1</v>
      </c>
      <c r="U149" s="22">
        <v>1</v>
      </c>
      <c r="V149" s="21"/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</row>
    <row r="150" spans="1:42" x14ac:dyDescent="0.25">
      <c r="A150" s="20" t="s">
        <v>85</v>
      </c>
      <c r="B150" s="21">
        <v>316</v>
      </c>
      <c r="C150" s="21">
        <v>306</v>
      </c>
      <c r="D150" s="21">
        <v>42</v>
      </c>
      <c r="E150" s="21">
        <v>37</v>
      </c>
      <c r="F150" s="21">
        <v>55</v>
      </c>
      <c r="G150" s="22">
        <v>3.5030152536360409E-3</v>
      </c>
      <c r="H150" s="22">
        <v>3.3588356036573989E-3</v>
      </c>
      <c r="I150" s="22">
        <v>4.5896121777709781E-4</v>
      </c>
      <c r="J150" s="22">
        <v>4.0895726949178771E-4</v>
      </c>
      <c r="K150" s="22">
        <v>6.2334954042138433E-4</v>
      </c>
      <c r="L150" s="21">
        <v>308</v>
      </c>
      <c r="M150" s="21">
        <v>297</v>
      </c>
      <c r="N150" s="21">
        <v>27</v>
      </c>
      <c r="O150" s="21">
        <v>25</v>
      </c>
      <c r="P150" s="21">
        <v>29</v>
      </c>
      <c r="Q150" s="22">
        <v>0.97468354430379744</v>
      </c>
      <c r="R150" s="22">
        <v>0.97058823529411764</v>
      </c>
      <c r="S150" s="22">
        <v>0.6428571428571429</v>
      </c>
      <c r="T150" s="22">
        <v>0.67567567567567566</v>
      </c>
      <c r="U150" s="22">
        <v>0.52727272727272723</v>
      </c>
      <c r="V150" s="21"/>
      <c r="W150" s="21">
        <v>14</v>
      </c>
      <c r="X150" s="21">
        <v>592</v>
      </c>
      <c r="Y150" s="21">
        <v>700</v>
      </c>
      <c r="Z150" s="21">
        <v>392</v>
      </c>
      <c r="AA150" s="21">
        <v>306</v>
      </c>
      <c r="AB150" s="22">
        <v>1.5632153105773848E-4</v>
      </c>
      <c r="AC150" s="22">
        <v>6.4964993525448277E-3</v>
      </c>
      <c r="AD150" s="22">
        <v>7.6425888723906021E-3</v>
      </c>
      <c r="AE150" s="22">
        <v>4.4286279161724002E-3</v>
      </c>
      <c r="AF150" s="22">
        <v>3.3588356036573989E-3</v>
      </c>
      <c r="AG150" s="21">
        <v>14</v>
      </c>
      <c r="AH150" s="21">
        <v>592</v>
      </c>
      <c r="AI150" s="21">
        <v>698</v>
      </c>
      <c r="AJ150" s="21">
        <v>385</v>
      </c>
      <c r="AK150" s="21">
        <v>297</v>
      </c>
      <c r="AL150" s="22">
        <v>1</v>
      </c>
      <c r="AM150" s="22">
        <v>1</v>
      </c>
      <c r="AN150" s="22">
        <v>0.99714285714285711</v>
      </c>
      <c r="AO150" s="22">
        <v>0.9821428571428571</v>
      </c>
      <c r="AP150" s="22">
        <v>0.97058823529411764</v>
      </c>
    </row>
    <row r="151" spans="1:42" x14ac:dyDescent="0.25">
      <c r="A151" s="20" t="s">
        <v>40</v>
      </c>
      <c r="B151" s="21">
        <v>0</v>
      </c>
      <c r="C151" s="21">
        <v>0</v>
      </c>
      <c r="D151" s="21">
        <v>0</v>
      </c>
      <c r="E151" s="21">
        <v>0</v>
      </c>
      <c r="F151" s="21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1">
        <v>0</v>
      </c>
      <c r="M151" s="21">
        <v>0</v>
      </c>
      <c r="N151" s="21">
        <v>0</v>
      </c>
      <c r="O151" s="21">
        <v>0</v>
      </c>
      <c r="P151" s="21">
        <v>0</v>
      </c>
      <c r="Q151" s="22">
        <v>0</v>
      </c>
      <c r="R151" s="22">
        <v>0</v>
      </c>
      <c r="S151" s="22">
        <v>0</v>
      </c>
      <c r="T151" s="22">
        <v>0</v>
      </c>
      <c r="U151" s="22">
        <v>0</v>
      </c>
      <c r="V151" s="21"/>
      <c r="W151" s="21">
        <v>0</v>
      </c>
      <c r="X151" s="21">
        <v>7</v>
      </c>
      <c r="Y151" s="21">
        <v>0</v>
      </c>
      <c r="Z151" s="21">
        <v>0</v>
      </c>
      <c r="AA151" s="21">
        <v>0</v>
      </c>
      <c r="AB151" s="22">
        <v>0</v>
      </c>
      <c r="AC151" s="22">
        <v>7.681671531725304E-5</v>
      </c>
      <c r="AD151" s="22">
        <v>0</v>
      </c>
      <c r="AE151" s="22">
        <v>0</v>
      </c>
      <c r="AF151" s="22">
        <v>0</v>
      </c>
      <c r="AG151" s="21">
        <v>0</v>
      </c>
      <c r="AH151" s="21">
        <v>7</v>
      </c>
      <c r="AI151" s="21">
        <v>0</v>
      </c>
      <c r="AJ151" s="21">
        <v>0</v>
      </c>
      <c r="AK151" s="21">
        <v>0</v>
      </c>
      <c r="AL151" s="22">
        <v>0</v>
      </c>
      <c r="AM151" s="22">
        <v>1</v>
      </c>
      <c r="AN151" s="22">
        <v>0</v>
      </c>
      <c r="AO151" s="22">
        <v>0</v>
      </c>
      <c r="AP151" s="22">
        <v>0</v>
      </c>
    </row>
    <row r="152" spans="1:42" x14ac:dyDescent="0.25">
      <c r="A152" s="20" t="s">
        <v>42</v>
      </c>
      <c r="B152" s="21">
        <v>2445</v>
      </c>
      <c r="C152" s="21">
        <v>2876</v>
      </c>
      <c r="D152" s="21">
        <v>2820</v>
      </c>
      <c r="E152" s="21">
        <v>2698</v>
      </c>
      <c r="F152" s="21">
        <v>2695</v>
      </c>
      <c r="G152" s="22">
        <v>2.7104026250443419E-2</v>
      </c>
      <c r="H152" s="22">
        <v>3.1568664039603525E-2</v>
      </c>
      <c r="I152" s="22">
        <v>3.0815967479319428E-2</v>
      </c>
      <c r="J152" s="22">
        <v>2.9820721975374141E-2</v>
      </c>
      <c r="K152" s="22">
        <v>3.0544127480647831E-2</v>
      </c>
      <c r="L152" s="21">
        <v>2341</v>
      </c>
      <c r="M152" s="21">
        <v>2758</v>
      </c>
      <c r="N152" s="21">
        <v>2702</v>
      </c>
      <c r="O152" s="21">
        <v>2581</v>
      </c>
      <c r="P152" s="21">
        <v>2585</v>
      </c>
      <c r="Q152" s="22">
        <v>0.95746421267893655</v>
      </c>
      <c r="R152" s="22">
        <v>0.958970792767733</v>
      </c>
      <c r="S152" s="22">
        <v>0.95815602836879432</v>
      </c>
      <c r="T152" s="22">
        <v>0.95663454410674575</v>
      </c>
      <c r="U152" s="22">
        <v>0.95918367346938771</v>
      </c>
      <c r="V152" s="21"/>
      <c r="W152" s="21">
        <v>1565</v>
      </c>
      <c r="X152" s="21">
        <v>1553</v>
      </c>
      <c r="Y152" s="21">
        <v>1639</v>
      </c>
      <c r="Z152" s="21">
        <v>2606</v>
      </c>
      <c r="AA152" s="21">
        <v>2876</v>
      </c>
      <c r="AB152" s="22">
        <v>1.7474514007525765E-2</v>
      </c>
      <c r="AC152" s="22">
        <v>1.7042336983956279E-2</v>
      </c>
      <c r="AD152" s="22">
        <v>1.7894575945497423E-2</v>
      </c>
      <c r="AE152" s="22">
        <v>2.9441337626391006E-2</v>
      </c>
      <c r="AF152" s="22">
        <v>3.1568664039603525E-2</v>
      </c>
      <c r="AG152" s="21">
        <v>1447</v>
      </c>
      <c r="AH152" s="21">
        <v>1454</v>
      </c>
      <c r="AI152" s="21">
        <v>1547</v>
      </c>
      <c r="AJ152" s="21">
        <v>2488</v>
      </c>
      <c r="AK152" s="21">
        <v>2758</v>
      </c>
      <c r="AL152" s="22">
        <v>0.92460063897763578</v>
      </c>
      <c r="AM152" s="22">
        <v>0.93625241468126208</v>
      </c>
      <c r="AN152" s="22">
        <v>0.94386821232458817</v>
      </c>
      <c r="AO152" s="22">
        <v>0.95471987720644669</v>
      </c>
      <c r="AP152" s="22">
        <v>0.958970792767733</v>
      </c>
    </row>
    <row r="153" spans="1:42" x14ac:dyDescent="0.25">
      <c r="A153" s="20" t="s">
        <v>45</v>
      </c>
      <c r="B153" s="21">
        <v>3873</v>
      </c>
      <c r="C153" s="21">
        <v>3544</v>
      </c>
      <c r="D153" s="21">
        <v>3336</v>
      </c>
      <c r="E153" s="21">
        <v>3164</v>
      </c>
      <c r="F153" s="21">
        <v>2945</v>
      </c>
      <c r="G153" s="22">
        <v>4.2934107839659452E-2</v>
      </c>
      <c r="H153" s="22">
        <v>3.8901024115561504E-2</v>
      </c>
      <c r="I153" s="22">
        <v>3.6454633869152341E-2</v>
      </c>
      <c r="J153" s="22">
        <v>3.4971372991135577E-2</v>
      </c>
      <c r="K153" s="22">
        <v>3.3377534482563212E-2</v>
      </c>
      <c r="L153" s="21">
        <v>3634</v>
      </c>
      <c r="M153" s="21">
        <v>3357</v>
      </c>
      <c r="N153" s="21">
        <v>3135</v>
      </c>
      <c r="O153" s="21">
        <v>2925</v>
      </c>
      <c r="P153" s="21">
        <v>2907</v>
      </c>
      <c r="Q153" s="22">
        <v>0.93829073069971602</v>
      </c>
      <c r="R153" s="22">
        <v>0.94723476297968401</v>
      </c>
      <c r="S153" s="22">
        <v>0.93974820143884896</v>
      </c>
      <c r="T153" s="22">
        <v>0.92446270543615672</v>
      </c>
      <c r="U153" s="22">
        <v>0.98709677419354835</v>
      </c>
      <c r="V153" s="21"/>
      <c r="W153" s="21">
        <v>6925</v>
      </c>
      <c r="X153" s="21">
        <v>8547</v>
      </c>
      <c r="Y153" s="21">
        <v>6271</v>
      </c>
      <c r="Z153" s="21">
        <v>4460</v>
      </c>
      <c r="AA153" s="21">
        <v>3544</v>
      </c>
      <c r="AB153" s="22">
        <v>7.7323328755345644E-2</v>
      </c>
      <c r="AC153" s="22">
        <v>9.3793209402365949E-2</v>
      </c>
      <c r="AD153" s="22">
        <v>6.8466678312516377E-2</v>
      </c>
      <c r="AE153" s="22">
        <v>5.0386940066655367E-2</v>
      </c>
      <c r="AF153" s="22">
        <v>3.8901024115561504E-2</v>
      </c>
      <c r="AG153" s="21">
        <v>6887</v>
      </c>
      <c r="AH153" s="21">
        <v>8505</v>
      </c>
      <c r="AI153" s="21">
        <v>6041</v>
      </c>
      <c r="AJ153" s="21">
        <v>4217</v>
      </c>
      <c r="AK153" s="21">
        <v>3357</v>
      </c>
      <c r="AL153" s="22">
        <v>0.99451263537906143</v>
      </c>
      <c r="AM153" s="22">
        <v>0.99508599508599505</v>
      </c>
      <c r="AN153" s="22">
        <v>0.96332323393398178</v>
      </c>
      <c r="AO153" s="22">
        <v>0.94551569506726463</v>
      </c>
      <c r="AP153" s="22">
        <v>0.94723476297968401</v>
      </c>
    </row>
    <row r="154" spans="1:42" x14ac:dyDescent="0.25">
      <c r="A154" s="20" t="s">
        <v>46</v>
      </c>
      <c r="B154" s="21">
        <v>13</v>
      </c>
      <c r="C154" s="21">
        <v>10</v>
      </c>
      <c r="D154" s="21">
        <v>269</v>
      </c>
      <c r="E154" s="21">
        <v>275</v>
      </c>
      <c r="F154" s="21">
        <v>258</v>
      </c>
      <c r="G154" s="22">
        <v>1.4411138701667258E-4</v>
      </c>
      <c r="H154" s="22">
        <v>1.0976586940056859E-4</v>
      </c>
      <c r="I154" s="22">
        <v>2.9395373233818884E-3</v>
      </c>
      <c r="J154" s="22">
        <v>3.0395472732497736E-3</v>
      </c>
      <c r="K154" s="22">
        <v>2.9240760259766755E-3</v>
      </c>
      <c r="L154" s="21">
        <v>13</v>
      </c>
      <c r="M154" s="21">
        <v>7</v>
      </c>
      <c r="N154" s="21">
        <v>266</v>
      </c>
      <c r="O154" s="21">
        <v>266</v>
      </c>
      <c r="P154" s="21">
        <v>240</v>
      </c>
      <c r="Q154" s="22">
        <v>1</v>
      </c>
      <c r="R154" s="22">
        <v>0.7</v>
      </c>
      <c r="S154" s="22">
        <v>0.98884758364312264</v>
      </c>
      <c r="T154" s="22">
        <v>0.96727272727272728</v>
      </c>
      <c r="U154" s="22">
        <v>0.93023255813953487</v>
      </c>
      <c r="V154" s="21"/>
      <c r="W154" s="21">
        <v>0</v>
      </c>
      <c r="X154" s="21">
        <v>0</v>
      </c>
      <c r="Y154" s="21">
        <v>24</v>
      </c>
      <c r="Z154" s="21">
        <v>17</v>
      </c>
      <c r="AA154" s="21">
        <v>10</v>
      </c>
      <c r="AB154" s="22">
        <v>0</v>
      </c>
      <c r="AC154" s="22">
        <v>0</v>
      </c>
      <c r="AD154" s="22">
        <v>2.6203161848196348E-4</v>
      </c>
      <c r="AE154" s="22">
        <v>1.920578433033949E-4</v>
      </c>
      <c r="AF154" s="22">
        <v>1.0976586940056859E-4</v>
      </c>
      <c r="AG154" s="21">
        <v>0</v>
      </c>
      <c r="AH154" s="21">
        <v>0</v>
      </c>
      <c r="AI154" s="21">
        <v>24</v>
      </c>
      <c r="AJ154" s="21">
        <v>13</v>
      </c>
      <c r="AK154" s="21">
        <v>7</v>
      </c>
      <c r="AL154" s="22">
        <v>0</v>
      </c>
      <c r="AM154" s="22">
        <v>0</v>
      </c>
      <c r="AN154" s="22">
        <v>1</v>
      </c>
      <c r="AO154" s="22">
        <v>0.76470588235294112</v>
      </c>
      <c r="AP154" s="22">
        <v>0.7</v>
      </c>
    </row>
    <row r="155" spans="1:42" x14ac:dyDescent="0.25">
      <c r="A155" s="20" t="s">
        <v>48</v>
      </c>
      <c r="B155" s="21">
        <v>23590</v>
      </c>
      <c r="C155" s="21">
        <v>23738</v>
      </c>
      <c r="D155" s="21">
        <v>24827</v>
      </c>
      <c r="E155" s="21">
        <v>24642</v>
      </c>
      <c r="F155" s="21">
        <v>22726</v>
      </c>
      <c r="G155" s="22">
        <v>0.26150673997871587</v>
      </c>
      <c r="H155" s="22">
        <v>0.26056222078306973</v>
      </c>
      <c r="I155" s="22">
        <v>0.27130071794647637</v>
      </c>
      <c r="J155" s="22">
        <v>0.27236554148153058</v>
      </c>
      <c r="K155" s="22">
        <v>0.25756803010211599</v>
      </c>
      <c r="L155" s="21">
        <v>22713</v>
      </c>
      <c r="M155" s="21">
        <v>22851</v>
      </c>
      <c r="N155" s="21">
        <v>23870</v>
      </c>
      <c r="O155" s="21">
        <v>23661</v>
      </c>
      <c r="P155" s="21">
        <v>21556</v>
      </c>
      <c r="Q155" s="22">
        <v>0.96282323018228066</v>
      </c>
      <c r="R155" s="22">
        <v>0.96263375179037824</v>
      </c>
      <c r="S155" s="22">
        <v>0.96145325653522373</v>
      </c>
      <c r="T155" s="22">
        <v>0.96018991964937905</v>
      </c>
      <c r="U155" s="22">
        <v>0.94851711695854968</v>
      </c>
      <c r="V155" s="21"/>
      <c r="W155" s="21">
        <v>14938</v>
      </c>
      <c r="X155" s="21">
        <v>15497</v>
      </c>
      <c r="Y155" s="21">
        <v>17567</v>
      </c>
      <c r="Z155" s="21">
        <v>23421</v>
      </c>
      <c r="AA155" s="21">
        <v>23738</v>
      </c>
      <c r="AB155" s="22">
        <v>0.16679507363860696</v>
      </c>
      <c r="AC155" s="22">
        <v>0.17006123389592431</v>
      </c>
      <c r="AD155" s="22">
        <v>0.19179622674469385</v>
      </c>
      <c r="AE155" s="22">
        <v>0.26459922047110657</v>
      </c>
      <c r="AF155" s="22">
        <v>0.26056222078306973</v>
      </c>
      <c r="AG155" s="21">
        <v>14290</v>
      </c>
      <c r="AH155" s="21">
        <v>14830</v>
      </c>
      <c r="AI155" s="21">
        <v>16789</v>
      </c>
      <c r="AJ155" s="21">
        <v>22598</v>
      </c>
      <c r="AK155" s="21">
        <v>22851</v>
      </c>
      <c r="AL155" s="22">
        <v>0.95662069888874013</v>
      </c>
      <c r="AM155" s="22">
        <v>0.95695941149899977</v>
      </c>
      <c r="AN155" s="22">
        <v>0.95571241532418738</v>
      </c>
      <c r="AO155" s="22">
        <v>0.96486059519234879</v>
      </c>
      <c r="AP155" s="22">
        <v>0.96263375179037824</v>
      </c>
    </row>
    <row r="156" spans="1:42" x14ac:dyDescent="0.25">
      <c r="A156" s="20" t="s">
        <v>49</v>
      </c>
      <c r="B156" s="21">
        <v>14</v>
      </c>
      <c r="C156" s="21">
        <v>14</v>
      </c>
      <c r="D156" s="21">
        <v>13</v>
      </c>
      <c r="E156" s="21">
        <v>12</v>
      </c>
      <c r="F156" s="21">
        <v>12</v>
      </c>
      <c r="G156" s="22">
        <v>1.551968783256474E-4</v>
      </c>
      <c r="H156" s="22">
        <v>1.5367221716079603E-4</v>
      </c>
      <c r="I156" s="22">
        <v>1.4205942455005409E-4</v>
      </c>
      <c r="J156" s="22">
        <v>1.3263479010544466E-4</v>
      </c>
      <c r="K156" s="22">
        <v>1.3600353609193838E-4</v>
      </c>
      <c r="L156" s="21">
        <v>14</v>
      </c>
      <c r="M156" s="21">
        <v>14</v>
      </c>
      <c r="N156" s="21">
        <v>13</v>
      </c>
      <c r="O156" s="21">
        <v>0</v>
      </c>
      <c r="P156" s="21">
        <v>0</v>
      </c>
      <c r="Q156" s="22">
        <v>1</v>
      </c>
      <c r="R156" s="22">
        <v>1</v>
      </c>
      <c r="S156" s="22">
        <v>1</v>
      </c>
      <c r="T156" s="22">
        <v>0</v>
      </c>
      <c r="U156" s="22">
        <v>0</v>
      </c>
      <c r="V156" s="21"/>
      <c r="W156" s="21">
        <v>0</v>
      </c>
      <c r="X156" s="21">
        <v>0</v>
      </c>
      <c r="Y156" s="21">
        <v>0</v>
      </c>
      <c r="Z156" s="21">
        <v>10</v>
      </c>
      <c r="AA156" s="21">
        <v>14</v>
      </c>
      <c r="AB156" s="22">
        <v>0</v>
      </c>
      <c r="AC156" s="22">
        <v>0</v>
      </c>
      <c r="AD156" s="22">
        <v>0</v>
      </c>
      <c r="AE156" s="22">
        <v>1.1297520194317347E-4</v>
      </c>
      <c r="AF156" s="22">
        <v>1.5367221716079603E-4</v>
      </c>
      <c r="AG156" s="21">
        <v>0</v>
      </c>
      <c r="AH156" s="21">
        <v>0</v>
      </c>
      <c r="AI156" s="21">
        <v>0</v>
      </c>
      <c r="AJ156" s="21">
        <v>10</v>
      </c>
      <c r="AK156" s="21">
        <v>14</v>
      </c>
      <c r="AL156" s="22">
        <v>0</v>
      </c>
      <c r="AM156" s="22">
        <v>0</v>
      </c>
      <c r="AN156" s="22">
        <v>0</v>
      </c>
      <c r="AO156" s="22">
        <v>1</v>
      </c>
      <c r="AP156" s="22">
        <v>1</v>
      </c>
    </row>
    <row r="157" spans="1:42" x14ac:dyDescent="0.25">
      <c r="A157" s="20" t="s">
        <v>139</v>
      </c>
      <c r="B157" s="21">
        <v>4519</v>
      </c>
      <c r="C157" s="21">
        <v>4304</v>
      </c>
      <c r="D157" s="21">
        <v>3839</v>
      </c>
      <c r="E157" s="21">
        <v>3703</v>
      </c>
      <c r="F157" s="21">
        <v>3649</v>
      </c>
      <c r="G157" s="22">
        <v>5.0095335225257186E-2</v>
      </c>
      <c r="H157" s="22">
        <v>4.7243230190004717E-2</v>
      </c>
      <c r="I157" s="22">
        <v>4.1951240834435202E-2</v>
      </c>
      <c r="J157" s="22">
        <v>4.0928885646705132E-2</v>
      </c>
      <c r="K157" s="22">
        <v>4.1356408599956936E-2</v>
      </c>
      <c r="L157" s="21">
        <v>4003</v>
      </c>
      <c r="M157" s="21">
        <v>3830</v>
      </c>
      <c r="N157" s="21">
        <v>3424</v>
      </c>
      <c r="O157" s="21">
        <v>3320</v>
      </c>
      <c r="P157" s="21">
        <v>3271</v>
      </c>
      <c r="Q157" s="22">
        <v>0.88581544589510952</v>
      </c>
      <c r="R157" s="22">
        <v>0.88986988847583648</v>
      </c>
      <c r="S157" s="22">
        <v>0.8918989320135452</v>
      </c>
      <c r="T157" s="22">
        <v>0.89657034836618954</v>
      </c>
      <c r="U157" s="22">
        <v>0.89640997533570843</v>
      </c>
      <c r="V157" s="21"/>
      <c r="W157" s="21">
        <v>9539</v>
      </c>
      <c r="X157" s="21">
        <v>9448</v>
      </c>
      <c r="Y157" s="21">
        <v>7670</v>
      </c>
      <c r="Z157" s="21">
        <v>5027</v>
      </c>
      <c r="AA157" s="21">
        <v>4304</v>
      </c>
      <c r="AB157" s="22">
        <v>0.10651079176855481</v>
      </c>
      <c r="AC157" s="22">
        <v>0.10368061804534381</v>
      </c>
      <c r="AD157" s="22">
        <v>8.374093807319416E-2</v>
      </c>
      <c r="AE157" s="22">
        <v>5.6792634016833307E-2</v>
      </c>
      <c r="AF157" s="22">
        <v>4.7243230190004717E-2</v>
      </c>
      <c r="AG157" s="21">
        <v>9124</v>
      </c>
      <c r="AH157" s="21">
        <v>8910</v>
      </c>
      <c r="AI157" s="21">
        <v>7121</v>
      </c>
      <c r="AJ157" s="21">
        <v>4574</v>
      </c>
      <c r="AK157" s="21">
        <v>3830</v>
      </c>
      <c r="AL157" s="22">
        <v>0.95649439144564419</v>
      </c>
      <c r="AM157" s="22">
        <v>0.94305673158340386</v>
      </c>
      <c r="AN157" s="22">
        <v>0.92842242503259453</v>
      </c>
      <c r="AO157" s="22">
        <v>0.90988661229361445</v>
      </c>
      <c r="AP157" s="22">
        <v>0.88986988847583648</v>
      </c>
    </row>
    <row r="158" spans="1:42" x14ac:dyDescent="0.25">
      <c r="A158" s="20" t="s">
        <v>53</v>
      </c>
      <c r="B158" s="21">
        <v>0</v>
      </c>
      <c r="C158" s="21">
        <v>0</v>
      </c>
      <c r="D158" s="21">
        <v>0</v>
      </c>
      <c r="E158" s="21">
        <v>0</v>
      </c>
      <c r="F158" s="21">
        <v>2</v>
      </c>
      <c r="G158" s="22">
        <v>0</v>
      </c>
      <c r="H158" s="22">
        <v>0</v>
      </c>
      <c r="I158" s="22">
        <v>0</v>
      </c>
      <c r="J158" s="22">
        <v>0</v>
      </c>
      <c r="K158" s="22">
        <v>2.2667256015323065E-5</v>
      </c>
      <c r="L158" s="21">
        <v>0</v>
      </c>
      <c r="M158" s="21">
        <v>0</v>
      </c>
      <c r="N158" s="21">
        <v>0</v>
      </c>
      <c r="O158" s="21">
        <v>0</v>
      </c>
      <c r="P158" s="21">
        <v>2</v>
      </c>
      <c r="Q158" s="22">
        <v>0</v>
      </c>
      <c r="R158" s="22">
        <v>0</v>
      </c>
      <c r="S158" s="22">
        <v>0</v>
      </c>
      <c r="T158" s="22">
        <v>0</v>
      </c>
      <c r="U158" s="22">
        <v>1</v>
      </c>
      <c r="V158" s="21"/>
      <c r="W158" s="21">
        <v>0</v>
      </c>
      <c r="X158" s="21">
        <v>0</v>
      </c>
      <c r="Y158" s="21">
        <v>0</v>
      </c>
      <c r="Z158" s="21">
        <v>0</v>
      </c>
      <c r="AA158" s="21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1">
        <v>0</v>
      </c>
      <c r="AH158" s="21">
        <v>0</v>
      </c>
      <c r="AI158" s="21">
        <v>0</v>
      </c>
      <c r="AJ158" s="21">
        <v>0</v>
      </c>
      <c r="AK158" s="21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</row>
    <row r="159" spans="1:42" x14ac:dyDescent="0.25">
      <c r="A159" s="20" t="s">
        <v>54</v>
      </c>
      <c r="B159" s="21">
        <v>165</v>
      </c>
      <c r="C159" s="21">
        <v>160</v>
      </c>
      <c r="D159" s="21">
        <v>161</v>
      </c>
      <c r="E159" s="21">
        <v>161</v>
      </c>
      <c r="F159" s="21">
        <v>166</v>
      </c>
      <c r="G159" s="22">
        <v>1.8291060659808443E-3</v>
      </c>
      <c r="H159" s="22">
        <v>1.7562539104090974E-3</v>
      </c>
      <c r="I159" s="22">
        <v>1.7593513348122083E-3</v>
      </c>
      <c r="J159" s="22">
        <v>1.7795167672480492E-3</v>
      </c>
      <c r="K159" s="22">
        <v>1.8813822492718144E-3</v>
      </c>
      <c r="L159" s="21">
        <v>114</v>
      </c>
      <c r="M159" s="21">
        <v>119</v>
      </c>
      <c r="N159" s="21">
        <v>121</v>
      </c>
      <c r="O159" s="21">
        <v>123</v>
      </c>
      <c r="P159" s="21">
        <v>120</v>
      </c>
      <c r="Q159" s="22">
        <v>0.69090909090909092</v>
      </c>
      <c r="R159" s="22">
        <v>0.74375000000000002</v>
      </c>
      <c r="S159" s="22">
        <v>0.75155279503105588</v>
      </c>
      <c r="T159" s="22">
        <v>0.7639751552795031</v>
      </c>
      <c r="U159" s="22">
        <v>0.72289156626506024</v>
      </c>
      <c r="V159" s="21"/>
      <c r="W159" s="21">
        <v>319</v>
      </c>
      <c r="X159" s="21">
        <v>363</v>
      </c>
      <c r="Y159" s="21">
        <v>337</v>
      </c>
      <c r="Z159" s="21">
        <v>193</v>
      </c>
      <c r="AA159" s="21">
        <v>160</v>
      </c>
      <c r="AB159" s="22">
        <v>3.5618977433870408E-3</v>
      </c>
      <c r="AC159" s="22">
        <v>3.9834953800232647E-3</v>
      </c>
      <c r="AD159" s="22">
        <v>3.679360642850904E-3</v>
      </c>
      <c r="AE159" s="22">
        <v>2.1804213975032479E-3</v>
      </c>
      <c r="AF159" s="22">
        <v>1.7562539104090974E-3</v>
      </c>
      <c r="AG159" s="21">
        <v>319</v>
      </c>
      <c r="AH159" s="21">
        <v>323</v>
      </c>
      <c r="AI159" s="21">
        <v>290</v>
      </c>
      <c r="AJ159" s="21">
        <v>132</v>
      </c>
      <c r="AK159" s="21">
        <v>119</v>
      </c>
      <c r="AL159" s="22">
        <v>1</v>
      </c>
      <c r="AM159" s="22">
        <v>0.88980716253443526</v>
      </c>
      <c r="AN159" s="22">
        <v>0.86053412462908008</v>
      </c>
      <c r="AO159" s="22">
        <v>0.68393782383419688</v>
      </c>
      <c r="AP159" s="22">
        <v>0.74375000000000002</v>
      </c>
    </row>
    <row r="160" spans="1:42" x14ac:dyDescent="0.25">
      <c r="A160" s="20" t="s">
        <v>57</v>
      </c>
      <c r="B160" s="21">
        <v>293</v>
      </c>
      <c r="C160" s="21">
        <v>285</v>
      </c>
      <c r="D160" s="21">
        <v>282</v>
      </c>
      <c r="E160" s="21">
        <v>272</v>
      </c>
      <c r="F160" s="21">
        <v>271</v>
      </c>
      <c r="G160" s="22">
        <v>3.2480489535296206E-3</v>
      </c>
      <c r="H160" s="22">
        <v>3.1283272779162046E-3</v>
      </c>
      <c r="I160" s="22">
        <v>3.0815967479319428E-3</v>
      </c>
      <c r="J160" s="22">
        <v>3.0063885757234121E-3</v>
      </c>
      <c r="K160" s="22">
        <v>3.0714131900762753E-3</v>
      </c>
      <c r="L160" s="21">
        <v>292</v>
      </c>
      <c r="M160" s="21">
        <v>284</v>
      </c>
      <c r="N160" s="21">
        <v>273</v>
      </c>
      <c r="O160" s="21">
        <v>266</v>
      </c>
      <c r="P160" s="21">
        <v>266</v>
      </c>
      <c r="Q160" s="22">
        <v>0.9965870307167235</v>
      </c>
      <c r="R160" s="22">
        <v>0.99649122807017543</v>
      </c>
      <c r="S160" s="22">
        <v>0.96808510638297873</v>
      </c>
      <c r="T160" s="22">
        <v>0.9779411764705882</v>
      </c>
      <c r="U160" s="22">
        <v>0.98154981549815501</v>
      </c>
      <c r="V160" s="21"/>
      <c r="W160" s="21">
        <v>366</v>
      </c>
      <c r="X160" s="21">
        <v>700</v>
      </c>
      <c r="Y160" s="21">
        <v>684</v>
      </c>
      <c r="Z160" s="21">
        <v>660</v>
      </c>
      <c r="AA160" s="21">
        <v>285</v>
      </c>
      <c r="AB160" s="22">
        <v>4.0866914547951633E-3</v>
      </c>
      <c r="AC160" s="22">
        <v>7.6816715317253037E-3</v>
      </c>
      <c r="AD160" s="22">
        <v>7.4679011267359593E-3</v>
      </c>
      <c r="AE160" s="22">
        <v>7.456363328249449E-3</v>
      </c>
      <c r="AF160" s="22">
        <v>3.1283272779162046E-3</v>
      </c>
      <c r="AG160" s="21">
        <v>365</v>
      </c>
      <c r="AH160" s="21">
        <v>699</v>
      </c>
      <c r="AI160" s="21">
        <v>683</v>
      </c>
      <c r="AJ160" s="21">
        <v>660</v>
      </c>
      <c r="AK160" s="21">
        <v>284</v>
      </c>
      <c r="AL160" s="22">
        <v>0.99726775956284153</v>
      </c>
      <c r="AM160" s="22">
        <v>0.99857142857142855</v>
      </c>
      <c r="AN160" s="22">
        <v>0.99853801169590639</v>
      </c>
      <c r="AO160" s="22">
        <v>1</v>
      </c>
      <c r="AP160" s="22">
        <v>0.99649122807017543</v>
      </c>
    </row>
    <row r="161" spans="1:55" x14ac:dyDescent="0.25">
      <c r="A161" s="20" t="s">
        <v>58</v>
      </c>
      <c r="B161" s="21">
        <v>6</v>
      </c>
      <c r="C161" s="21">
        <v>5</v>
      </c>
      <c r="D161" s="21">
        <v>0</v>
      </c>
      <c r="E161" s="21">
        <v>0</v>
      </c>
      <c r="F161" s="21">
        <v>0</v>
      </c>
      <c r="G161" s="22">
        <v>6.6512947853848879E-5</v>
      </c>
      <c r="H161" s="22">
        <v>5.4882934700284295E-5</v>
      </c>
      <c r="I161" s="22">
        <v>0</v>
      </c>
      <c r="J161" s="22">
        <v>0</v>
      </c>
      <c r="K161" s="22">
        <v>0</v>
      </c>
      <c r="L161" s="21">
        <v>6</v>
      </c>
      <c r="M161" s="21">
        <v>5</v>
      </c>
      <c r="N161" s="21">
        <v>0</v>
      </c>
      <c r="O161" s="21">
        <v>0</v>
      </c>
      <c r="P161" s="21">
        <v>0</v>
      </c>
      <c r="Q161" s="22">
        <v>1</v>
      </c>
      <c r="R161" s="22">
        <v>1</v>
      </c>
      <c r="S161" s="22">
        <v>0</v>
      </c>
      <c r="T161" s="22">
        <v>0</v>
      </c>
      <c r="U161" s="22">
        <v>0</v>
      </c>
      <c r="V161" s="21"/>
      <c r="W161" s="21">
        <v>0</v>
      </c>
      <c r="X161" s="21">
        <v>9</v>
      </c>
      <c r="Y161" s="21">
        <v>2</v>
      </c>
      <c r="Z161" s="21">
        <v>0</v>
      </c>
      <c r="AA161" s="21">
        <v>5</v>
      </c>
      <c r="AB161" s="22">
        <v>0</v>
      </c>
      <c r="AC161" s="22">
        <v>9.8764348265039615E-5</v>
      </c>
      <c r="AD161" s="22">
        <v>2.1835968206830292E-5</v>
      </c>
      <c r="AE161" s="22">
        <v>0</v>
      </c>
      <c r="AF161" s="22">
        <v>5.4882934700284295E-5</v>
      </c>
      <c r="AG161" s="21">
        <v>0</v>
      </c>
      <c r="AH161" s="21">
        <v>9</v>
      </c>
      <c r="AI161" s="21">
        <v>2</v>
      </c>
      <c r="AJ161" s="21">
        <v>0</v>
      </c>
      <c r="AK161" s="21">
        <v>5</v>
      </c>
      <c r="AL161" s="22">
        <v>0</v>
      </c>
      <c r="AM161" s="22">
        <v>1</v>
      </c>
      <c r="AN161" s="22">
        <v>1</v>
      </c>
      <c r="AO161" s="22">
        <v>0</v>
      </c>
      <c r="AP161" s="22">
        <v>1</v>
      </c>
    </row>
    <row r="162" spans="1:55" x14ac:dyDescent="0.25">
      <c r="A162" s="20" t="s">
        <v>59</v>
      </c>
      <c r="B162" s="21">
        <v>26</v>
      </c>
      <c r="C162" s="21">
        <v>27</v>
      </c>
      <c r="D162" s="21">
        <v>27</v>
      </c>
      <c r="E162" s="21">
        <v>34</v>
      </c>
      <c r="F162" s="21">
        <v>38</v>
      </c>
      <c r="G162" s="22">
        <v>2.8822277403334516E-4</v>
      </c>
      <c r="H162" s="22">
        <v>2.9636784738153518E-4</v>
      </c>
      <c r="I162" s="22">
        <v>2.9504649714242004E-4</v>
      </c>
      <c r="J162" s="22">
        <v>3.7579857196542651E-4</v>
      </c>
      <c r="K162" s="22">
        <v>4.3067786429113825E-4</v>
      </c>
      <c r="L162" s="21">
        <v>26</v>
      </c>
      <c r="M162" s="21">
        <v>27</v>
      </c>
      <c r="N162" s="21">
        <v>27</v>
      </c>
      <c r="O162" s="21">
        <v>34</v>
      </c>
      <c r="P162" s="21">
        <v>38</v>
      </c>
      <c r="Q162" s="22">
        <v>1</v>
      </c>
      <c r="R162" s="22">
        <v>1</v>
      </c>
      <c r="S162" s="22">
        <v>1</v>
      </c>
      <c r="T162" s="22">
        <v>1</v>
      </c>
      <c r="U162" s="22">
        <v>1</v>
      </c>
      <c r="V162" s="21"/>
      <c r="W162" s="21">
        <v>0</v>
      </c>
      <c r="X162" s="21">
        <v>0</v>
      </c>
      <c r="Y162" s="21">
        <v>11</v>
      </c>
      <c r="Z162" s="21">
        <v>19</v>
      </c>
      <c r="AA162" s="21">
        <v>27</v>
      </c>
      <c r="AB162" s="22">
        <v>0</v>
      </c>
      <c r="AC162" s="22">
        <v>0</v>
      </c>
      <c r="AD162" s="22">
        <v>1.200978251375666E-4</v>
      </c>
      <c r="AE162" s="22">
        <v>2.1465288369202959E-4</v>
      </c>
      <c r="AF162" s="22">
        <v>2.9636784738153518E-4</v>
      </c>
      <c r="AG162" s="21">
        <v>0</v>
      </c>
      <c r="AH162" s="21">
        <v>0</v>
      </c>
      <c r="AI162" s="21">
        <v>11</v>
      </c>
      <c r="AJ162" s="21">
        <v>0</v>
      </c>
      <c r="AK162" s="21">
        <v>27</v>
      </c>
      <c r="AL162" s="22">
        <v>0</v>
      </c>
      <c r="AM162" s="22">
        <v>0</v>
      </c>
      <c r="AN162" s="22">
        <v>1</v>
      </c>
      <c r="AO162" s="22">
        <v>0</v>
      </c>
      <c r="AP162" s="22">
        <v>1</v>
      </c>
    </row>
    <row r="163" spans="1:55" x14ac:dyDescent="0.25">
      <c r="A163" s="20" t="s">
        <v>60</v>
      </c>
      <c r="B163" s="21">
        <v>4230</v>
      </c>
      <c r="C163" s="21">
        <v>4074</v>
      </c>
      <c r="D163" s="21">
        <v>3969</v>
      </c>
      <c r="E163" s="21">
        <v>3854</v>
      </c>
      <c r="F163" s="21">
        <v>3844</v>
      </c>
      <c r="G163" s="22">
        <v>4.689162823696346E-2</v>
      </c>
      <c r="H163" s="22">
        <v>4.4718615193791646E-2</v>
      </c>
      <c r="I163" s="22">
        <v>4.3371835079935743E-2</v>
      </c>
      <c r="J163" s="22">
        <v>4.2597873422198645E-2</v>
      </c>
      <c r="K163" s="22">
        <v>4.3566466061450933E-2</v>
      </c>
      <c r="L163" s="21">
        <v>4180</v>
      </c>
      <c r="M163" s="21">
        <v>4025</v>
      </c>
      <c r="N163" s="21">
        <v>3922</v>
      </c>
      <c r="O163" s="21">
        <v>3807</v>
      </c>
      <c r="P163" s="21">
        <v>3786</v>
      </c>
      <c r="Q163" s="22">
        <v>0.98817966903073284</v>
      </c>
      <c r="R163" s="22">
        <v>0.98797250859106533</v>
      </c>
      <c r="S163" s="22">
        <v>0.98815822625346439</v>
      </c>
      <c r="T163" s="22">
        <v>0.98780487804878048</v>
      </c>
      <c r="U163" s="22">
        <v>0.98491155046826218</v>
      </c>
      <c r="V163" s="21"/>
      <c r="W163" s="21">
        <v>4335</v>
      </c>
      <c r="X163" s="21">
        <v>4737</v>
      </c>
      <c r="Y163" s="21">
        <v>4701</v>
      </c>
      <c r="Z163" s="21">
        <v>5223</v>
      </c>
      <c r="AA163" s="21">
        <v>4074</v>
      </c>
      <c r="AB163" s="22">
        <v>4.840384550966402E-2</v>
      </c>
      <c r="AC163" s="22">
        <v>5.1982968636832515E-2</v>
      </c>
      <c r="AD163" s="22">
        <v>5.1325443270154598E-2</v>
      </c>
      <c r="AE163" s="22">
        <v>5.9006947974919503E-2</v>
      </c>
      <c r="AF163" s="22">
        <v>4.4718615193791646E-2</v>
      </c>
      <c r="AG163" s="21">
        <v>4253</v>
      </c>
      <c r="AH163" s="21">
        <v>4699</v>
      </c>
      <c r="AI163" s="21">
        <v>4641</v>
      </c>
      <c r="AJ163" s="21">
        <v>5167</v>
      </c>
      <c r="AK163" s="21">
        <v>4025</v>
      </c>
      <c r="AL163" s="22">
        <v>0.98108419838523642</v>
      </c>
      <c r="AM163" s="22">
        <v>0.99197804517627186</v>
      </c>
      <c r="AN163" s="22">
        <v>0.98723675813656664</v>
      </c>
      <c r="AO163" s="22">
        <v>0.98927819260961136</v>
      </c>
      <c r="AP163" s="22">
        <v>0.98797250859106533</v>
      </c>
    </row>
    <row r="164" spans="1:55" x14ac:dyDescent="0.25">
      <c r="A164" s="20" t="s">
        <v>63</v>
      </c>
      <c r="B164" s="21">
        <v>43</v>
      </c>
      <c r="C164" s="21">
        <v>97</v>
      </c>
      <c r="D164" s="21">
        <v>754</v>
      </c>
      <c r="E164" s="21">
        <v>77</v>
      </c>
      <c r="F164" s="21">
        <v>54</v>
      </c>
      <c r="G164" s="22">
        <v>4.7667612628591699E-4</v>
      </c>
      <c r="H164" s="22">
        <v>1.0647289331855152E-3</v>
      </c>
      <c r="I164" s="22">
        <v>8.2394466239031367E-3</v>
      </c>
      <c r="J164" s="22">
        <v>8.5107323650993657E-4</v>
      </c>
      <c r="K164" s="22">
        <v>6.1201591241372274E-4</v>
      </c>
      <c r="L164" s="21">
        <v>43</v>
      </c>
      <c r="M164" s="21">
        <v>97</v>
      </c>
      <c r="N164" s="21">
        <v>482</v>
      </c>
      <c r="O164" s="21">
        <v>0</v>
      </c>
      <c r="P164" s="21">
        <v>30</v>
      </c>
      <c r="Q164" s="22">
        <v>1</v>
      </c>
      <c r="R164" s="22">
        <v>1</v>
      </c>
      <c r="S164" s="22">
        <v>0.63925729442970824</v>
      </c>
      <c r="T164" s="22">
        <v>0</v>
      </c>
      <c r="U164" s="22">
        <v>0.55555555555555558</v>
      </c>
      <c r="V164" s="21"/>
      <c r="W164" s="21">
        <v>6</v>
      </c>
      <c r="X164" s="21">
        <v>51</v>
      </c>
      <c r="Y164" s="21">
        <v>60</v>
      </c>
      <c r="Z164" s="21">
        <v>49</v>
      </c>
      <c r="AA164" s="21">
        <v>97</v>
      </c>
      <c r="AB164" s="22">
        <v>6.6994941881887916E-5</v>
      </c>
      <c r="AC164" s="22">
        <v>5.5966464016855779E-4</v>
      </c>
      <c r="AD164" s="22">
        <v>6.5507904620490875E-4</v>
      </c>
      <c r="AE164" s="22">
        <v>5.5357848952155002E-4</v>
      </c>
      <c r="AF164" s="22">
        <v>1.0647289331855152E-3</v>
      </c>
      <c r="AG164" s="21">
        <v>6</v>
      </c>
      <c r="AH164" s="21">
        <v>51</v>
      </c>
      <c r="AI164" s="21">
        <v>58</v>
      </c>
      <c r="AJ164" s="21">
        <v>49</v>
      </c>
      <c r="AK164" s="21">
        <v>97</v>
      </c>
      <c r="AL164" s="22">
        <v>1</v>
      </c>
      <c r="AM164" s="22">
        <v>1</v>
      </c>
      <c r="AN164" s="22">
        <v>0.96666666666666667</v>
      </c>
      <c r="AO164" s="22">
        <v>1</v>
      </c>
      <c r="AP164" s="22">
        <v>1</v>
      </c>
    </row>
    <row r="165" spans="1:55" x14ac:dyDescent="0.25">
      <c r="A165" s="20" t="s">
        <v>66</v>
      </c>
      <c r="B165" s="21">
        <v>0</v>
      </c>
      <c r="C165" s="21">
        <v>0</v>
      </c>
      <c r="D165" s="21">
        <v>0</v>
      </c>
      <c r="E165" s="21">
        <v>0</v>
      </c>
      <c r="F165" s="21">
        <v>66</v>
      </c>
      <c r="G165" s="22">
        <v>0</v>
      </c>
      <c r="H165" s="22">
        <v>0</v>
      </c>
      <c r="I165" s="22">
        <v>0</v>
      </c>
      <c r="J165" s="22">
        <v>0</v>
      </c>
      <c r="K165" s="22">
        <v>7.4801944850566115E-4</v>
      </c>
      <c r="L165" s="21">
        <v>0</v>
      </c>
      <c r="M165" s="21">
        <v>0</v>
      </c>
      <c r="N165" s="21">
        <v>0</v>
      </c>
      <c r="O165" s="21">
        <v>0</v>
      </c>
      <c r="P165" s="21">
        <v>66</v>
      </c>
      <c r="Q165" s="22">
        <v>0</v>
      </c>
      <c r="R165" s="22">
        <v>0</v>
      </c>
      <c r="S165" s="22">
        <v>0</v>
      </c>
      <c r="T165" s="22">
        <v>0</v>
      </c>
      <c r="U165" s="22">
        <v>1</v>
      </c>
      <c r="V165" s="21"/>
      <c r="W165" s="21">
        <v>1</v>
      </c>
      <c r="X165" s="21">
        <v>1</v>
      </c>
      <c r="Y165" s="21">
        <v>0</v>
      </c>
      <c r="Z165" s="21">
        <v>0</v>
      </c>
      <c r="AA165" s="21">
        <v>0</v>
      </c>
      <c r="AB165" s="22">
        <v>1.1165823646981319E-5</v>
      </c>
      <c r="AC165" s="22">
        <v>1.0973816473893291E-5</v>
      </c>
      <c r="AD165" s="22">
        <v>0</v>
      </c>
      <c r="AE165" s="22">
        <v>0</v>
      </c>
      <c r="AF165" s="22">
        <v>0</v>
      </c>
      <c r="AG165" s="21">
        <v>0</v>
      </c>
      <c r="AH165" s="21">
        <v>1</v>
      </c>
      <c r="AI165" s="21">
        <v>0</v>
      </c>
      <c r="AJ165" s="21">
        <v>0</v>
      </c>
      <c r="AK165" s="21">
        <v>0</v>
      </c>
      <c r="AL165" s="22">
        <v>0</v>
      </c>
      <c r="AM165" s="22">
        <v>1</v>
      </c>
      <c r="AN165" s="22">
        <v>0</v>
      </c>
      <c r="AO165" s="22">
        <v>0</v>
      </c>
      <c r="AP165" s="22">
        <v>0</v>
      </c>
    </row>
    <row r="166" spans="1:55" x14ac:dyDescent="0.25">
      <c r="A166" s="31" t="s">
        <v>76</v>
      </c>
      <c r="B166" s="29">
        <v>90208</v>
      </c>
      <c r="C166" s="29">
        <v>91103</v>
      </c>
      <c r="D166" s="29">
        <v>91511</v>
      </c>
      <c r="E166" s="29">
        <v>90474</v>
      </c>
      <c r="F166" s="29">
        <v>88233</v>
      </c>
      <c r="G166" s="24">
        <v>1</v>
      </c>
      <c r="H166" s="24">
        <v>1</v>
      </c>
      <c r="I166" s="24">
        <v>1</v>
      </c>
      <c r="J166" s="24">
        <v>1</v>
      </c>
      <c r="K166" s="24">
        <v>1</v>
      </c>
      <c r="L166" s="29">
        <v>75148</v>
      </c>
      <c r="M166" s="29">
        <v>76850</v>
      </c>
      <c r="N166" s="29">
        <v>77380</v>
      </c>
      <c r="O166" s="29">
        <v>76867</v>
      </c>
      <c r="P166" s="29">
        <v>74576</v>
      </c>
      <c r="Q166" s="24">
        <v>0.83305250088683935</v>
      </c>
      <c r="R166" s="24">
        <v>0.84355070634336959</v>
      </c>
      <c r="S166" s="24">
        <v>0.84558140551409122</v>
      </c>
      <c r="T166" s="24">
        <v>0.84960320091960118</v>
      </c>
      <c r="U166" s="24">
        <v>0.84521664229936644</v>
      </c>
      <c r="V166" s="23"/>
      <c r="W166" s="29">
        <v>89559</v>
      </c>
      <c r="X166" s="29">
        <v>91126</v>
      </c>
      <c r="Y166" s="29">
        <v>91592</v>
      </c>
      <c r="Z166" s="29">
        <v>88515</v>
      </c>
      <c r="AA166" s="29">
        <v>91103</v>
      </c>
      <c r="AB166" s="24">
        <v>1</v>
      </c>
      <c r="AC166" s="24">
        <v>1</v>
      </c>
      <c r="AD166" s="24">
        <v>1</v>
      </c>
      <c r="AE166" s="24">
        <v>1</v>
      </c>
      <c r="AF166" s="24">
        <v>1</v>
      </c>
      <c r="AG166" s="29">
        <v>68008</v>
      </c>
      <c r="AH166" s="29">
        <v>70864</v>
      </c>
      <c r="AI166" s="29">
        <v>72910</v>
      </c>
      <c r="AJ166" s="29">
        <v>71782</v>
      </c>
      <c r="AK166" s="29">
        <v>76850</v>
      </c>
      <c r="AL166" s="24">
        <v>0.75936533458390554</v>
      </c>
      <c r="AM166" s="24">
        <v>0.77764853060597416</v>
      </c>
      <c r="AN166" s="24">
        <v>0.7960302209799982</v>
      </c>
      <c r="AO166" s="24">
        <v>0.81095859458848785</v>
      </c>
      <c r="AP166" s="24">
        <v>0.84355070634336959</v>
      </c>
    </row>
    <row r="167" spans="1:55" x14ac:dyDescent="0.25">
      <c r="A167" s="20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2"/>
      <c r="AC167" s="22"/>
      <c r="AD167" s="22"/>
      <c r="AE167" s="22"/>
      <c r="AF167" s="22"/>
      <c r="AG167" s="21"/>
      <c r="AH167" s="21"/>
      <c r="AI167" s="21"/>
      <c r="AJ167" s="21"/>
      <c r="AK167" s="21"/>
      <c r="AL167" s="22"/>
      <c r="AM167" s="22"/>
      <c r="AN167" s="22"/>
      <c r="AO167" s="22"/>
      <c r="AP167" s="22"/>
    </row>
    <row r="168" spans="1:55" x14ac:dyDescent="0.25">
      <c r="A168" s="30" t="s">
        <v>77</v>
      </c>
      <c r="B168" s="27" t="s">
        <v>12</v>
      </c>
      <c r="C168" s="27" t="s">
        <v>13</v>
      </c>
      <c r="D168" s="27" t="s">
        <v>14</v>
      </c>
      <c r="E168" s="27" t="s">
        <v>15</v>
      </c>
      <c r="F168" s="27" t="s">
        <v>16</v>
      </c>
      <c r="G168" s="27" t="s">
        <v>12</v>
      </c>
      <c r="H168" s="27" t="s">
        <v>13</v>
      </c>
      <c r="I168" s="27" t="s">
        <v>14</v>
      </c>
      <c r="J168" s="27" t="s">
        <v>15</v>
      </c>
      <c r="K168" s="27" t="s">
        <v>16</v>
      </c>
      <c r="L168" s="27" t="s">
        <v>12</v>
      </c>
      <c r="M168" s="27" t="s">
        <v>13</v>
      </c>
      <c r="N168" s="27" t="s">
        <v>14</v>
      </c>
      <c r="O168" s="27" t="s">
        <v>15</v>
      </c>
      <c r="P168" s="27" t="s">
        <v>16</v>
      </c>
      <c r="Q168" s="27" t="s">
        <v>12</v>
      </c>
      <c r="R168" s="27" t="s">
        <v>13</v>
      </c>
      <c r="S168" s="27" t="s">
        <v>14</v>
      </c>
      <c r="T168" s="27" t="s">
        <v>15</v>
      </c>
      <c r="U168" s="27" t="s">
        <v>16</v>
      </c>
      <c r="V168" s="27"/>
      <c r="W168" s="27" t="s">
        <v>17</v>
      </c>
      <c r="X168" s="27" t="s">
        <v>18</v>
      </c>
      <c r="Y168" s="27" t="s">
        <v>19</v>
      </c>
      <c r="Z168" s="27" t="s">
        <v>20</v>
      </c>
      <c r="AA168" s="27" t="s">
        <v>21</v>
      </c>
      <c r="AB168" s="27" t="s">
        <v>17</v>
      </c>
      <c r="AC168" s="27" t="s">
        <v>18</v>
      </c>
      <c r="AD168" s="27" t="s">
        <v>19</v>
      </c>
      <c r="AE168" s="27" t="s">
        <v>20</v>
      </c>
      <c r="AF168" s="27" t="s">
        <v>21</v>
      </c>
      <c r="AG168" s="27" t="s">
        <v>17</v>
      </c>
      <c r="AH168" s="27" t="s">
        <v>18</v>
      </c>
      <c r="AI168" s="27" t="s">
        <v>19</v>
      </c>
      <c r="AJ168" s="27" t="s">
        <v>20</v>
      </c>
      <c r="AK168" s="27" t="s">
        <v>21</v>
      </c>
      <c r="AL168" s="27" t="s">
        <v>17</v>
      </c>
      <c r="AM168" s="27" t="s">
        <v>18</v>
      </c>
      <c r="AN168" s="27" t="s">
        <v>19</v>
      </c>
      <c r="AO168" s="27" t="s">
        <v>20</v>
      </c>
      <c r="AP168" s="27" t="s">
        <v>21</v>
      </c>
    </row>
    <row r="169" spans="1:55" x14ac:dyDescent="0.25">
      <c r="A169" s="20" t="s">
        <v>22</v>
      </c>
      <c r="B169" s="21">
        <v>0</v>
      </c>
      <c r="C169" s="21">
        <v>0</v>
      </c>
      <c r="D169" s="21">
        <v>0</v>
      </c>
      <c r="E169" s="21">
        <v>0</v>
      </c>
      <c r="F169" s="21">
        <v>7</v>
      </c>
      <c r="G169" s="22">
        <v>0</v>
      </c>
      <c r="H169" s="22">
        <v>0</v>
      </c>
      <c r="I169" s="22">
        <v>0</v>
      </c>
      <c r="J169" s="22">
        <v>0</v>
      </c>
      <c r="K169" s="22">
        <v>1.9469321911331147E-4</v>
      </c>
      <c r="L169" s="21">
        <v>0</v>
      </c>
      <c r="M169" s="21">
        <v>0</v>
      </c>
      <c r="N169" s="21">
        <v>0</v>
      </c>
      <c r="O169" s="21">
        <v>0</v>
      </c>
      <c r="P169" s="21">
        <v>7</v>
      </c>
      <c r="Q169" s="22">
        <v>0</v>
      </c>
      <c r="R169" s="22">
        <v>0</v>
      </c>
      <c r="S169" s="22">
        <v>0</v>
      </c>
      <c r="T169" s="22">
        <v>0</v>
      </c>
      <c r="U169" s="22">
        <v>1</v>
      </c>
      <c r="V169" s="21"/>
      <c r="W169" s="21">
        <v>0</v>
      </c>
      <c r="X169" s="21">
        <v>0</v>
      </c>
      <c r="Y169" s="21">
        <v>0</v>
      </c>
      <c r="Z169" s="21">
        <v>0</v>
      </c>
      <c r="AA169" s="21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1">
        <v>0</v>
      </c>
      <c r="AH169" s="21">
        <v>0</v>
      </c>
      <c r="AI169" s="21">
        <v>0</v>
      </c>
      <c r="AJ169" s="21">
        <v>0</v>
      </c>
      <c r="AK169" s="21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</row>
    <row r="170" spans="1:55" s="21" customFormat="1" ht="12.75" x14ac:dyDescent="0.2">
      <c r="A170" s="20" t="s">
        <v>27</v>
      </c>
      <c r="B170" s="21">
        <v>35537</v>
      </c>
      <c r="C170" s="21">
        <v>35468</v>
      </c>
      <c r="D170" s="21">
        <v>35441</v>
      </c>
      <c r="E170" s="21">
        <v>35552</v>
      </c>
      <c r="F170" s="21">
        <v>35712</v>
      </c>
      <c r="G170" s="22">
        <v>0.99523902876186743</v>
      </c>
      <c r="H170" s="22">
        <v>0.9949506283662477</v>
      </c>
      <c r="I170" s="22">
        <v>0.99497473329590114</v>
      </c>
      <c r="J170" s="22">
        <v>0.99499034451876522</v>
      </c>
      <c r="K170" s="22">
        <v>0.99326917728208264</v>
      </c>
      <c r="L170" s="21">
        <v>4355</v>
      </c>
      <c r="M170" s="21">
        <v>4192</v>
      </c>
      <c r="N170" s="21">
        <v>3899</v>
      </c>
      <c r="O170" s="21">
        <v>3750</v>
      </c>
      <c r="P170" s="21">
        <v>3598</v>
      </c>
      <c r="Q170" s="22">
        <v>0.12254832990967161</v>
      </c>
      <c r="R170" s="22">
        <v>0.11819104544941919</v>
      </c>
      <c r="S170" s="22">
        <v>0.11001382579498321</v>
      </c>
      <c r="T170" s="22">
        <v>0.10547929792979298</v>
      </c>
      <c r="U170" s="22">
        <v>0.10075044802867383</v>
      </c>
      <c r="W170" s="21">
        <v>35986</v>
      </c>
      <c r="X170" s="21">
        <v>35881</v>
      </c>
      <c r="Y170" s="21">
        <v>36058</v>
      </c>
      <c r="Z170" s="21">
        <v>35191</v>
      </c>
      <c r="AA170" s="21">
        <v>35468</v>
      </c>
      <c r="AB170" s="22">
        <v>0.9998888580161156</v>
      </c>
      <c r="AC170" s="22">
        <v>0.99824727353661247</v>
      </c>
      <c r="AD170" s="22">
        <v>0.9967106172429997</v>
      </c>
      <c r="AE170" s="22">
        <v>0.99527688217659371</v>
      </c>
      <c r="AF170" s="22">
        <v>0.9949506283662477</v>
      </c>
      <c r="AG170" s="21">
        <v>3671</v>
      </c>
      <c r="AH170" s="21">
        <v>2996</v>
      </c>
      <c r="AI170" s="21">
        <v>5479</v>
      </c>
      <c r="AJ170" s="21">
        <v>4537</v>
      </c>
      <c r="AK170" s="21">
        <v>4192</v>
      </c>
      <c r="AL170" s="22">
        <v>0.10201189351414439</v>
      </c>
      <c r="AM170" s="22">
        <v>8.349823026114099E-2</v>
      </c>
      <c r="AN170" s="22">
        <v>0.15194963669643352</v>
      </c>
      <c r="AO170" s="22">
        <v>0.12892500923531586</v>
      </c>
      <c r="AP170" s="22">
        <v>0.11819104544941919</v>
      </c>
      <c r="AQ170" s="39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</row>
    <row r="171" spans="1:55" s="23" customFormat="1" ht="12.75" x14ac:dyDescent="0.2">
      <c r="A171" s="20" t="s">
        <v>85</v>
      </c>
      <c r="B171" s="21">
        <v>170</v>
      </c>
      <c r="C171" s="21">
        <v>180</v>
      </c>
      <c r="D171" s="21">
        <v>179</v>
      </c>
      <c r="E171" s="21">
        <v>179</v>
      </c>
      <c r="F171" s="21">
        <v>235</v>
      </c>
      <c r="G171" s="22">
        <v>4.7609712381325789E-3</v>
      </c>
      <c r="H171" s="22">
        <v>5.0493716337522438E-3</v>
      </c>
      <c r="I171" s="22">
        <v>5.0252667040988205E-3</v>
      </c>
      <c r="J171" s="22">
        <v>5.0096554812347821E-3</v>
      </c>
      <c r="K171" s="22">
        <v>6.5361294988040275E-3</v>
      </c>
      <c r="L171" s="21">
        <v>162</v>
      </c>
      <c r="M171" s="21">
        <v>171</v>
      </c>
      <c r="N171" s="21">
        <v>162</v>
      </c>
      <c r="O171" s="21">
        <v>161</v>
      </c>
      <c r="P171" s="21">
        <v>156</v>
      </c>
      <c r="Q171" s="22">
        <v>0.95294117647058818</v>
      </c>
      <c r="R171" s="22">
        <v>0.95</v>
      </c>
      <c r="S171" s="22">
        <v>0.9050279329608939</v>
      </c>
      <c r="T171" s="22">
        <v>0.8994413407821229</v>
      </c>
      <c r="U171" s="22">
        <v>0.66382978723404251</v>
      </c>
      <c r="V171" s="21"/>
      <c r="W171" s="21">
        <v>4</v>
      </c>
      <c r="X171" s="21">
        <v>63</v>
      </c>
      <c r="Y171" s="21">
        <v>119</v>
      </c>
      <c r="Z171" s="21">
        <v>167</v>
      </c>
      <c r="AA171" s="21">
        <v>180</v>
      </c>
      <c r="AB171" s="22">
        <v>1.1114198388441234E-4</v>
      </c>
      <c r="AC171" s="22">
        <v>1.7527264633874916E-3</v>
      </c>
      <c r="AD171" s="22">
        <v>3.289382757000304E-3</v>
      </c>
      <c r="AE171" s="22">
        <v>4.7231178234063012E-3</v>
      </c>
      <c r="AF171" s="22">
        <v>5.0493716337522438E-3</v>
      </c>
      <c r="AG171" s="21">
        <v>4</v>
      </c>
      <c r="AH171" s="21">
        <v>63</v>
      </c>
      <c r="AI171" s="21">
        <v>118</v>
      </c>
      <c r="AJ171" s="21">
        <v>161</v>
      </c>
      <c r="AK171" s="21">
        <v>171</v>
      </c>
      <c r="AL171" s="22">
        <v>1</v>
      </c>
      <c r="AM171" s="22">
        <v>1</v>
      </c>
      <c r="AN171" s="22">
        <v>0.99159663865546221</v>
      </c>
      <c r="AO171" s="22">
        <v>0.9640718562874252</v>
      </c>
      <c r="AP171" s="22">
        <v>0.95</v>
      </c>
      <c r="AQ171" s="40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</row>
    <row r="172" spans="1:55" s="21" customFormat="1" ht="12.75" x14ac:dyDescent="0.2">
      <c r="A172" s="31" t="s">
        <v>78</v>
      </c>
      <c r="B172" s="29">
        <v>35707</v>
      </c>
      <c r="C172" s="29">
        <v>35648</v>
      </c>
      <c r="D172" s="29">
        <v>35620</v>
      </c>
      <c r="E172" s="29">
        <v>35731</v>
      </c>
      <c r="F172" s="29">
        <v>35954</v>
      </c>
      <c r="G172" s="24">
        <v>1</v>
      </c>
      <c r="H172" s="24">
        <v>1</v>
      </c>
      <c r="I172" s="24">
        <v>1</v>
      </c>
      <c r="J172" s="24">
        <v>1</v>
      </c>
      <c r="K172" s="24">
        <v>1</v>
      </c>
      <c r="L172" s="29">
        <v>4517</v>
      </c>
      <c r="M172" s="29">
        <v>4363</v>
      </c>
      <c r="N172" s="29">
        <v>4061</v>
      </c>
      <c r="O172" s="29">
        <v>3911</v>
      </c>
      <c r="P172" s="29">
        <v>3761</v>
      </c>
      <c r="Q172" s="24">
        <v>0.12650180636849917</v>
      </c>
      <c r="R172" s="24">
        <v>0.12239115798922801</v>
      </c>
      <c r="S172" s="24">
        <v>0.11400898371701292</v>
      </c>
      <c r="T172" s="24">
        <v>0.10945677422966052</v>
      </c>
      <c r="U172" s="24">
        <v>0.10460588529788062</v>
      </c>
      <c r="V172" s="23"/>
      <c r="W172" s="29">
        <v>35990</v>
      </c>
      <c r="X172" s="29">
        <v>35944</v>
      </c>
      <c r="Y172" s="29">
        <v>36177</v>
      </c>
      <c r="Z172" s="29">
        <v>35358</v>
      </c>
      <c r="AA172" s="29">
        <v>35648</v>
      </c>
      <c r="AB172" s="24">
        <v>1</v>
      </c>
      <c r="AC172" s="24">
        <v>1</v>
      </c>
      <c r="AD172" s="24">
        <v>1</v>
      </c>
      <c r="AE172" s="24">
        <v>1</v>
      </c>
      <c r="AF172" s="24">
        <v>1</v>
      </c>
      <c r="AG172" s="29">
        <v>3675</v>
      </c>
      <c r="AH172" s="29">
        <v>3059</v>
      </c>
      <c r="AI172" s="29">
        <v>5597</v>
      </c>
      <c r="AJ172" s="29">
        <v>4698</v>
      </c>
      <c r="AK172" s="29">
        <v>4363</v>
      </c>
      <c r="AL172" s="24">
        <v>0.10211169769380384</v>
      </c>
      <c r="AM172" s="24">
        <v>8.5104607166703761E-2</v>
      </c>
      <c r="AN172" s="24">
        <v>0.15471155706664455</v>
      </c>
      <c r="AO172" s="24">
        <v>0.13286950619378923</v>
      </c>
      <c r="AP172" s="24">
        <v>0.12239115798922801</v>
      </c>
      <c r="AQ172" s="39"/>
    </row>
    <row r="173" spans="1:55" s="21" customFormat="1" ht="12.75" x14ac:dyDescent="0.2">
      <c r="A173" s="20"/>
      <c r="AB173" s="22"/>
      <c r="AC173" s="22"/>
      <c r="AD173" s="22"/>
      <c r="AE173" s="22"/>
      <c r="AF173" s="22"/>
      <c r="AL173" s="22"/>
      <c r="AM173" s="22"/>
      <c r="AN173" s="22"/>
      <c r="AO173" s="22"/>
      <c r="AP173" s="22"/>
      <c r="AQ173" s="39"/>
    </row>
    <row r="174" spans="1:55" s="21" customFormat="1" ht="12.75" x14ac:dyDescent="0.2">
      <c r="A174" s="2" t="s">
        <v>79</v>
      </c>
      <c r="AB174" s="22"/>
      <c r="AC174" s="22"/>
      <c r="AD174" s="22"/>
      <c r="AE174" s="22"/>
      <c r="AF174" s="22"/>
      <c r="AL174" s="22"/>
      <c r="AM174" s="22"/>
      <c r="AN174" s="22"/>
      <c r="AO174" s="22"/>
      <c r="AP174" s="22"/>
      <c r="AQ174" s="39"/>
    </row>
    <row r="175" spans="1:55" s="21" customFormat="1" ht="12.75" x14ac:dyDescent="0.2">
      <c r="A175" s="1" t="s">
        <v>80</v>
      </c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4"/>
      <c r="AC175" s="24"/>
      <c r="AD175" s="24"/>
      <c r="AE175" s="24"/>
      <c r="AF175" s="24"/>
      <c r="AG175" s="23"/>
      <c r="AH175" s="23"/>
      <c r="AI175" s="23"/>
      <c r="AJ175" s="23"/>
      <c r="AK175" s="23"/>
      <c r="AL175" s="24"/>
      <c r="AM175" s="24"/>
      <c r="AN175" s="24"/>
      <c r="AO175" s="24"/>
      <c r="AP175" s="24"/>
      <c r="AQ175" s="39"/>
    </row>
    <row r="176" spans="1:55" s="21" customFormat="1" ht="12.75" x14ac:dyDescent="0.2">
      <c r="A176" s="10" t="s">
        <v>11</v>
      </c>
      <c r="B176" s="10" t="s">
        <v>12</v>
      </c>
      <c r="C176" s="10" t="s">
        <v>13</v>
      </c>
      <c r="D176" s="10" t="s">
        <v>14</v>
      </c>
      <c r="E176" s="10" t="s">
        <v>15</v>
      </c>
      <c r="F176" s="10" t="s">
        <v>16</v>
      </c>
      <c r="G176" s="10" t="s">
        <v>12</v>
      </c>
      <c r="H176" s="10" t="s">
        <v>13</v>
      </c>
      <c r="I176" s="10" t="s">
        <v>14</v>
      </c>
      <c r="J176" s="10" t="s">
        <v>15</v>
      </c>
      <c r="K176" s="10" t="s">
        <v>16</v>
      </c>
      <c r="L176" s="10" t="s">
        <v>12</v>
      </c>
      <c r="M176" s="10" t="s">
        <v>13</v>
      </c>
      <c r="N176" s="10" t="s">
        <v>14</v>
      </c>
      <c r="O176" s="10" t="s">
        <v>15</v>
      </c>
      <c r="P176" s="10" t="s">
        <v>16</v>
      </c>
      <c r="Q176" s="10" t="s">
        <v>12</v>
      </c>
      <c r="R176" s="10" t="s">
        <v>13</v>
      </c>
      <c r="S176" s="10" t="s">
        <v>14</v>
      </c>
      <c r="T176" s="10" t="s">
        <v>15</v>
      </c>
      <c r="U176" s="10" t="s">
        <v>16</v>
      </c>
      <c r="V176" s="10"/>
      <c r="W176" s="10" t="s">
        <v>17</v>
      </c>
      <c r="X176" s="10" t="s">
        <v>18</v>
      </c>
      <c r="Y176" s="10" t="s">
        <v>19</v>
      </c>
      <c r="Z176" s="10" t="s">
        <v>20</v>
      </c>
      <c r="AA176" s="10" t="s">
        <v>21</v>
      </c>
      <c r="AB176" s="10" t="s">
        <v>17</v>
      </c>
      <c r="AC176" s="10" t="s">
        <v>18</v>
      </c>
      <c r="AD176" s="10" t="s">
        <v>19</v>
      </c>
      <c r="AE176" s="10" t="s">
        <v>20</v>
      </c>
      <c r="AF176" s="10" t="s">
        <v>21</v>
      </c>
      <c r="AG176" s="10" t="s">
        <v>17</v>
      </c>
      <c r="AH176" s="10" t="s">
        <v>18</v>
      </c>
      <c r="AI176" s="10" t="s">
        <v>19</v>
      </c>
      <c r="AJ176" s="10" t="s">
        <v>20</v>
      </c>
      <c r="AK176" s="10" t="s">
        <v>21</v>
      </c>
      <c r="AL176" s="10" t="s">
        <v>17</v>
      </c>
      <c r="AM176" s="10" t="s">
        <v>18</v>
      </c>
      <c r="AN176" s="10" t="s">
        <v>19</v>
      </c>
      <c r="AO176" s="10" t="s">
        <v>20</v>
      </c>
      <c r="AP176" s="10" t="s">
        <v>21</v>
      </c>
      <c r="AQ176" s="39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</row>
    <row r="177" spans="1:55" s="23" customFormat="1" ht="12.75" x14ac:dyDescent="0.2">
      <c r="A177" s="20" t="s">
        <v>24</v>
      </c>
      <c r="B177" s="21">
        <v>115101</v>
      </c>
      <c r="C177" s="21">
        <v>115706</v>
      </c>
      <c r="D177" s="21">
        <v>114283</v>
      </c>
      <c r="E177" s="21">
        <v>115398</v>
      </c>
      <c r="F177" s="21">
        <v>118721</v>
      </c>
      <c r="G177" s="22">
        <v>0.17689204453767951</v>
      </c>
      <c r="H177" s="22">
        <v>0.17640234113559408</v>
      </c>
      <c r="I177" s="22">
        <v>0.17330021487570721</v>
      </c>
      <c r="J177" s="22">
        <v>0.17410839567044964</v>
      </c>
      <c r="K177" s="22">
        <v>0.18083103590087277</v>
      </c>
      <c r="L177" s="21">
        <v>89549</v>
      </c>
      <c r="M177" s="21">
        <v>91557</v>
      </c>
      <c r="N177" s="21">
        <v>90960</v>
      </c>
      <c r="O177" s="21">
        <v>92534</v>
      </c>
      <c r="P177" s="21">
        <v>94751</v>
      </c>
      <c r="Q177" s="22">
        <v>0.7780036663452099</v>
      </c>
      <c r="R177" s="22">
        <v>0.79128999360448027</v>
      </c>
      <c r="S177" s="22">
        <v>0.79591890307394797</v>
      </c>
      <c r="T177" s="22">
        <v>0.80186831660860669</v>
      </c>
      <c r="U177" s="22">
        <v>0.79809806184247101</v>
      </c>
      <c r="V177" s="21"/>
      <c r="W177" s="21">
        <v>96571</v>
      </c>
      <c r="X177" s="21">
        <v>91411</v>
      </c>
      <c r="Y177" s="21">
        <v>110901</v>
      </c>
      <c r="Z177" s="21">
        <v>105707</v>
      </c>
      <c r="AA177" s="21">
        <v>115706</v>
      </c>
      <c r="AB177" s="22">
        <v>0.21411166859927588</v>
      </c>
      <c r="AC177" s="22">
        <v>0.20249791213002613</v>
      </c>
      <c r="AD177" s="22">
        <v>0.16903140846551654</v>
      </c>
      <c r="AE177" s="22">
        <v>0.16386243287820729</v>
      </c>
      <c r="AF177" s="22">
        <v>0.17640234113559408</v>
      </c>
      <c r="AG177" s="21">
        <v>71154</v>
      </c>
      <c r="AH177" s="21">
        <v>66853</v>
      </c>
      <c r="AI177" s="21">
        <v>79332</v>
      </c>
      <c r="AJ177" s="21">
        <v>76873</v>
      </c>
      <c r="AK177" s="21">
        <v>91557</v>
      </c>
      <c r="AL177" s="22">
        <v>0.73680504499280319</v>
      </c>
      <c r="AM177" s="22">
        <v>0.73134524291387248</v>
      </c>
      <c r="AN177" s="22">
        <v>0.71534070928125082</v>
      </c>
      <c r="AO177" s="22">
        <v>0.72722714673578859</v>
      </c>
      <c r="AP177" s="22">
        <v>0.79128999360448027</v>
      </c>
      <c r="AQ177" s="39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</row>
    <row r="178" spans="1:55" s="21" customFormat="1" ht="12.75" x14ac:dyDescent="0.2">
      <c r="A178" s="20" t="s">
        <v>48</v>
      </c>
      <c r="B178" s="21">
        <v>200246</v>
      </c>
      <c r="C178" s="21">
        <v>198443</v>
      </c>
      <c r="D178" s="21">
        <v>206949</v>
      </c>
      <c r="E178" s="21">
        <v>206371</v>
      </c>
      <c r="F178" s="21">
        <v>196422</v>
      </c>
      <c r="G178" s="22">
        <v>0.30774645181616295</v>
      </c>
      <c r="H178" s="22">
        <v>0.30254100722495547</v>
      </c>
      <c r="I178" s="22">
        <v>0.31382013220087618</v>
      </c>
      <c r="J178" s="22">
        <v>0.31136522056626947</v>
      </c>
      <c r="K178" s="22">
        <v>0.29918206327205155</v>
      </c>
      <c r="L178" s="21">
        <v>139279</v>
      </c>
      <c r="M178" s="21">
        <v>140366</v>
      </c>
      <c r="N178" s="21">
        <v>150831</v>
      </c>
      <c r="O178" s="21">
        <v>151162</v>
      </c>
      <c r="P178" s="21">
        <v>146027</v>
      </c>
      <c r="Q178" s="22">
        <v>0.69553948643168906</v>
      </c>
      <c r="R178" s="22">
        <v>0.70733661555207283</v>
      </c>
      <c r="S178" s="22">
        <v>0.7288317411536176</v>
      </c>
      <c r="T178" s="22">
        <v>0.73247694685784337</v>
      </c>
      <c r="U178" s="22">
        <v>0.74343505309995828</v>
      </c>
      <c r="W178" s="21">
        <v>138210</v>
      </c>
      <c r="X178" s="21">
        <v>131557</v>
      </c>
      <c r="Y178" s="21">
        <v>192664</v>
      </c>
      <c r="Z178" s="21">
        <v>204561</v>
      </c>
      <c r="AA178" s="21">
        <v>198443</v>
      </c>
      <c r="AB178" s="22">
        <v>0.30643126525671183</v>
      </c>
      <c r="AC178" s="22">
        <v>0.29143120440745474</v>
      </c>
      <c r="AD178" s="22">
        <v>0.29365170089178888</v>
      </c>
      <c r="AE178" s="22">
        <v>0.31710164068603741</v>
      </c>
      <c r="AF178" s="22">
        <v>0.30254100722495547</v>
      </c>
      <c r="AG178" s="21">
        <v>68645</v>
      </c>
      <c r="AH178" s="21">
        <v>72975</v>
      </c>
      <c r="AI178" s="21">
        <v>117472</v>
      </c>
      <c r="AJ178" s="21">
        <v>135615</v>
      </c>
      <c r="AK178" s="21">
        <v>140366</v>
      </c>
      <c r="AL178" s="22">
        <v>0.49667173142319659</v>
      </c>
      <c r="AM178" s="22">
        <v>0.55470252438106671</v>
      </c>
      <c r="AN178" s="22">
        <v>0.60972470207200102</v>
      </c>
      <c r="AO178" s="22">
        <v>0.66295628198923551</v>
      </c>
      <c r="AP178" s="22">
        <v>0.70733661555207283</v>
      </c>
      <c r="AQ178" s="39"/>
    </row>
    <row r="179" spans="1:55" s="21" customFormat="1" ht="12.75" x14ac:dyDescent="0.2">
      <c r="A179" s="20" t="s">
        <v>35</v>
      </c>
      <c r="B179" s="21">
        <v>99383</v>
      </c>
      <c r="C179" s="21">
        <v>100607</v>
      </c>
      <c r="D179" s="21">
        <v>98784</v>
      </c>
      <c r="E179" s="21">
        <v>98050</v>
      </c>
      <c r="F179" s="21">
        <v>89420</v>
      </c>
      <c r="G179" s="22">
        <v>0.15273596286989866</v>
      </c>
      <c r="H179" s="22">
        <v>0.15338280067264198</v>
      </c>
      <c r="I179" s="22">
        <v>0.14979733141658744</v>
      </c>
      <c r="J179" s="22">
        <v>0.14793435064288452</v>
      </c>
      <c r="K179" s="22">
        <v>0.13620093522002041</v>
      </c>
      <c r="L179" s="21">
        <v>68263</v>
      </c>
      <c r="M179" s="21">
        <v>71412</v>
      </c>
      <c r="N179" s="21">
        <v>71548</v>
      </c>
      <c r="O179" s="21">
        <v>72449</v>
      </c>
      <c r="P179" s="21">
        <v>65489</v>
      </c>
      <c r="Q179" s="22">
        <v>0.68686797540826905</v>
      </c>
      <c r="R179" s="22">
        <v>0.70981144453169265</v>
      </c>
      <c r="S179" s="22">
        <v>0.72428733398121148</v>
      </c>
      <c r="T179" s="22">
        <v>0.73889852116267207</v>
      </c>
      <c r="U179" s="22">
        <v>0.7323753075374636</v>
      </c>
      <c r="W179" s="21">
        <v>105943</v>
      </c>
      <c r="X179" s="21">
        <v>95158</v>
      </c>
      <c r="Y179" s="21">
        <v>98118</v>
      </c>
      <c r="Z179" s="21">
        <v>95901</v>
      </c>
      <c r="AA179" s="21">
        <v>100607</v>
      </c>
      <c r="AB179" s="22">
        <v>0.2348907281317692</v>
      </c>
      <c r="AC179" s="22">
        <v>0.21079844135245238</v>
      </c>
      <c r="AD179" s="22">
        <v>0.1495480089072195</v>
      </c>
      <c r="AE179" s="22">
        <v>0.1486615945533688</v>
      </c>
      <c r="AF179" s="22">
        <v>0.15338280067264198</v>
      </c>
      <c r="AG179" s="21">
        <v>35443</v>
      </c>
      <c r="AH179" s="21">
        <v>41808</v>
      </c>
      <c r="AI179" s="21">
        <v>55700</v>
      </c>
      <c r="AJ179" s="21">
        <v>60262</v>
      </c>
      <c r="AK179" s="21">
        <v>71412</v>
      </c>
      <c r="AL179" s="22">
        <v>0.33454782288589147</v>
      </c>
      <c r="AM179" s="22">
        <v>0.43935349629038023</v>
      </c>
      <c r="AN179" s="22">
        <v>0.56768380929085382</v>
      </c>
      <c r="AO179" s="22">
        <v>0.62837718063419568</v>
      </c>
      <c r="AP179" s="22">
        <v>0.70981144453169265</v>
      </c>
      <c r="AQ179" s="39"/>
    </row>
    <row r="180" spans="1:55" s="21" customFormat="1" ht="12.75" x14ac:dyDescent="0.2">
      <c r="A180" s="20" t="s">
        <v>81</v>
      </c>
      <c r="B180" s="21">
        <v>235955</v>
      </c>
      <c r="C180" s="21">
        <v>241165</v>
      </c>
      <c r="D180" s="21">
        <v>239435</v>
      </c>
      <c r="E180" s="21">
        <v>242975</v>
      </c>
      <c r="F180" s="21">
        <v>251967</v>
      </c>
      <c r="G180" s="22">
        <v>0.36262554077625886</v>
      </c>
      <c r="H180" s="22">
        <v>0.36767385096680849</v>
      </c>
      <c r="I180" s="22">
        <v>0.36308232150682918</v>
      </c>
      <c r="J180" s="22">
        <v>0.3665920331203964</v>
      </c>
      <c r="K180" s="22">
        <v>0.3837859656070553</v>
      </c>
      <c r="L180" s="21">
        <v>100985</v>
      </c>
      <c r="M180" s="21">
        <v>104623</v>
      </c>
      <c r="N180" s="21">
        <v>103139</v>
      </c>
      <c r="O180" s="21">
        <v>105768</v>
      </c>
      <c r="P180" s="21">
        <v>106522</v>
      </c>
      <c r="Q180" s="22">
        <v>0.42798414952003561</v>
      </c>
      <c r="R180" s="22">
        <v>0.43382331598697987</v>
      </c>
      <c r="S180" s="22">
        <v>0.43075991396412389</v>
      </c>
      <c r="T180" s="22">
        <v>0.43530404362588743</v>
      </c>
      <c r="U180" s="22">
        <v>0.42276171085896169</v>
      </c>
      <c r="W180" s="21">
        <v>110307</v>
      </c>
      <c r="X180" s="21">
        <v>133291</v>
      </c>
      <c r="Y180" s="21">
        <v>254414</v>
      </c>
      <c r="Z180" s="21">
        <v>238927</v>
      </c>
      <c r="AA180" s="21">
        <v>241165</v>
      </c>
      <c r="AB180" s="22">
        <v>0.24456633801224306</v>
      </c>
      <c r="AC180" s="22">
        <v>0.29527244211006676</v>
      </c>
      <c r="AD180" s="22">
        <v>0.38776888173547508</v>
      </c>
      <c r="AE180" s="22">
        <v>0.3703743318823865</v>
      </c>
      <c r="AF180" s="22">
        <v>0.36767385096680849</v>
      </c>
      <c r="AG180" s="21">
        <v>65172</v>
      </c>
      <c r="AH180" s="21">
        <v>87497</v>
      </c>
      <c r="AI180" s="21">
        <v>115099</v>
      </c>
      <c r="AJ180" s="21">
        <v>100228</v>
      </c>
      <c r="AK180" s="21">
        <v>104623</v>
      </c>
      <c r="AL180" s="22">
        <v>0.59082379178111999</v>
      </c>
      <c r="AM180" s="22">
        <v>0.65643591840409332</v>
      </c>
      <c r="AN180" s="22">
        <v>0.45240827941858547</v>
      </c>
      <c r="AO180" s="22">
        <v>0.41949214613668612</v>
      </c>
      <c r="AP180" s="22">
        <v>0.43382331598697987</v>
      </c>
      <c r="AQ180" s="39"/>
    </row>
    <row r="181" spans="1:55" s="21" customFormat="1" ht="12.75" x14ac:dyDescent="0.2">
      <c r="A181" s="31" t="s">
        <v>82</v>
      </c>
      <c r="B181" s="23">
        <v>650685</v>
      </c>
      <c r="C181" s="23">
        <v>655921</v>
      </c>
      <c r="D181" s="23">
        <v>659451</v>
      </c>
      <c r="E181" s="23">
        <v>662794</v>
      </c>
      <c r="F181" s="23">
        <v>656530</v>
      </c>
      <c r="G181" s="24">
        <v>1</v>
      </c>
      <c r="H181" s="24">
        <v>1</v>
      </c>
      <c r="I181" s="24">
        <v>1</v>
      </c>
      <c r="J181" s="24">
        <v>1</v>
      </c>
      <c r="K181" s="24">
        <v>1</v>
      </c>
      <c r="L181" s="23">
        <v>398076</v>
      </c>
      <c r="M181" s="23">
        <v>407958</v>
      </c>
      <c r="N181" s="23">
        <v>416478</v>
      </c>
      <c r="O181" s="23">
        <v>421913</v>
      </c>
      <c r="P181" s="23">
        <v>412789</v>
      </c>
      <c r="Q181" s="24">
        <v>0.61177989349685336</v>
      </c>
      <c r="R181" s="24">
        <v>0.621962096045103</v>
      </c>
      <c r="S181" s="24">
        <v>0.63155260967077165</v>
      </c>
      <c r="T181" s="24">
        <v>0.63656731955932011</v>
      </c>
      <c r="U181" s="24">
        <v>0.62874354561101553</v>
      </c>
      <c r="V181" s="23"/>
      <c r="W181" s="23">
        <v>451031</v>
      </c>
      <c r="X181" s="23">
        <v>451417</v>
      </c>
      <c r="Y181" s="23">
        <v>656097</v>
      </c>
      <c r="Z181" s="23">
        <v>645096</v>
      </c>
      <c r="AA181" s="23">
        <v>655921</v>
      </c>
      <c r="AB181" s="24">
        <v>1</v>
      </c>
      <c r="AC181" s="24">
        <v>1</v>
      </c>
      <c r="AD181" s="24">
        <v>1</v>
      </c>
      <c r="AE181" s="24">
        <v>1</v>
      </c>
      <c r="AF181" s="24">
        <v>1</v>
      </c>
      <c r="AG181" s="23">
        <v>240414</v>
      </c>
      <c r="AH181" s="23">
        <v>269133</v>
      </c>
      <c r="AI181" s="23">
        <v>367603</v>
      </c>
      <c r="AJ181" s="23">
        <v>372978</v>
      </c>
      <c r="AK181" s="23">
        <v>407958</v>
      </c>
      <c r="AL181" s="24">
        <v>0.5330320975720072</v>
      </c>
      <c r="AM181" s="24">
        <v>0.59619597844121952</v>
      </c>
      <c r="AN181" s="24">
        <v>0.56028757942804186</v>
      </c>
      <c r="AO181" s="24">
        <v>0.57817441125041857</v>
      </c>
      <c r="AP181" s="24">
        <v>0.621962096045103</v>
      </c>
      <c r="AQ181" s="39"/>
    </row>
    <row r="182" spans="1:55" s="21" customFormat="1" ht="12.75" x14ac:dyDescent="0.2">
      <c r="A182" s="20"/>
      <c r="AB182" s="22"/>
      <c r="AC182" s="22"/>
      <c r="AD182" s="22"/>
      <c r="AE182" s="22"/>
      <c r="AF182" s="22"/>
      <c r="AL182" s="22"/>
      <c r="AM182" s="22"/>
      <c r="AN182" s="22"/>
      <c r="AO182" s="22"/>
      <c r="AP182" s="22"/>
      <c r="AQ182" s="39"/>
    </row>
    <row r="183" spans="1:55" s="21" customFormat="1" ht="12.75" x14ac:dyDescent="0.2">
      <c r="A183" s="10" t="s">
        <v>69</v>
      </c>
      <c r="B183" s="10" t="s">
        <v>12</v>
      </c>
      <c r="C183" s="10" t="s">
        <v>13</v>
      </c>
      <c r="D183" s="10" t="s">
        <v>14</v>
      </c>
      <c r="E183" s="10" t="s">
        <v>15</v>
      </c>
      <c r="F183" s="10" t="s">
        <v>16</v>
      </c>
      <c r="G183" s="10" t="s">
        <v>12</v>
      </c>
      <c r="H183" s="10" t="s">
        <v>13</v>
      </c>
      <c r="I183" s="10" t="s">
        <v>14</v>
      </c>
      <c r="J183" s="10" t="s">
        <v>15</v>
      </c>
      <c r="K183" s="10" t="s">
        <v>16</v>
      </c>
      <c r="L183" s="10" t="s">
        <v>12</v>
      </c>
      <c r="M183" s="10" t="s">
        <v>13</v>
      </c>
      <c r="N183" s="10" t="s">
        <v>14</v>
      </c>
      <c r="O183" s="10" t="s">
        <v>15</v>
      </c>
      <c r="P183" s="10" t="s">
        <v>16</v>
      </c>
      <c r="Q183" s="10" t="s">
        <v>12</v>
      </c>
      <c r="R183" s="10" t="s">
        <v>13</v>
      </c>
      <c r="S183" s="10" t="s">
        <v>14</v>
      </c>
      <c r="T183" s="10" t="s">
        <v>15</v>
      </c>
      <c r="U183" s="10" t="s">
        <v>16</v>
      </c>
      <c r="V183" s="10"/>
      <c r="W183" s="10" t="s">
        <v>17</v>
      </c>
      <c r="X183" s="10" t="s">
        <v>18</v>
      </c>
      <c r="Y183" s="10" t="s">
        <v>19</v>
      </c>
      <c r="Z183" s="10" t="s">
        <v>20</v>
      </c>
      <c r="AA183" s="10" t="s">
        <v>21</v>
      </c>
      <c r="AB183" s="10" t="s">
        <v>17</v>
      </c>
      <c r="AC183" s="10" t="s">
        <v>18</v>
      </c>
      <c r="AD183" s="10" t="s">
        <v>19</v>
      </c>
      <c r="AE183" s="10" t="s">
        <v>20</v>
      </c>
      <c r="AF183" s="10" t="s">
        <v>21</v>
      </c>
      <c r="AG183" s="10" t="s">
        <v>17</v>
      </c>
      <c r="AH183" s="10" t="s">
        <v>18</v>
      </c>
      <c r="AI183" s="10" t="s">
        <v>19</v>
      </c>
      <c r="AJ183" s="10" t="s">
        <v>20</v>
      </c>
      <c r="AK183" s="10" t="s">
        <v>21</v>
      </c>
      <c r="AL183" s="10" t="s">
        <v>17</v>
      </c>
      <c r="AM183" s="10" t="s">
        <v>18</v>
      </c>
      <c r="AN183" s="10" t="s">
        <v>19</v>
      </c>
      <c r="AO183" s="10" t="s">
        <v>20</v>
      </c>
      <c r="AP183" s="10" t="s">
        <v>21</v>
      </c>
      <c r="AQ183" s="39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</row>
    <row r="184" spans="1:55" s="23" customFormat="1" ht="12.75" x14ac:dyDescent="0.2">
      <c r="A184" s="20" t="s">
        <v>23</v>
      </c>
      <c r="B184" s="21">
        <v>10759</v>
      </c>
      <c r="C184" s="21">
        <v>10879</v>
      </c>
      <c r="D184" s="21">
        <v>11014</v>
      </c>
      <c r="E184" s="21">
        <v>11219</v>
      </c>
      <c r="F184" s="21">
        <v>10538</v>
      </c>
      <c r="G184" s="22">
        <v>0.83441910966340938</v>
      </c>
      <c r="H184" s="22">
        <v>0.82573055028462994</v>
      </c>
      <c r="I184" s="22">
        <v>0.82607065176629413</v>
      </c>
      <c r="J184" s="22">
        <v>0.82772613250700899</v>
      </c>
      <c r="K184" s="22">
        <v>0.81412237330037085</v>
      </c>
      <c r="L184" s="21">
        <v>1610</v>
      </c>
      <c r="M184" s="21">
        <v>1678</v>
      </c>
      <c r="N184" s="21">
        <v>1750</v>
      </c>
      <c r="O184" s="21">
        <v>1863</v>
      </c>
      <c r="P184" s="21">
        <v>1734</v>
      </c>
      <c r="Q184" s="22">
        <v>0.14964216005204944</v>
      </c>
      <c r="R184" s="22">
        <v>0.15424211784171341</v>
      </c>
      <c r="S184" s="22">
        <v>0.15888868712547666</v>
      </c>
      <c r="T184" s="22">
        <v>0.16605758088956235</v>
      </c>
      <c r="U184" s="22">
        <v>0.16454735243879293</v>
      </c>
      <c r="V184" s="21"/>
      <c r="W184" s="21">
        <v>11702</v>
      </c>
      <c r="X184" s="21">
        <v>11194</v>
      </c>
      <c r="Y184" s="21">
        <v>10760</v>
      </c>
      <c r="Z184" s="21">
        <v>10489</v>
      </c>
      <c r="AA184" s="21">
        <v>10879</v>
      </c>
      <c r="AB184" s="22">
        <v>0.93265322387821792</v>
      </c>
      <c r="AC184" s="22">
        <v>0.89230769230769236</v>
      </c>
      <c r="AD184" s="22">
        <v>0.84891518737672589</v>
      </c>
      <c r="AE184" s="22">
        <v>0.83985907598686849</v>
      </c>
      <c r="AF184" s="22">
        <v>0.82573055028462994</v>
      </c>
      <c r="AG184" s="21">
        <v>1247</v>
      </c>
      <c r="AH184" s="21">
        <v>1299</v>
      </c>
      <c r="AI184" s="21">
        <v>1489</v>
      </c>
      <c r="AJ184" s="21">
        <v>1667</v>
      </c>
      <c r="AK184" s="21">
        <v>1678</v>
      </c>
      <c r="AL184" s="22">
        <v>0.10656298068706203</v>
      </c>
      <c r="AM184" s="22">
        <v>0.11604430945149187</v>
      </c>
      <c r="AN184" s="22">
        <v>0.13838289962825279</v>
      </c>
      <c r="AO184" s="22">
        <v>0.15892840118219087</v>
      </c>
      <c r="AP184" s="22">
        <v>0.15424211784171341</v>
      </c>
      <c r="AQ184" s="39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</row>
    <row r="185" spans="1:55" s="21" customFormat="1" ht="12.75" x14ac:dyDescent="0.2">
      <c r="A185" s="20" t="s">
        <v>48</v>
      </c>
      <c r="B185" s="21">
        <v>1542</v>
      </c>
      <c r="C185" s="21">
        <v>1683</v>
      </c>
      <c r="D185" s="21">
        <v>1729</v>
      </c>
      <c r="E185" s="21">
        <v>1702</v>
      </c>
      <c r="F185" s="21">
        <v>1816</v>
      </c>
      <c r="G185" s="22">
        <v>0.11959050721265704</v>
      </c>
      <c r="H185" s="22">
        <v>0.12774193548387097</v>
      </c>
      <c r="I185" s="22">
        <v>0.12967824195604891</v>
      </c>
      <c r="J185" s="22">
        <v>0.12557178692636861</v>
      </c>
      <c r="K185" s="22">
        <v>0.14029666254635353</v>
      </c>
      <c r="L185" s="21">
        <v>1467</v>
      </c>
      <c r="M185" s="21">
        <v>1590</v>
      </c>
      <c r="N185" s="21">
        <v>1626</v>
      </c>
      <c r="O185" s="21">
        <v>1591</v>
      </c>
      <c r="P185" s="21">
        <v>1674</v>
      </c>
      <c r="Q185" s="22">
        <v>0.95136186770428011</v>
      </c>
      <c r="R185" s="22">
        <v>0.94474153297682706</v>
      </c>
      <c r="S185" s="22">
        <v>0.94042799305957203</v>
      </c>
      <c r="T185" s="22">
        <v>0.93478260869565222</v>
      </c>
      <c r="U185" s="22">
        <v>0.92180616740088106</v>
      </c>
      <c r="W185" s="21">
        <v>56</v>
      </c>
      <c r="X185" s="21">
        <v>618</v>
      </c>
      <c r="Y185" s="21">
        <v>1237</v>
      </c>
      <c r="Z185" s="21">
        <v>1458</v>
      </c>
      <c r="AA185" s="21">
        <v>1683</v>
      </c>
      <c r="AB185" s="22">
        <v>4.463218299195027E-3</v>
      </c>
      <c r="AC185" s="22">
        <v>4.9262654444001595E-2</v>
      </c>
      <c r="AD185" s="22">
        <v>9.7593688362919137E-2</v>
      </c>
      <c r="AE185" s="22">
        <v>0.1167427336055729</v>
      </c>
      <c r="AF185" s="22">
        <v>0.12774193548387097</v>
      </c>
      <c r="AG185" s="21">
        <v>52</v>
      </c>
      <c r="AH185" s="21">
        <v>610</v>
      </c>
      <c r="AI185" s="21">
        <v>1213</v>
      </c>
      <c r="AJ185" s="21">
        <v>1403</v>
      </c>
      <c r="AK185" s="21">
        <v>1590</v>
      </c>
      <c r="AL185" s="22">
        <v>0.9285714285714286</v>
      </c>
      <c r="AM185" s="22">
        <v>0.98705501618122982</v>
      </c>
      <c r="AN185" s="22">
        <v>0.98059822150363785</v>
      </c>
      <c r="AO185" s="22">
        <v>0.9622770919067215</v>
      </c>
      <c r="AP185" s="22">
        <v>0.94474153297682706</v>
      </c>
      <c r="AQ185" s="39"/>
    </row>
    <row r="186" spans="1:55" s="21" customFormat="1" ht="12.75" x14ac:dyDescent="0.2">
      <c r="A186" s="20" t="s">
        <v>35</v>
      </c>
      <c r="B186" s="21">
        <v>368</v>
      </c>
      <c r="C186" s="21">
        <v>396</v>
      </c>
      <c r="D186" s="21">
        <v>412</v>
      </c>
      <c r="E186" s="21">
        <v>446</v>
      </c>
      <c r="F186" s="21">
        <v>390</v>
      </c>
      <c r="G186" s="22">
        <v>2.8540406390569258E-2</v>
      </c>
      <c r="H186" s="22">
        <v>3.0056925996204933E-2</v>
      </c>
      <c r="I186" s="22">
        <v>3.0900772519312981E-2</v>
      </c>
      <c r="J186" s="22">
        <v>3.2905415375534895E-2</v>
      </c>
      <c r="K186" s="22">
        <v>3.0129789864029668E-2</v>
      </c>
      <c r="L186" s="21">
        <v>358</v>
      </c>
      <c r="M186" s="21">
        <v>382</v>
      </c>
      <c r="N186" s="21">
        <v>401</v>
      </c>
      <c r="O186" s="21">
        <v>435</v>
      </c>
      <c r="P186" s="21">
        <v>380</v>
      </c>
      <c r="Q186" s="22">
        <v>0.97282608695652173</v>
      </c>
      <c r="R186" s="22">
        <v>0.96464646464646464</v>
      </c>
      <c r="S186" s="22">
        <v>0.97330097087378642</v>
      </c>
      <c r="T186" s="22">
        <v>0.9753363228699552</v>
      </c>
      <c r="U186" s="22">
        <v>0.97435897435897434</v>
      </c>
      <c r="W186" s="21">
        <v>298</v>
      </c>
      <c r="X186" s="21">
        <v>264</v>
      </c>
      <c r="Y186" s="21">
        <v>224</v>
      </c>
      <c r="Z186" s="21">
        <v>256</v>
      </c>
      <c r="AA186" s="21">
        <v>396</v>
      </c>
      <c r="AB186" s="22">
        <v>2.3750697377859249E-2</v>
      </c>
      <c r="AC186" s="22">
        <v>2.1044240733359903E-2</v>
      </c>
      <c r="AD186" s="22">
        <v>1.7672583826429979E-2</v>
      </c>
      <c r="AE186" s="22">
        <v>2.0498038273680838E-2</v>
      </c>
      <c r="AF186" s="22">
        <v>3.0056925996204933E-2</v>
      </c>
      <c r="AG186" s="21">
        <v>282</v>
      </c>
      <c r="AH186" s="21">
        <v>248</v>
      </c>
      <c r="AI186" s="21">
        <v>209</v>
      </c>
      <c r="AJ186" s="21">
        <v>250</v>
      </c>
      <c r="AK186" s="21">
        <v>382</v>
      </c>
      <c r="AL186" s="22">
        <v>0.94630872483221473</v>
      </c>
      <c r="AM186" s="22">
        <v>0.93939393939393945</v>
      </c>
      <c r="AN186" s="22">
        <v>0.9330357142857143</v>
      </c>
      <c r="AO186" s="22">
        <v>0.9765625</v>
      </c>
      <c r="AP186" s="22">
        <v>0.96464646464646464</v>
      </c>
      <c r="AQ186" s="39"/>
    </row>
    <row r="187" spans="1:55" s="21" customFormat="1" ht="12.75" x14ac:dyDescent="0.2">
      <c r="A187" s="20" t="s">
        <v>81</v>
      </c>
      <c r="B187" s="21">
        <v>225</v>
      </c>
      <c r="C187" s="21">
        <v>217</v>
      </c>
      <c r="D187" s="21">
        <v>178</v>
      </c>
      <c r="E187" s="21">
        <v>187</v>
      </c>
      <c r="F187" s="21">
        <v>200</v>
      </c>
      <c r="G187" s="22">
        <v>1.7449976733364354E-2</v>
      </c>
      <c r="H187" s="22">
        <v>1.6470588235294119E-2</v>
      </c>
      <c r="I187" s="22">
        <v>1.3350333758343958E-2</v>
      </c>
      <c r="J187" s="22">
        <v>1.3796665191087501E-2</v>
      </c>
      <c r="K187" s="22">
        <v>1.5451174289245983E-2</v>
      </c>
      <c r="L187" s="21">
        <v>213</v>
      </c>
      <c r="M187" s="21">
        <v>206</v>
      </c>
      <c r="N187" s="21">
        <v>163</v>
      </c>
      <c r="O187" s="21">
        <v>173</v>
      </c>
      <c r="P187" s="21">
        <v>180</v>
      </c>
      <c r="Q187" s="22">
        <v>0.94666666666666666</v>
      </c>
      <c r="R187" s="22">
        <v>0.94930875576036866</v>
      </c>
      <c r="S187" s="22">
        <v>0.9157303370786517</v>
      </c>
      <c r="T187" s="22">
        <v>0.92513368983957223</v>
      </c>
      <c r="U187" s="22">
        <v>0.9</v>
      </c>
      <c r="W187" s="21">
        <v>491</v>
      </c>
      <c r="X187" s="21">
        <v>469</v>
      </c>
      <c r="Y187" s="21">
        <v>454</v>
      </c>
      <c r="Z187" s="21">
        <v>286</v>
      </c>
      <c r="AA187" s="21">
        <v>217</v>
      </c>
      <c r="AB187" s="22">
        <v>3.9132860444727822E-2</v>
      </c>
      <c r="AC187" s="22">
        <v>3.7385412514946197E-2</v>
      </c>
      <c r="AD187" s="22">
        <v>3.5818540433925052E-2</v>
      </c>
      <c r="AE187" s="22">
        <v>2.2900152133877812E-2</v>
      </c>
      <c r="AF187" s="22">
        <v>1.6470588235294119E-2</v>
      </c>
      <c r="AG187" s="21">
        <v>485</v>
      </c>
      <c r="AH187" s="21">
        <v>433</v>
      </c>
      <c r="AI187" s="21">
        <v>449</v>
      </c>
      <c r="AJ187" s="21">
        <v>274</v>
      </c>
      <c r="AK187" s="21">
        <v>206</v>
      </c>
      <c r="AL187" s="22">
        <v>0.98778004073319758</v>
      </c>
      <c r="AM187" s="22">
        <v>0.92324093816631125</v>
      </c>
      <c r="AN187" s="22">
        <v>0.98898678414096919</v>
      </c>
      <c r="AO187" s="22">
        <v>0.95804195804195802</v>
      </c>
      <c r="AP187" s="22">
        <v>0.94930875576036866</v>
      </c>
      <c r="AQ187" s="39"/>
    </row>
    <row r="188" spans="1:55" s="21" customFormat="1" ht="12.75" x14ac:dyDescent="0.2">
      <c r="A188" s="31" t="s">
        <v>82</v>
      </c>
      <c r="B188" s="23">
        <v>12894</v>
      </c>
      <c r="C188" s="23">
        <v>13175</v>
      </c>
      <c r="D188" s="23">
        <v>13333</v>
      </c>
      <c r="E188" s="23">
        <v>13554</v>
      </c>
      <c r="F188" s="23">
        <v>12944</v>
      </c>
      <c r="G188" s="24">
        <v>1</v>
      </c>
      <c r="H188" s="24">
        <v>1</v>
      </c>
      <c r="I188" s="24">
        <v>1</v>
      </c>
      <c r="J188" s="24">
        <v>1</v>
      </c>
      <c r="K188" s="24">
        <v>1</v>
      </c>
      <c r="L188" s="23">
        <v>3648</v>
      </c>
      <c r="M188" s="23">
        <v>3856</v>
      </c>
      <c r="N188" s="23">
        <v>3940</v>
      </c>
      <c r="O188" s="23">
        <v>4062</v>
      </c>
      <c r="P188" s="23">
        <v>3968</v>
      </c>
      <c r="Q188" s="24">
        <v>0.28292228943694742</v>
      </c>
      <c r="R188" s="24">
        <v>0.29267552182163187</v>
      </c>
      <c r="S188" s="24">
        <v>0.29550738768469209</v>
      </c>
      <c r="T188" s="24">
        <v>0.29969012837538733</v>
      </c>
      <c r="U188" s="24">
        <v>0.30655129789864027</v>
      </c>
      <c r="V188" s="23"/>
      <c r="W188" s="23">
        <v>12547</v>
      </c>
      <c r="X188" s="23">
        <v>12545</v>
      </c>
      <c r="Y188" s="23">
        <v>12675</v>
      </c>
      <c r="Z188" s="23">
        <v>12489</v>
      </c>
      <c r="AA188" s="23">
        <v>13175</v>
      </c>
      <c r="AB188" s="24">
        <v>1</v>
      </c>
      <c r="AC188" s="24">
        <v>1</v>
      </c>
      <c r="AD188" s="24">
        <v>1</v>
      </c>
      <c r="AE188" s="24">
        <v>1</v>
      </c>
      <c r="AF188" s="24">
        <v>1</v>
      </c>
      <c r="AG188" s="23">
        <v>2066</v>
      </c>
      <c r="AH188" s="23">
        <v>2590</v>
      </c>
      <c r="AI188" s="23">
        <v>3360</v>
      </c>
      <c r="AJ188" s="23">
        <v>3594</v>
      </c>
      <c r="AK188" s="23">
        <v>3856</v>
      </c>
      <c r="AL188" s="24">
        <v>0.16466087510958796</v>
      </c>
      <c r="AM188" s="24">
        <v>0.2064567556795536</v>
      </c>
      <c r="AN188" s="24">
        <v>0.26508875739644971</v>
      </c>
      <c r="AO188" s="24">
        <v>0.28777324045159741</v>
      </c>
      <c r="AP188" s="24">
        <v>0.29267552182163187</v>
      </c>
      <c r="AQ188" s="39"/>
    </row>
    <row r="189" spans="1:55" s="21" customFormat="1" ht="12.75" x14ac:dyDescent="0.2">
      <c r="A189" s="20"/>
      <c r="AB189" s="22"/>
      <c r="AC189" s="22"/>
      <c r="AD189" s="22"/>
      <c r="AE189" s="22"/>
      <c r="AF189" s="22"/>
      <c r="AL189" s="22"/>
      <c r="AM189" s="22"/>
      <c r="AN189" s="22"/>
      <c r="AO189" s="22"/>
      <c r="AP189" s="22"/>
      <c r="AQ189" s="39"/>
    </row>
    <row r="190" spans="1:55" s="21" customFormat="1" ht="12.75" x14ac:dyDescent="0.2">
      <c r="A190" s="10" t="s">
        <v>71</v>
      </c>
      <c r="B190" s="10" t="s">
        <v>12</v>
      </c>
      <c r="C190" s="10" t="s">
        <v>13</v>
      </c>
      <c r="D190" s="10" t="s">
        <v>14</v>
      </c>
      <c r="E190" s="10" t="s">
        <v>15</v>
      </c>
      <c r="F190" s="10" t="s">
        <v>16</v>
      </c>
      <c r="G190" s="10" t="s">
        <v>12</v>
      </c>
      <c r="H190" s="10" t="s">
        <v>13</v>
      </c>
      <c r="I190" s="10" t="s">
        <v>14</v>
      </c>
      <c r="J190" s="10" t="s">
        <v>15</v>
      </c>
      <c r="K190" s="10" t="s">
        <v>16</v>
      </c>
      <c r="L190" s="10" t="s">
        <v>12</v>
      </c>
      <c r="M190" s="10" t="s">
        <v>13</v>
      </c>
      <c r="N190" s="10" t="s">
        <v>14</v>
      </c>
      <c r="O190" s="10" t="s">
        <v>15</v>
      </c>
      <c r="P190" s="10" t="s">
        <v>16</v>
      </c>
      <c r="Q190" s="10" t="s">
        <v>12</v>
      </c>
      <c r="R190" s="10" t="s">
        <v>13</v>
      </c>
      <c r="S190" s="10" t="s">
        <v>14</v>
      </c>
      <c r="T190" s="10" t="s">
        <v>15</v>
      </c>
      <c r="U190" s="10" t="s">
        <v>16</v>
      </c>
      <c r="V190" s="10"/>
      <c r="W190" s="10" t="s">
        <v>17</v>
      </c>
      <c r="X190" s="10" t="s">
        <v>18</v>
      </c>
      <c r="Y190" s="10" t="s">
        <v>19</v>
      </c>
      <c r="Z190" s="10" t="s">
        <v>20</v>
      </c>
      <c r="AA190" s="10" t="s">
        <v>21</v>
      </c>
      <c r="AB190" s="10" t="s">
        <v>17</v>
      </c>
      <c r="AC190" s="10" t="s">
        <v>18</v>
      </c>
      <c r="AD190" s="10" t="s">
        <v>19</v>
      </c>
      <c r="AE190" s="10" t="s">
        <v>20</v>
      </c>
      <c r="AF190" s="10" t="s">
        <v>21</v>
      </c>
      <c r="AG190" s="10" t="s">
        <v>17</v>
      </c>
      <c r="AH190" s="10" t="s">
        <v>18</v>
      </c>
      <c r="AI190" s="10" t="s">
        <v>19</v>
      </c>
      <c r="AJ190" s="10" t="s">
        <v>20</v>
      </c>
      <c r="AK190" s="10" t="s">
        <v>21</v>
      </c>
      <c r="AL190" s="10" t="s">
        <v>17</v>
      </c>
      <c r="AM190" s="10" t="s">
        <v>18</v>
      </c>
      <c r="AN190" s="10" t="s">
        <v>19</v>
      </c>
      <c r="AO190" s="10" t="s">
        <v>20</v>
      </c>
      <c r="AP190" s="10" t="s">
        <v>21</v>
      </c>
      <c r="AQ190" s="39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</row>
    <row r="191" spans="1:55" s="23" customFormat="1" ht="12.75" x14ac:dyDescent="0.2">
      <c r="A191" s="20" t="s">
        <v>48</v>
      </c>
      <c r="B191" s="21">
        <v>121302</v>
      </c>
      <c r="C191" s="21">
        <v>120623</v>
      </c>
      <c r="D191" s="21">
        <v>128282</v>
      </c>
      <c r="E191" s="21">
        <v>128546</v>
      </c>
      <c r="F191" s="21">
        <v>128763</v>
      </c>
      <c r="G191" s="22">
        <v>0.37853052690705402</v>
      </c>
      <c r="H191" s="22">
        <v>0.37539952508255037</v>
      </c>
      <c r="I191" s="22">
        <v>0.39421652684305952</v>
      </c>
      <c r="J191" s="22">
        <v>0.39102396408125523</v>
      </c>
      <c r="K191" s="22">
        <v>0.39598915022388426</v>
      </c>
      <c r="L191" s="21">
        <v>81006</v>
      </c>
      <c r="M191" s="21">
        <v>82086</v>
      </c>
      <c r="N191" s="21">
        <v>91128</v>
      </c>
      <c r="O191" s="21">
        <v>91840</v>
      </c>
      <c r="P191" s="21">
        <v>91225</v>
      </c>
      <c r="Q191" s="22">
        <v>0.6678043230944255</v>
      </c>
      <c r="R191" s="22">
        <v>0.68051698266499761</v>
      </c>
      <c r="S191" s="22">
        <v>0.71037246067258075</v>
      </c>
      <c r="T191" s="22">
        <v>0.71445241392186454</v>
      </c>
      <c r="U191" s="22">
        <v>0.70847215426791854</v>
      </c>
      <c r="V191" s="21"/>
      <c r="W191" s="21">
        <v>123216</v>
      </c>
      <c r="X191" s="21">
        <v>115442</v>
      </c>
      <c r="Y191" s="21">
        <v>115470</v>
      </c>
      <c r="Z191" s="21">
        <v>121385</v>
      </c>
      <c r="AA191" s="21">
        <v>120623</v>
      </c>
      <c r="AB191" s="22">
        <v>0.39374436782196887</v>
      </c>
      <c r="AC191" s="22">
        <v>0.37024137112654826</v>
      </c>
      <c r="AD191" s="22">
        <v>0.36918738489871089</v>
      </c>
      <c r="AE191" s="22">
        <v>0.3879230449650059</v>
      </c>
      <c r="AF191" s="22">
        <v>0.37539952508255037</v>
      </c>
      <c r="AG191" s="21">
        <v>54303</v>
      </c>
      <c r="AH191" s="21">
        <v>57535</v>
      </c>
      <c r="AI191" s="21">
        <v>65088</v>
      </c>
      <c r="AJ191" s="21">
        <v>75626</v>
      </c>
      <c r="AK191" s="21">
        <v>82086</v>
      </c>
      <c r="AL191" s="22">
        <v>0.44071386832878845</v>
      </c>
      <c r="AM191" s="22">
        <v>0.49838880130281871</v>
      </c>
      <c r="AN191" s="22">
        <v>0.56367887763055335</v>
      </c>
      <c r="AO191" s="22">
        <v>0.6230259092968653</v>
      </c>
      <c r="AP191" s="22">
        <v>0.68051698266499761</v>
      </c>
      <c r="AQ191" s="39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</row>
    <row r="192" spans="1:55" s="21" customFormat="1" ht="12.75" x14ac:dyDescent="0.2">
      <c r="A192" s="20" t="s">
        <v>24</v>
      </c>
      <c r="B192" s="21">
        <v>55450</v>
      </c>
      <c r="C192" s="21">
        <v>56579</v>
      </c>
      <c r="D192" s="21">
        <v>56140</v>
      </c>
      <c r="E192" s="21">
        <v>57385</v>
      </c>
      <c r="F192" s="21">
        <v>59867</v>
      </c>
      <c r="G192" s="22">
        <v>0.17303521555288573</v>
      </c>
      <c r="H192" s="22">
        <v>0.17608358049166092</v>
      </c>
      <c r="I192" s="22">
        <v>0.17252081988875573</v>
      </c>
      <c r="J192" s="22">
        <v>0.17455938091269141</v>
      </c>
      <c r="K192" s="22">
        <v>0.18411098263051714</v>
      </c>
      <c r="L192" s="21">
        <v>49113</v>
      </c>
      <c r="M192" s="21">
        <v>50513</v>
      </c>
      <c r="N192" s="21">
        <v>50226</v>
      </c>
      <c r="O192" s="21">
        <v>51503</v>
      </c>
      <c r="P192" s="21">
        <v>52813</v>
      </c>
      <c r="Q192" s="22">
        <v>0.88571686203787192</v>
      </c>
      <c r="R192" s="22">
        <v>0.89278707647713818</v>
      </c>
      <c r="S192" s="22">
        <v>0.89465621660135375</v>
      </c>
      <c r="T192" s="22">
        <v>0.89749934651912522</v>
      </c>
      <c r="U192" s="22">
        <v>0.88217214826198076</v>
      </c>
      <c r="W192" s="21">
        <v>49508</v>
      </c>
      <c r="X192" s="21">
        <v>47124</v>
      </c>
      <c r="Y192" s="21">
        <v>47292</v>
      </c>
      <c r="Z192" s="21">
        <v>50007</v>
      </c>
      <c r="AA192" s="21">
        <v>56579</v>
      </c>
      <c r="AB192" s="22">
        <v>0.15820588366876082</v>
      </c>
      <c r="AC192" s="22">
        <v>0.15113437373717936</v>
      </c>
      <c r="AD192" s="22">
        <v>0.15120472682627378</v>
      </c>
      <c r="AE192" s="22">
        <v>0.1598127257038765</v>
      </c>
      <c r="AF192" s="22">
        <v>0.17608358049166092</v>
      </c>
      <c r="AG192" s="21">
        <v>44195</v>
      </c>
      <c r="AH192" s="21">
        <v>41170</v>
      </c>
      <c r="AI192" s="21">
        <v>40672</v>
      </c>
      <c r="AJ192" s="21">
        <v>42963</v>
      </c>
      <c r="AK192" s="21">
        <v>50513</v>
      </c>
      <c r="AL192" s="22">
        <v>0.89268401066494307</v>
      </c>
      <c r="AM192" s="22">
        <v>0.87365249129955014</v>
      </c>
      <c r="AN192" s="22">
        <v>0.86001860779835915</v>
      </c>
      <c r="AO192" s="22">
        <v>0.85913972043913855</v>
      </c>
      <c r="AP192" s="22">
        <v>0.89278707647713818</v>
      </c>
      <c r="AQ192" s="39"/>
    </row>
    <row r="193" spans="1:55" s="21" customFormat="1" ht="12.75" x14ac:dyDescent="0.2">
      <c r="A193" s="20" t="s">
        <v>35</v>
      </c>
      <c r="B193" s="21">
        <v>85219</v>
      </c>
      <c r="C193" s="21">
        <v>86079</v>
      </c>
      <c r="D193" s="21">
        <v>85168</v>
      </c>
      <c r="E193" s="21">
        <v>84581</v>
      </c>
      <c r="F193" s="21">
        <v>77710</v>
      </c>
      <c r="G193" s="22">
        <v>0.26593125399822126</v>
      </c>
      <c r="H193" s="22">
        <v>0.26789265496282511</v>
      </c>
      <c r="I193" s="22">
        <v>0.26172520819888756</v>
      </c>
      <c r="J193" s="22">
        <v>0.25728686933826528</v>
      </c>
      <c r="K193" s="22">
        <v>0.23898415588249766</v>
      </c>
      <c r="L193" s="21">
        <v>55243</v>
      </c>
      <c r="M193" s="21">
        <v>58007</v>
      </c>
      <c r="N193" s="21">
        <v>58987</v>
      </c>
      <c r="O193" s="21">
        <v>59981</v>
      </c>
      <c r="P193" s="21">
        <v>54486</v>
      </c>
      <c r="Q193" s="22">
        <v>0.64824745655311611</v>
      </c>
      <c r="R193" s="22">
        <v>0.67388096980680534</v>
      </c>
      <c r="S193" s="22">
        <v>0.69259581063310161</v>
      </c>
      <c r="T193" s="22">
        <v>0.70915453825327202</v>
      </c>
      <c r="U193" s="22">
        <v>0.70114528374726548</v>
      </c>
      <c r="W193" s="21">
        <v>101169</v>
      </c>
      <c r="X193" s="21">
        <v>90829</v>
      </c>
      <c r="Y193" s="21">
        <v>84934</v>
      </c>
      <c r="Z193" s="21">
        <v>82573</v>
      </c>
      <c r="AA193" s="21">
        <v>86079</v>
      </c>
      <c r="AB193" s="22">
        <v>0.32329181233103466</v>
      </c>
      <c r="AC193" s="22">
        <v>0.29130345539797692</v>
      </c>
      <c r="AD193" s="22">
        <v>0.27155591364845511</v>
      </c>
      <c r="AE193" s="22">
        <v>0.26388737975775783</v>
      </c>
      <c r="AF193" s="22">
        <v>0.26789265496282511</v>
      </c>
      <c r="AG193" s="21">
        <v>30829</v>
      </c>
      <c r="AH193" s="21">
        <v>37712</v>
      </c>
      <c r="AI193" s="21">
        <v>43365</v>
      </c>
      <c r="AJ193" s="21">
        <v>47654</v>
      </c>
      <c r="AK193" s="21">
        <v>58007</v>
      </c>
      <c r="AL193" s="22">
        <v>0.30472773280352677</v>
      </c>
      <c r="AM193" s="22">
        <v>0.41519778925233131</v>
      </c>
      <c r="AN193" s="22">
        <v>0.51057291544022421</v>
      </c>
      <c r="AO193" s="22">
        <v>0.57711358434355053</v>
      </c>
      <c r="AP193" s="22">
        <v>0.67388096980680534</v>
      </c>
      <c r="AQ193" s="39"/>
    </row>
    <row r="194" spans="1:55" s="21" customFormat="1" ht="12.75" x14ac:dyDescent="0.2">
      <c r="A194" s="20" t="s">
        <v>81</v>
      </c>
      <c r="B194" s="21">
        <v>58484</v>
      </c>
      <c r="C194" s="21">
        <v>58038</v>
      </c>
      <c r="D194" s="21">
        <v>55820</v>
      </c>
      <c r="E194" s="21">
        <v>58230</v>
      </c>
      <c r="F194" s="21">
        <v>58828</v>
      </c>
      <c r="G194" s="22">
        <v>0.18250300354183896</v>
      </c>
      <c r="H194" s="22">
        <v>0.1806242394629636</v>
      </c>
      <c r="I194" s="22">
        <v>0.17153744506929719</v>
      </c>
      <c r="J194" s="22">
        <v>0.17712978566778811</v>
      </c>
      <c r="K194" s="22">
        <v>0.18091571126310091</v>
      </c>
      <c r="L194" s="21">
        <v>54803</v>
      </c>
      <c r="M194" s="21">
        <v>55070</v>
      </c>
      <c r="N194" s="21">
        <v>52921</v>
      </c>
      <c r="O194" s="21">
        <v>54793</v>
      </c>
      <c r="P194" s="21">
        <v>52442</v>
      </c>
      <c r="Q194" s="22">
        <v>0.93705970863826005</v>
      </c>
      <c r="R194" s="22">
        <v>0.94886109100933869</v>
      </c>
      <c r="S194" s="22">
        <v>0.94806520960229312</v>
      </c>
      <c r="T194" s="22">
        <v>0.9409754422119182</v>
      </c>
      <c r="U194" s="22">
        <v>0.89144625008499356</v>
      </c>
      <c r="W194" s="21">
        <v>39041</v>
      </c>
      <c r="X194" s="21">
        <v>58407</v>
      </c>
      <c r="Y194" s="21">
        <v>65072</v>
      </c>
      <c r="Z194" s="21">
        <v>58945</v>
      </c>
      <c r="AA194" s="21">
        <v>58038</v>
      </c>
      <c r="AB194" s="22">
        <v>0.12475793617823566</v>
      </c>
      <c r="AC194" s="22">
        <v>0.18732079973829546</v>
      </c>
      <c r="AD194" s="22">
        <v>0.20805197462656025</v>
      </c>
      <c r="AE194" s="22">
        <v>0.18837684957335976</v>
      </c>
      <c r="AF194" s="22">
        <v>0.1806242394629636</v>
      </c>
      <c r="AG194" s="21">
        <v>37337</v>
      </c>
      <c r="AH194" s="21">
        <v>56203</v>
      </c>
      <c r="AI194" s="21">
        <v>62286</v>
      </c>
      <c r="AJ194" s="21">
        <v>56218</v>
      </c>
      <c r="AK194" s="21">
        <v>55070</v>
      </c>
      <c r="AL194" s="22">
        <v>0.95635357700878565</v>
      </c>
      <c r="AM194" s="22">
        <v>0.96226479702775347</v>
      </c>
      <c r="AN194" s="22">
        <v>0.95718588640275393</v>
      </c>
      <c r="AO194" s="22">
        <v>0.95373653405717196</v>
      </c>
      <c r="AP194" s="22">
        <v>0.94886109100933869</v>
      </c>
      <c r="AQ194" s="39"/>
    </row>
    <row r="195" spans="1:55" s="21" customFormat="1" ht="12.75" x14ac:dyDescent="0.2">
      <c r="A195" s="31" t="s">
        <v>82</v>
      </c>
      <c r="B195" s="23">
        <v>320455</v>
      </c>
      <c r="C195" s="23">
        <v>321319</v>
      </c>
      <c r="D195" s="23">
        <v>325410</v>
      </c>
      <c r="E195" s="23">
        <v>328742</v>
      </c>
      <c r="F195" s="23">
        <v>325168</v>
      </c>
      <c r="G195" s="24">
        <v>1</v>
      </c>
      <c r="H195" s="24">
        <v>1</v>
      </c>
      <c r="I195" s="24">
        <v>1</v>
      </c>
      <c r="J195" s="24">
        <v>1</v>
      </c>
      <c r="K195" s="24">
        <v>1</v>
      </c>
      <c r="L195" s="23">
        <v>240165</v>
      </c>
      <c r="M195" s="23">
        <v>245676</v>
      </c>
      <c r="N195" s="23">
        <v>253262</v>
      </c>
      <c r="O195" s="23">
        <v>258117</v>
      </c>
      <c r="P195" s="23">
        <v>250966</v>
      </c>
      <c r="Q195" s="24">
        <v>0.74945000078014079</v>
      </c>
      <c r="R195" s="24">
        <v>0.76458597219585522</v>
      </c>
      <c r="S195" s="24">
        <v>0.7782858547678313</v>
      </c>
      <c r="T195" s="24">
        <v>0.78516587475892952</v>
      </c>
      <c r="U195" s="24">
        <v>0.7718041135659105</v>
      </c>
      <c r="V195" s="23"/>
      <c r="W195" s="23">
        <v>312934</v>
      </c>
      <c r="X195" s="23">
        <v>311802</v>
      </c>
      <c r="Y195" s="23">
        <v>312768</v>
      </c>
      <c r="Z195" s="23">
        <v>312910</v>
      </c>
      <c r="AA195" s="23">
        <v>321319</v>
      </c>
      <c r="AB195" s="24">
        <v>1</v>
      </c>
      <c r="AC195" s="24">
        <v>1</v>
      </c>
      <c r="AD195" s="24">
        <v>1</v>
      </c>
      <c r="AE195" s="24">
        <v>1</v>
      </c>
      <c r="AF195" s="24">
        <v>1</v>
      </c>
      <c r="AG195" s="23">
        <v>166664</v>
      </c>
      <c r="AH195" s="23">
        <v>192620</v>
      </c>
      <c r="AI195" s="23">
        <v>211411</v>
      </c>
      <c r="AJ195" s="23">
        <v>222461</v>
      </c>
      <c r="AK195" s="23">
        <v>245676</v>
      </c>
      <c r="AL195" s="24">
        <v>0.53258514574958293</v>
      </c>
      <c r="AM195" s="24">
        <v>0.6177638373070089</v>
      </c>
      <c r="AN195" s="24">
        <v>0.67593551770002047</v>
      </c>
      <c r="AO195" s="24">
        <v>0.71094244351410951</v>
      </c>
      <c r="AP195" s="24">
        <v>0.76458597219585522</v>
      </c>
      <c r="AQ195" s="39"/>
    </row>
    <row r="196" spans="1:55" s="21" customFormat="1" ht="12.75" x14ac:dyDescent="0.2">
      <c r="A196" s="20"/>
      <c r="AB196" s="22"/>
      <c r="AC196" s="22"/>
      <c r="AD196" s="22"/>
      <c r="AE196" s="22"/>
      <c r="AF196" s="22"/>
      <c r="AL196" s="22"/>
      <c r="AM196" s="22"/>
      <c r="AN196" s="22"/>
      <c r="AO196" s="22"/>
      <c r="AP196" s="22"/>
      <c r="AQ196" s="39"/>
    </row>
    <row r="197" spans="1:55" s="21" customFormat="1" ht="12.75" x14ac:dyDescent="0.2">
      <c r="A197" s="10" t="s">
        <v>73</v>
      </c>
      <c r="B197" s="10" t="s">
        <v>12</v>
      </c>
      <c r="C197" s="10" t="s">
        <v>13</v>
      </c>
      <c r="D197" s="10" t="s">
        <v>14</v>
      </c>
      <c r="E197" s="10" t="s">
        <v>15</v>
      </c>
      <c r="F197" s="10" t="s">
        <v>16</v>
      </c>
      <c r="G197" s="10" t="s">
        <v>12</v>
      </c>
      <c r="H197" s="10" t="s">
        <v>13</v>
      </c>
      <c r="I197" s="10" t="s">
        <v>14</v>
      </c>
      <c r="J197" s="10" t="s">
        <v>15</v>
      </c>
      <c r="K197" s="10" t="s">
        <v>16</v>
      </c>
      <c r="L197" s="10" t="s">
        <v>12</v>
      </c>
      <c r="M197" s="10" t="s">
        <v>13</v>
      </c>
      <c r="N197" s="10" t="s">
        <v>14</v>
      </c>
      <c r="O197" s="10" t="s">
        <v>15</v>
      </c>
      <c r="P197" s="10" t="s">
        <v>16</v>
      </c>
      <c r="Q197" s="10" t="s">
        <v>12</v>
      </c>
      <c r="R197" s="10" t="s">
        <v>13</v>
      </c>
      <c r="S197" s="10" t="s">
        <v>14</v>
      </c>
      <c r="T197" s="10" t="s">
        <v>15</v>
      </c>
      <c r="U197" s="10" t="s">
        <v>16</v>
      </c>
      <c r="V197" s="10"/>
      <c r="W197" s="10" t="s">
        <v>17</v>
      </c>
      <c r="X197" s="10" t="s">
        <v>18</v>
      </c>
      <c r="Y197" s="10" t="s">
        <v>19</v>
      </c>
      <c r="Z197" s="10" t="s">
        <v>20</v>
      </c>
      <c r="AA197" s="10" t="s">
        <v>21</v>
      </c>
      <c r="AB197" s="10" t="s">
        <v>17</v>
      </c>
      <c r="AC197" s="10" t="s">
        <v>18</v>
      </c>
      <c r="AD197" s="10" t="s">
        <v>19</v>
      </c>
      <c r="AE197" s="10" t="s">
        <v>20</v>
      </c>
      <c r="AF197" s="10" t="s">
        <v>21</v>
      </c>
      <c r="AG197" s="10" t="s">
        <v>17</v>
      </c>
      <c r="AH197" s="10" t="s">
        <v>18</v>
      </c>
      <c r="AI197" s="10" t="s">
        <v>19</v>
      </c>
      <c r="AJ197" s="10" t="s">
        <v>20</v>
      </c>
      <c r="AK197" s="10" t="s">
        <v>21</v>
      </c>
      <c r="AL197" s="10" t="s">
        <v>17</v>
      </c>
      <c r="AM197" s="10" t="s">
        <v>18</v>
      </c>
      <c r="AN197" s="10" t="s">
        <v>19</v>
      </c>
      <c r="AO197" s="10" t="s">
        <v>20</v>
      </c>
      <c r="AP197" s="10" t="s">
        <v>21</v>
      </c>
      <c r="AQ197" s="39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</row>
    <row r="198" spans="1:55" s="23" customFormat="1" ht="12.75" x14ac:dyDescent="0.2">
      <c r="A198" s="20" t="s">
        <v>37</v>
      </c>
      <c r="B198" s="21">
        <v>86456</v>
      </c>
      <c r="C198" s="21">
        <v>88873</v>
      </c>
      <c r="D198" s="21">
        <v>88214</v>
      </c>
      <c r="E198" s="21">
        <v>88544</v>
      </c>
      <c r="F198" s="21">
        <v>88010</v>
      </c>
      <c r="G198" s="22">
        <v>0.45165368480992157</v>
      </c>
      <c r="H198" s="22">
        <v>0.4565174957365058</v>
      </c>
      <c r="I198" s="22">
        <v>0.45570496494934831</v>
      </c>
      <c r="J198" s="22">
        <v>0.45572408681733256</v>
      </c>
      <c r="K198" s="22">
        <v>0.45312025371851045</v>
      </c>
      <c r="L198" s="21">
        <v>0</v>
      </c>
      <c r="M198" s="21">
        <v>0</v>
      </c>
      <c r="N198" s="21">
        <v>0</v>
      </c>
      <c r="O198" s="21">
        <v>0</v>
      </c>
      <c r="P198" s="21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1"/>
      <c r="W198" s="21">
        <v>0</v>
      </c>
      <c r="X198" s="21">
        <v>0</v>
      </c>
      <c r="Y198" s="21">
        <v>91580</v>
      </c>
      <c r="Z198" s="21">
        <v>89960</v>
      </c>
      <c r="AA198" s="21">
        <v>88873</v>
      </c>
      <c r="AB198" s="22">
        <v>0</v>
      </c>
      <c r="AC198" s="22">
        <v>0</v>
      </c>
      <c r="AD198" s="22">
        <v>0.45138871774650663</v>
      </c>
      <c r="AE198" s="22">
        <v>0.45939210719830054</v>
      </c>
      <c r="AF198" s="22">
        <v>0.4565174957365058</v>
      </c>
      <c r="AG198" s="21">
        <v>0</v>
      </c>
      <c r="AH198" s="21">
        <v>0</v>
      </c>
      <c r="AI198" s="21">
        <v>0</v>
      </c>
      <c r="AJ198" s="21">
        <v>0</v>
      </c>
      <c r="AK198" s="21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39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</row>
    <row r="199" spans="1:55" s="21" customFormat="1" ht="12.75" x14ac:dyDescent="0.2">
      <c r="A199" s="20" t="s">
        <v>48</v>
      </c>
      <c r="B199" s="21">
        <v>53812</v>
      </c>
      <c r="C199" s="21">
        <v>52399</v>
      </c>
      <c r="D199" s="21">
        <v>52111</v>
      </c>
      <c r="E199" s="21">
        <v>51481</v>
      </c>
      <c r="F199" s="21">
        <v>43117</v>
      </c>
      <c r="G199" s="22">
        <v>0.28111858155583763</v>
      </c>
      <c r="H199" s="22">
        <v>0.26916004027204177</v>
      </c>
      <c r="I199" s="22">
        <v>0.26920036987865292</v>
      </c>
      <c r="J199" s="22">
        <v>0.2649657990766523</v>
      </c>
      <c r="K199" s="22">
        <v>0.221988251103068</v>
      </c>
      <c r="L199" s="21">
        <v>34093</v>
      </c>
      <c r="M199" s="21">
        <v>33839</v>
      </c>
      <c r="N199" s="21">
        <v>34207</v>
      </c>
      <c r="O199" s="21">
        <v>34070</v>
      </c>
      <c r="P199" s="21">
        <v>31572</v>
      </c>
      <c r="Q199" s="22">
        <v>0.63355757080205155</v>
      </c>
      <c r="R199" s="22">
        <v>0.6457947670757076</v>
      </c>
      <c r="S199" s="22">
        <v>0.65642570666461975</v>
      </c>
      <c r="T199" s="22">
        <v>0.66179755638002369</v>
      </c>
      <c r="U199" s="22">
        <v>0.73224018368624899</v>
      </c>
      <c r="W199" s="21">
        <v>0</v>
      </c>
      <c r="X199" s="21">
        <v>0</v>
      </c>
      <c r="Y199" s="21">
        <v>58390</v>
      </c>
      <c r="Z199" s="21">
        <v>58297</v>
      </c>
      <c r="AA199" s="21">
        <v>52399</v>
      </c>
      <c r="AB199" s="22">
        <v>0</v>
      </c>
      <c r="AC199" s="22">
        <v>0</v>
      </c>
      <c r="AD199" s="22">
        <v>0.28779850654311556</v>
      </c>
      <c r="AE199" s="22">
        <v>0.29770099681346518</v>
      </c>
      <c r="AF199" s="22">
        <v>0.26916004027204177</v>
      </c>
      <c r="AG199" s="21">
        <v>0</v>
      </c>
      <c r="AH199" s="21">
        <v>0</v>
      </c>
      <c r="AI199" s="21">
        <v>34382</v>
      </c>
      <c r="AJ199" s="21">
        <v>35988</v>
      </c>
      <c r="AK199" s="21">
        <v>33839</v>
      </c>
      <c r="AL199" s="22">
        <v>0</v>
      </c>
      <c r="AM199" s="22">
        <v>0</v>
      </c>
      <c r="AN199" s="22">
        <v>0.58883370440143856</v>
      </c>
      <c r="AO199" s="22">
        <v>0.61732164605382778</v>
      </c>
      <c r="AP199" s="22">
        <v>0.6457947670757076</v>
      </c>
      <c r="AQ199" s="39"/>
    </row>
    <row r="200" spans="1:55" s="21" customFormat="1" ht="12.75" x14ac:dyDescent="0.2">
      <c r="A200" s="20" t="s">
        <v>24</v>
      </c>
      <c r="B200" s="21">
        <v>20448</v>
      </c>
      <c r="C200" s="21">
        <v>20192</v>
      </c>
      <c r="D200" s="21">
        <v>20229</v>
      </c>
      <c r="E200" s="21">
        <v>20159</v>
      </c>
      <c r="F200" s="21">
        <v>20441</v>
      </c>
      <c r="G200" s="22">
        <v>0.10682213550237435</v>
      </c>
      <c r="H200" s="22">
        <v>0.10372105446999116</v>
      </c>
      <c r="I200" s="22">
        <v>0.10450105126125521</v>
      </c>
      <c r="J200" s="22">
        <v>0.10375566798597993</v>
      </c>
      <c r="K200" s="22">
        <v>0.10524066704079163</v>
      </c>
      <c r="L200" s="21">
        <v>14137</v>
      </c>
      <c r="M200" s="21">
        <v>14301</v>
      </c>
      <c r="N200" s="21">
        <v>14558</v>
      </c>
      <c r="O200" s="21">
        <v>14561</v>
      </c>
      <c r="P200" s="21">
        <v>14936</v>
      </c>
      <c r="Q200" s="22">
        <v>0.69136345852895154</v>
      </c>
      <c r="R200" s="22">
        <v>0.70825079239302691</v>
      </c>
      <c r="S200" s="22">
        <v>0.71965989421128085</v>
      </c>
      <c r="T200" s="22">
        <v>0.72230765414951137</v>
      </c>
      <c r="U200" s="22">
        <v>0.73068832248911497</v>
      </c>
      <c r="W200" s="21">
        <v>0</v>
      </c>
      <c r="X200" s="21">
        <v>0</v>
      </c>
      <c r="Y200" s="21">
        <v>20491</v>
      </c>
      <c r="Z200" s="21">
        <v>18627</v>
      </c>
      <c r="AA200" s="21">
        <v>20192</v>
      </c>
      <c r="AB200" s="22">
        <v>0</v>
      </c>
      <c r="AC200" s="22">
        <v>0</v>
      </c>
      <c r="AD200" s="22">
        <v>0.10099810237326565</v>
      </c>
      <c r="AE200" s="22">
        <v>9.5121129177220362E-2</v>
      </c>
      <c r="AF200" s="22">
        <v>0.10372105446999116</v>
      </c>
      <c r="AG200" s="21">
        <v>0</v>
      </c>
      <c r="AH200" s="21">
        <v>0</v>
      </c>
      <c r="AI200" s="21">
        <v>12138</v>
      </c>
      <c r="AJ200" s="21">
        <v>11527</v>
      </c>
      <c r="AK200" s="21">
        <v>14301</v>
      </c>
      <c r="AL200" s="22">
        <v>0</v>
      </c>
      <c r="AM200" s="22">
        <v>0</v>
      </c>
      <c r="AN200" s="22">
        <v>0.59235762041872042</v>
      </c>
      <c r="AO200" s="22">
        <v>0.61883287700649592</v>
      </c>
      <c r="AP200" s="22">
        <v>0.70825079239302691</v>
      </c>
      <c r="AQ200" s="39"/>
    </row>
    <row r="201" spans="1:55" s="21" customFormat="1" ht="12.75" x14ac:dyDescent="0.2">
      <c r="A201" s="20" t="s">
        <v>81</v>
      </c>
      <c r="B201" s="21">
        <v>30705</v>
      </c>
      <c r="C201" s="21">
        <v>33212</v>
      </c>
      <c r="D201" s="21">
        <v>33023</v>
      </c>
      <c r="E201" s="21">
        <v>34109</v>
      </c>
      <c r="F201" s="21">
        <v>42663</v>
      </c>
      <c r="G201" s="22">
        <v>0.16040559813186642</v>
      </c>
      <c r="H201" s="22">
        <v>0.1706014095214613</v>
      </c>
      <c r="I201" s="22">
        <v>0.17059361391074354</v>
      </c>
      <c r="J201" s="22">
        <v>0.17555444612003521</v>
      </c>
      <c r="K201" s="22">
        <v>0.21965082813762993</v>
      </c>
      <c r="L201" s="21">
        <v>26368</v>
      </c>
      <c r="M201" s="21">
        <v>29073</v>
      </c>
      <c r="N201" s="21">
        <v>29070</v>
      </c>
      <c r="O201" s="21">
        <v>30325</v>
      </c>
      <c r="P201" s="21">
        <v>33010</v>
      </c>
      <c r="Q201" s="22">
        <v>0.85875264614883573</v>
      </c>
      <c r="R201" s="22">
        <v>0.87537636998675172</v>
      </c>
      <c r="S201" s="22">
        <v>0.88029555158525874</v>
      </c>
      <c r="T201" s="22">
        <v>0.88906153801049581</v>
      </c>
      <c r="U201" s="22">
        <v>0.77373836814101216</v>
      </c>
      <c r="W201" s="21">
        <v>1</v>
      </c>
      <c r="X201" s="21">
        <v>0</v>
      </c>
      <c r="Y201" s="21">
        <v>32424</v>
      </c>
      <c r="Z201" s="21">
        <v>28940</v>
      </c>
      <c r="AA201" s="21">
        <v>33212</v>
      </c>
      <c r="AB201" s="22">
        <v>1</v>
      </c>
      <c r="AC201" s="22">
        <v>0</v>
      </c>
      <c r="AD201" s="22">
        <v>0.15981467333711216</v>
      </c>
      <c r="AE201" s="22">
        <v>0.14778576681101396</v>
      </c>
      <c r="AF201" s="22">
        <v>0.1706014095214613</v>
      </c>
      <c r="AG201" s="21">
        <v>1</v>
      </c>
      <c r="AH201" s="21">
        <v>0</v>
      </c>
      <c r="AI201" s="21">
        <v>27805</v>
      </c>
      <c r="AJ201" s="21">
        <v>22928</v>
      </c>
      <c r="AK201" s="21">
        <v>29073</v>
      </c>
      <c r="AL201" s="22">
        <v>1</v>
      </c>
      <c r="AM201" s="22">
        <v>0</v>
      </c>
      <c r="AN201" s="22">
        <v>0.85754379471996056</v>
      </c>
      <c r="AO201" s="22">
        <v>0.79225984796129922</v>
      </c>
      <c r="AP201" s="22">
        <v>0.87537636998675172</v>
      </c>
      <c r="AQ201" s="39"/>
    </row>
    <row r="202" spans="1:55" s="21" customFormat="1" ht="12.75" x14ac:dyDescent="0.2">
      <c r="A202" s="31" t="s">
        <v>82</v>
      </c>
      <c r="B202" s="23">
        <v>191421</v>
      </c>
      <c r="C202" s="23">
        <v>194676</v>
      </c>
      <c r="D202" s="23">
        <v>193577</v>
      </c>
      <c r="E202" s="23">
        <v>194293</v>
      </c>
      <c r="F202" s="23">
        <v>194231</v>
      </c>
      <c r="G202" s="24">
        <v>1</v>
      </c>
      <c r="H202" s="24">
        <v>1</v>
      </c>
      <c r="I202" s="24">
        <v>1</v>
      </c>
      <c r="J202" s="24">
        <v>1</v>
      </c>
      <c r="K202" s="24">
        <v>1</v>
      </c>
      <c r="L202" s="23">
        <v>74598</v>
      </c>
      <c r="M202" s="23">
        <v>77213</v>
      </c>
      <c r="N202" s="23">
        <v>77835</v>
      </c>
      <c r="O202" s="23">
        <v>78956</v>
      </c>
      <c r="P202" s="23">
        <v>79518</v>
      </c>
      <c r="Q202" s="24">
        <v>0.38970645853903174</v>
      </c>
      <c r="R202" s="24">
        <v>0.39662310711130289</v>
      </c>
      <c r="S202" s="24">
        <v>0.40208805798209496</v>
      </c>
      <c r="T202" s="24">
        <v>0.40637593737293676</v>
      </c>
      <c r="U202" s="24">
        <v>0.40939911754560293</v>
      </c>
      <c r="V202" s="23"/>
      <c r="W202" s="23">
        <v>1</v>
      </c>
      <c r="X202" s="23">
        <v>0</v>
      </c>
      <c r="Y202" s="23">
        <v>202885</v>
      </c>
      <c r="Z202" s="23">
        <v>195824</v>
      </c>
      <c r="AA202" s="23">
        <v>194676</v>
      </c>
      <c r="AB202" s="24">
        <v>1</v>
      </c>
      <c r="AC202" s="24">
        <v>0</v>
      </c>
      <c r="AD202" s="24">
        <v>1</v>
      </c>
      <c r="AE202" s="24">
        <v>1</v>
      </c>
      <c r="AF202" s="24">
        <v>1</v>
      </c>
      <c r="AG202" s="23">
        <v>1</v>
      </c>
      <c r="AH202" s="23">
        <v>0</v>
      </c>
      <c r="AI202" s="23">
        <v>74325</v>
      </c>
      <c r="AJ202" s="23">
        <v>70443</v>
      </c>
      <c r="AK202" s="23">
        <v>77213</v>
      </c>
      <c r="AL202" s="24">
        <v>1</v>
      </c>
      <c r="AM202" s="24">
        <v>0</v>
      </c>
      <c r="AN202" s="24">
        <v>0.36634053774305642</v>
      </c>
      <c r="AO202" s="24">
        <v>0.35972608056213745</v>
      </c>
      <c r="AP202" s="24">
        <v>0.39662310711130289</v>
      </c>
      <c r="AQ202" s="39"/>
    </row>
    <row r="203" spans="1:55" s="21" customFormat="1" ht="12.75" x14ac:dyDescent="0.2">
      <c r="A203" s="20"/>
      <c r="AB203" s="22"/>
      <c r="AC203" s="22"/>
      <c r="AD203" s="22"/>
      <c r="AE203" s="22"/>
      <c r="AF203" s="22"/>
      <c r="AL203" s="22"/>
      <c r="AM203" s="22"/>
      <c r="AN203" s="22"/>
      <c r="AO203" s="22"/>
      <c r="AP203" s="22"/>
      <c r="AQ203" s="39"/>
    </row>
    <row r="204" spans="1:55" s="21" customFormat="1" ht="12.75" x14ac:dyDescent="0.2">
      <c r="A204" s="10" t="s">
        <v>75</v>
      </c>
      <c r="B204" s="10" t="s">
        <v>12</v>
      </c>
      <c r="C204" s="10" t="s">
        <v>13</v>
      </c>
      <c r="D204" s="10" t="s">
        <v>14</v>
      </c>
      <c r="E204" s="10" t="s">
        <v>15</v>
      </c>
      <c r="F204" s="10" t="s">
        <v>16</v>
      </c>
      <c r="G204" s="10" t="s">
        <v>12</v>
      </c>
      <c r="H204" s="10" t="s">
        <v>13</v>
      </c>
      <c r="I204" s="10" t="s">
        <v>14</v>
      </c>
      <c r="J204" s="10" t="s">
        <v>15</v>
      </c>
      <c r="K204" s="10" t="s">
        <v>16</v>
      </c>
      <c r="L204" s="10" t="s">
        <v>12</v>
      </c>
      <c r="M204" s="10" t="s">
        <v>13</v>
      </c>
      <c r="N204" s="10" t="s">
        <v>14</v>
      </c>
      <c r="O204" s="10" t="s">
        <v>15</v>
      </c>
      <c r="P204" s="10" t="s">
        <v>16</v>
      </c>
      <c r="Q204" s="10" t="s">
        <v>12</v>
      </c>
      <c r="R204" s="10" t="s">
        <v>13</v>
      </c>
      <c r="S204" s="10" t="s">
        <v>14</v>
      </c>
      <c r="T204" s="10" t="s">
        <v>15</v>
      </c>
      <c r="U204" s="10" t="s">
        <v>16</v>
      </c>
      <c r="V204" s="10"/>
      <c r="W204" s="10" t="s">
        <v>17</v>
      </c>
      <c r="X204" s="10" t="s">
        <v>18</v>
      </c>
      <c r="Y204" s="10" t="s">
        <v>19</v>
      </c>
      <c r="Z204" s="10" t="s">
        <v>20</v>
      </c>
      <c r="AA204" s="10" t="s">
        <v>21</v>
      </c>
      <c r="AB204" s="10" t="s">
        <v>17</v>
      </c>
      <c r="AC204" s="10" t="s">
        <v>18</v>
      </c>
      <c r="AD204" s="10" t="s">
        <v>19</v>
      </c>
      <c r="AE204" s="10" t="s">
        <v>20</v>
      </c>
      <c r="AF204" s="10" t="s">
        <v>21</v>
      </c>
      <c r="AG204" s="10" t="s">
        <v>17</v>
      </c>
      <c r="AH204" s="10" t="s">
        <v>18</v>
      </c>
      <c r="AI204" s="10" t="s">
        <v>19</v>
      </c>
      <c r="AJ204" s="10" t="s">
        <v>20</v>
      </c>
      <c r="AK204" s="10" t="s">
        <v>21</v>
      </c>
      <c r="AL204" s="10" t="s">
        <v>17</v>
      </c>
      <c r="AM204" s="10" t="s">
        <v>18</v>
      </c>
      <c r="AN204" s="10" t="s">
        <v>19</v>
      </c>
      <c r="AO204" s="10" t="s">
        <v>20</v>
      </c>
      <c r="AP204" s="10" t="s">
        <v>21</v>
      </c>
      <c r="AQ204" s="39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</row>
    <row r="205" spans="1:55" s="23" customFormat="1" ht="12.75" x14ac:dyDescent="0.2">
      <c r="A205" s="20" t="s">
        <v>24</v>
      </c>
      <c r="B205" s="21">
        <v>39203</v>
      </c>
      <c r="C205" s="21">
        <v>38935</v>
      </c>
      <c r="D205" s="21">
        <v>37914</v>
      </c>
      <c r="E205" s="21">
        <v>37854</v>
      </c>
      <c r="F205" s="21">
        <v>38413</v>
      </c>
      <c r="G205" s="22">
        <v>0.43458451578573964</v>
      </c>
      <c r="H205" s="22">
        <v>0.42737341251111377</v>
      </c>
      <c r="I205" s="22">
        <v>0.41431084787621159</v>
      </c>
      <c r="J205" s="22">
        <v>0.41839644538762516</v>
      </c>
      <c r="K205" s="22">
        <v>0.43535865265830243</v>
      </c>
      <c r="L205" s="21">
        <v>26299</v>
      </c>
      <c r="M205" s="21">
        <v>26743</v>
      </c>
      <c r="N205" s="21">
        <v>26176</v>
      </c>
      <c r="O205" s="21">
        <v>26470</v>
      </c>
      <c r="P205" s="21">
        <v>27002</v>
      </c>
      <c r="Q205" s="22">
        <v>0.67084151723082419</v>
      </c>
      <c r="R205" s="22">
        <v>0.68686271991781178</v>
      </c>
      <c r="S205" s="22">
        <v>0.69040459988394787</v>
      </c>
      <c r="T205" s="22">
        <v>0.69926559940825272</v>
      </c>
      <c r="U205" s="22">
        <v>0.70293910915575453</v>
      </c>
      <c r="V205" s="21"/>
      <c r="W205" s="21">
        <v>47063</v>
      </c>
      <c r="X205" s="21">
        <v>44287</v>
      </c>
      <c r="Y205" s="21">
        <v>43118</v>
      </c>
      <c r="Z205" s="21">
        <v>37073</v>
      </c>
      <c r="AA205" s="21">
        <v>38935</v>
      </c>
      <c r="AB205" s="22">
        <v>0.52549715829788179</v>
      </c>
      <c r="AC205" s="22">
        <v>0.48599741017931214</v>
      </c>
      <c r="AD205" s="22">
        <v>0.47076163857105424</v>
      </c>
      <c r="AE205" s="22">
        <v>0.41883296616392701</v>
      </c>
      <c r="AF205" s="22">
        <v>0.42737341251111377</v>
      </c>
      <c r="AG205" s="21">
        <v>26959</v>
      </c>
      <c r="AH205" s="21">
        <v>25683</v>
      </c>
      <c r="AI205" s="21">
        <v>26522</v>
      </c>
      <c r="AJ205" s="21">
        <v>22383</v>
      </c>
      <c r="AK205" s="21">
        <v>26743</v>
      </c>
      <c r="AL205" s="22">
        <v>0.5728279115228524</v>
      </c>
      <c r="AM205" s="22">
        <v>0.57992187323593836</v>
      </c>
      <c r="AN205" s="22">
        <v>0.61510274131453224</v>
      </c>
      <c r="AO205" s="22">
        <v>0.60375475413373614</v>
      </c>
      <c r="AP205" s="22">
        <v>0.68686271991781178</v>
      </c>
      <c r="AQ205" s="39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</row>
    <row r="206" spans="1:55" s="21" customFormat="1" ht="12.75" x14ac:dyDescent="0.2">
      <c r="A206" s="20" t="s">
        <v>48</v>
      </c>
      <c r="B206" s="21">
        <v>23590</v>
      </c>
      <c r="C206" s="21">
        <v>23738</v>
      </c>
      <c r="D206" s="21">
        <v>24827</v>
      </c>
      <c r="E206" s="21">
        <v>24642</v>
      </c>
      <c r="F206" s="21">
        <v>22726</v>
      </c>
      <c r="G206" s="22">
        <v>0.26150673997871587</v>
      </c>
      <c r="H206" s="22">
        <v>0.26056222078306973</v>
      </c>
      <c r="I206" s="22">
        <v>0.27130071794647637</v>
      </c>
      <c r="J206" s="22">
        <v>0.27236554148153058</v>
      </c>
      <c r="K206" s="22">
        <v>0.25756803010211599</v>
      </c>
      <c r="L206" s="21">
        <v>22713</v>
      </c>
      <c r="M206" s="21">
        <v>22851</v>
      </c>
      <c r="N206" s="21">
        <v>23870</v>
      </c>
      <c r="O206" s="21">
        <v>23661</v>
      </c>
      <c r="P206" s="21">
        <v>21556</v>
      </c>
      <c r="Q206" s="22">
        <v>0.96282323018228066</v>
      </c>
      <c r="R206" s="22">
        <v>0.96263375179037824</v>
      </c>
      <c r="S206" s="22">
        <v>0.96145325653522373</v>
      </c>
      <c r="T206" s="22">
        <v>0.96018991964937905</v>
      </c>
      <c r="U206" s="22">
        <v>0.94851711695854968</v>
      </c>
      <c r="W206" s="21">
        <v>14938</v>
      </c>
      <c r="X206" s="21">
        <v>15497</v>
      </c>
      <c r="Y206" s="21">
        <v>17567</v>
      </c>
      <c r="Z206" s="21">
        <v>23421</v>
      </c>
      <c r="AA206" s="21">
        <v>23738</v>
      </c>
      <c r="AB206" s="22">
        <v>0.16679507363860696</v>
      </c>
      <c r="AC206" s="22">
        <v>0.17006123389592431</v>
      </c>
      <c r="AD206" s="22">
        <v>0.19179622674469385</v>
      </c>
      <c r="AE206" s="22">
        <v>0.26459922047110657</v>
      </c>
      <c r="AF206" s="22">
        <v>0.26056222078306973</v>
      </c>
      <c r="AG206" s="21">
        <v>14290</v>
      </c>
      <c r="AH206" s="21">
        <v>14830</v>
      </c>
      <c r="AI206" s="21">
        <v>16789</v>
      </c>
      <c r="AJ206" s="21">
        <v>22598</v>
      </c>
      <c r="AK206" s="21">
        <v>22851</v>
      </c>
      <c r="AL206" s="22">
        <v>0.95662069888874013</v>
      </c>
      <c r="AM206" s="22">
        <v>0.95695941149899977</v>
      </c>
      <c r="AN206" s="22">
        <v>0.95571241532418738</v>
      </c>
      <c r="AO206" s="22">
        <v>0.96486059519234879</v>
      </c>
      <c r="AP206" s="22">
        <v>0.96263375179037824</v>
      </c>
      <c r="AQ206" s="39"/>
    </row>
    <row r="207" spans="1:55" s="21" customFormat="1" ht="12.75" x14ac:dyDescent="0.2">
      <c r="A207" s="20" t="s">
        <v>60</v>
      </c>
      <c r="B207" s="21">
        <v>4230</v>
      </c>
      <c r="C207" s="21">
        <v>4074</v>
      </c>
      <c r="D207" s="21">
        <v>3969</v>
      </c>
      <c r="E207" s="21">
        <v>3854</v>
      </c>
      <c r="F207" s="21">
        <v>3844</v>
      </c>
      <c r="G207" s="22">
        <v>4.689162823696346E-2</v>
      </c>
      <c r="H207" s="22">
        <v>4.4718615193791646E-2</v>
      </c>
      <c r="I207" s="22">
        <v>4.3371835079935743E-2</v>
      </c>
      <c r="J207" s="22">
        <v>4.2597873422198645E-2</v>
      </c>
      <c r="K207" s="22">
        <v>4.3566466061450933E-2</v>
      </c>
      <c r="L207" s="21">
        <v>4180</v>
      </c>
      <c r="M207" s="21">
        <v>4025</v>
      </c>
      <c r="N207" s="21">
        <v>3922</v>
      </c>
      <c r="O207" s="21">
        <v>3807</v>
      </c>
      <c r="P207" s="21">
        <v>3786</v>
      </c>
      <c r="Q207" s="22">
        <v>0.98817966903073284</v>
      </c>
      <c r="R207" s="22">
        <v>0.98797250859106533</v>
      </c>
      <c r="S207" s="22">
        <v>0.98815822625346439</v>
      </c>
      <c r="T207" s="22">
        <v>0.98780487804878048</v>
      </c>
      <c r="U207" s="22">
        <v>0.98491155046826218</v>
      </c>
      <c r="W207" s="21">
        <v>4335</v>
      </c>
      <c r="X207" s="21">
        <v>4737</v>
      </c>
      <c r="Y207" s="21">
        <v>4701</v>
      </c>
      <c r="Z207" s="21">
        <v>5223</v>
      </c>
      <c r="AA207" s="21">
        <v>4074</v>
      </c>
      <c r="AB207" s="22">
        <v>4.840384550966402E-2</v>
      </c>
      <c r="AC207" s="22">
        <v>5.1982968636832515E-2</v>
      </c>
      <c r="AD207" s="22">
        <v>5.1325443270154598E-2</v>
      </c>
      <c r="AE207" s="22">
        <v>5.9006947974919503E-2</v>
      </c>
      <c r="AF207" s="22">
        <v>4.4718615193791646E-2</v>
      </c>
      <c r="AG207" s="21">
        <v>4253</v>
      </c>
      <c r="AH207" s="21">
        <v>4699</v>
      </c>
      <c r="AI207" s="21">
        <v>4641</v>
      </c>
      <c r="AJ207" s="21">
        <v>5167</v>
      </c>
      <c r="AK207" s="21">
        <v>4025</v>
      </c>
      <c r="AL207" s="22">
        <v>0.98108419838523642</v>
      </c>
      <c r="AM207" s="22">
        <v>0.99197804517627186</v>
      </c>
      <c r="AN207" s="22">
        <v>0.98723675813656664</v>
      </c>
      <c r="AO207" s="22">
        <v>0.98927819260961136</v>
      </c>
      <c r="AP207" s="22">
        <v>0.98797250859106533</v>
      </c>
      <c r="AQ207" s="39"/>
    </row>
    <row r="208" spans="1:55" s="21" customFormat="1" ht="12.75" x14ac:dyDescent="0.2">
      <c r="A208" s="20" t="s">
        <v>81</v>
      </c>
      <c r="B208" s="21">
        <v>23185</v>
      </c>
      <c r="C208" s="21">
        <v>24356</v>
      </c>
      <c r="D208" s="21">
        <v>24801</v>
      </c>
      <c r="E208" s="21">
        <v>24124</v>
      </c>
      <c r="F208" s="21">
        <v>23250</v>
      </c>
      <c r="G208" s="22">
        <v>0.25701711599858107</v>
      </c>
      <c r="H208" s="22">
        <v>0.26734575151202483</v>
      </c>
      <c r="I208" s="22">
        <v>0.2710165990973763</v>
      </c>
      <c r="J208" s="22">
        <v>0.26664013970864558</v>
      </c>
      <c r="K208" s="22">
        <v>0.26350685117813061</v>
      </c>
      <c r="L208" s="21">
        <v>21956</v>
      </c>
      <c r="M208" s="21">
        <v>23231</v>
      </c>
      <c r="N208" s="21">
        <v>23412</v>
      </c>
      <c r="O208" s="21">
        <v>22929</v>
      </c>
      <c r="P208" s="21">
        <v>22232</v>
      </c>
      <c r="Q208" s="22">
        <v>0.94699158938969163</v>
      </c>
      <c r="R208" s="22">
        <v>0.95381014944982756</v>
      </c>
      <c r="S208" s="22">
        <v>0.94399419378250882</v>
      </c>
      <c r="T208" s="22">
        <v>0.95046426794893057</v>
      </c>
      <c r="U208" s="22">
        <v>0.95621505376344085</v>
      </c>
      <c r="W208" s="21">
        <v>23223</v>
      </c>
      <c r="X208" s="21">
        <v>26605</v>
      </c>
      <c r="Y208" s="21">
        <v>26206</v>
      </c>
      <c r="Z208" s="21">
        <v>22798</v>
      </c>
      <c r="AA208" s="21">
        <v>24356</v>
      </c>
      <c r="AB208" s="22">
        <v>0.25930392255384721</v>
      </c>
      <c r="AC208" s="22">
        <v>0.291958387287931</v>
      </c>
      <c r="AD208" s="22">
        <v>0.28611669141409729</v>
      </c>
      <c r="AE208" s="22">
        <v>0.25756086539004691</v>
      </c>
      <c r="AF208" s="22">
        <v>0.26734575151202483</v>
      </c>
      <c r="AG208" s="21">
        <v>22506</v>
      </c>
      <c r="AH208" s="21">
        <v>25652</v>
      </c>
      <c r="AI208" s="21">
        <v>24958</v>
      </c>
      <c r="AJ208" s="21">
        <v>21634</v>
      </c>
      <c r="AK208" s="21">
        <v>23231</v>
      </c>
      <c r="AL208" s="22">
        <v>0.96912543599018219</v>
      </c>
      <c r="AM208" s="22">
        <v>0.9641796654764142</v>
      </c>
      <c r="AN208" s="22">
        <v>0.95237731817141114</v>
      </c>
      <c r="AO208" s="22">
        <v>0.948942889727169</v>
      </c>
      <c r="AP208" s="22">
        <v>0.95381014944982756</v>
      </c>
      <c r="AQ208" s="39"/>
    </row>
    <row r="209" spans="1:55" s="21" customFormat="1" ht="12.75" x14ac:dyDescent="0.2">
      <c r="A209" s="31" t="s">
        <v>82</v>
      </c>
      <c r="B209" s="23">
        <v>90208</v>
      </c>
      <c r="C209" s="23">
        <v>91103</v>
      </c>
      <c r="D209" s="23">
        <v>91511</v>
      </c>
      <c r="E209" s="23">
        <v>90474</v>
      </c>
      <c r="F209" s="23">
        <v>88233</v>
      </c>
      <c r="G209" s="24">
        <v>1</v>
      </c>
      <c r="H209" s="24">
        <v>1</v>
      </c>
      <c r="I209" s="24">
        <v>1</v>
      </c>
      <c r="J209" s="24">
        <v>1</v>
      </c>
      <c r="K209" s="24">
        <v>1</v>
      </c>
      <c r="L209" s="23">
        <v>75148</v>
      </c>
      <c r="M209" s="23">
        <v>76850</v>
      </c>
      <c r="N209" s="23">
        <v>77380</v>
      </c>
      <c r="O209" s="23">
        <v>76867</v>
      </c>
      <c r="P209" s="23">
        <v>74576</v>
      </c>
      <c r="Q209" s="24">
        <v>0.83305250088683935</v>
      </c>
      <c r="R209" s="24">
        <v>0.84355070634336959</v>
      </c>
      <c r="S209" s="24">
        <v>0.84558140551409122</v>
      </c>
      <c r="T209" s="24">
        <v>0.84960320091960118</v>
      </c>
      <c r="U209" s="24">
        <v>0.84521664229936644</v>
      </c>
      <c r="V209" s="23"/>
      <c r="W209" s="23">
        <v>89559</v>
      </c>
      <c r="X209" s="23">
        <v>91126</v>
      </c>
      <c r="Y209" s="23">
        <v>91592</v>
      </c>
      <c r="Z209" s="23">
        <v>88515</v>
      </c>
      <c r="AA209" s="23">
        <v>91103</v>
      </c>
      <c r="AB209" s="24">
        <v>1</v>
      </c>
      <c r="AC209" s="24">
        <v>1</v>
      </c>
      <c r="AD209" s="24">
        <v>1</v>
      </c>
      <c r="AE209" s="24">
        <v>1</v>
      </c>
      <c r="AF209" s="24">
        <v>1</v>
      </c>
      <c r="AG209" s="23">
        <v>68008</v>
      </c>
      <c r="AH209" s="23">
        <v>70864</v>
      </c>
      <c r="AI209" s="23">
        <v>72910</v>
      </c>
      <c r="AJ209" s="23">
        <v>71782</v>
      </c>
      <c r="AK209" s="23">
        <v>76850</v>
      </c>
      <c r="AL209" s="24">
        <v>0.75936533458390554</v>
      </c>
      <c r="AM209" s="24">
        <v>0.77764853060597416</v>
      </c>
      <c r="AN209" s="24">
        <v>0.7960302209799982</v>
      </c>
      <c r="AO209" s="24">
        <v>0.81095859458848785</v>
      </c>
      <c r="AP209" s="24">
        <v>0.84355070634336959</v>
      </c>
      <c r="AQ209" s="39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</row>
    <row r="210" spans="1:55" s="23" customFormat="1" ht="12.75" x14ac:dyDescent="0.2">
      <c r="A210" s="20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2"/>
      <c r="AC210" s="22"/>
      <c r="AD210" s="22"/>
      <c r="AE210" s="22"/>
      <c r="AF210" s="22"/>
      <c r="AG210" s="21"/>
      <c r="AH210" s="21"/>
      <c r="AI210" s="21"/>
      <c r="AJ210" s="21"/>
      <c r="AK210" s="21"/>
      <c r="AL210" s="22"/>
      <c r="AM210" s="22"/>
      <c r="AN210" s="22"/>
      <c r="AO210" s="22"/>
      <c r="AP210" s="22"/>
      <c r="AQ210" s="39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</row>
    <row r="211" spans="1:55" x14ac:dyDescent="0.25">
      <c r="A211" s="10" t="s">
        <v>77</v>
      </c>
      <c r="B211" s="10" t="s">
        <v>12</v>
      </c>
      <c r="C211" s="10" t="s">
        <v>13</v>
      </c>
      <c r="D211" s="10" t="s">
        <v>14</v>
      </c>
      <c r="E211" s="10" t="s">
        <v>15</v>
      </c>
      <c r="F211" s="10" t="s">
        <v>16</v>
      </c>
      <c r="G211" s="10" t="s">
        <v>12</v>
      </c>
      <c r="H211" s="10" t="s">
        <v>13</v>
      </c>
      <c r="I211" s="10" t="s">
        <v>14</v>
      </c>
      <c r="J211" s="10" t="s">
        <v>15</v>
      </c>
      <c r="K211" s="10" t="s">
        <v>16</v>
      </c>
      <c r="L211" s="10" t="s">
        <v>12</v>
      </c>
      <c r="M211" s="10" t="s">
        <v>13</v>
      </c>
      <c r="N211" s="10" t="s">
        <v>14</v>
      </c>
      <c r="O211" s="10" t="s">
        <v>15</v>
      </c>
      <c r="P211" s="10" t="s">
        <v>16</v>
      </c>
      <c r="Q211" s="10" t="s">
        <v>12</v>
      </c>
      <c r="R211" s="10" t="s">
        <v>13</v>
      </c>
      <c r="S211" s="10" t="s">
        <v>14</v>
      </c>
      <c r="T211" s="10" t="s">
        <v>15</v>
      </c>
      <c r="U211" s="10" t="s">
        <v>16</v>
      </c>
      <c r="V211" s="10"/>
      <c r="W211" s="10" t="s">
        <v>17</v>
      </c>
      <c r="X211" s="10" t="s">
        <v>18</v>
      </c>
      <c r="Y211" s="10" t="s">
        <v>19</v>
      </c>
      <c r="Z211" s="10" t="s">
        <v>20</v>
      </c>
      <c r="AA211" s="10" t="s">
        <v>21</v>
      </c>
      <c r="AB211" s="10" t="s">
        <v>17</v>
      </c>
      <c r="AC211" s="10" t="s">
        <v>18</v>
      </c>
      <c r="AD211" s="10" t="s">
        <v>19</v>
      </c>
      <c r="AE211" s="10" t="s">
        <v>20</v>
      </c>
      <c r="AF211" s="10" t="s">
        <v>21</v>
      </c>
      <c r="AG211" s="10" t="s">
        <v>17</v>
      </c>
      <c r="AH211" s="10" t="s">
        <v>18</v>
      </c>
      <c r="AI211" s="10" t="s">
        <v>19</v>
      </c>
      <c r="AJ211" s="10" t="s">
        <v>20</v>
      </c>
      <c r="AK211" s="10" t="s">
        <v>21</v>
      </c>
      <c r="AL211" s="10" t="s">
        <v>17</v>
      </c>
      <c r="AM211" s="10" t="s">
        <v>18</v>
      </c>
      <c r="AN211" s="10" t="s">
        <v>19</v>
      </c>
      <c r="AO211" s="10" t="s">
        <v>20</v>
      </c>
      <c r="AP211" s="10" t="s">
        <v>21</v>
      </c>
    </row>
    <row r="212" spans="1:55" x14ac:dyDescent="0.25">
      <c r="A212" s="20" t="s">
        <v>27</v>
      </c>
      <c r="B212" s="21">
        <v>35537</v>
      </c>
      <c r="C212" s="21">
        <v>35468</v>
      </c>
      <c r="D212" s="21">
        <v>35441</v>
      </c>
      <c r="E212" s="21">
        <v>35552</v>
      </c>
      <c r="F212" s="21">
        <v>35712</v>
      </c>
      <c r="G212" s="22">
        <v>0.99523902876186743</v>
      </c>
      <c r="H212" s="22">
        <v>0.9949506283662477</v>
      </c>
      <c r="I212" s="22">
        <v>0.99497473329590114</v>
      </c>
      <c r="J212" s="22">
        <v>0.99499034451876522</v>
      </c>
      <c r="K212" s="22">
        <v>0.99326917728208264</v>
      </c>
      <c r="L212" s="21">
        <v>4355</v>
      </c>
      <c r="M212" s="21">
        <v>4192</v>
      </c>
      <c r="N212" s="21">
        <v>3899</v>
      </c>
      <c r="O212" s="21">
        <v>3750</v>
      </c>
      <c r="P212" s="21">
        <v>3598</v>
      </c>
      <c r="Q212" s="22">
        <v>0.12254832990967161</v>
      </c>
      <c r="R212" s="22">
        <v>0.11819104544941919</v>
      </c>
      <c r="S212" s="22">
        <v>0.11001382579498321</v>
      </c>
      <c r="T212" s="22">
        <v>0.10547929792979298</v>
      </c>
      <c r="U212" s="22">
        <v>0.10075044802867383</v>
      </c>
      <c r="V212" s="21"/>
      <c r="W212" s="21">
        <v>35986</v>
      </c>
      <c r="X212" s="21">
        <v>35881</v>
      </c>
      <c r="Y212" s="21">
        <v>36058</v>
      </c>
      <c r="Z212" s="21">
        <v>35191</v>
      </c>
      <c r="AA212" s="21">
        <v>35468</v>
      </c>
      <c r="AB212" s="22">
        <v>0.9998888580161156</v>
      </c>
      <c r="AC212" s="22">
        <v>0.99824727353661247</v>
      </c>
      <c r="AD212" s="22">
        <v>0.9967106172429997</v>
      </c>
      <c r="AE212" s="22">
        <v>0.99527688217659371</v>
      </c>
      <c r="AF212" s="22">
        <v>0.9949506283662477</v>
      </c>
      <c r="AG212" s="21">
        <v>3671</v>
      </c>
      <c r="AH212" s="21">
        <v>2996</v>
      </c>
      <c r="AI212" s="21">
        <v>5479</v>
      </c>
      <c r="AJ212" s="21">
        <v>4537</v>
      </c>
      <c r="AK212" s="21">
        <v>4192</v>
      </c>
      <c r="AL212" s="22">
        <v>0.10201189351414439</v>
      </c>
      <c r="AM212" s="22">
        <v>8.349823026114099E-2</v>
      </c>
      <c r="AN212" s="22">
        <v>0.15194963669643352</v>
      </c>
      <c r="AO212" s="22">
        <v>0.12892500923531586</v>
      </c>
      <c r="AP212" s="22">
        <v>0.11819104544941919</v>
      </c>
    </row>
    <row r="213" spans="1:55" x14ac:dyDescent="0.25">
      <c r="A213" s="20" t="s">
        <v>81</v>
      </c>
      <c r="B213" s="21">
        <v>170</v>
      </c>
      <c r="C213" s="21">
        <v>180</v>
      </c>
      <c r="D213" s="21">
        <v>179</v>
      </c>
      <c r="E213" s="21">
        <v>179</v>
      </c>
      <c r="F213" s="21">
        <v>242</v>
      </c>
      <c r="G213" s="22">
        <v>4.7609712381325789E-3</v>
      </c>
      <c r="H213" s="22">
        <v>5.0493716337522438E-3</v>
      </c>
      <c r="I213" s="22">
        <v>5.0252667040988205E-3</v>
      </c>
      <c r="J213" s="22">
        <v>5.0096554812347821E-3</v>
      </c>
      <c r="K213" s="22">
        <v>6.7308227179173384E-3</v>
      </c>
      <c r="L213" s="21">
        <v>162</v>
      </c>
      <c r="M213" s="21">
        <v>171</v>
      </c>
      <c r="N213" s="21">
        <v>162</v>
      </c>
      <c r="O213" s="21">
        <v>161</v>
      </c>
      <c r="P213" s="21">
        <v>163</v>
      </c>
      <c r="Q213" s="22">
        <v>0.95294117647058818</v>
      </c>
      <c r="R213" s="22">
        <v>0.95</v>
      </c>
      <c r="S213" s="22">
        <v>0.9050279329608939</v>
      </c>
      <c r="T213" s="22">
        <v>0.8994413407821229</v>
      </c>
      <c r="U213" s="22">
        <v>0.67355371900826444</v>
      </c>
      <c r="V213" s="21"/>
      <c r="W213" s="21">
        <v>4</v>
      </c>
      <c r="X213" s="21">
        <v>63</v>
      </c>
      <c r="Y213" s="21">
        <v>119</v>
      </c>
      <c r="Z213" s="21">
        <v>167</v>
      </c>
      <c r="AA213" s="21">
        <v>180</v>
      </c>
      <c r="AB213" s="22">
        <v>1.1114198388441234E-4</v>
      </c>
      <c r="AC213" s="22">
        <v>1.7527264633874916E-3</v>
      </c>
      <c r="AD213" s="22">
        <v>3.289382757000304E-3</v>
      </c>
      <c r="AE213" s="22">
        <v>4.7231178234063012E-3</v>
      </c>
      <c r="AF213" s="22">
        <v>5.0493716337522438E-3</v>
      </c>
      <c r="AG213" s="21">
        <v>4</v>
      </c>
      <c r="AH213" s="21">
        <v>63</v>
      </c>
      <c r="AI213" s="21">
        <v>118</v>
      </c>
      <c r="AJ213" s="21">
        <v>161</v>
      </c>
      <c r="AK213" s="21">
        <v>171</v>
      </c>
      <c r="AL213" s="22">
        <v>1</v>
      </c>
      <c r="AM213" s="22">
        <v>1</v>
      </c>
      <c r="AN213" s="22">
        <v>0.99159663865546221</v>
      </c>
      <c r="AO213" s="22">
        <v>0.9640718562874252</v>
      </c>
      <c r="AP213" s="22">
        <v>0.95</v>
      </c>
    </row>
    <row r="214" spans="1:55" x14ac:dyDescent="0.25">
      <c r="A214" s="31" t="s">
        <v>82</v>
      </c>
      <c r="B214" s="23">
        <v>35707</v>
      </c>
      <c r="C214" s="23">
        <v>35648</v>
      </c>
      <c r="D214" s="23">
        <v>35620</v>
      </c>
      <c r="E214" s="23">
        <v>35731</v>
      </c>
      <c r="F214" s="23">
        <v>35954</v>
      </c>
      <c r="G214" s="24">
        <v>1</v>
      </c>
      <c r="H214" s="24">
        <v>1</v>
      </c>
      <c r="I214" s="24">
        <v>1</v>
      </c>
      <c r="J214" s="24">
        <v>1</v>
      </c>
      <c r="K214" s="24">
        <v>1</v>
      </c>
      <c r="L214" s="23">
        <v>4517</v>
      </c>
      <c r="M214" s="23">
        <v>4363</v>
      </c>
      <c r="N214" s="23">
        <v>4061</v>
      </c>
      <c r="O214" s="23">
        <v>3911</v>
      </c>
      <c r="P214" s="23">
        <v>3761</v>
      </c>
      <c r="Q214" s="24">
        <v>0.12650180636849917</v>
      </c>
      <c r="R214" s="24">
        <v>0.12239115798922801</v>
      </c>
      <c r="S214" s="24">
        <v>0.11400898371701292</v>
      </c>
      <c r="T214" s="24">
        <v>0.10945677422966052</v>
      </c>
      <c r="U214" s="24">
        <v>0.10460588529788062</v>
      </c>
      <c r="V214" s="23"/>
      <c r="W214" s="23">
        <v>35990</v>
      </c>
      <c r="X214" s="23">
        <v>35944</v>
      </c>
      <c r="Y214" s="23">
        <v>36177</v>
      </c>
      <c r="Z214" s="23">
        <v>35358</v>
      </c>
      <c r="AA214" s="23">
        <v>35648</v>
      </c>
      <c r="AB214" s="24">
        <v>1</v>
      </c>
      <c r="AC214" s="24">
        <v>1</v>
      </c>
      <c r="AD214" s="24">
        <v>1</v>
      </c>
      <c r="AE214" s="24">
        <v>1</v>
      </c>
      <c r="AF214" s="24">
        <v>1</v>
      </c>
      <c r="AG214" s="23">
        <v>3675</v>
      </c>
      <c r="AH214" s="23">
        <v>3059</v>
      </c>
      <c r="AI214" s="23">
        <v>5597</v>
      </c>
      <c r="AJ214" s="23">
        <v>4698</v>
      </c>
      <c r="AK214" s="23">
        <v>4363</v>
      </c>
      <c r="AL214" s="24">
        <v>0.10211169769380384</v>
      </c>
      <c r="AM214" s="24">
        <v>8.5104607166703761E-2</v>
      </c>
      <c r="AN214" s="24">
        <v>0.15471155706664455</v>
      </c>
      <c r="AO214" s="24">
        <v>0.13286950619378923</v>
      </c>
      <c r="AP214" s="24">
        <v>0.12239115798922801</v>
      </c>
    </row>
    <row r="215" spans="1:55" x14ac:dyDescent="0.25">
      <c r="A215" s="20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2"/>
      <c r="AC215" s="22"/>
      <c r="AD215" s="22"/>
      <c r="AE215" s="22"/>
      <c r="AF215" s="22"/>
      <c r="AG215" s="21"/>
      <c r="AH215" s="21"/>
      <c r="AI215" s="21"/>
      <c r="AJ215" s="21"/>
      <c r="AK215" s="21"/>
      <c r="AL215" s="22"/>
      <c r="AM215" s="22"/>
      <c r="AN215" s="22"/>
      <c r="AO215" s="22"/>
      <c r="AP215" s="22"/>
    </row>
    <row r="216" spans="1:55" x14ac:dyDescent="0.25">
      <c r="A216" s="20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2"/>
      <c r="AC216" s="22"/>
      <c r="AD216" s="22"/>
      <c r="AE216" s="22"/>
      <c r="AF216" s="22"/>
      <c r="AG216" s="21"/>
      <c r="AH216" s="21"/>
      <c r="AI216" s="21"/>
      <c r="AJ216" s="21"/>
      <c r="AK216" s="21"/>
      <c r="AL216" s="22"/>
      <c r="AM216" s="22"/>
      <c r="AN216" s="22"/>
      <c r="AO216" s="22"/>
      <c r="AP216" s="22"/>
    </row>
  </sheetData>
  <mergeCells count="8">
    <mergeCell ref="AG7:AK7"/>
    <mergeCell ref="AL7:AP7"/>
    <mergeCell ref="B7:F7"/>
    <mergeCell ref="G7:K7"/>
    <mergeCell ref="L7:P7"/>
    <mergeCell ref="Q7:U7"/>
    <mergeCell ref="W7:AA7"/>
    <mergeCell ref="AB7:AF7"/>
  </mergeCells>
  <conditionalFormatting sqref="A8">
    <cfRule type="duplicateValues" dxfId="13" priority="1"/>
  </conditionalFormatting>
  <dataValidations count="1">
    <dataValidation type="list" allowBlank="1" showInputMessage="1" showErrorMessage="1" sqref="A177:A179 A212 A205:A207 A198:A200 A191:A193 A184:A186">
      <formula1>$A$19:$A$83</formula1>
    </dataValidation>
  </dataValidations>
  <hyperlinks>
    <hyperlink ref="B1" location="Contents!A1" display="Back to Content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C219"/>
  <sheetViews>
    <sheetView workbookViewId="0">
      <pane xSplit="1" ySplit="7" topLeftCell="B8" activePane="bottomRight" state="frozen"/>
      <selection pane="topRight" activeCell="B1" sqref="B1"/>
      <selection pane="bottomLeft" activeCell="A6" sqref="A6"/>
      <selection pane="bottomRight" activeCell="A5" sqref="A5"/>
    </sheetView>
  </sheetViews>
  <sheetFormatPr defaultRowHeight="15" x14ac:dyDescent="0.25"/>
  <cols>
    <col min="1" max="1" width="25.28515625" customWidth="1"/>
    <col min="2" max="42" width="12.5703125" customWidth="1"/>
  </cols>
  <sheetData>
    <row r="1" spans="1:42" x14ac:dyDescent="0.25">
      <c r="A1" s="23" t="s">
        <v>102</v>
      </c>
      <c r="B1" s="87" t="s">
        <v>189</v>
      </c>
      <c r="W1" s="23" t="s">
        <v>1</v>
      </c>
    </row>
    <row r="2" spans="1:42" x14ac:dyDescent="0.25">
      <c r="A2" s="1" t="s">
        <v>154</v>
      </c>
      <c r="B2" s="2"/>
      <c r="C2" s="2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5"/>
      <c r="X2" s="6"/>
      <c r="Y2" s="6"/>
      <c r="Z2" s="6"/>
      <c r="AA2" s="7"/>
      <c r="AB2" s="7"/>
      <c r="AC2" s="7"/>
      <c r="AD2" s="7"/>
      <c r="AE2" s="6"/>
      <c r="AF2" s="6"/>
      <c r="AG2" s="6"/>
      <c r="AH2" s="3"/>
      <c r="AI2" s="8"/>
      <c r="AJ2" s="8"/>
      <c r="AK2" s="8"/>
      <c r="AL2" s="8"/>
      <c r="AM2" s="9"/>
      <c r="AN2" s="9"/>
      <c r="AO2" s="9"/>
      <c r="AP2" s="9"/>
    </row>
    <row r="3" spans="1:42" x14ac:dyDescent="0.25">
      <c r="A3" s="1" t="s">
        <v>204</v>
      </c>
      <c r="B3" s="2"/>
      <c r="C3" s="2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3"/>
      <c r="P3" s="3"/>
      <c r="Q3" s="3"/>
      <c r="R3" s="3"/>
      <c r="S3" s="3"/>
      <c r="T3" s="3"/>
      <c r="U3" s="3"/>
      <c r="V3" s="3"/>
      <c r="W3" s="5"/>
      <c r="X3" s="6"/>
      <c r="Y3" s="6"/>
      <c r="Z3" s="6"/>
      <c r="AA3" s="7"/>
      <c r="AB3" s="7"/>
      <c r="AC3" s="7"/>
      <c r="AD3" s="7"/>
      <c r="AE3" s="6"/>
      <c r="AF3" s="6"/>
      <c r="AG3" s="6"/>
      <c r="AH3" s="3"/>
      <c r="AI3" s="8"/>
      <c r="AJ3" s="8"/>
      <c r="AK3" s="8"/>
      <c r="AL3" s="8"/>
      <c r="AM3" s="9"/>
      <c r="AN3" s="9"/>
      <c r="AO3" s="9"/>
      <c r="AP3" s="9"/>
    </row>
    <row r="4" spans="1:42" x14ac:dyDescent="0.25">
      <c r="A4" s="1" t="s">
        <v>206</v>
      </c>
      <c r="B4" s="2"/>
      <c r="C4" s="2"/>
      <c r="D4" s="3"/>
      <c r="E4" s="3"/>
      <c r="F4" s="3"/>
      <c r="G4" s="3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5"/>
      <c r="X4" s="6"/>
      <c r="Y4" s="6"/>
      <c r="Z4" s="6"/>
      <c r="AA4" s="7"/>
      <c r="AB4" s="7"/>
      <c r="AC4" s="7"/>
      <c r="AD4" s="7"/>
      <c r="AE4" s="6"/>
      <c r="AF4" s="6"/>
      <c r="AG4" s="6"/>
      <c r="AH4" s="3"/>
      <c r="AI4" s="8"/>
      <c r="AJ4" s="8"/>
      <c r="AK4" s="8"/>
      <c r="AL4" s="8"/>
      <c r="AM4" s="9"/>
      <c r="AN4" s="9"/>
      <c r="AO4" s="9"/>
      <c r="AP4" s="9"/>
    </row>
    <row r="5" spans="1:42" x14ac:dyDescent="0.25">
      <c r="A5" s="10" t="s">
        <v>2</v>
      </c>
      <c r="B5" s="11" t="s">
        <v>3</v>
      </c>
      <c r="C5" s="11" t="s">
        <v>86</v>
      </c>
      <c r="D5" s="4"/>
      <c r="E5" s="12"/>
      <c r="F5" s="13"/>
      <c r="G5" s="13"/>
      <c r="H5" s="4"/>
      <c r="I5" s="4"/>
      <c r="J5" s="4"/>
      <c r="K5" s="4"/>
      <c r="L5" s="4"/>
      <c r="M5" s="4"/>
      <c r="N5" s="4"/>
      <c r="O5" s="13"/>
      <c r="P5" s="13"/>
      <c r="Q5" s="13"/>
      <c r="R5" s="13"/>
      <c r="S5" s="13"/>
      <c r="T5" s="13"/>
      <c r="U5" s="13"/>
      <c r="V5" s="13"/>
      <c r="W5" s="14" t="s">
        <v>5</v>
      </c>
      <c r="X5" s="14"/>
      <c r="Y5" s="14" t="s">
        <v>3</v>
      </c>
      <c r="Z5" s="14" t="s">
        <v>86</v>
      </c>
      <c r="AA5" s="15"/>
      <c r="AB5" s="15"/>
      <c r="AC5" s="15"/>
      <c r="AD5" s="15"/>
      <c r="AE5" s="16"/>
      <c r="AF5" s="16"/>
      <c r="AG5" s="16"/>
      <c r="AH5" s="13"/>
      <c r="AI5" s="17"/>
      <c r="AJ5" s="17"/>
      <c r="AK5" s="17"/>
      <c r="AL5" s="17"/>
      <c r="AM5" s="9"/>
      <c r="AN5" s="9"/>
      <c r="AO5" s="9"/>
      <c r="AP5" s="9"/>
    </row>
    <row r="6" spans="1:42" x14ac:dyDescent="0.25">
      <c r="A6" s="1" t="s">
        <v>6</v>
      </c>
      <c r="B6" s="122" t="s">
        <v>7</v>
      </c>
      <c r="C6" s="122"/>
      <c r="D6" s="122"/>
      <c r="E6" s="122"/>
      <c r="F6" s="122"/>
      <c r="G6" s="122" t="s">
        <v>8</v>
      </c>
      <c r="H6" s="122"/>
      <c r="I6" s="122"/>
      <c r="J6" s="122"/>
      <c r="K6" s="122"/>
      <c r="L6" s="122" t="s">
        <v>9</v>
      </c>
      <c r="M6" s="122"/>
      <c r="N6" s="122"/>
      <c r="O6" s="122"/>
      <c r="P6" s="122"/>
      <c r="Q6" s="122" t="s">
        <v>10</v>
      </c>
      <c r="R6" s="122"/>
      <c r="S6" s="122"/>
      <c r="T6" s="122"/>
      <c r="U6" s="122"/>
      <c r="V6" s="18"/>
      <c r="W6" s="121" t="s">
        <v>7</v>
      </c>
      <c r="X6" s="121"/>
      <c r="Y6" s="121"/>
      <c r="Z6" s="121"/>
      <c r="AA6" s="121"/>
      <c r="AB6" s="121" t="s">
        <v>8</v>
      </c>
      <c r="AC6" s="121"/>
      <c r="AD6" s="121"/>
      <c r="AE6" s="121"/>
      <c r="AF6" s="121"/>
      <c r="AG6" s="121" t="s">
        <v>9</v>
      </c>
      <c r="AH6" s="121"/>
      <c r="AI6" s="121"/>
      <c r="AJ6" s="121"/>
      <c r="AK6" s="121"/>
      <c r="AL6" s="121" t="s">
        <v>10</v>
      </c>
      <c r="AM6" s="121"/>
      <c r="AN6" s="121"/>
      <c r="AO6" s="121"/>
      <c r="AP6" s="121"/>
    </row>
    <row r="7" spans="1:42" x14ac:dyDescent="0.25">
      <c r="A7" s="10" t="s">
        <v>11</v>
      </c>
      <c r="B7" s="11" t="s">
        <v>12</v>
      </c>
      <c r="C7" s="11" t="s">
        <v>13</v>
      </c>
      <c r="D7" s="11" t="s">
        <v>14</v>
      </c>
      <c r="E7" s="11" t="s">
        <v>15</v>
      </c>
      <c r="F7" s="11" t="s">
        <v>203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203</v>
      </c>
      <c r="L7" s="11" t="s">
        <v>12</v>
      </c>
      <c r="M7" s="11" t="s">
        <v>13</v>
      </c>
      <c r="N7" s="11" t="s">
        <v>14</v>
      </c>
      <c r="O7" s="11" t="s">
        <v>15</v>
      </c>
      <c r="P7" s="11" t="s">
        <v>16</v>
      </c>
      <c r="Q7" s="11" t="s">
        <v>12</v>
      </c>
      <c r="R7" s="11" t="s">
        <v>13</v>
      </c>
      <c r="S7" s="11" t="s">
        <v>14</v>
      </c>
      <c r="T7" s="11" t="s">
        <v>15</v>
      </c>
      <c r="U7" s="11" t="s">
        <v>16</v>
      </c>
      <c r="V7" s="11"/>
      <c r="W7" s="14" t="s">
        <v>17</v>
      </c>
      <c r="X7" s="14" t="s">
        <v>18</v>
      </c>
      <c r="Y7" s="14" t="s">
        <v>19</v>
      </c>
      <c r="Z7" s="14" t="s">
        <v>20</v>
      </c>
      <c r="AA7" s="14" t="s">
        <v>21</v>
      </c>
      <c r="AB7" s="19" t="s">
        <v>17</v>
      </c>
      <c r="AC7" s="19" t="s">
        <v>18</v>
      </c>
      <c r="AD7" s="19" t="s">
        <v>19</v>
      </c>
      <c r="AE7" s="19" t="s">
        <v>20</v>
      </c>
      <c r="AF7" s="19" t="s">
        <v>21</v>
      </c>
      <c r="AG7" s="14" t="s">
        <v>17</v>
      </c>
      <c r="AH7" s="14" t="s">
        <v>18</v>
      </c>
      <c r="AI7" s="14" t="s">
        <v>19</v>
      </c>
      <c r="AJ7" s="14" t="s">
        <v>20</v>
      </c>
      <c r="AK7" s="14" t="s">
        <v>21</v>
      </c>
      <c r="AL7" s="14" t="s">
        <v>17</v>
      </c>
      <c r="AM7" s="14" t="s">
        <v>18</v>
      </c>
      <c r="AN7" s="14" t="s">
        <v>19</v>
      </c>
      <c r="AO7" s="14" t="s">
        <v>20</v>
      </c>
      <c r="AP7" s="14" t="s">
        <v>21</v>
      </c>
    </row>
    <row r="8" spans="1:42" x14ac:dyDescent="0.25">
      <c r="A8" s="20" t="s">
        <v>22</v>
      </c>
      <c r="B8" s="21">
        <v>37</v>
      </c>
      <c r="C8" s="21">
        <v>44</v>
      </c>
      <c r="D8" s="21">
        <v>22</v>
      </c>
      <c r="E8" s="21">
        <v>20</v>
      </c>
      <c r="F8" s="21">
        <v>29</v>
      </c>
      <c r="G8" s="22">
        <v>7.0665979105788879E-4</v>
      </c>
      <c r="H8" s="22">
        <v>8.7454285259977742E-4</v>
      </c>
      <c r="I8" s="22">
        <v>4.2354118938066728E-4</v>
      </c>
      <c r="J8" s="22">
        <v>3.7609537778780696E-4</v>
      </c>
      <c r="K8" s="22">
        <v>4.4574239163848754E-4</v>
      </c>
      <c r="L8" s="21">
        <v>37</v>
      </c>
      <c r="M8" s="21">
        <v>44</v>
      </c>
      <c r="N8" s="21">
        <v>22</v>
      </c>
      <c r="O8" s="21">
        <v>20</v>
      </c>
      <c r="P8" s="21">
        <v>29</v>
      </c>
      <c r="Q8" s="22">
        <v>1</v>
      </c>
      <c r="R8" s="22">
        <v>1</v>
      </c>
      <c r="S8" s="22">
        <v>1</v>
      </c>
      <c r="T8" s="22">
        <v>1</v>
      </c>
      <c r="U8" s="22">
        <v>1</v>
      </c>
      <c r="V8" s="21"/>
      <c r="W8" s="21">
        <v>0</v>
      </c>
      <c r="X8" s="21">
        <v>0</v>
      </c>
      <c r="Y8" s="21">
        <v>0</v>
      </c>
      <c r="Z8" s="21">
        <v>0</v>
      </c>
      <c r="AA8" s="21">
        <v>44</v>
      </c>
      <c r="AB8" s="22">
        <v>0</v>
      </c>
      <c r="AC8" s="22">
        <v>0</v>
      </c>
      <c r="AD8" s="22">
        <v>0</v>
      </c>
      <c r="AE8" s="22">
        <v>0</v>
      </c>
      <c r="AF8" s="22">
        <v>8.7454285259977742E-4</v>
      </c>
      <c r="AG8" s="21">
        <v>0</v>
      </c>
      <c r="AH8" s="21">
        <v>0</v>
      </c>
      <c r="AI8" s="21">
        <v>0</v>
      </c>
      <c r="AJ8" s="21">
        <v>0</v>
      </c>
      <c r="AK8" s="21">
        <v>44</v>
      </c>
      <c r="AL8" s="22">
        <v>0</v>
      </c>
      <c r="AM8" s="22">
        <v>0</v>
      </c>
      <c r="AN8" s="22">
        <v>0</v>
      </c>
      <c r="AO8" s="22">
        <v>0</v>
      </c>
      <c r="AP8" s="22">
        <v>1</v>
      </c>
    </row>
    <row r="9" spans="1:42" x14ac:dyDescent="0.25">
      <c r="A9" s="20" t="s">
        <v>23</v>
      </c>
      <c r="B9" s="21">
        <v>1550</v>
      </c>
      <c r="C9" s="21">
        <v>1540</v>
      </c>
      <c r="D9" s="21">
        <v>1547</v>
      </c>
      <c r="E9" s="21">
        <v>1546</v>
      </c>
      <c r="F9" s="21">
        <v>1544</v>
      </c>
      <c r="G9" s="22">
        <v>2.9603315571343991E-2</v>
      </c>
      <c r="H9" s="22">
        <v>3.0608999840992208E-2</v>
      </c>
      <c r="I9" s="22">
        <v>2.978264636235874E-2</v>
      </c>
      <c r="J9" s="22">
        <v>2.907217270299748E-2</v>
      </c>
      <c r="K9" s="22">
        <v>2.3731939747924993E-2</v>
      </c>
      <c r="L9" s="21">
        <v>1550</v>
      </c>
      <c r="M9" s="21">
        <v>1540</v>
      </c>
      <c r="N9" s="21">
        <v>1547</v>
      </c>
      <c r="O9" s="21">
        <v>1546</v>
      </c>
      <c r="P9" s="21">
        <v>1544</v>
      </c>
      <c r="Q9" s="22">
        <v>1</v>
      </c>
      <c r="R9" s="22">
        <v>1</v>
      </c>
      <c r="S9" s="22">
        <v>1</v>
      </c>
      <c r="T9" s="22">
        <v>1</v>
      </c>
      <c r="U9" s="22">
        <v>1</v>
      </c>
      <c r="V9" s="21"/>
      <c r="W9" s="21">
        <v>1033</v>
      </c>
      <c r="X9" s="21">
        <v>1375</v>
      </c>
      <c r="Y9" s="21">
        <v>1371</v>
      </c>
      <c r="Z9" s="21">
        <v>1644</v>
      </c>
      <c r="AA9" s="21">
        <v>1540</v>
      </c>
      <c r="AB9" s="22">
        <v>2.2560496199877697E-2</v>
      </c>
      <c r="AC9" s="22">
        <v>3.0124441328542636E-2</v>
      </c>
      <c r="AD9" s="22">
        <v>2.577649093780552E-2</v>
      </c>
      <c r="AE9" s="22">
        <v>3.0959868929022052E-2</v>
      </c>
      <c r="AF9" s="22">
        <v>3.0608999840992208E-2</v>
      </c>
      <c r="AG9" s="21">
        <v>1033</v>
      </c>
      <c r="AH9" s="21">
        <v>1375</v>
      </c>
      <c r="AI9" s="21">
        <v>1371</v>
      </c>
      <c r="AJ9" s="21">
        <v>1644</v>
      </c>
      <c r="AK9" s="21">
        <v>1540</v>
      </c>
      <c r="AL9" s="22">
        <v>1</v>
      </c>
      <c r="AM9" s="22">
        <v>1</v>
      </c>
      <c r="AN9" s="22">
        <v>1</v>
      </c>
      <c r="AO9" s="22">
        <v>1</v>
      </c>
      <c r="AP9" s="22">
        <v>1</v>
      </c>
    </row>
    <row r="10" spans="1:42" x14ac:dyDescent="0.25">
      <c r="A10" s="20" t="s">
        <v>24</v>
      </c>
      <c r="B10" s="21">
        <v>10634</v>
      </c>
      <c r="C10" s="21">
        <v>10712</v>
      </c>
      <c r="D10" s="21">
        <v>11161</v>
      </c>
      <c r="E10" s="21">
        <v>11569</v>
      </c>
      <c r="F10" s="21">
        <v>12095</v>
      </c>
      <c r="G10" s="22">
        <v>0.2030978437326916</v>
      </c>
      <c r="H10" s="22">
        <v>0.21291143266020035</v>
      </c>
      <c r="I10" s="22">
        <v>0.21487014612171035</v>
      </c>
      <c r="J10" s="22">
        <v>0.21755237128135696</v>
      </c>
      <c r="K10" s="22">
        <v>0.18590531816784506</v>
      </c>
      <c r="L10" s="21">
        <v>10634</v>
      </c>
      <c r="M10" s="21">
        <v>10712</v>
      </c>
      <c r="N10" s="21">
        <v>11161</v>
      </c>
      <c r="O10" s="21">
        <v>11569</v>
      </c>
      <c r="P10" s="21">
        <v>11984</v>
      </c>
      <c r="Q10" s="22">
        <v>1</v>
      </c>
      <c r="R10" s="22">
        <v>1</v>
      </c>
      <c r="S10" s="22">
        <v>1</v>
      </c>
      <c r="T10" s="22">
        <v>1</v>
      </c>
      <c r="U10" s="22">
        <v>0.99082265398925173</v>
      </c>
      <c r="V10" s="21"/>
      <c r="W10" s="21">
        <v>8295</v>
      </c>
      <c r="X10" s="21">
        <v>8236</v>
      </c>
      <c r="Y10" s="21">
        <v>9802</v>
      </c>
      <c r="Z10" s="21">
        <v>7658</v>
      </c>
      <c r="AA10" s="21">
        <v>10712</v>
      </c>
      <c r="AB10" s="22">
        <v>0.18116100288285139</v>
      </c>
      <c r="AC10" s="22">
        <v>0.18043992638681974</v>
      </c>
      <c r="AD10" s="22">
        <v>0.18428968940362489</v>
      </c>
      <c r="AE10" s="22">
        <v>0.14421573981657596</v>
      </c>
      <c r="AF10" s="22">
        <v>0.21291143266020035</v>
      </c>
      <c r="AG10" s="21">
        <v>8295</v>
      </c>
      <c r="AH10" s="21">
        <v>8236</v>
      </c>
      <c r="AI10" s="21">
        <v>9802</v>
      </c>
      <c r="AJ10" s="21">
        <v>7658</v>
      </c>
      <c r="AK10" s="21">
        <v>10712</v>
      </c>
      <c r="AL10" s="22">
        <v>1</v>
      </c>
      <c r="AM10" s="22">
        <v>1</v>
      </c>
      <c r="AN10" s="22">
        <v>1</v>
      </c>
      <c r="AO10" s="22">
        <v>1</v>
      </c>
      <c r="AP10" s="22">
        <v>1</v>
      </c>
    </row>
    <row r="11" spans="1:42" x14ac:dyDescent="0.25">
      <c r="A11" s="20" t="s">
        <v>25</v>
      </c>
      <c r="B11" s="21">
        <v>727</v>
      </c>
      <c r="C11" s="21">
        <v>807</v>
      </c>
      <c r="D11" s="21">
        <v>760</v>
      </c>
      <c r="E11" s="21">
        <v>743</v>
      </c>
      <c r="F11" s="21">
        <v>294</v>
      </c>
      <c r="G11" s="22">
        <v>1.3884909948623923E-2</v>
      </c>
      <c r="H11" s="22">
        <v>1.6039910955636828E-2</v>
      </c>
      <c r="I11" s="22">
        <v>1.4631422905877597E-2</v>
      </c>
      <c r="J11" s="22">
        <v>1.397194328481703E-2</v>
      </c>
      <c r="K11" s="22">
        <v>4.5189056255763912E-3</v>
      </c>
      <c r="L11" s="21">
        <v>727</v>
      </c>
      <c r="M11" s="21">
        <v>807</v>
      </c>
      <c r="N11" s="21">
        <v>760</v>
      </c>
      <c r="O11" s="21">
        <v>743</v>
      </c>
      <c r="P11" s="21">
        <v>291</v>
      </c>
      <c r="Q11" s="22">
        <v>1</v>
      </c>
      <c r="R11" s="22">
        <v>1</v>
      </c>
      <c r="S11" s="22">
        <v>1</v>
      </c>
      <c r="T11" s="22">
        <v>1</v>
      </c>
      <c r="U11" s="22">
        <v>0.98979591836734693</v>
      </c>
      <c r="V11" s="21"/>
      <c r="W11" s="21">
        <v>2265</v>
      </c>
      <c r="X11" s="21">
        <v>2474</v>
      </c>
      <c r="Y11" s="21">
        <v>178</v>
      </c>
      <c r="Z11" s="21">
        <v>1479</v>
      </c>
      <c r="AA11" s="21">
        <v>807</v>
      </c>
      <c r="AB11" s="22">
        <v>4.946710928627588E-2</v>
      </c>
      <c r="AC11" s="22">
        <v>5.4202085706774164E-2</v>
      </c>
      <c r="AD11" s="22">
        <v>3.3466195382417085E-3</v>
      </c>
      <c r="AE11" s="22">
        <v>2.7852582813882979E-2</v>
      </c>
      <c r="AF11" s="22">
        <v>1.6039910955636828E-2</v>
      </c>
      <c r="AG11" s="21">
        <v>2265</v>
      </c>
      <c r="AH11" s="21">
        <v>2474</v>
      </c>
      <c r="AI11" s="21">
        <v>178</v>
      </c>
      <c r="AJ11" s="21">
        <v>1479</v>
      </c>
      <c r="AK11" s="21">
        <v>807</v>
      </c>
      <c r="AL11" s="22">
        <v>1</v>
      </c>
      <c r="AM11" s="22">
        <v>1</v>
      </c>
      <c r="AN11" s="22">
        <v>1</v>
      </c>
      <c r="AO11" s="22">
        <v>1</v>
      </c>
      <c r="AP11" s="22">
        <v>1</v>
      </c>
    </row>
    <row r="12" spans="1:42" x14ac:dyDescent="0.25">
      <c r="A12" s="20" t="s">
        <v>27</v>
      </c>
      <c r="B12" s="21">
        <v>1969</v>
      </c>
      <c r="C12" s="21">
        <v>2046</v>
      </c>
      <c r="D12" s="21">
        <v>2059</v>
      </c>
      <c r="E12" s="21">
        <v>2061</v>
      </c>
      <c r="F12" s="21">
        <v>2111</v>
      </c>
      <c r="G12" s="22">
        <v>3.7605760232242783E-2</v>
      </c>
      <c r="H12" s="22">
        <v>4.0666242645889646E-2</v>
      </c>
      <c r="I12" s="22">
        <v>3.9639604951581545E-2</v>
      </c>
      <c r="J12" s="22">
        <v>3.8756628681033509E-2</v>
      </c>
      <c r="K12" s="22">
        <v>3.2446972025822321E-2</v>
      </c>
      <c r="L12" s="21">
        <v>1969</v>
      </c>
      <c r="M12" s="21">
        <v>2046</v>
      </c>
      <c r="N12" s="21">
        <v>2059</v>
      </c>
      <c r="O12" s="21">
        <v>2061</v>
      </c>
      <c r="P12" s="21">
        <v>1994</v>
      </c>
      <c r="Q12" s="22">
        <v>1</v>
      </c>
      <c r="R12" s="22">
        <v>1</v>
      </c>
      <c r="S12" s="22">
        <v>1</v>
      </c>
      <c r="T12" s="22">
        <v>1</v>
      </c>
      <c r="U12" s="22">
        <v>0.94457603031738513</v>
      </c>
      <c r="V12" s="21"/>
      <c r="W12" s="21">
        <v>2039</v>
      </c>
      <c r="X12" s="21">
        <v>1761</v>
      </c>
      <c r="Y12" s="21">
        <v>1753</v>
      </c>
      <c r="Z12" s="21">
        <v>1829</v>
      </c>
      <c r="AA12" s="21">
        <v>2046</v>
      </c>
      <c r="AB12" s="22">
        <v>4.4531318249322965E-2</v>
      </c>
      <c r="AC12" s="22">
        <v>3.8581193585137147E-2</v>
      </c>
      <c r="AD12" s="22">
        <v>3.2958562081672554E-2</v>
      </c>
      <c r="AE12" s="22">
        <v>3.4443795785390106E-2</v>
      </c>
      <c r="AF12" s="22">
        <v>4.0666242645889646E-2</v>
      </c>
      <c r="AG12" s="21">
        <v>2039</v>
      </c>
      <c r="AH12" s="21">
        <v>1761</v>
      </c>
      <c r="AI12" s="21">
        <v>1753</v>
      </c>
      <c r="AJ12" s="21">
        <v>1829</v>
      </c>
      <c r="AK12" s="21">
        <v>2046</v>
      </c>
      <c r="AL12" s="22">
        <v>1</v>
      </c>
      <c r="AM12" s="22">
        <v>1</v>
      </c>
      <c r="AN12" s="22">
        <v>1</v>
      </c>
      <c r="AO12" s="22">
        <v>1</v>
      </c>
      <c r="AP12" s="22">
        <v>1</v>
      </c>
    </row>
    <row r="13" spans="1:42" x14ac:dyDescent="0.25">
      <c r="A13" s="20" t="s">
        <v>29</v>
      </c>
      <c r="B13" s="21">
        <v>82</v>
      </c>
      <c r="C13" s="21">
        <v>129</v>
      </c>
      <c r="D13" s="21">
        <v>292</v>
      </c>
      <c r="E13" s="21">
        <v>332</v>
      </c>
      <c r="F13" s="21">
        <v>338</v>
      </c>
      <c r="G13" s="22">
        <v>1.5661108882904563E-3</v>
      </c>
      <c r="H13" s="22">
        <v>2.5640006360311655E-3</v>
      </c>
      <c r="I13" s="22">
        <v>5.621546695416129E-3</v>
      </c>
      <c r="J13" s="22">
        <v>6.2431832712775961E-3</v>
      </c>
      <c r="K13" s="22">
        <v>5.1952044266830614E-3</v>
      </c>
      <c r="L13" s="21">
        <v>82</v>
      </c>
      <c r="M13" s="21">
        <v>129</v>
      </c>
      <c r="N13" s="21">
        <v>292</v>
      </c>
      <c r="O13" s="21">
        <v>332</v>
      </c>
      <c r="P13" s="21">
        <v>328</v>
      </c>
      <c r="Q13" s="22">
        <v>1</v>
      </c>
      <c r="R13" s="22">
        <v>1</v>
      </c>
      <c r="S13" s="22">
        <v>1</v>
      </c>
      <c r="T13" s="22">
        <v>1</v>
      </c>
      <c r="U13" s="22">
        <v>0.97041420118343191</v>
      </c>
      <c r="V13" s="21"/>
      <c r="W13" s="21">
        <v>4</v>
      </c>
      <c r="X13" s="21">
        <v>281</v>
      </c>
      <c r="Y13" s="21">
        <v>105</v>
      </c>
      <c r="Z13" s="21">
        <v>168</v>
      </c>
      <c r="AA13" s="21">
        <v>129</v>
      </c>
      <c r="AB13" s="22">
        <v>8.73591333973967E-5</v>
      </c>
      <c r="AC13" s="22">
        <v>6.156340373323986E-3</v>
      </c>
      <c r="AD13" s="22">
        <v>1.9741295028953901E-3</v>
      </c>
      <c r="AE13" s="22">
        <v>3.1637822263234213E-3</v>
      </c>
      <c r="AF13" s="22">
        <v>2.5640006360311655E-3</v>
      </c>
      <c r="AG13" s="21">
        <v>4</v>
      </c>
      <c r="AH13" s="21">
        <v>281</v>
      </c>
      <c r="AI13" s="21">
        <v>105</v>
      </c>
      <c r="AJ13" s="21">
        <v>168</v>
      </c>
      <c r="AK13" s="21">
        <v>129</v>
      </c>
      <c r="AL13" s="22">
        <v>1</v>
      </c>
      <c r="AM13" s="22">
        <v>1</v>
      </c>
      <c r="AN13" s="22">
        <v>1</v>
      </c>
      <c r="AO13" s="22">
        <v>1</v>
      </c>
      <c r="AP13" s="22">
        <v>1</v>
      </c>
    </row>
    <row r="14" spans="1:42" x14ac:dyDescent="0.25">
      <c r="A14" s="20" t="s">
        <v>30</v>
      </c>
      <c r="B14" s="21">
        <v>37</v>
      </c>
      <c r="C14" s="21">
        <v>75</v>
      </c>
      <c r="D14" s="21">
        <v>142</v>
      </c>
      <c r="E14" s="21">
        <v>174</v>
      </c>
      <c r="F14" s="21">
        <v>0</v>
      </c>
      <c r="G14" s="22">
        <v>7.0665979105788879E-4</v>
      </c>
      <c r="H14" s="22">
        <v>1.4906980442041661E-3</v>
      </c>
      <c r="I14" s="22">
        <v>2.7337658587297613E-3</v>
      </c>
      <c r="J14" s="22">
        <v>3.2720297867539208E-3</v>
      </c>
      <c r="K14" s="22">
        <v>0</v>
      </c>
      <c r="L14" s="21">
        <v>37</v>
      </c>
      <c r="M14" s="21">
        <v>75</v>
      </c>
      <c r="N14" s="21">
        <v>142</v>
      </c>
      <c r="O14" s="21">
        <v>174</v>
      </c>
      <c r="P14" s="21">
        <v>0</v>
      </c>
      <c r="Q14" s="22">
        <v>1</v>
      </c>
      <c r="R14" s="22">
        <v>1</v>
      </c>
      <c r="S14" s="22">
        <v>1</v>
      </c>
      <c r="T14" s="22">
        <v>1</v>
      </c>
      <c r="U14" s="22">
        <v>0</v>
      </c>
      <c r="V14" s="21"/>
      <c r="W14" s="21">
        <v>0</v>
      </c>
      <c r="X14" s="21">
        <v>26</v>
      </c>
      <c r="Y14" s="21">
        <v>96</v>
      </c>
      <c r="Z14" s="21">
        <v>77</v>
      </c>
      <c r="AA14" s="21">
        <v>75</v>
      </c>
      <c r="AB14" s="22">
        <v>0</v>
      </c>
      <c r="AC14" s="22">
        <v>5.6962579966698805E-4</v>
      </c>
      <c r="AD14" s="22">
        <v>1.8049184026472137E-3</v>
      </c>
      <c r="AE14" s="22">
        <v>1.4500668537315682E-3</v>
      </c>
      <c r="AF14" s="22">
        <v>1.4906980442041661E-3</v>
      </c>
      <c r="AG14" s="21">
        <v>0</v>
      </c>
      <c r="AH14" s="21">
        <v>26</v>
      </c>
      <c r="AI14" s="21">
        <v>96</v>
      </c>
      <c r="AJ14" s="21">
        <v>77</v>
      </c>
      <c r="AK14" s="21">
        <v>75</v>
      </c>
      <c r="AL14" s="22">
        <v>0</v>
      </c>
      <c r="AM14" s="22">
        <v>1</v>
      </c>
      <c r="AN14" s="22">
        <v>1</v>
      </c>
      <c r="AO14" s="22">
        <v>1</v>
      </c>
      <c r="AP14" s="22">
        <v>1</v>
      </c>
    </row>
    <row r="15" spans="1:42" x14ac:dyDescent="0.25">
      <c r="A15" s="20" t="s">
        <v>87</v>
      </c>
      <c r="B15" s="21">
        <v>3</v>
      </c>
      <c r="C15" s="21">
        <v>0</v>
      </c>
      <c r="D15" s="21">
        <v>0</v>
      </c>
      <c r="E15" s="21">
        <v>0</v>
      </c>
      <c r="F15" s="21">
        <v>0</v>
      </c>
      <c r="G15" s="22">
        <v>5.72967398155045E-5</v>
      </c>
      <c r="H15" s="22">
        <v>0</v>
      </c>
      <c r="I15" s="22">
        <v>0</v>
      </c>
      <c r="J15" s="22">
        <v>0</v>
      </c>
      <c r="K15" s="22">
        <v>0</v>
      </c>
      <c r="L15" s="21">
        <v>3</v>
      </c>
      <c r="M15" s="21">
        <v>0</v>
      </c>
      <c r="N15" s="21">
        <v>0</v>
      </c>
      <c r="O15" s="21">
        <v>0</v>
      </c>
      <c r="P15" s="21">
        <v>0</v>
      </c>
      <c r="Q15" s="22">
        <v>1</v>
      </c>
      <c r="R15" s="22">
        <v>0</v>
      </c>
      <c r="S15" s="22">
        <v>0</v>
      </c>
      <c r="T15" s="22">
        <v>0</v>
      </c>
      <c r="U15" s="22">
        <v>0</v>
      </c>
      <c r="V15" s="21"/>
      <c r="W15" s="21">
        <v>0</v>
      </c>
      <c r="X15" s="21">
        <v>87</v>
      </c>
      <c r="Y15" s="21">
        <v>135</v>
      </c>
      <c r="Z15" s="21">
        <v>40</v>
      </c>
      <c r="AA15" s="21">
        <v>0</v>
      </c>
      <c r="AB15" s="22">
        <v>0</v>
      </c>
      <c r="AC15" s="22">
        <v>1.9060555604241522E-3</v>
      </c>
      <c r="AD15" s="22">
        <v>2.538166503722644E-3</v>
      </c>
      <c r="AE15" s="22">
        <v>7.5328148245795744E-4</v>
      </c>
      <c r="AF15" s="22">
        <v>0</v>
      </c>
      <c r="AG15" s="21">
        <v>0</v>
      </c>
      <c r="AH15" s="21">
        <v>87</v>
      </c>
      <c r="AI15" s="21">
        <v>135</v>
      </c>
      <c r="AJ15" s="21">
        <v>40</v>
      </c>
      <c r="AK15" s="21">
        <v>0</v>
      </c>
      <c r="AL15" s="22">
        <v>0</v>
      </c>
      <c r="AM15" s="22">
        <v>1</v>
      </c>
      <c r="AN15" s="22">
        <v>1</v>
      </c>
      <c r="AO15" s="22">
        <v>1</v>
      </c>
      <c r="AP15" s="22">
        <v>0</v>
      </c>
    </row>
    <row r="16" spans="1:42" x14ac:dyDescent="0.25">
      <c r="A16" s="20" t="s">
        <v>88</v>
      </c>
      <c r="B16" s="21">
        <v>5</v>
      </c>
      <c r="C16" s="21">
        <v>5</v>
      </c>
      <c r="D16" s="21">
        <v>4</v>
      </c>
      <c r="E16" s="21">
        <v>4</v>
      </c>
      <c r="F16" s="21">
        <v>5</v>
      </c>
      <c r="G16" s="22">
        <v>9.5494566359174163E-5</v>
      </c>
      <c r="H16" s="22">
        <v>9.9379869613611073E-5</v>
      </c>
      <c r="I16" s="22">
        <v>7.7007488978303137E-5</v>
      </c>
      <c r="J16" s="22">
        <v>7.52190755575614E-5</v>
      </c>
      <c r="K16" s="22">
        <v>7.6852136489394401E-5</v>
      </c>
      <c r="L16" s="21">
        <v>5</v>
      </c>
      <c r="M16" s="21">
        <v>5</v>
      </c>
      <c r="N16" s="21">
        <v>4</v>
      </c>
      <c r="O16" s="21">
        <v>4</v>
      </c>
      <c r="P16" s="21">
        <v>5</v>
      </c>
      <c r="Q16" s="22">
        <v>1</v>
      </c>
      <c r="R16" s="22">
        <v>1</v>
      </c>
      <c r="S16" s="22">
        <v>1</v>
      </c>
      <c r="T16" s="22">
        <v>1</v>
      </c>
      <c r="U16" s="22">
        <v>1</v>
      </c>
      <c r="V16" s="21"/>
      <c r="W16" s="21">
        <v>0</v>
      </c>
      <c r="X16" s="21">
        <v>0</v>
      </c>
      <c r="Y16" s="21">
        <v>7</v>
      </c>
      <c r="Z16" s="21">
        <v>7</v>
      </c>
      <c r="AA16" s="21">
        <v>5</v>
      </c>
      <c r="AB16" s="22">
        <v>0</v>
      </c>
      <c r="AC16" s="22">
        <v>0</v>
      </c>
      <c r="AD16" s="22">
        <v>1.3160863352635932E-4</v>
      </c>
      <c r="AE16" s="22">
        <v>1.3182425943014255E-4</v>
      </c>
      <c r="AF16" s="22">
        <v>9.9379869613611073E-5</v>
      </c>
      <c r="AG16" s="21">
        <v>0</v>
      </c>
      <c r="AH16" s="21">
        <v>0</v>
      </c>
      <c r="AI16" s="21">
        <v>7</v>
      </c>
      <c r="AJ16" s="21">
        <v>7</v>
      </c>
      <c r="AK16" s="21">
        <v>5</v>
      </c>
      <c r="AL16" s="22">
        <v>0</v>
      </c>
      <c r="AM16" s="22">
        <v>0</v>
      </c>
      <c r="AN16" s="22">
        <v>1</v>
      </c>
      <c r="AO16" s="22">
        <v>1</v>
      </c>
      <c r="AP16" s="22">
        <v>1</v>
      </c>
    </row>
    <row r="17" spans="1:42" x14ac:dyDescent="0.25">
      <c r="A17" s="20" t="s">
        <v>89</v>
      </c>
      <c r="B17" s="21">
        <v>2</v>
      </c>
      <c r="C17" s="21">
        <v>2</v>
      </c>
      <c r="D17" s="21">
        <v>2</v>
      </c>
      <c r="E17" s="21">
        <v>2</v>
      </c>
      <c r="F17" s="21">
        <v>4</v>
      </c>
      <c r="G17" s="22">
        <v>3.8197826543669662E-5</v>
      </c>
      <c r="H17" s="22">
        <v>3.9751947845444425E-5</v>
      </c>
      <c r="I17" s="22">
        <v>3.8503744489151568E-5</v>
      </c>
      <c r="J17" s="22">
        <v>3.76095377787807E-5</v>
      </c>
      <c r="K17" s="22">
        <v>6.1481709191515521E-5</v>
      </c>
      <c r="L17" s="21">
        <v>2</v>
      </c>
      <c r="M17" s="21">
        <v>2</v>
      </c>
      <c r="N17" s="21">
        <v>2</v>
      </c>
      <c r="O17" s="21">
        <v>2</v>
      </c>
      <c r="P17" s="21">
        <v>4</v>
      </c>
      <c r="Q17" s="22">
        <v>1</v>
      </c>
      <c r="R17" s="22">
        <v>1</v>
      </c>
      <c r="S17" s="22">
        <v>1</v>
      </c>
      <c r="T17" s="22">
        <v>1</v>
      </c>
      <c r="U17" s="22">
        <v>1</v>
      </c>
      <c r="V17" s="21"/>
      <c r="W17" s="21">
        <v>0</v>
      </c>
      <c r="X17" s="21">
        <v>0</v>
      </c>
      <c r="Y17" s="21">
        <v>0</v>
      </c>
      <c r="Z17" s="21">
        <v>0</v>
      </c>
      <c r="AA17" s="21">
        <v>2</v>
      </c>
      <c r="AB17" s="22">
        <v>0</v>
      </c>
      <c r="AC17" s="22">
        <v>0</v>
      </c>
      <c r="AD17" s="22">
        <v>0</v>
      </c>
      <c r="AE17" s="22">
        <v>0</v>
      </c>
      <c r="AF17" s="22">
        <v>3.9751947845444425E-5</v>
      </c>
      <c r="AG17" s="21">
        <v>0</v>
      </c>
      <c r="AH17" s="21">
        <v>0</v>
      </c>
      <c r="AI17" s="21">
        <v>0</v>
      </c>
      <c r="AJ17" s="21">
        <v>0</v>
      </c>
      <c r="AK17" s="21">
        <v>2</v>
      </c>
      <c r="AL17" s="22">
        <v>0</v>
      </c>
      <c r="AM17" s="22">
        <v>0</v>
      </c>
      <c r="AN17" s="22">
        <v>0</v>
      </c>
      <c r="AO17" s="22">
        <v>0</v>
      </c>
      <c r="AP17" s="22">
        <v>1</v>
      </c>
    </row>
    <row r="18" spans="1:42" x14ac:dyDescent="0.25">
      <c r="A18" s="20" t="s">
        <v>31</v>
      </c>
      <c r="B18" s="21">
        <v>39</v>
      </c>
      <c r="C18" s="21">
        <v>39</v>
      </c>
      <c r="D18" s="21">
        <v>43</v>
      </c>
      <c r="E18" s="21">
        <v>43</v>
      </c>
      <c r="F18" s="21">
        <v>43</v>
      </c>
      <c r="G18" s="22">
        <v>7.4485761760155846E-4</v>
      </c>
      <c r="H18" s="22">
        <v>7.7516298298616634E-4</v>
      </c>
      <c r="I18" s="22">
        <v>8.2783050651675876E-4</v>
      </c>
      <c r="J18" s="22">
        <v>8.08605062243785E-4</v>
      </c>
      <c r="K18" s="22">
        <v>6.6092837380879183E-4</v>
      </c>
      <c r="L18" s="21">
        <v>39</v>
      </c>
      <c r="M18" s="21">
        <v>39</v>
      </c>
      <c r="N18" s="21">
        <v>43</v>
      </c>
      <c r="O18" s="21">
        <v>43</v>
      </c>
      <c r="P18" s="21">
        <v>43</v>
      </c>
      <c r="Q18" s="22">
        <v>1</v>
      </c>
      <c r="R18" s="22">
        <v>1</v>
      </c>
      <c r="S18" s="22">
        <v>1</v>
      </c>
      <c r="T18" s="22">
        <v>1</v>
      </c>
      <c r="U18" s="22">
        <v>1</v>
      </c>
      <c r="V18" s="21"/>
      <c r="W18" s="21">
        <v>0</v>
      </c>
      <c r="X18" s="21">
        <v>0</v>
      </c>
      <c r="Y18" s="21">
        <v>47</v>
      </c>
      <c r="Z18" s="21">
        <v>48</v>
      </c>
      <c r="AA18" s="21">
        <v>39</v>
      </c>
      <c r="AB18" s="22">
        <v>0</v>
      </c>
      <c r="AC18" s="22">
        <v>0</v>
      </c>
      <c r="AD18" s="22">
        <v>8.8365796796269832E-4</v>
      </c>
      <c r="AE18" s="22">
        <v>9.0393777894954902E-4</v>
      </c>
      <c r="AF18" s="22">
        <v>7.7516298298616634E-4</v>
      </c>
      <c r="AG18" s="21">
        <v>0</v>
      </c>
      <c r="AH18" s="21">
        <v>0</v>
      </c>
      <c r="AI18" s="21">
        <v>47</v>
      </c>
      <c r="AJ18" s="21">
        <v>48</v>
      </c>
      <c r="AK18" s="21">
        <v>39</v>
      </c>
      <c r="AL18" s="22">
        <v>0</v>
      </c>
      <c r="AM18" s="22">
        <v>0</v>
      </c>
      <c r="AN18" s="22">
        <v>1</v>
      </c>
      <c r="AO18" s="22">
        <v>1</v>
      </c>
      <c r="AP18" s="22">
        <v>1</v>
      </c>
    </row>
    <row r="19" spans="1:42" x14ac:dyDescent="0.25">
      <c r="A19" s="20" t="s">
        <v>35</v>
      </c>
      <c r="B19" s="21">
        <v>10067</v>
      </c>
      <c r="C19" s="21">
        <v>7549</v>
      </c>
      <c r="D19" s="21">
        <v>7497</v>
      </c>
      <c r="E19" s="21">
        <v>7276</v>
      </c>
      <c r="F19" s="21">
        <v>10562</v>
      </c>
      <c r="G19" s="22">
        <v>0.19226875990756126</v>
      </c>
      <c r="H19" s="22">
        <v>0.15004372714262998</v>
      </c>
      <c r="I19" s="22">
        <v>0.14433128621758465</v>
      </c>
      <c r="J19" s="22">
        <v>0.13682349843920419</v>
      </c>
      <c r="K19" s="22">
        <v>0.16234245312019674</v>
      </c>
      <c r="L19" s="21">
        <v>10067</v>
      </c>
      <c r="M19" s="21">
        <v>7549</v>
      </c>
      <c r="N19" s="21">
        <v>7497</v>
      </c>
      <c r="O19" s="21">
        <v>7276</v>
      </c>
      <c r="P19" s="21">
        <v>10218</v>
      </c>
      <c r="Q19" s="22">
        <v>1</v>
      </c>
      <c r="R19" s="22">
        <v>1</v>
      </c>
      <c r="S19" s="22">
        <v>1</v>
      </c>
      <c r="T19" s="22">
        <v>1</v>
      </c>
      <c r="U19" s="22">
        <v>0.9674304109070252</v>
      </c>
      <c r="V19" s="21"/>
      <c r="W19" s="21">
        <v>15428</v>
      </c>
      <c r="X19" s="21">
        <v>15243</v>
      </c>
      <c r="Y19" s="21">
        <v>13006</v>
      </c>
      <c r="Z19" s="21">
        <v>10874</v>
      </c>
      <c r="AA19" s="21">
        <v>7549</v>
      </c>
      <c r="AB19" s="22">
        <v>0.33694417751375905</v>
      </c>
      <c r="AC19" s="22">
        <v>0.333954079397073</v>
      </c>
      <c r="AD19" s="22">
        <v>0.24452884109197565</v>
      </c>
      <c r="AE19" s="22">
        <v>0.20477957100619573</v>
      </c>
      <c r="AF19" s="22">
        <v>0.15004372714262998</v>
      </c>
      <c r="AG19" s="21">
        <v>15428</v>
      </c>
      <c r="AH19" s="21">
        <v>15243</v>
      </c>
      <c r="AI19" s="21">
        <v>13006</v>
      </c>
      <c r="AJ19" s="21">
        <v>10874</v>
      </c>
      <c r="AK19" s="21">
        <v>7549</v>
      </c>
      <c r="AL19" s="22">
        <v>1</v>
      </c>
      <c r="AM19" s="22">
        <v>1</v>
      </c>
      <c r="AN19" s="22">
        <v>1</v>
      </c>
      <c r="AO19" s="22">
        <v>1</v>
      </c>
      <c r="AP19" s="22">
        <v>1</v>
      </c>
    </row>
    <row r="20" spans="1:42" x14ac:dyDescent="0.25">
      <c r="A20" s="20" t="s">
        <v>84</v>
      </c>
      <c r="B20" s="21">
        <v>0</v>
      </c>
      <c r="C20" s="21">
        <v>0</v>
      </c>
      <c r="D20" s="21">
        <v>0</v>
      </c>
      <c r="E20" s="21">
        <v>9</v>
      </c>
      <c r="F20" s="21">
        <v>15</v>
      </c>
      <c r="G20" s="22">
        <v>0</v>
      </c>
      <c r="H20" s="22">
        <v>0</v>
      </c>
      <c r="I20" s="22">
        <v>0</v>
      </c>
      <c r="J20" s="22">
        <v>1.6924292000451314E-4</v>
      </c>
      <c r="K20" s="22">
        <v>2.3055640946818322E-4</v>
      </c>
      <c r="L20" s="21">
        <v>0</v>
      </c>
      <c r="M20" s="21">
        <v>0</v>
      </c>
      <c r="N20" s="21">
        <v>0</v>
      </c>
      <c r="O20" s="21">
        <v>9</v>
      </c>
      <c r="P20" s="21">
        <v>15</v>
      </c>
      <c r="Q20" s="22">
        <v>0</v>
      </c>
      <c r="R20" s="22">
        <v>0</v>
      </c>
      <c r="S20" s="22">
        <v>0</v>
      </c>
      <c r="T20" s="22">
        <v>1</v>
      </c>
      <c r="U20" s="22">
        <v>1</v>
      </c>
      <c r="V20" s="21"/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</row>
    <row r="21" spans="1:42" x14ac:dyDescent="0.25">
      <c r="A21" s="20" t="s">
        <v>37</v>
      </c>
      <c r="B21" s="21">
        <v>0</v>
      </c>
      <c r="C21" s="21">
        <v>0</v>
      </c>
      <c r="D21" s="21">
        <v>0</v>
      </c>
      <c r="E21" s="21">
        <v>0</v>
      </c>
      <c r="F21" s="21">
        <v>5010</v>
      </c>
      <c r="G21" s="22">
        <v>0</v>
      </c>
      <c r="H21" s="22">
        <v>0</v>
      </c>
      <c r="I21" s="22">
        <v>0</v>
      </c>
      <c r="J21" s="22">
        <v>0</v>
      </c>
      <c r="K21" s="22">
        <v>7.7005840762373198E-2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1"/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</row>
    <row r="22" spans="1:42" x14ac:dyDescent="0.25">
      <c r="A22" s="20" t="s">
        <v>85</v>
      </c>
      <c r="B22" s="21">
        <v>3052</v>
      </c>
      <c r="C22" s="21">
        <v>3055</v>
      </c>
      <c r="D22" s="21">
        <v>2759</v>
      </c>
      <c r="E22" s="21">
        <v>2778</v>
      </c>
      <c r="F22" s="21">
        <v>2793</v>
      </c>
      <c r="G22" s="22">
        <v>5.828988330563991E-2</v>
      </c>
      <c r="H22" s="22">
        <v>6.072110033391636E-2</v>
      </c>
      <c r="I22" s="22">
        <v>5.3115915522784593E-2</v>
      </c>
      <c r="J22" s="22">
        <v>5.223964797472639E-2</v>
      </c>
      <c r="K22" s="22">
        <v>4.2929603442975715E-2</v>
      </c>
      <c r="L22" s="21">
        <v>3052</v>
      </c>
      <c r="M22" s="21">
        <v>3055</v>
      </c>
      <c r="N22" s="21">
        <v>2759</v>
      </c>
      <c r="O22" s="21">
        <v>2778</v>
      </c>
      <c r="P22" s="21">
        <v>2788</v>
      </c>
      <c r="Q22" s="22">
        <v>1</v>
      </c>
      <c r="R22" s="22">
        <v>1</v>
      </c>
      <c r="S22" s="22">
        <v>1</v>
      </c>
      <c r="T22" s="22">
        <v>1</v>
      </c>
      <c r="U22" s="22">
        <v>0.99820981023988542</v>
      </c>
      <c r="V22" s="21"/>
      <c r="W22" s="21">
        <v>1315</v>
      </c>
      <c r="X22" s="21">
        <v>1856</v>
      </c>
      <c r="Y22" s="21">
        <v>2860</v>
      </c>
      <c r="Z22" s="21">
        <v>3051</v>
      </c>
      <c r="AA22" s="21">
        <v>3055</v>
      </c>
      <c r="AB22" s="22">
        <v>2.8719315104394166E-2</v>
      </c>
      <c r="AC22" s="22">
        <v>4.0662518622381912E-2</v>
      </c>
      <c r="AD22" s="22">
        <v>5.377152741219824E-2</v>
      </c>
      <c r="AE22" s="22">
        <v>5.7456545074480704E-2</v>
      </c>
      <c r="AF22" s="22">
        <v>6.072110033391636E-2</v>
      </c>
      <c r="AG22" s="21">
        <v>1315</v>
      </c>
      <c r="AH22" s="21">
        <v>1856</v>
      </c>
      <c r="AI22" s="21">
        <v>2860</v>
      </c>
      <c r="AJ22" s="21">
        <v>3051</v>
      </c>
      <c r="AK22" s="21">
        <v>3055</v>
      </c>
      <c r="AL22" s="22">
        <v>1</v>
      </c>
      <c r="AM22" s="22">
        <v>1</v>
      </c>
      <c r="AN22" s="22">
        <v>1</v>
      </c>
      <c r="AO22" s="22">
        <v>1</v>
      </c>
      <c r="AP22" s="22">
        <v>1</v>
      </c>
    </row>
    <row r="23" spans="1:42" x14ac:dyDescent="0.25">
      <c r="A23" s="20" t="s">
        <v>39</v>
      </c>
      <c r="B23" s="21">
        <v>0</v>
      </c>
      <c r="C23" s="21">
        <v>0</v>
      </c>
      <c r="D23" s="21">
        <v>3</v>
      </c>
      <c r="E23" s="21">
        <v>9</v>
      </c>
      <c r="F23" s="21">
        <v>14</v>
      </c>
      <c r="G23" s="22">
        <v>0</v>
      </c>
      <c r="H23" s="22">
        <v>0</v>
      </c>
      <c r="I23" s="22">
        <v>5.7755616733727352E-5</v>
      </c>
      <c r="J23" s="22">
        <v>1.6924292000451314E-4</v>
      </c>
      <c r="K23" s="22">
        <v>2.1518598217030432E-4</v>
      </c>
      <c r="L23" s="21">
        <v>0</v>
      </c>
      <c r="M23" s="21">
        <v>0</v>
      </c>
      <c r="N23" s="21">
        <v>3</v>
      </c>
      <c r="O23" s="21">
        <v>9</v>
      </c>
      <c r="P23" s="21">
        <v>14</v>
      </c>
      <c r="Q23" s="22">
        <v>0</v>
      </c>
      <c r="R23" s="22">
        <v>0</v>
      </c>
      <c r="S23" s="22">
        <v>1</v>
      </c>
      <c r="T23" s="22">
        <v>1</v>
      </c>
      <c r="U23" s="22">
        <v>1</v>
      </c>
      <c r="V23" s="21"/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</row>
    <row r="24" spans="1:42" x14ac:dyDescent="0.25">
      <c r="A24" s="20" t="s">
        <v>40</v>
      </c>
      <c r="B24" s="21">
        <v>0</v>
      </c>
      <c r="C24" s="21">
        <v>0</v>
      </c>
      <c r="D24" s="21">
        <v>0</v>
      </c>
      <c r="E24" s="21">
        <v>0</v>
      </c>
      <c r="F24" s="21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1"/>
      <c r="W24" s="21">
        <v>2</v>
      </c>
      <c r="X24" s="21">
        <v>94</v>
      </c>
      <c r="Y24" s="21">
        <v>0</v>
      </c>
      <c r="Z24" s="21">
        <v>0</v>
      </c>
      <c r="AA24" s="21">
        <v>0</v>
      </c>
      <c r="AB24" s="22">
        <v>4.367956669869835E-5</v>
      </c>
      <c r="AC24" s="22">
        <v>2.0594163526421873E-3</v>
      </c>
      <c r="AD24" s="22">
        <v>0</v>
      </c>
      <c r="AE24" s="22">
        <v>0</v>
      </c>
      <c r="AF24" s="22">
        <v>0</v>
      </c>
      <c r="AG24" s="21">
        <v>2</v>
      </c>
      <c r="AH24" s="21">
        <v>94</v>
      </c>
      <c r="AI24" s="21">
        <v>0</v>
      </c>
      <c r="AJ24" s="21">
        <v>0</v>
      </c>
      <c r="AK24" s="21">
        <v>0</v>
      </c>
      <c r="AL24" s="22">
        <v>1</v>
      </c>
      <c r="AM24" s="22">
        <v>1</v>
      </c>
      <c r="AN24" s="22">
        <v>0</v>
      </c>
      <c r="AO24" s="22">
        <v>0</v>
      </c>
      <c r="AP24" s="22">
        <v>0</v>
      </c>
    </row>
    <row r="25" spans="1:42" x14ac:dyDescent="0.25">
      <c r="A25" s="20" t="s">
        <v>90</v>
      </c>
      <c r="B25" s="21">
        <v>2</v>
      </c>
      <c r="C25" s="21">
        <v>4</v>
      </c>
      <c r="D25" s="21">
        <v>6</v>
      </c>
      <c r="E25" s="21">
        <v>7</v>
      </c>
      <c r="F25" s="21">
        <v>0</v>
      </c>
      <c r="G25" s="22">
        <v>3.8197826543669662E-5</v>
      </c>
      <c r="H25" s="22">
        <v>7.950389569088885E-5</v>
      </c>
      <c r="I25" s="22">
        <v>1.155112334674547E-4</v>
      </c>
      <c r="J25" s="22">
        <v>1.3163338222573243E-4</v>
      </c>
      <c r="K25" s="22">
        <v>0</v>
      </c>
      <c r="L25" s="21">
        <v>2</v>
      </c>
      <c r="M25" s="21">
        <v>4</v>
      </c>
      <c r="N25" s="21">
        <v>6</v>
      </c>
      <c r="O25" s="21">
        <v>7</v>
      </c>
      <c r="P25" s="21">
        <v>0</v>
      </c>
      <c r="Q25" s="22">
        <v>1</v>
      </c>
      <c r="R25" s="22">
        <v>1</v>
      </c>
      <c r="S25" s="22">
        <v>1</v>
      </c>
      <c r="T25" s="22">
        <v>1</v>
      </c>
      <c r="U25" s="22">
        <v>0</v>
      </c>
      <c r="V25" s="21"/>
      <c r="W25" s="21">
        <v>1</v>
      </c>
      <c r="X25" s="21">
        <v>1</v>
      </c>
      <c r="Y25" s="21">
        <v>1</v>
      </c>
      <c r="Z25" s="21">
        <v>1</v>
      </c>
      <c r="AA25" s="21">
        <v>4</v>
      </c>
      <c r="AB25" s="22">
        <v>2.1839783349349175E-5</v>
      </c>
      <c r="AC25" s="22">
        <v>2.1908684602576462E-5</v>
      </c>
      <c r="AD25" s="22">
        <v>1.8801233360908476E-5</v>
      </c>
      <c r="AE25" s="22">
        <v>1.8832037061448937E-5</v>
      </c>
      <c r="AF25" s="22">
        <v>7.950389569088885E-5</v>
      </c>
      <c r="AG25" s="21">
        <v>1</v>
      </c>
      <c r="AH25" s="21">
        <v>1</v>
      </c>
      <c r="AI25" s="21">
        <v>1</v>
      </c>
      <c r="AJ25" s="21">
        <v>1</v>
      </c>
      <c r="AK25" s="21">
        <v>4</v>
      </c>
      <c r="AL25" s="22">
        <v>1</v>
      </c>
      <c r="AM25" s="22">
        <v>1</v>
      </c>
      <c r="AN25" s="22">
        <v>1</v>
      </c>
      <c r="AO25" s="22">
        <v>1</v>
      </c>
      <c r="AP25" s="22">
        <v>1</v>
      </c>
    </row>
    <row r="26" spans="1:42" x14ac:dyDescent="0.25">
      <c r="A26" s="20" t="s">
        <v>41</v>
      </c>
      <c r="B26" s="21">
        <v>19</v>
      </c>
      <c r="C26" s="21">
        <v>20</v>
      </c>
      <c r="D26" s="21">
        <v>22</v>
      </c>
      <c r="E26" s="21">
        <v>23</v>
      </c>
      <c r="F26" s="21">
        <v>33</v>
      </c>
      <c r="G26" s="22">
        <v>3.6287935216486181E-4</v>
      </c>
      <c r="H26" s="22">
        <v>3.9751947845444429E-4</v>
      </c>
      <c r="I26" s="22">
        <v>4.2354118938066728E-4</v>
      </c>
      <c r="J26" s="22">
        <v>4.3250968445597804E-4</v>
      </c>
      <c r="K26" s="22">
        <v>5.0722410083000311E-4</v>
      </c>
      <c r="L26" s="21">
        <v>19</v>
      </c>
      <c r="M26" s="21">
        <v>20</v>
      </c>
      <c r="N26" s="21">
        <v>22</v>
      </c>
      <c r="O26" s="21">
        <v>23</v>
      </c>
      <c r="P26" s="21">
        <v>33</v>
      </c>
      <c r="Q26" s="22">
        <v>1</v>
      </c>
      <c r="R26" s="22">
        <v>1</v>
      </c>
      <c r="S26" s="22">
        <v>1</v>
      </c>
      <c r="T26" s="22">
        <v>1</v>
      </c>
      <c r="U26" s="22">
        <v>1</v>
      </c>
      <c r="V26" s="21"/>
      <c r="W26" s="21">
        <v>0</v>
      </c>
      <c r="X26" s="21">
        <v>0</v>
      </c>
      <c r="Y26" s="21">
        <v>21</v>
      </c>
      <c r="Z26" s="21">
        <v>20</v>
      </c>
      <c r="AA26" s="21">
        <v>20</v>
      </c>
      <c r="AB26" s="22">
        <v>0</v>
      </c>
      <c r="AC26" s="22">
        <v>0</v>
      </c>
      <c r="AD26" s="22">
        <v>3.9482590057907796E-4</v>
      </c>
      <c r="AE26" s="22">
        <v>3.7664074122897872E-4</v>
      </c>
      <c r="AF26" s="22">
        <v>3.9751947845444429E-4</v>
      </c>
      <c r="AG26" s="21">
        <v>0</v>
      </c>
      <c r="AH26" s="21">
        <v>0</v>
      </c>
      <c r="AI26" s="21">
        <v>21</v>
      </c>
      <c r="AJ26" s="21">
        <v>20</v>
      </c>
      <c r="AK26" s="21">
        <v>20</v>
      </c>
      <c r="AL26" s="22">
        <v>0</v>
      </c>
      <c r="AM26" s="22">
        <v>0</v>
      </c>
      <c r="AN26" s="22">
        <v>1</v>
      </c>
      <c r="AO26" s="22">
        <v>1</v>
      </c>
      <c r="AP26" s="22">
        <v>1</v>
      </c>
    </row>
    <row r="27" spans="1:42" x14ac:dyDescent="0.25">
      <c r="A27" s="20" t="s">
        <v>42</v>
      </c>
      <c r="B27" s="21">
        <v>32</v>
      </c>
      <c r="C27" s="21">
        <v>32</v>
      </c>
      <c r="D27" s="21">
        <v>31</v>
      </c>
      <c r="E27" s="21">
        <v>32</v>
      </c>
      <c r="F27" s="21">
        <v>33</v>
      </c>
      <c r="G27" s="22">
        <v>6.111652246987146E-4</v>
      </c>
      <c r="H27" s="22">
        <v>6.360311655271108E-4</v>
      </c>
      <c r="I27" s="22">
        <v>5.968080395818493E-4</v>
      </c>
      <c r="J27" s="22">
        <v>6.017526044604912E-4</v>
      </c>
      <c r="K27" s="22">
        <v>5.0722410083000311E-4</v>
      </c>
      <c r="L27" s="21">
        <v>32</v>
      </c>
      <c r="M27" s="21">
        <v>32</v>
      </c>
      <c r="N27" s="21">
        <v>31</v>
      </c>
      <c r="O27" s="21">
        <v>32</v>
      </c>
      <c r="P27" s="21">
        <v>33</v>
      </c>
      <c r="Q27" s="22">
        <v>1</v>
      </c>
      <c r="R27" s="22">
        <v>1</v>
      </c>
      <c r="S27" s="22">
        <v>1</v>
      </c>
      <c r="T27" s="22">
        <v>1</v>
      </c>
      <c r="U27" s="22">
        <v>1</v>
      </c>
      <c r="V27" s="21"/>
      <c r="W27" s="21">
        <v>13</v>
      </c>
      <c r="X27" s="21">
        <v>10</v>
      </c>
      <c r="Y27" s="21">
        <v>40</v>
      </c>
      <c r="Z27" s="21">
        <v>104</v>
      </c>
      <c r="AA27" s="21">
        <v>32</v>
      </c>
      <c r="AB27" s="22">
        <v>2.8391718354153929E-4</v>
      </c>
      <c r="AC27" s="22">
        <v>2.1908684602576462E-4</v>
      </c>
      <c r="AD27" s="22">
        <v>7.5204933443633905E-4</v>
      </c>
      <c r="AE27" s="22">
        <v>1.9585318543906896E-3</v>
      </c>
      <c r="AF27" s="22">
        <v>6.360311655271108E-4</v>
      </c>
      <c r="AG27" s="21">
        <v>13</v>
      </c>
      <c r="AH27" s="21">
        <v>10</v>
      </c>
      <c r="AI27" s="21">
        <v>40</v>
      </c>
      <c r="AJ27" s="21">
        <v>104</v>
      </c>
      <c r="AK27" s="21">
        <v>32</v>
      </c>
      <c r="AL27" s="22">
        <v>1</v>
      </c>
      <c r="AM27" s="22">
        <v>1</v>
      </c>
      <c r="AN27" s="22">
        <v>1</v>
      </c>
      <c r="AO27" s="22">
        <v>1</v>
      </c>
      <c r="AP27" s="22">
        <v>1</v>
      </c>
    </row>
    <row r="28" spans="1:42" x14ac:dyDescent="0.25">
      <c r="A28" s="20" t="s">
        <v>91</v>
      </c>
      <c r="B28" s="21">
        <v>8</v>
      </c>
      <c r="C28" s="21">
        <v>8</v>
      </c>
      <c r="D28" s="21">
        <v>4</v>
      </c>
      <c r="E28" s="21">
        <v>4</v>
      </c>
      <c r="F28" s="21">
        <v>6</v>
      </c>
      <c r="G28" s="22">
        <v>1.5279130617467865E-4</v>
      </c>
      <c r="H28" s="22">
        <v>1.590077913817777E-4</v>
      </c>
      <c r="I28" s="22">
        <v>7.7007488978303137E-5</v>
      </c>
      <c r="J28" s="22">
        <v>7.52190755575614E-5</v>
      </c>
      <c r="K28" s="22">
        <v>9.2222563787273281E-5</v>
      </c>
      <c r="L28" s="21">
        <v>8</v>
      </c>
      <c r="M28" s="21">
        <v>8</v>
      </c>
      <c r="N28" s="21">
        <v>4</v>
      </c>
      <c r="O28" s="21">
        <v>4</v>
      </c>
      <c r="P28" s="21">
        <v>6</v>
      </c>
      <c r="Q28" s="22">
        <v>1</v>
      </c>
      <c r="R28" s="22">
        <v>1</v>
      </c>
      <c r="S28" s="22">
        <v>1</v>
      </c>
      <c r="T28" s="22">
        <v>1</v>
      </c>
      <c r="U28" s="22">
        <v>1</v>
      </c>
      <c r="V28" s="21"/>
      <c r="W28" s="21">
        <v>0</v>
      </c>
      <c r="X28" s="21">
        <v>6</v>
      </c>
      <c r="Y28" s="21">
        <v>6</v>
      </c>
      <c r="Z28" s="21">
        <v>8</v>
      </c>
      <c r="AA28" s="21">
        <v>8</v>
      </c>
      <c r="AB28" s="22">
        <v>0</v>
      </c>
      <c r="AC28" s="22">
        <v>1.3145210761545875E-4</v>
      </c>
      <c r="AD28" s="22">
        <v>1.1280740016545086E-4</v>
      </c>
      <c r="AE28" s="22">
        <v>1.5065629649159149E-4</v>
      </c>
      <c r="AF28" s="22">
        <v>1.590077913817777E-4</v>
      </c>
      <c r="AG28" s="21">
        <v>0</v>
      </c>
      <c r="AH28" s="21">
        <v>6</v>
      </c>
      <c r="AI28" s="21">
        <v>6</v>
      </c>
      <c r="AJ28" s="21">
        <v>8</v>
      </c>
      <c r="AK28" s="21">
        <v>8</v>
      </c>
      <c r="AL28" s="22">
        <v>0</v>
      </c>
      <c r="AM28" s="22">
        <v>1</v>
      </c>
      <c r="AN28" s="22">
        <v>1</v>
      </c>
      <c r="AO28" s="22">
        <v>1</v>
      </c>
      <c r="AP28" s="22">
        <v>1</v>
      </c>
    </row>
    <row r="29" spans="1:42" x14ac:dyDescent="0.25">
      <c r="A29" s="20" t="s">
        <v>45</v>
      </c>
      <c r="B29" s="21">
        <v>2734</v>
      </c>
      <c r="C29" s="21">
        <v>2755</v>
      </c>
      <c r="D29" s="21">
        <v>2785</v>
      </c>
      <c r="E29" s="21">
        <v>2682</v>
      </c>
      <c r="F29" s="21">
        <v>2820</v>
      </c>
      <c r="G29" s="22">
        <v>5.2216428885196432E-2</v>
      </c>
      <c r="H29" s="22">
        <v>5.47583081570997E-2</v>
      </c>
      <c r="I29" s="22">
        <v>5.3616464201143563E-2</v>
      </c>
      <c r="J29" s="22">
        <v>5.0434390161344919E-2</v>
      </c>
      <c r="K29" s="22">
        <v>4.3344604980018443E-2</v>
      </c>
      <c r="L29" s="21">
        <v>2734</v>
      </c>
      <c r="M29" s="21">
        <v>2755</v>
      </c>
      <c r="N29" s="21">
        <v>2785</v>
      </c>
      <c r="O29" s="21">
        <v>2682</v>
      </c>
      <c r="P29" s="21">
        <v>2820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1"/>
      <c r="W29" s="21">
        <v>3165</v>
      </c>
      <c r="X29" s="21">
        <v>2667</v>
      </c>
      <c r="Y29" s="21">
        <v>2254</v>
      </c>
      <c r="Z29" s="21">
        <v>2300</v>
      </c>
      <c r="AA29" s="21">
        <v>2755</v>
      </c>
      <c r="AB29" s="22">
        <v>6.9122914300690133E-2</v>
      </c>
      <c r="AC29" s="22">
        <v>5.8430461835071425E-2</v>
      </c>
      <c r="AD29" s="22">
        <v>4.2377979995487702E-2</v>
      </c>
      <c r="AE29" s="22">
        <v>4.3313685241332556E-2</v>
      </c>
      <c r="AF29" s="22">
        <v>5.47583081570997E-2</v>
      </c>
      <c r="AG29" s="21">
        <v>3165</v>
      </c>
      <c r="AH29" s="21">
        <v>2667</v>
      </c>
      <c r="AI29" s="21">
        <v>2254</v>
      </c>
      <c r="AJ29" s="21">
        <v>2300</v>
      </c>
      <c r="AK29" s="21">
        <v>2755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</row>
    <row r="30" spans="1:42" x14ac:dyDescent="0.25">
      <c r="A30" s="20" t="s">
        <v>46</v>
      </c>
      <c r="B30" s="21">
        <v>428</v>
      </c>
      <c r="C30" s="21">
        <v>337</v>
      </c>
      <c r="D30" s="21">
        <v>540</v>
      </c>
      <c r="E30" s="21">
        <v>567</v>
      </c>
      <c r="F30" s="21">
        <v>631</v>
      </c>
      <c r="G30" s="22">
        <v>8.1743348803453089E-3</v>
      </c>
      <c r="H30" s="22">
        <v>6.6982032119573863E-3</v>
      </c>
      <c r="I30" s="22">
        <v>1.0396011012070924E-2</v>
      </c>
      <c r="J30" s="22">
        <v>1.0662303960284327E-2</v>
      </c>
      <c r="K30" s="22">
        <v>9.6987396249615734E-3</v>
      </c>
      <c r="L30" s="21">
        <v>428</v>
      </c>
      <c r="M30" s="21">
        <v>337</v>
      </c>
      <c r="N30" s="21">
        <v>540</v>
      </c>
      <c r="O30" s="21">
        <v>567</v>
      </c>
      <c r="P30" s="21">
        <v>612</v>
      </c>
      <c r="Q30" s="22">
        <v>1</v>
      </c>
      <c r="R30" s="22">
        <v>1</v>
      </c>
      <c r="S30" s="22">
        <v>1</v>
      </c>
      <c r="T30" s="22">
        <v>1</v>
      </c>
      <c r="U30" s="22">
        <v>0.96988906497622818</v>
      </c>
      <c r="V30" s="21"/>
      <c r="W30" s="21">
        <v>0</v>
      </c>
      <c r="X30" s="21">
        <v>5</v>
      </c>
      <c r="Y30" s="21">
        <v>39</v>
      </c>
      <c r="Z30" s="21">
        <v>350</v>
      </c>
      <c r="AA30" s="21">
        <v>337</v>
      </c>
      <c r="AB30" s="22">
        <v>0</v>
      </c>
      <c r="AC30" s="22">
        <v>1.0954342301288231E-4</v>
      </c>
      <c r="AD30" s="22">
        <v>7.3324810107543051E-4</v>
      </c>
      <c r="AE30" s="22">
        <v>6.5912129715071282E-3</v>
      </c>
      <c r="AF30" s="22">
        <v>6.6982032119573863E-3</v>
      </c>
      <c r="AG30" s="21">
        <v>0</v>
      </c>
      <c r="AH30" s="21">
        <v>5</v>
      </c>
      <c r="AI30" s="21">
        <v>39</v>
      </c>
      <c r="AJ30" s="21">
        <v>350</v>
      </c>
      <c r="AK30" s="21">
        <v>337</v>
      </c>
      <c r="AL30" s="22">
        <v>0</v>
      </c>
      <c r="AM30" s="22">
        <v>1</v>
      </c>
      <c r="AN30" s="22">
        <v>1</v>
      </c>
      <c r="AO30" s="22">
        <v>1</v>
      </c>
      <c r="AP30" s="22">
        <v>1</v>
      </c>
    </row>
    <row r="31" spans="1:42" x14ac:dyDescent="0.25">
      <c r="A31" s="20" t="s">
        <v>47</v>
      </c>
      <c r="B31" s="21">
        <v>44</v>
      </c>
      <c r="C31" s="21">
        <v>50</v>
      </c>
      <c r="D31" s="21">
        <v>49</v>
      </c>
      <c r="E31" s="21">
        <v>50</v>
      </c>
      <c r="F31" s="21">
        <v>56</v>
      </c>
      <c r="G31" s="22">
        <v>8.4035218396073265E-4</v>
      </c>
      <c r="H31" s="22">
        <v>9.9379869613611073E-4</v>
      </c>
      <c r="I31" s="22">
        <v>9.4334173998421344E-4</v>
      </c>
      <c r="J31" s="22">
        <v>9.4023844446951743E-4</v>
      </c>
      <c r="K31" s="22">
        <v>8.6074392868121729E-4</v>
      </c>
      <c r="L31" s="21">
        <v>44</v>
      </c>
      <c r="M31" s="21">
        <v>50</v>
      </c>
      <c r="N31" s="21">
        <v>49</v>
      </c>
      <c r="O31" s="21">
        <v>50</v>
      </c>
      <c r="P31" s="21">
        <v>56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1"/>
      <c r="W31" s="21">
        <v>0</v>
      </c>
      <c r="X31" s="21">
        <v>0</v>
      </c>
      <c r="Y31" s="21">
        <v>0</v>
      </c>
      <c r="Z31" s="21">
        <v>10</v>
      </c>
      <c r="AA31" s="21">
        <v>50</v>
      </c>
      <c r="AB31" s="22">
        <v>0</v>
      </c>
      <c r="AC31" s="22">
        <v>0</v>
      </c>
      <c r="AD31" s="22">
        <v>0</v>
      </c>
      <c r="AE31" s="22">
        <v>1.8832037061448936E-4</v>
      </c>
      <c r="AF31" s="22">
        <v>9.9379869613611073E-4</v>
      </c>
      <c r="AG31" s="21">
        <v>0</v>
      </c>
      <c r="AH31" s="21">
        <v>0</v>
      </c>
      <c r="AI31" s="21">
        <v>0</v>
      </c>
      <c r="AJ31" s="21">
        <v>10</v>
      </c>
      <c r="AK31" s="21">
        <v>50</v>
      </c>
      <c r="AL31" s="22">
        <v>0</v>
      </c>
      <c r="AM31" s="22">
        <v>0</v>
      </c>
      <c r="AN31" s="22">
        <v>0</v>
      </c>
      <c r="AO31" s="22">
        <v>1</v>
      </c>
      <c r="AP31" s="22">
        <v>1</v>
      </c>
    </row>
    <row r="32" spans="1:42" x14ac:dyDescent="0.25">
      <c r="A32" s="20" t="s">
        <v>170</v>
      </c>
      <c r="B32" s="21">
        <v>17396</v>
      </c>
      <c r="C32" s="21">
        <v>17641</v>
      </c>
      <c r="D32" s="21">
        <v>18228</v>
      </c>
      <c r="E32" s="21">
        <v>18241</v>
      </c>
      <c r="F32" s="21">
        <v>17221</v>
      </c>
      <c r="G32" s="22">
        <v>0.33224469527683875</v>
      </c>
      <c r="H32" s="22">
        <v>0.35063205597074254</v>
      </c>
      <c r="I32" s="22">
        <v>0.35092312727412739</v>
      </c>
      <c r="J32" s="22">
        <v>0.34301778931136934</v>
      </c>
      <c r="K32" s="22">
        <v>0.26469412849677221</v>
      </c>
      <c r="L32" s="21">
        <v>17396</v>
      </c>
      <c r="M32" s="21">
        <v>17641</v>
      </c>
      <c r="N32" s="21">
        <v>18228</v>
      </c>
      <c r="O32" s="21">
        <v>18241</v>
      </c>
      <c r="P32" s="21">
        <v>16652</v>
      </c>
      <c r="Q32" s="22">
        <v>1</v>
      </c>
      <c r="R32" s="22">
        <v>1</v>
      </c>
      <c r="S32" s="22">
        <v>1</v>
      </c>
      <c r="T32" s="22">
        <v>1</v>
      </c>
      <c r="U32" s="22">
        <v>0.96695894547354977</v>
      </c>
      <c r="V32" s="21"/>
      <c r="W32" s="21">
        <v>10590</v>
      </c>
      <c r="X32" s="21">
        <v>9658</v>
      </c>
      <c r="Y32" s="21">
        <v>18890</v>
      </c>
      <c r="Z32" s="21">
        <v>20732</v>
      </c>
      <c r="AA32" s="21">
        <v>17641</v>
      </c>
      <c r="AB32" s="22">
        <v>0.23128330566960775</v>
      </c>
      <c r="AC32" s="22">
        <v>0.21159407589168347</v>
      </c>
      <c r="AD32" s="22">
        <v>0.35515529818756109</v>
      </c>
      <c r="AE32" s="22">
        <v>0.39042579235795938</v>
      </c>
      <c r="AF32" s="22">
        <v>0.35063205597074254</v>
      </c>
      <c r="AG32" s="21">
        <v>10590</v>
      </c>
      <c r="AH32" s="21">
        <v>9658</v>
      </c>
      <c r="AI32" s="21">
        <v>18890</v>
      </c>
      <c r="AJ32" s="21">
        <v>20732</v>
      </c>
      <c r="AK32" s="21">
        <v>17641</v>
      </c>
      <c r="AL32" s="22">
        <v>1</v>
      </c>
      <c r="AM32" s="22">
        <v>1</v>
      </c>
      <c r="AN32" s="22">
        <v>1</v>
      </c>
      <c r="AO32" s="22">
        <v>1</v>
      </c>
      <c r="AP32" s="22">
        <v>1</v>
      </c>
    </row>
    <row r="33" spans="1:42" x14ac:dyDescent="0.25">
      <c r="A33" s="20" t="s">
        <v>92</v>
      </c>
      <c r="B33" s="21">
        <v>8</v>
      </c>
      <c r="C33" s="21">
        <v>8</v>
      </c>
      <c r="D33" s="21">
        <v>11</v>
      </c>
      <c r="E33" s="21">
        <v>11</v>
      </c>
      <c r="F33" s="21">
        <v>12</v>
      </c>
      <c r="G33" s="22">
        <v>1.5279130617467865E-4</v>
      </c>
      <c r="H33" s="22">
        <v>1.590077913817777E-4</v>
      </c>
      <c r="I33" s="22">
        <v>2.1177059469033364E-4</v>
      </c>
      <c r="J33" s="22">
        <v>2.0685245778329385E-4</v>
      </c>
      <c r="K33" s="22">
        <v>1.8444512757454656E-4</v>
      </c>
      <c r="L33" s="21">
        <v>8</v>
      </c>
      <c r="M33" s="21">
        <v>8</v>
      </c>
      <c r="N33" s="21">
        <v>11</v>
      </c>
      <c r="O33" s="21">
        <v>11</v>
      </c>
      <c r="P33" s="21">
        <v>12</v>
      </c>
      <c r="Q33" s="22">
        <v>1</v>
      </c>
      <c r="R33" s="22">
        <v>1</v>
      </c>
      <c r="S33" s="22">
        <v>1</v>
      </c>
      <c r="T33" s="22">
        <v>1</v>
      </c>
      <c r="U33" s="22">
        <v>1</v>
      </c>
      <c r="V33" s="21"/>
      <c r="W33" s="21">
        <v>0</v>
      </c>
      <c r="X33" s="21">
        <v>0</v>
      </c>
      <c r="Y33" s="21">
        <v>2</v>
      </c>
      <c r="Z33" s="21">
        <v>2</v>
      </c>
      <c r="AA33" s="21">
        <v>8</v>
      </c>
      <c r="AB33" s="22">
        <v>0</v>
      </c>
      <c r="AC33" s="22">
        <v>0</v>
      </c>
      <c r="AD33" s="22">
        <v>3.7602466721816953E-5</v>
      </c>
      <c r="AE33" s="22">
        <v>3.7664074122897873E-5</v>
      </c>
      <c r="AF33" s="22">
        <v>1.590077913817777E-4</v>
      </c>
      <c r="AG33" s="21">
        <v>0</v>
      </c>
      <c r="AH33" s="21">
        <v>0</v>
      </c>
      <c r="AI33" s="21">
        <v>2</v>
      </c>
      <c r="AJ33" s="21">
        <v>2</v>
      </c>
      <c r="AK33" s="21">
        <v>8</v>
      </c>
      <c r="AL33" s="22">
        <v>0</v>
      </c>
      <c r="AM33" s="22">
        <v>0</v>
      </c>
      <c r="AN33" s="22">
        <v>1</v>
      </c>
      <c r="AO33" s="22">
        <v>1</v>
      </c>
      <c r="AP33" s="22">
        <v>1</v>
      </c>
    </row>
    <row r="34" spans="1:42" x14ac:dyDescent="0.25">
      <c r="A34" s="20" t="s">
        <v>49</v>
      </c>
      <c r="B34" s="21">
        <v>1</v>
      </c>
      <c r="C34" s="21">
        <v>1</v>
      </c>
      <c r="D34" s="21">
        <v>1</v>
      </c>
      <c r="E34" s="21">
        <v>0</v>
      </c>
      <c r="F34" s="21">
        <v>1</v>
      </c>
      <c r="G34" s="22">
        <v>1.9098913271834831E-5</v>
      </c>
      <c r="H34" s="22">
        <v>1.9875973922722212E-5</v>
      </c>
      <c r="I34" s="22">
        <v>1.9251872244575784E-5</v>
      </c>
      <c r="J34" s="22">
        <v>0</v>
      </c>
      <c r="K34" s="22">
        <v>1.537042729787888E-5</v>
      </c>
      <c r="L34" s="21">
        <v>1</v>
      </c>
      <c r="M34" s="21">
        <v>1</v>
      </c>
      <c r="N34" s="21">
        <v>1</v>
      </c>
      <c r="O34" s="21">
        <v>0</v>
      </c>
      <c r="P34" s="21">
        <v>1</v>
      </c>
      <c r="Q34" s="22">
        <v>1</v>
      </c>
      <c r="R34" s="22">
        <v>1</v>
      </c>
      <c r="S34" s="22">
        <v>1</v>
      </c>
      <c r="T34" s="22">
        <v>0</v>
      </c>
      <c r="U34" s="22">
        <v>1</v>
      </c>
      <c r="V34" s="21"/>
      <c r="W34" s="21">
        <v>0</v>
      </c>
      <c r="X34" s="21">
        <v>0</v>
      </c>
      <c r="Y34" s="21">
        <v>0</v>
      </c>
      <c r="Z34" s="21">
        <v>1</v>
      </c>
      <c r="AA34" s="21">
        <v>1</v>
      </c>
      <c r="AB34" s="22">
        <v>0</v>
      </c>
      <c r="AC34" s="22">
        <v>0</v>
      </c>
      <c r="AD34" s="22">
        <v>0</v>
      </c>
      <c r="AE34" s="22">
        <v>1.8832037061448937E-5</v>
      </c>
      <c r="AF34" s="22">
        <v>1.9875973922722212E-5</v>
      </c>
      <c r="AG34" s="21">
        <v>0</v>
      </c>
      <c r="AH34" s="21">
        <v>0</v>
      </c>
      <c r="AI34" s="21">
        <v>0</v>
      </c>
      <c r="AJ34" s="21">
        <v>1</v>
      </c>
      <c r="AK34" s="21">
        <v>1</v>
      </c>
      <c r="AL34" s="22">
        <v>0</v>
      </c>
      <c r="AM34" s="22">
        <v>0</v>
      </c>
      <c r="AN34" s="22">
        <v>0</v>
      </c>
      <c r="AO34" s="22">
        <v>1</v>
      </c>
      <c r="AP34" s="22">
        <v>1</v>
      </c>
    </row>
    <row r="35" spans="1:42" x14ac:dyDescent="0.25">
      <c r="A35" s="20" t="s">
        <v>139</v>
      </c>
      <c r="B35" s="21">
        <v>238</v>
      </c>
      <c r="C35" s="21">
        <v>233</v>
      </c>
      <c r="D35" s="21">
        <v>201</v>
      </c>
      <c r="E35" s="21">
        <v>190</v>
      </c>
      <c r="F35" s="21">
        <v>216</v>
      </c>
      <c r="G35" s="22">
        <v>4.5455413586966906E-3</v>
      </c>
      <c r="H35" s="22">
        <v>4.6311019239942755E-3</v>
      </c>
      <c r="I35" s="22">
        <v>3.8696263211597326E-3</v>
      </c>
      <c r="J35" s="22">
        <v>3.5729060889841662E-3</v>
      </c>
      <c r="K35" s="22">
        <v>3.3200122963418384E-3</v>
      </c>
      <c r="L35" s="21">
        <v>238</v>
      </c>
      <c r="M35" s="21">
        <v>233</v>
      </c>
      <c r="N35" s="21">
        <v>201</v>
      </c>
      <c r="O35" s="21">
        <v>190</v>
      </c>
      <c r="P35" s="21">
        <v>195</v>
      </c>
      <c r="Q35" s="22">
        <v>1</v>
      </c>
      <c r="R35" s="22">
        <v>1</v>
      </c>
      <c r="S35" s="22">
        <v>1</v>
      </c>
      <c r="T35" s="22">
        <v>1</v>
      </c>
      <c r="U35" s="22">
        <v>0.90277777777777779</v>
      </c>
      <c r="V35" s="21"/>
      <c r="W35" s="21">
        <v>433</v>
      </c>
      <c r="X35" s="21">
        <v>236</v>
      </c>
      <c r="Y35" s="21">
        <v>321</v>
      </c>
      <c r="Z35" s="21">
        <v>86</v>
      </c>
      <c r="AA35" s="21">
        <v>233</v>
      </c>
      <c r="AB35" s="22">
        <v>9.4566261902681928E-3</v>
      </c>
      <c r="AC35" s="22">
        <v>5.1704495662080446E-3</v>
      </c>
      <c r="AD35" s="22">
        <v>6.0351959088516208E-3</v>
      </c>
      <c r="AE35" s="22">
        <v>1.6195551872846086E-3</v>
      </c>
      <c r="AF35" s="22">
        <v>4.6311019239942755E-3</v>
      </c>
      <c r="AG35" s="21">
        <v>433</v>
      </c>
      <c r="AH35" s="21">
        <v>236</v>
      </c>
      <c r="AI35" s="21">
        <v>321</v>
      </c>
      <c r="AJ35" s="21">
        <v>86</v>
      </c>
      <c r="AK35" s="21">
        <v>233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</row>
    <row r="36" spans="1:42" x14ac:dyDescent="0.25">
      <c r="A36" s="20" t="s">
        <v>53</v>
      </c>
      <c r="B36" s="21">
        <v>57</v>
      </c>
      <c r="C36" s="21">
        <v>46</v>
      </c>
      <c r="D36" s="21">
        <v>53</v>
      </c>
      <c r="E36" s="21">
        <v>58</v>
      </c>
      <c r="F36" s="21">
        <v>70</v>
      </c>
      <c r="G36" s="22">
        <v>1.0886380564945855E-3</v>
      </c>
      <c r="H36" s="22">
        <v>9.1429480044522178E-4</v>
      </c>
      <c r="I36" s="22">
        <v>1.0203492289625165E-3</v>
      </c>
      <c r="J36" s="22">
        <v>1.0906765955846403E-3</v>
      </c>
      <c r="K36" s="22">
        <v>1.0759299108515216E-3</v>
      </c>
      <c r="L36" s="21">
        <v>57</v>
      </c>
      <c r="M36" s="21">
        <v>46</v>
      </c>
      <c r="N36" s="21">
        <v>53</v>
      </c>
      <c r="O36" s="21">
        <v>58</v>
      </c>
      <c r="P36" s="21">
        <v>70</v>
      </c>
      <c r="Q36" s="22">
        <v>1</v>
      </c>
      <c r="R36" s="22">
        <v>1</v>
      </c>
      <c r="S36" s="22">
        <v>1</v>
      </c>
      <c r="T36" s="22">
        <v>1</v>
      </c>
      <c r="U36" s="22">
        <v>1</v>
      </c>
      <c r="V36" s="21"/>
      <c r="W36" s="21">
        <v>0</v>
      </c>
      <c r="X36" s="21">
        <v>1</v>
      </c>
      <c r="Y36" s="21">
        <v>17</v>
      </c>
      <c r="Z36" s="21">
        <v>44</v>
      </c>
      <c r="AA36" s="21">
        <v>46</v>
      </c>
      <c r="AB36" s="22">
        <v>0</v>
      </c>
      <c r="AC36" s="22">
        <v>2.1908684602576462E-5</v>
      </c>
      <c r="AD36" s="22">
        <v>3.1962096713544411E-4</v>
      </c>
      <c r="AE36" s="22">
        <v>8.2860963070375323E-4</v>
      </c>
      <c r="AF36" s="22">
        <v>9.1429480044522178E-4</v>
      </c>
      <c r="AG36" s="21">
        <v>0</v>
      </c>
      <c r="AH36" s="21">
        <v>1</v>
      </c>
      <c r="AI36" s="21">
        <v>17</v>
      </c>
      <c r="AJ36" s="21">
        <v>44</v>
      </c>
      <c r="AK36" s="21">
        <v>46</v>
      </c>
      <c r="AL36" s="22">
        <v>0</v>
      </c>
      <c r="AM36" s="22">
        <v>1</v>
      </c>
      <c r="AN36" s="22">
        <v>1</v>
      </c>
      <c r="AO36" s="22">
        <v>1</v>
      </c>
      <c r="AP36" s="22">
        <v>1</v>
      </c>
    </row>
    <row r="37" spans="1:42" x14ac:dyDescent="0.25">
      <c r="A37" s="20" t="s">
        <v>93</v>
      </c>
      <c r="B37" s="21">
        <v>241</v>
      </c>
      <c r="C37" s="21">
        <v>228</v>
      </c>
      <c r="D37" s="21">
        <v>230</v>
      </c>
      <c r="E37" s="21">
        <v>231</v>
      </c>
      <c r="F37" s="21">
        <v>302</v>
      </c>
      <c r="G37" s="22">
        <v>4.6028380985121947E-3</v>
      </c>
      <c r="H37" s="22">
        <v>4.5317220543806651E-3</v>
      </c>
      <c r="I37" s="22">
        <v>4.4279306162524302E-3</v>
      </c>
      <c r="J37" s="22">
        <v>4.3439016134491706E-3</v>
      </c>
      <c r="K37" s="22">
        <v>4.6418690439594219E-3</v>
      </c>
      <c r="L37" s="21">
        <v>241</v>
      </c>
      <c r="M37" s="21">
        <v>228</v>
      </c>
      <c r="N37" s="21">
        <v>230</v>
      </c>
      <c r="O37" s="21">
        <v>231</v>
      </c>
      <c r="P37" s="21">
        <v>302</v>
      </c>
      <c r="Q37" s="22">
        <v>1</v>
      </c>
      <c r="R37" s="22">
        <v>1</v>
      </c>
      <c r="S37" s="22">
        <v>1</v>
      </c>
      <c r="T37" s="22">
        <v>1</v>
      </c>
      <c r="U37" s="22">
        <v>1</v>
      </c>
      <c r="V37" s="21"/>
      <c r="W37" s="21">
        <v>20</v>
      </c>
      <c r="X37" s="21">
        <v>26</v>
      </c>
      <c r="Y37" s="21">
        <v>66</v>
      </c>
      <c r="Z37" s="21">
        <v>143</v>
      </c>
      <c r="AA37" s="21">
        <v>228</v>
      </c>
      <c r="AB37" s="22">
        <v>4.3679566698698352E-4</v>
      </c>
      <c r="AC37" s="22">
        <v>5.6962579966698805E-4</v>
      </c>
      <c r="AD37" s="22">
        <v>1.2408814018199594E-3</v>
      </c>
      <c r="AE37" s="22">
        <v>2.6929812997871978E-3</v>
      </c>
      <c r="AF37" s="22">
        <v>4.5317220543806651E-3</v>
      </c>
      <c r="AG37" s="21">
        <v>20</v>
      </c>
      <c r="AH37" s="21">
        <v>26</v>
      </c>
      <c r="AI37" s="21">
        <v>66</v>
      </c>
      <c r="AJ37" s="21">
        <v>143</v>
      </c>
      <c r="AK37" s="21">
        <v>228</v>
      </c>
      <c r="AL37" s="22">
        <v>1</v>
      </c>
      <c r="AM37" s="22">
        <v>1</v>
      </c>
      <c r="AN37" s="22">
        <v>1</v>
      </c>
      <c r="AO37" s="22">
        <v>1</v>
      </c>
      <c r="AP37" s="22">
        <v>1</v>
      </c>
    </row>
    <row r="38" spans="1:42" x14ac:dyDescent="0.25">
      <c r="A38" s="20" t="s">
        <v>54</v>
      </c>
      <c r="B38" s="21">
        <v>36</v>
      </c>
      <c r="C38" s="21">
        <v>35</v>
      </c>
      <c r="D38" s="21">
        <v>35</v>
      </c>
      <c r="E38" s="21">
        <v>37</v>
      </c>
      <c r="F38" s="21">
        <v>45</v>
      </c>
      <c r="G38" s="22">
        <v>6.8756087778605395E-4</v>
      </c>
      <c r="H38" s="22">
        <v>6.9565908729527751E-4</v>
      </c>
      <c r="I38" s="22">
        <v>6.7381552856015249E-4</v>
      </c>
      <c r="J38" s="22">
        <v>6.9577644890744296E-4</v>
      </c>
      <c r="K38" s="22">
        <v>6.9166922840454962E-4</v>
      </c>
      <c r="L38" s="21">
        <v>36</v>
      </c>
      <c r="M38" s="21">
        <v>35</v>
      </c>
      <c r="N38" s="21">
        <v>35</v>
      </c>
      <c r="O38" s="21">
        <v>37</v>
      </c>
      <c r="P38" s="21">
        <v>45</v>
      </c>
      <c r="Q38" s="22">
        <v>1</v>
      </c>
      <c r="R38" s="22">
        <v>1</v>
      </c>
      <c r="S38" s="22">
        <v>1</v>
      </c>
      <c r="T38" s="22">
        <v>1</v>
      </c>
      <c r="U38" s="22">
        <v>1</v>
      </c>
      <c r="V38" s="21"/>
      <c r="W38" s="21">
        <v>37</v>
      </c>
      <c r="X38" s="21">
        <v>45</v>
      </c>
      <c r="Y38" s="21">
        <v>250</v>
      </c>
      <c r="Z38" s="21">
        <v>45</v>
      </c>
      <c r="AA38" s="21">
        <v>35</v>
      </c>
      <c r="AB38" s="22">
        <v>8.0807198392591941E-4</v>
      </c>
      <c r="AC38" s="22">
        <v>9.8589080711594082E-4</v>
      </c>
      <c r="AD38" s="22">
        <v>4.7003083402271193E-3</v>
      </c>
      <c r="AE38" s="22">
        <v>8.4744166776520218E-4</v>
      </c>
      <c r="AF38" s="22">
        <v>6.9565908729527751E-4</v>
      </c>
      <c r="AG38" s="21">
        <v>37</v>
      </c>
      <c r="AH38" s="21">
        <v>45</v>
      </c>
      <c r="AI38" s="21">
        <v>250</v>
      </c>
      <c r="AJ38" s="21">
        <v>45</v>
      </c>
      <c r="AK38" s="21">
        <v>35</v>
      </c>
      <c r="AL38" s="22">
        <v>1</v>
      </c>
      <c r="AM38" s="22">
        <v>1</v>
      </c>
      <c r="AN38" s="22">
        <v>1</v>
      </c>
      <c r="AO38" s="22">
        <v>1</v>
      </c>
      <c r="AP38" s="22">
        <v>1</v>
      </c>
    </row>
    <row r="39" spans="1:42" x14ac:dyDescent="0.25">
      <c r="A39" s="20" t="s">
        <v>57</v>
      </c>
      <c r="B39" s="21">
        <v>488</v>
      </c>
      <c r="C39" s="21">
        <v>485</v>
      </c>
      <c r="D39" s="21">
        <v>514</v>
      </c>
      <c r="E39" s="21">
        <v>527</v>
      </c>
      <c r="F39" s="21">
        <v>531</v>
      </c>
      <c r="G39" s="22">
        <v>9.3202696766553975E-3</v>
      </c>
      <c r="H39" s="22">
        <v>9.6398473525202734E-3</v>
      </c>
      <c r="I39" s="22">
        <v>9.8954623337119529E-3</v>
      </c>
      <c r="J39" s="22">
        <v>9.9101132047087134E-3</v>
      </c>
      <c r="K39" s="22">
        <v>8.1616968951736864E-3</v>
      </c>
      <c r="L39" s="21">
        <v>488</v>
      </c>
      <c r="M39" s="21">
        <v>485</v>
      </c>
      <c r="N39" s="21">
        <v>514</v>
      </c>
      <c r="O39" s="21">
        <v>527</v>
      </c>
      <c r="P39" s="21">
        <v>531</v>
      </c>
      <c r="Q39" s="22">
        <v>1</v>
      </c>
      <c r="R39" s="22">
        <v>1</v>
      </c>
      <c r="S39" s="22">
        <v>1</v>
      </c>
      <c r="T39" s="22">
        <v>1</v>
      </c>
      <c r="U39" s="22">
        <v>1</v>
      </c>
      <c r="V39" s="21"/>
      <c r="W39" s="21">
        <v>757</v>
      </c>
      <c r="X39" s="21">
        <v>1010</v>
      </c>
      <c r="Y39" s="21">
        <v>1071</v>
      </c>
      <c r="Z39" s="21">
        <v>851</v>
      </c>
      <c r="AA39" s="21">
        <v>485</v>
      </c>
      <c r="AB39" s="22">
        <v>1.6532715995457324E-2</v>
      </c>
      <c r="AC39" s="22">
        <v>2.2127771448602226E-2</v>
      </c>
      <c r="AD39" s="22">
        <v>2.0136120929532979E-2</v>
      </c>
      <c r="AE39" s="22">
        <v>1.6026063539293044E-2</v>
      </c>
      <c r="AF39" s="22">
        <v>9.6398473525202734E-3</v>
      </c>
      <c r="AG39" s="21">
        <v>757</v>
      </c>
      <c r="AH39" s="21">
        <v>1010</v>
      </c>
      <c r="AI39" s="21">
        <v>1071</v>
      </c>
      <c r="AJ39" s="21">
        <v>851</v>
      </c>
      <c r="AK39" s="21">
        <v>485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</row>
    <row r="40" spans="1:42" x14ac:dyDescent="0.25">
      <c r="A40" s="20" t="s">
        <v>94</v>
      </c>
      <c r="B40" s="21">
        <v>0</v>
      </c>
      <c r="C40" s="21">
        <v>0</v>
      </c>
      <c r="D40" s="21">
        <v>0</v>
      </c>
      <c r="E40" s="21">
        <v>3</v>
      </c>
      <c r="F40" s="21">
        <v>3</v>
      </c>
      <c r="G40" s="22">
        <v>0</v>
      </c>
      <c r="H40" s="22">
        <v>0</v>
      </c>
      <c r="I40" s="22">
        <v>0</v>
      </c>
      <c r="J40" s="22">
        <v>5.6414306668171047E-5</v>
      </c>
      <c r="K40" s="22">
        <v>4.6111281893636641E-5</v>
      </c>
      <c r="L40" s="21">
        <v>0</v>
      </c>
      <c r="M40" s="21">
        <v>0</v>
      </c>
      <c r="N40" s="21">
        <v>0</v>
      </c>
      <c r="O40" s="21">
        <v>3</v>
      </c>
      <c r="P40" s="21">
        <v>3</v>
      </c>
      <c r="Q40" s="22">
        <v>0</v>
      </c>
      <c r="R40" s="22">
        <v>0</v>
      </c>
      <c r="S40" s="22">
        <v>0</v>
      </c>
      <c r="T40" s="22">
        <v>1</v>
      </c>
      <c r="U40" s="22">
        <v>1</v>
      </c>
      <c r="V40" s="21"/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</row>
    <row r="41" spans="1:42" x14ac:dyDescent="0.25">
      <c r="A41" s="20" t="s">
        <v>58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1"/>
      <c r="W41" s="21">
        <v>12</v>
      </c>
      <c r="X41" s="21">
        <v>2</v>
      </c>
      <c r="Y41" s="21">
        <v>19</v>
      </c>
      <c r="Z41" s="21">
        <v>0</v>
      </c>
      <c r="AA41" s="21">
        <v>0</v>
      </c>
      <c r="AB41" s="22">
        <v>2.6207740019219009E-4</v>
      </c>
      <c r="AC41" s="22">
        <v>4.3817369205152925E-5</v>
      </c>
      <c r="AD41" s="22">
        <v>3.5722343385726104E-4</v>
      </c>
      <c r="AE41" s="22">
        <v>0</v>
      </c>
      <c r="AF41" s="22">
        <v>0</v>
      </c>
      <c r="AG41" s="21">
        <v>12</v>
      </c>
      <c r="AH41" s="21">
        <v>2</v>
      </c>
      <c r="AI41" s="21">
        <v>19</v>
      </c>
      <c r="AJ41" s="21">
        <v>0</v>
      </c>
      <c r="AK41" s="21">
        <v>0</v>
      </c>
      <c r="AL41" s="22">
        <v>1</v>
      </c>
      <c r="AM41" s="22">
        <v>1</v>
      </c>
      <c r="AN41" s="22">
        <v>1</v>
      </c>
      <c r="AO41" s="22">
        <v>0</v>
      </c>
      <c r="AP41" s="22">
        <v>0</v>
      </c>
    </row>
    <row r="42" spans="1:42" x14ac:dyDescent="0.25">
      <c r="A42" s="20" t="s">
        <v>95</v>
      </c>
      <c r="B42" s="21">
        <v>26</v>
      </c>
      <c r="C42" s="21">
        <v>26</v>
      </c>
      <c r="D42" s="21">
        <v>93</v>
      </c>
      <c r="E42" s="21">
        <v>1119</v>
      </c>
      <c r="F42" s="21">
        <v>5307</v>
      </c>
      <c r="G42" s="22">
        <v>4.9657174506770568E-4</v>
      </c>
      <c r="H42" s="22">
        <v>5.167753219907776E-4</v>
      </c>
      <c r="I42" s="22">
        <v>1.790424118745548E-3</v>
      </c>
      <c r="J42" s="22">
        <v>2.1042536387227802E-2</v>
      </c>
      <c r="K42" s="22">
        <v>8.1570857669843219E-2</v>
      </c>
      <c r="L42" s="21">
        <v>26</v>
      </c>
      <c r="M42" s="21">
        <v>26</v>
      </c>
      <c r="N42" s="21">
        <v>93</v>
      </c>
      <c r="O42" s="21">
        <v>1119</v>
      </c>
      <c r="P42" s="21">
        <v>5307</v>
      </c>
      <c r="Q42" s="22">
        <v>1</v>
      </c>
      <c r="R42" s="22">
        <v>1</v>
      </c>
      <c r="S42" s="22">
        <v>1</v>
      </c>
      <c r="T42" s="22">
        <v>1</v>
      </c>
      <c r="U42" s="22">
        <v>1</v>
      </c>
      <c r="V42" s="21"/>
      <c r="W42" s="21">
        <v>0</v>
      </c>
      <c r="X42" s="21">
        <v>0</v>
      </c>
      <c r="Y42" s="21">
        <v>0</v>
      </c>
      <c r="Z42" s="21">
        <v>0</v>
      </c>
      <c r="AA42" s="21">
        <v>26</v>
      </c>
      <c r="AB42" s="22">
        <v>0</v>
      </c>
      <c r="AC42" s="22">
        <v>0</v>
      </c>
      <c r="AD42" s="22">
        <v>0</v>
      </c>
      <c r="AE42" s="22">
        <v>0</v>
      </c>
      <c r="AF42" s="22">
        <v>5.167753219907776E-4</v>
      </c>
      <c r="AG42" s="21">
        <v>0</v>
      </c>
      <c r="AH42" s="21">
        <v>0</v>
      </c>
      <c r="AI42" s="21">
        <v>0</v>
      </c>
      <c r="AJ42" s="21">
        <v>0</v>
      </c>
      <c r="AK42" s="21">
        <v>26</v>
      </c>
      <c r="AL42" s="22">
        <v>0</v>
      </c>
      <c r="AM42" s="22">
        <v>0</v>
      </c>
      <c r="AN42" s="22">
        <v>0</v>
      </c>
      <c r="AO42" s="22">
        <v>0</v>
      </c>
      <c r="AP42" s="22">
        <v>1</v>
      </c>
    </row>
    <row r="43" spans="1:42" x14ac:dyDescent="0.25">
      <c r="A43" s="20" t="s">
        <v>60</v>
      </c>
      <c r="B43" s="21">
        <v>472</v>
      </c>
      <c r="C43" s="21">
        <v>461</v>
      </c>
      <c r="D43" s="21">
        <v>453</v>
      </c>
      <c r="E43" s="21">
        <v>501</v>
      </c>
      <c r="F43" s="21">
        <v>378</v>
      </c>
      <c r="G43" s="22">
        <v>9.0146870643060418E-3</v>
      </c>
      <c r="H43" s="22">
        <v>9.1628239783749406E-3</v>
      </c>
      <c r="I43" s="22">
        <v>8.7210981267928298E-3</v>
      </c>
      <c r="J43" s="22">
        <v>9.4211892135845649E-3</v>
      </c>
      <c r="K43" s="22">
        <v>5.8100215185982167E-3</v>
      </c>
      <c r="L43" s="21">
        <v>472</v>
      </c>
      <c r="M43" s="21">
        <v>461</v>
      </c>
      <c r="N43" s="21">
        <v>453</v>
      </c>
      <c r="O43" s="21">
        <v>501</v>
      </c>
      <c r="P43" s="21">
        <v>377</v>
      </c>
      <c r="Q43" s="22">
        <v>1</v>
      </c>
      <c r="R43" s="22">
        <v>1</v>
      </c>
      <c r="S43" s="22">
        <v>1</v>
      </c>
      <c r="T43" s="22">
        <v>1</v>
      </c>
      <c r="U43" s="22">
        <v>0.99735449735449733</v>
      </c>
      <c r="V43" s="21"/>
      <c r="W43" s="21">
        <v>301</v>
      </c>
      <c r="X43" s="21">
        <v>374</v>
      </c>
      <c r="Y43" s="21">
        <v>377</v>
      </c>
      <c r="Z43" s="21">
        <v>263</v>
      </c>
      <c r="AA43" s="21">
        <v>461</v>
      </c>
      <c r="AB43" s="22">
        <v>6.5737747881541011E-3</v>
      </c>
      <c r="AC43" s="22">
        <v>8.1938480413635967E-3</v>
      </c>
      <c r="AD43" s="22">
        <v>7.088064977062495E-3</v>
      </c>
      <c r="AE43" s="22">
        <v>4.9528257471610701E-3</v>
      </c>
      <c r="AF43" s="22">
        <v>9.1628239783749406E-3</v>
      </c>
      <c r="AG43" s="21">
        <v>301</v>
      </c>
      <c r="AH43" s="21">
        <v>374</v>
      </c>
      <c r="AI43" s="21">
        <v>377</v>
      </c>
      <c r="AJ43" s="21">
        <v>263</v>
      </c>
      <c r="AK43" s="21">
        <v>461</v>
      </c>
      <c r="AL43" s="22">
        <v>1</v>
      </c>
      <c r="AM43" s="22">
        <v>1</v>
      </c>
      <c r="AN43" s="22">
        <v>1</v>
      </c>
      <c r="AO43" s="22">
        <v>1</v>
      </c>
      <c r="AP43" s="22">
        <v>1</v>
      </c>
    </row>
    <row r="44" spans="1:42" x14ac:dyDescent="0.25">
      <c r="A44" s="20" t="s">
        <v>96</v>
      </c>
      <c r="B44" s="21">
        <v>1752</v>
      </c>
      <c r="C44" s="21">
        <v>1773</v>
      </c>
      <c r="D44" s="21">
        <v>1773</v>
      </c>
      <c r="E44" s="21">
        <v>1776</v>
      </c>
      <c r="F44" s="21">
        <v>1808</v>
      </c>
      <c r="G44" s="22">
        <v>3.3461296052254626E-2</v>
      </c>
      <c r="H44" s="22">
        <v>3.5240101764986487E-2</v>
      </c>
      <c r="I44" s="22">
        <v>3.4133569489632865E-2</v>
      </c>
      <c r="J44" s="22">
        <v>3.3397269547557264E-2</v>
      </c>
      <c r="K44" s="22">
        <v>2.7789732554565016E-2</v>
      </c>
      <c r="L44" s="21">
        <v>1752</v>
      </c>
      <c r="M44" s="21">
        <v>1773</v>
      </c>
      <c r="N44" s="21">
        <v>1773</v>
      </c>
      <c r="O44" s="21">
        <v>1776</v>
      </c>
      <c r="P44" s="21">
        <v>1808</v>
      </c>
      <c r="Q44" s="22">
        <v>1</v>
      </c>
      <c r="R44" s="22">
        <v>1</v>
      </c>
      <c r="S44" s="22">
        <v>1</v>
      </c>
      <c r="T44" s="22">
        <v>1</v>
      </c>
      <c r="U44" s="22">
        <v>1</v>
      </c>
      <c r="V44" s="21"/>
      <c r="W44" s="21">
        <v>61</v>
      </c>
      <c r="X44" s="21">
        <v>93</v>
      </c>
      <c r="Y44" s="21">
        <v>326</v>
      </c>
      <c r="Z44" s="21">
        <v>1106</v>
      </c>
      <c r="AA44" s="21">
        <v>1773</v>
      </c>
      <c r="AB44" s="22">
        <v>1.3322267843102996E-3</v>
      </c>
      <c r="AC44" s="22">
        <v>2.0375076680396111E-3</v>
      </c>
      <c r="AD44" s="22">
        <v>6.129202075656163E-3</v>
      </c>
      <c r="AE44" s="22">
        <v>2.0828232989962524E-2</v>
      </c>
      <c r="AF44" s="22">
        <v>3.5240101764986487E-2</v>
      </c>
      <c r="AG44" s="21">
        <v>61</v>
      </c>
      <c r="AH44" s="21">
        <v>93</v>
      </c>
      <c r="AI44" s="21">
        <v>326</v>
      </c>
      <c r="AJ44" s="21">
        <v>1106</v>
      </c>
      <c r="AK44" s="21">
        <v>1773</v>
      </c>
      <c r="AL44" s="22">
        <v>1</v>
      </c>
      <c r="AM44" s="22">
        <v>1</v>
      </c>
      <c r="AN44" s="22">
        <v>1</v>
      </c>
      <c r="AO44" s="22">
        <v>1</v>
      </c>
      <c r="AP44" s="22">
        <v>1</v>
      </c>
    </row>
    <row r="45" spans="1:42" x14ac:dyDescent="0.25">
      <c r="A45" s="20" t="s">
        <v>62</v>
      </c>
      <c r="B45" s="21">
        <v>0</v>
      </c>
      <c r="C45" s="21">
        <v>0</v>
      </c>
      <c r="D45" s="21">
        <v>0</v>
      </c>
      <c r="E45" s="21">
        <v>0</v>
      </c>
      <c r="F45" s="21">
        <v>132</v>
      </c>
      <c r="G45" s="22">
        <v>0</v>
      </c>
      <c r="H45" s="22">
        <v>0</v>
      </c>
      <c r="I45" s="22">
        <v>0</v>
      </c>
      <c r="J45" s="22">
        <v>0</v>
      </c>
      <c r="K45" s="22">
        <v>2.0288964033200125E-3</v>
      </c>
      <c r="L45" s="21">
        <v>0</v>
      </c>
      <c r="M45" s="21">
        <v>0</v>
      </c>
      <c r="N45" s="21">
        <v>0</v>
      </c>
      <c r="O45" s="21">
        <v>0</v>
      </c>
      <c r="P45" s="21">
        <v>68</v>
      </c>
      <c r="Q45" s="22">
        <v>0</v>
      </c>
      <c r="R45" s="22">
        <v>0</v>
      </c>
      <c r="S45" s="22">
        <v>0</v>
      </c>
      <c r="T45" s="22">
        <v>0</v>
      </c>
      <c r="U45" s="22">
        <v>0.51515151515151514</v>
      </c>
      <c r="V45" s="21"/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</row>
    <row r="46" spans="1:42" x14ac:dyDescent="0.25">
      <c r="A46" s="20" t="s">
        <v>63</v>
      </c>
      <c r="B46" s="21">
        <v>127</v>
      </c>
      <c r="C46" s="21">
        <v>127</v>
      </c>
      <c r="D46" s="21">
        <v>590</v>
      </c>
      <c r="E46" s="21">
        <v>449</v>
      </c>
      <c r="F46" s="21">
        <v>514</v>
      </c>
      <c r="G46" s="22">
        <v>2.4255619855230236E-3</v>
      </c>
      <c r="H46" s="22">
        <v>2.5242486881857213E-3</v>
      </c>
      <c r="I46" s="22">
        <v>1.1358604624299714E-2</v>
      </c>
      <c r="J46" s="22">
        <v>8.4433412313362662E-3</v>
      </c>
      <c r="K46" s="22">
        <v>7.900399631109745E-3</v>
      </c>
      <c r="L46" s="21">
        <v>127</v>
      </c>
      <c r="M46" s="21">
        <v>127</v>
      </c>
      <c r="N46" s="21">
        <v>590</v>
      </c>
      <c r="O46" s="21">
        <v>449</v>
      </c>
      <c r="P46" s="21">
        <v>514</v>
      </c>
      <c r="Q46" s="22">
        <v>1</v>
      </c>
      <c r="R46" s="22">
        <v>1</v>
      </c>
      <c r="S46" s="22">
        <v>1</v>
      </c>
      <c r="T46" s="22">
        <v>1</v>
      </c>
      <c r="U46" s="22">
        <v>1</v>
      </c>
      <c r="V46" s="21"/>
      <c r="W46" s="21">
        <v>16</v>
      </c>
      <c r="X46" s="21">
        <v>55</v>
      </c>
      <c r="Y46" s="21">
        <v>89</v>
      </c>
      <c r="Z46" s="21">
        <v>136</v>
      </c>
      <c r="AA46" s="21">
        <v>127</v>
      </c>
      <c r="AB46" s="22">
        <v>3.494365335895868E-4</v>
      </c>
      <c r="AC46" s="22">
        <v>1.2049776531417053E-3</v>
      </c>
      <c r="AD46" s="22">
        <v>1.6733097691208542E-3</v>
      </c>
      <c r="AE46" s="22">
        <v>2.5611570403570555E-3</v>
      </c>
      <c r="AF46" s="22">
        <v>2.5242486881857213E-3</v>
      </c>
      <c r="AG46" s="21">
        <v>16</v>
      </c>
      <c r="AH46" s="21">
        <v>55</v>
      </c>
      <c r="AI46" s="21">
        <v>89</v>
      </c>
      <c r="AJ46" s="21">
        <v>136</v>
      </c>
      <c r="AK46" s="21">
        <v>127</v>
      </c>
      <c r="AL46" s="22">
        <v>1</v>
      </c>
      <c r="AM46" s="22">
        <v>1</v>
      </c>
      <c r="AN46" s="22">
        <v>1</v>
      </c>
      <c r="AO46" s="22">
        <v>1</v>
      </c>
      <c r="AP46" s="22">
        <v>1</v>
      </c>
    </row>
    <row r="47" spans="1:42" x14ac:dyDescent="0.25">
      <c r="A47" s="20" t="s">
        <v>65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1"/>
      <c r="W47" s="21">
        <v>0</v>
      </c>
      <c r="X47" s="21">
        <v>0</v>
      </c>
      <c r="Y47" s="21">
        <v>6</v>
      </c>
      <c r="Z47" s="21">
        <v>0</v>
      </c>
      <c r="AA47" s="21">
        <v>0</v>
      </c>
      <c r="AB47" s="22">
        <v>0</v>
      </c>
      <c r="AC47" s="22">
        <v>0</v>
      </c>
      <c r="AD47" s="22">
        <v>1.1280740016545086E-4</v>
      </c>
      <c r="AE47" s="22">
        <v>0</v>
      </c>
      <c r="AF47" s="22">
        <v>0</v>
      </c>
      <c r="AG47" s="21">
        <v>0</v>
      </c>
      <c r="AH47" s="21">
        <v>0</v>
      </c>
      <c r="AI47" s="21">
        <v>6</v>
      </c>
      <c r="AJ47" s="21">
        <v>0</v>
      </c>
      <c r="AK47" s="21">
        <v>0</v>
      </c>
      <c r="AL47" s="22">
        <v>0</v>
      </c>
      <c r="AM47" s="22">
        <v>0</v>
      </c>
      <c r="AN47" s="22">
        <v>1</v>
      </c>
      <c r="AO47" s="22">
        <v>0</v>
      </c>
      <c r="AP47" s="22">
        <v>0</v>
      </c>
    </row>
    <row r="48" spans="1:42" x14ac:dyDescent="0.25">
      <c r="A48" s="20" t="s">
        <v>66</v>
      </c>
      <c r="B48" s="21">
        <v>46</v>
      </c>
      <c r="C48" s="21">
        <v>39</v>
      </c>
      <c r="D48" s="21">
        <v>33</v>
      </c>
      <c r="E48" s="21">
        <v>104</v>
      </c>
      <c r="F48" s="21">
        <v>84</v>
      </c>
      <c r="G48" s="22">
        <v>8.7855001050440233E-4</v>
      </c>
      <c r="H48" s="22">
        <v>7.7516298298616634E-4</v>
      </c>
      <c r="I48" s="22">
        <v>6.3531178407100089E-4</v>
      </c>
      <c r="J48" s="22">
        <v>1.9556959644965962E-3</v>
      </c>
      <c r="K48" s="22">
        <v>1.291115893021826E-3</v>
      </c>
      <c r="L48" s="21">
        <v>46</v>
      </c>
      <c r="M48" s="21">
        <v>39</v>
      </c>
      <c r="N48" s="21">
        <v>33</v>
      </c>
      <c r="O48" s="21">
        <v>104</v>
      </c>
      <c r="P48" s="21">
        <v>84</v>
      </c>
      <c r="Q48" s="22">
        <v>1</v>
      </c>
      <c r="R48" s="22">
        <v>1</v>
      </c>
      <c r="S48" s="22">
        <v>1</v>
      </c>
      <c r="T48" s="22">
        <v>1</v>
      </c>
      <c r="U48" s="22">
        <v>1</v>
      </c>
      <c r="V48" s="21"/>
      <c r="W48" s="21">
        <v>1</v>
      </c>
      <c r="X48" s="21">
        <v>22</v>
      </c>
      <c r="Y48" s="21">
        <v>33</v>
      </c>
      <c r="Z48" s="21">
        <v>24</v>
      </c>
      <c r="AA48" s="21">
        <v>39</v>
      </c>
      <c r="AB48" s="22">
        <v>2.1839783349349175E-5</v>
      </c>
      <c r="AC48" s="22">
        <v>4.8199106125668215E-4</v>
      </c>
      <c r="AD48" s="22">
        <v>6.2044070090997968E-4</v>
      </c>
      <c r="AE48" s="22">
        <v>4.5196888947477451E-4</v>
      </c>
      <c r="AF48" s="22">
        <v>7.7516298298616634E-4</v>
      </c>
      <c r="AG48" s="21">
        <v>1</v>
      </c>
      <c r="AH48" s="21">
        <v>22</v>
      </c>
      <c r="AI48" s="21">
        <v>33</v>
      </c>
      <c r="AJ48" s="21">
        <v>24</v>
      </c>
      <c r="AK48" s="21">
        <v>39</v>
      </c>
      <c r="AL48" s="22">
        <v>1</v>
      </c>
      <c r="AM48" s="22">
        <v>1</v>
      </c>
      <c r="AN48" s="22">
        <v>1</v>
      </c>
      <c r="AO48" s="22">
        <v>1</v>
      </c>
      <c r="AP48" s="22">
        <v>1</v>
      </c>
    </row>
    <row r="49" spans="1:42" x14ac:dyDescent="0.25">
      <c r="A49" s="1" t="s">
        <v>67</v>
      </c>
      <c r="B49" s="23">
        <v>52359</v>
      </c>
      <c r="C49" s="23">
        <v>50312</v>
      </c>
      <c r="D49" s="23">
        <v>51943</v>
      </c>
      <c r="E49" s="23">
        <v>53178</v>
      </c>
      <c r="F49" s="23">
        <v>65060</v>
      </c>
      <c r="G49" s="24">
        <v>1</v>
      </c>
      <c r="H49" s="24">
        <v>1</v>
      </c>
      <c r="I49" s="24">
        <v>1</v>
      </c>
      <c r="J49" s="24">
        <v>1</v>
      </c>
      <c r="K49" s="24">
        <v>1</v>
      </c>
      <c r="L49" s="23">
        <v>52359</v>
      </c>
      <c r="M49" s="23">
        <v>50312</v>
      </c>
      <c r="N49" s="23">
        <v>51943</v>
      </c>
      <c r="O49" s="23">
        <v>53178</v>
      </c>
      <c r="P49" s="23">
        <v>58786</v>
      </c>
      <c r="Q49" s="24">
        <v>1</v>
      </c>
      <c r="R49" s="24">
        <v>1</v>
      </c>
      <c r="S49" s="24">
        <v>1</v>
      </c>
      <c r="T49" s="24">
        <v>1</v>
      </c>
      <c r="U49" s="24">
        <v>0.9035659391331079</v>
      </c>
      <c r="V49" s="23"/>
      <c r="W49" s="23">
        <v>45788</v>
      </c>
      <c r="X49" s="23">
        <v>45644</v>
      </c>
      <c r="Y49" s="23">
        <v>53188</v>
      </c>
      <c r="Z49" s="23">
        <v>53101</v>
      </c>
      <c r="AA49" s="23">
        <v>50312</v>
      </c>
      <c r="AB49" s="24">
        <v>1</v>
      </c>
      <c r="AC49" s="24">
        <v>1</v>
      </c>
      <c r="AD49" s="24">
        <v>1</v>
      </c>
      <c r="AE49" s="24">
        <v>1</v>
      </c>
      <c r="AF49" s="24">
        <v>1</v>
      </c>
      <c r="AG49" s="23">
        <v>45788</v>
      </c>
      <c r="AH49" s="23">
        <v>45644</v>
      </c>
      <c r="AI49" s="23">
        <v>53188</v>
      </c>
      <c r="AJ49" s="23">
        <v>53101</v>
      </c>
      <c r="AK49" s="23">
        <v>50312</v>
      </c>
      <c r="AL49" s="24">
        <v>1</v>
      </c>
      <c r="AM49" s="24">
        <v>1</v>
      </c>
      <c r="AN49" s="24">
        <v>1</v>
      </c>
      <c r="AO49" s="24">
        <v>1</v>
      </c>
      <c r="AP49" s="24">
        <v>1</v>
      </c>
    </row>
    <row r="50" spans="1:42" x14ac:dyDescent="0.25">
      <c r="A50" s="25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</row>
    <row r="51" spans="1:42" x14ac:dyDescent="0.25">
      <c r="A51" s="1" t="s">
        <v>68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</row>
    <row r="52" spans="1:42" x14ac:dyDescent="0.25">
      <c r="A52" s="26" t="s">
        <v>69</v>
      </c>
      <c r="B52" s="27" t="s">
        <v>12</v>
      </c>
      <c r="C52" s="27" t="s">
        <v>13</v>
      </c>
      <c r="D52" s="27" t="s">
        <v>14</v>
      </c>
      <c r="E52" s="27" t="s">
        <v>15</v>
      </c>
      <c r="F52" s="27" t="s">
        <v>16</v>
      </c>
      <c r="G52" s="27" t="s">
        <v>12</v>
      </c>
      <c r="H52" s="27" t="s">
        <v>13</v>
      </c>
      <c r="I52" s="27" t="s">
        <v>14</v>
      </c>
      <c r="J52" s="27" t="s">
        <v>15</v>
      </c>
      <c r="K52" s="27" t="s">
        <v>16</v>
      </c>
      <c r="L52" s="27" t="s">
        <v>12</v>
      </c>
      <c r="M52" s="27" t="s">
        <v>13</v>
      </c>
      <c r="N52" s="27" t="s">
        <v>14</v>
      </c>
      <c r="O52" s="27" t="s">
        <v>15</v>
      </c>
      <c r="P52" s="27" t="s">
        <v>16</v>
      </c>
      <c r="Q52" s="27" t="s">
        <v>12</v>
      </c>
      <c r="R52" s="27" t="s">
        <v>13</v>
      </c>
      <c r="S52" s="27" t="s">
        <v>14</v>
      </c>
      <c r="T52" s="27" t="s">
        <v>15</v>
      </c>
      <c r="U52" s="27" t="s">
        <v>16</v>
      </c>
      <c r="V52" s="27"/>
      <c r="W52" s="27" t="s">
        <v>17</v>
      </c>
      <c r="X52" s="27" t="s">
        <v>18</v>
      </c>
      <c r="Y52" s="27" t="s">
        <v>19</v>
      </c>
      <c r="Z52" s="27" t="s">
        <v>20</v>
      </c>
      <c r="AA52" s="27" t="s">
        <v>21</v>
      </c>
      <c r="AB52" s="27" t="s">
        <v>17</v>
      </c>
      <c r="AC52" s="27" t="s">
        <v>18</v>
      </c>
      <c r="AD52" s="27" t="s">
        <v>19</v>
      </c>
      <c r="AE52" s="27" t="s">
        <v>20</v>
      </c>
      <c r="AF52" s="27" t="s">
        <v>21</v>
      </c>
      <c r="AG52" s="27" t="s">
        <v>17</v>
      </c>
      <c r="AH52" s="27" t="s">
        <v>18</v>
      </c>
      <c r="AI52" s="27" t="s">
        <v>19</v>
      </c>
      <c r="AJ52" s="27" t="s">
        <v>20</v>
      </c>
      <c r="AK52" s="27" t="s">
        <v>21</v>
      </c>
      <c r="AL52" s="27" t="s">
        <v>17</v>
      </c>
      <c r="AM52" s="27" t="s">
        <v>18</v>
      </c>
      <c r="AN52" s="27" t="s">
        <v>19</v>
      </c>
      <c r="AO52" s="27" t="s">
        <v>20</v>
      </c>
      <c r="AP52" s="27" t="s">
        <v>21</v>
      </c>
    </row>
    <row r="53" spans="1:42" x14ac:dyDescent="0.25">
      <c r="A53" s="20" t="s">
        <v>23</v>
      </c>
      <c r="B53" s="21">
        <v>1362</v>
      </c>
      <c r="C53" s="21">
        <v>1352</v>
      </c>
      <c r="D53" s="21">
        <v>1358</v>
      </c>
      <c r="E53" s="21">
        <v>1355</v>
      </c>
      <c r="F53" s="21">
        <v>1353</v>
      </c>
      <c r="G53" s="22">
        <v>0.72446808510638294</v>
      </c>
      <c r="H53" s="22">
        <v>0.72299465240641714</v>
      </c>
      <c r="I53" s="22">
        <v>0.71775898520084569</v>
      </c>
      <c r="J53" s="22">
        <v>0.71579503433703118</v>
      </c>
      <c r="K53" s="22">
        <v>0.67819548872180446</v>
      </c>
      <c r="L53" s="21">
        <v>1362</v>
      </c>
      <c r="M53" s="21">
        <v>1352</v>
      </c>
      <c r="N53" s="21">
        <v>1358</v>
      </c>
      <c r="O53" s="21">
        <v>1355</v>
      </c>
      <c r="P53" s="21">
        <v>1353</v>
      </c>
      <c r="Q53" s="22">
        <v>1</v>
      </c>
      <c r="R53" s="22">
        <v>1</v>
      </c>
      <c r="S53" s="22">
        <v>1</v>
      </c>
      <c r="T53" s="22">
        <v>1</v>
      </c>
      <c r="U53" s="22">
        <v>1</v>
      </c>
      <c r="V53" s="21"/>
      <c r="W53" s="21">
        <v>880</v>
      </c>
      <c r="X53" s="21">
        <v>1221</v>
      </c>
      <c r="Y53" s="21">
        <v>1153</v>
      </c>
      <c r="Z53" s="21">
        <v>1436</v>
      </c>
      <c r="AA53" s="21">
        <v>1352</v>
      </c>
      <c r="AB53" s="22">
        <v>0.61711079943899017</v>
      </c>
      <c r="AC53" s="22">
        <v>0.65645161290322585</v>
      </c>
      <c r="AD53" s="22">
        <v>0.65104460756634674</v>
      </c>
      <c r="AE53" s="22">
        <v>0.73340143003064351</v>
      </c>
      <c r="AF53" s="22">
        <v>0.72299465240641714</v>
      </c>
      <c r="AG53" s="21">
        <v>880</v>
      </c>
      <c r="AH53" s="21">
        <v>1221</v>
      </c>
      <c r="AI53" s="21">
        <v>1153</v>
      </c>
      <c r="AJ53" s="21">
        <v>1436</v>
      </c>
      <c r="AK53" s="21">
        <v>1352</v>
      </c>
      <c r="AL53" s="22">
        <v>1</v>
      </c>
      <c r="AM53" s="22">
        <v>1</v>
      </c>
      <c r="AN53" s="22">
        <v>1</v>
      </c>
      <c r="AO53" s="22">
        <v>1</v>
      </c>
      <c r="AP53" s="22">
        <v>1</v>
      </c>
    </row>
    <row r="54" spans="1:42" x14ac:dyDescent="0.25">
      <c r="A54" s="20" t="s">
        <v>24</v>
      </c>
      <c r="B54" s="21">
        <v>15</v>
      </c>
      <c r="C54" s="21">
        <v>12</v>
      </c>
      <c r="D54" s="21">
        <v>11</v>
      </c>
      <c r="E54" s="21">
        <v>9</v>
      </c>
      <c r="F54" s="21">
        <v>5</v>
      </c>
      <c r="G54" s="22">
        <v>7.9787234042553185E-3</v>
      </c>
      <c r="H54" s="22">
        <v>6.4171122994652408E-3</v>
      </c>
      <c r="I54" s="22">
        <v>5.8139534883720929E-3</v>
      </c>
      <c r="J54" s="22">
        <v>4.7543581616481777E-3</v>
      </c>
      <c r="K54" s="22">
        <v>2.5062656641604009E-3</v>
      </c>
      <c r="L54" s="21">
        <v>15</v>
      </c>
      <c r="M54" s="21">
        <v>12</v>
      </c>
      <c r="N54" s="21">
        <v>11</v>
      </c>
      <c r="O54" s="21">
        <v>9</v>
      </c>
      <c r="P54" s="21">
        <v>5</v>
      </c>
      <c r="Q54" s="22">
        <v>1</v>
      </c>
      <c r="R54" s="22">
        <v>1</v>
      </c>
      <c r="S54" s="22">
        <v>1</v>
      </c>
      <c r="T54" s="22">
        <v>1</v>
      </c>
      <c r="U54" s="22">
        <v>1</v>
      </c>
      <c r="V54" s="21"/>
      <c r="W54" s="21">
        <v>81</v>
      </c>
      <c r="X54" s="21">
        <v>71</v>
      </c>
      <c r="Y54" s="21">
        <v>54</v>
      </c>
      <c r="Z54" s="21">
        <v>13</v>
      </c>
      <c r="AA54" s="21">
        <v>12</v>
      </c>
      <c r="AB54" s="22">
        <v>5.6802244039270686E-2</v>
      </c>
      <c r="AC54" s="22">
        <v>3.8172043010752686E-2</v>
      </c>
      <c r="AD54" s="22">
        <v>3.0491247882552232E-2</v>
      </c>
      <c r="AE54" s="22">
        <v>6.6394279877425941E-3</v>
      </c>
      <c r="AF54" s="22">
        <v>6.4171122994652408E-3</v>
      </c>
      <c r="AG54" s="21">
        <v>81</v>
      </c>
      <c r="AH54" s="21">
        <v>71</v>
      </c>
      <c r="AI54" s="21">
        <v>54</v>
      </c>
      <c r="AJ54" s="21">
        <v>13</v>
      </c>
      <c r="AK54" s="21">
        <v>12</v>
      </c>
      <c r="AL54" s="22">
        <v>1</v>
      </c>
      <c r="AM54" s="22">
        <v>1</v>
      </c>
      <c r="AN54" s="22">
        <v>1</v>
      </c>
      <c r="AO54" s="22">
        <v>1</v>
      </c>
      <c r="AP54" s="22">
        <v>1</v>
      </c>
    </row>
    <row r="55" spans="1:42" x14ac:dyDescent="0.25">
      <c r="A55" s="20" t="s">
        <v>25</v>
      </c>
      <c r="B55" s="21">
        <v>5</v>
      </c>
      <c r="C55" s="21">
        <v>5</v>
      </c>
      <c r="D55" s="21">
        <v>5</v>
      </c>
      <c r="E55" s="21">
        <v>4</v>
      </c>
      <c r="F55" s="21">
        <v>0</v>
      </c>
      <c r="G55" s="22">
        <v>2.6595744680851063E-3</v>
      </c>
      <c r="H55" s="22">
        <v>2.6737967914438501E-3</v>
      </c>
      <c r="I55" s="22">
        <v>2.6427061310782241E-3</v>
      </c>
      <c r="J55" s="22">
        <v>2.1130480718436345E-3</v>
      </c>
      <c r="K55" s="22">
        <v>0</v>
      </c>
      <c r="L55" s="21">
        <v>5</v>
      </c>
      <c r="M55" s="21">
        <v>5</v>
      </c>
      <c r="N55" s="21">
        <v>5</v>
      </c>
      <c r="O55" s="21">
        <v>4</v>
      </c>
      <c r="P55" s="21">
        <v>0</v>
      </c>
      <c r="Q55" s="22">
        <v>1</v>
      </c>
      <c r="R55" s="22">
        <v>1</v>
      </c>
      <c r="S55" s="22">
        <v>1</v>
      </c>
      <c r="T55" s="22">
        <v>1</v>
      </c>
      <c r="U55" s="22">
        <v>0</v>
      </c>
      <c r="V55" s="21"/>
      <c r="W55" s="21">
        <v>2</v>
      </c>
      <c r="X55" s="21">
        <v>2</v>
      </c>
      <c r="Y55" s="21">
        <v>2</v>
      </c>
      <c r="Z55" s="21">
        <v>6</v>
      </c>
      <c r="AA55" s="21">
        <v>5</v>
      </c>
      <c r="AB55" s="22">
        <v>1.4025245441795231E-3</v>
      </c>
      <c r="AC55" s="22">
        <v>1.0752688172043011E-3</v>
      </c>
      <c r="AD55" s="22">
        <v>1.129305477131564E-3</v>
      </c>
      <c r="AE55" s="22">
        <v>3.0643513789581204E-3</v>
      </c>
      <c r="AF55" s="22">
        <v>2.6737967914438501E-3</v>
      </c>
      <c r="AG55" s="21">
        <v>2</v>
      </c>
      <c r="AH55" s="21">
        <v>2</v>
      </c>
      <c r="AI55" s="21">
        <v>2</v>
      </c>
      <c r="AJ55" s="21">
        <v>6</v>
      </c>
      <c r="AK55" s="21">
        <v>5</v>
      </c>
      <c r="AL55" s="22">
        <v>1</v>
      </c>
      <c r="AM55" s="22">
        <v>1</v>
      </c>
      <c r="AN55" s="22">
        <v>1</v>
      </c>
      <c r="AO55" s="22">
        <v>1</v>
      </c>
      <c r="AP55" s="22">
        <v>1</v>
      </c>
    </row>
    <row r="56" spans="1:42" x14ac:dyDescent="0.25">
      <c r="A56" s="20" t="s">
        <v>35</v>
      </c>
      <c r="B56" s="21">
        <v>123</v>
      </c>
      <c r="C56" s="21">
        <v>108</v>
      </c>
      <c r="D56" s="21">
        <v>124</v>
      </c>
      <c r="E56" s="21">
        <v>129</v>
      </c>
      <c r="F56" s="21">
        <v>239</v>
      </c>
      <c r="G56" s="22">
        <v>6.5425531914893614E-2</v>
      </c>
      <c r="H56" s="22">
        <v>5.7754010695187166E-2</v>
      </c>
      <c r="I56" s="22">
        <v>6.5539112050739964E-2</v>
      </c>
      <c r="J56" s="22">
        <v>6.8145800316957217E-2</v>
      </c>
      <c r="K56" s="22">
        <v>0.11979949874686717</v>
      </c>
      <c r="L56" s="21">
        <v>123</v>
      </c>
      <c r="M56" s="21">
        <v>108</v>
      </c>
      <c r="N56" s="21">
        <v>124</v>
      </c>
      <c r="O56" s="21">
        <v>129</v>
      </c>
      <c r="P56" s="21">
        <v>165</v>
      </c>
      <c r="Q56" s="22">
        <v>1</v>
      </c>
      <c r="R56" s="22">
        <v>1</v>
      </c>
      <c r="S56" s="22">
        <v>1</v>
      </c>
      <c r="T56" s="22">
        <v>1</v>
      </c>
      <c r="U56" s="22">
        <v>0.69037656903765687</v>
      </c>
      <c r="V56" s="21"/>
      <c r="W56" s="21">
        <v>103</v>
      </c>
      <c r="X56" s="21">
        <v>152</v>
      </c>
      <c r="Y56" s="21">
        <v>140</v>
      </c>
      <c r="Z56" s="21">
        <v>110</v>
      </c>
      <c r="AA56" s="21">
        <v>108</v>
      </c>
      <c r="AB56" s="22">
        <v>7.223001402524544E-2</v>
      </c>
      <c r="AC56" s="22">
        <v>8.1720430107526887E-2</v>
      </c>
      <c r="AD56" s="22">
        <v>7.9051383399209488E-2</v>
      </c>
      <c r="AE56" s="22">
        <v>5.6179775280898875E-2</v>
      </c>
      <c r="AF56" s="22">
        <v>5.7754010695187166E-2</v>
      </c>
      <c r="AG56" s="21">
        <v>103</v>
      </c>
      <c r="AH56" s="21">
        <v>152</v>
      </c>
      <c r="AI56" s="21">
        <v>140</v>
      </c>
      <c r="AJ56" s="21">
        <v>110</v>
      </c>
      <c r="AK56" s="21">
        <v>108</v>
      </c>
      <c r="AL56" s="22">
        <v>1</v>
      </c>
      <c r="AM56" s="22">
        <v>1</v>
      </c>
      <c r="AN56" s="22">
        <v>1</v>
      </c>
      <c r="AO56" s="22">
        <v>1</v>
      </c>
      <c r="AP56" s="22">
        <v>1</v>
      </c>
    </row>
    <row r="57" spans="1:42" x14ac:dyDescent="0.25">
      <c r="A57" s="20" t="s">
        <v>85</v>
      </c>
      <c r="B57" s="21">
        <v>49</v>
      </c>
      <c r="C57" s="21">
        <v>49</v>
      </c>
      <c r="D57" s="21">
        <v>50</v>
      </c>
      <c r="E57" s="21">
        <v>50</v>
      </c>
      <c r="F57" s="21">
        <v>59</v>
      </c>
      <c r="G57" s="22">
        <v>2.6063829787234042E-2</v>
      </c>
      <c r="H57" s="22">
        <v>2.6203208556149733E-2</v>
      </c>
      <c r="I57" s="22">
        <v>2.6427061310782242E-2</v>
      </c>
      <c r="J57" s="22">
        <v>2.6413100898045432E-2</v>
      </c>
      <c r="K57" s="22">
        <v>2.9573934837092732E-2</v>
      </c>
      <c r="L57" s="21">
        <v>49</v>
      </c>
      <c r="M57" s="21">
        <v>49</v>
      </c>
      <c r="N57" s="21">
        <v>50</v>
      </c>
      <c r="O57" s="21">
        <v>50</v>
      </c>
      <c r="P57" s="21">
        <v>58</v>
      </c>
      <c r="Q57" s="22">
        <v>1</v>
      </c>
      <c r="R57" s="22">
        <v>1</v>
      </c>
      <c r="S57" s="22">
        <v>1</v>
      </c>
      <c r="T57" s="22">
        <v>1</v>
      </c>
      <c r="U57" s="22">
        <v>0.98305084745762716</v>
      </c>
      <c r="V57" s="21"/>
      <c r="W57" s="21">
        <v>50</v>
      </c>
      <c r="X57" s="21">
        <v>117</v>
      </c>
      <c r="Y57" s="21">
        <v>118</v>
      </c>
      <c r="Z57" s="21">
        <v>46</v>
      </c>
      <c r="AA57" s="21">
        <v>49</v>
      </c>
      <c r="AB57" s="22">
        <v>3.5063113604488078E-2</v>
      </c>
      <c r="AC57" s="22">
        <v>6.2903225806451607E-2</v>
      </c>
      <c r="AD57" s="22">
        <v>6.6629023150762287E-2</v>
      </c>
      <c r="AE57" s="22">
        <v>2.3493360572012258E-2</v>
      </c>
      <c r="AF57" s="22">
        <v>2.6203208556149733E-2</v>
      </c>
      <c r="AG57" s="21">
        <v>50</v>
      </c>
      <c r="AH57" s="21">
        <v>117</v>
      </c>
      <c r="AI57" s="21">
        <v>118</v>
      </c>
      <c r="AJ57" s="21">
        <v>46</v>
      </c>
      <c r="AK57" s="21">
        <v>49</v>
      </c>
      <c r="AL57" s="22">
        <v>1</v>
      </c>
      <c r="AM57" s="22">
        <v>1</v>
      </c>
      <c r="AN57" s="22">
        <v>1</v>
      </c>
      <c r="AO57" s="22">
        <v>1</v>
      </c>
      <c r="AP57" s="22">
        <v>1</v>
      </c>
    </row>
    <row r="58" spans="1:42" x14ac:dyDescent="0.25">
      <c r="A58" s="20" t="s">
        <v>40</v>
      </c>
      <c r="B58" s="21">
        <v>0</v>
      </c>
      <c r="C58" s="21">
        <v>0</v>
      </c>
      <c r="D58" s="21">
        <v>0</v>
      </c>
      <c r="E58" s="21">
        <v>0</v>
      </c>
      <c r="F58" s="21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1"/>
      <c r="W58" s="21">
        <v>0</v>
      </c>
      <c r="X58" s="21">
        <v>3</v>
      </c>
      <c r="Y58" s="21">
        <v>0</v>
      </c>
      <c r="Z58" s="21">
        <v>0</v>
      </c>
      <c r="AA58" s="21">
        <v>0</v>
      </c>
      <c r="AB58" s="22">
        <v>0</v>
      </c>
      <c r="AC58" s="22">
        <v>1.6129032258064516E-3</v>
      </c>
      <c r="AD58" s="22">
        <v>0</v>
      </c>
      <c r="AE58" s="22">
        <v>0</v>
      </c>
      <c r="AF58" s="22">
        <v>0</v>
      </c>
      <c r="AG58" s="21">
        <v>0</v>
      </c>
      <c r="AH58" s="21">
        <v>3</v>
      </c>
      <c r="AI58" s="21">
        <v>0</v>
      </c>
      <c r="AJ58" s="21">
        <v>0</v>
      </c>
      <c r="AK58" s="21">
        <v>0</v>
      </c>
      <c r="AL58" s="22">
        <v>0</v>
      </c>
      <c r="AM58" s="22">
        <v>1</v>
      </c>
      <c r="AN58" s="22">
        <v>0</v>
      </c>
      <c r="AO58" s="22">
        <v>0</v>
      </c>
      <c r="AP58" s="22">
        <v>0</v>
      </c>
    </row>
    <row r="59" spans="1:42" x14ac:dyDescent="0.25">
      <c r="A59" s="20" t="s">
        <v>91</v>
      </c>
      <c r="B59" s="21">
        <v>1</v>
      </c>
      <c r="C59" s="21">
        <v>1</v>
      </c>
      <c r="D59" s="21">
        <v>0</v>
      </c>
      <c r="E59" s="21">
        <v>0</v>
      </c>
      <c r="F59" s="21">
        <v>0</v>
      </c>
      <c r="G59" s="22">
        <v>5.3191489361702129E-4</v>
      </c>
      <c r="H59" s="22">
        <v>5.3475935828877007E-4</v>
      </c>
      <c r="I59" s="22">
        <v>0</v>
      </c>
      <c r="J59" s="22">
        <v>0</v>
      </c>
      <c r="K59" s="22">
        <v>0</v>
      </c>
      <c r="L59" s="21">
        <v>1</v>
      </c>
      <c r="M59" s="21">
        <v>1</v>
      </c>
      <c r="N59" s="21">
        <v>0</v>
      </c>
      <c r="O59" s="21">
        <v>0</v>
      </c>
      <c r="P59" s="21">
        <v>0</v>
      </c>
      <c r="Q59" s="22">
        <v>1</v>
      </c>
      <c r="R59" s="22">
        <v>1</v>
      </c>
      <c r="S59" s="22">
        <v>0</v>
      </c>
      <c r="T59" s="22">
        <v>0</v>
      </c>
      <c r="U59" s="22">
        <v>0</v>
      </c>
      <c r="V59" s="21"/>
      <c r="W59" s="21">
        <v>0</v>
      </c>
      <c r="X59" s="21">
        <v>1</v>
      </c>
      <c r="Y59" s="21">
        <v>1</v>
      </c>
      <c r="Z59" s="21">
        <v>1</v>
      </c>
      <c r="AA59" s="21">
        <v>1</v>
      </c>
      <c r="AB59" s="22">
        <v>0</v>
      </c>
      <c r="AC59" s="22">
        <v>5.3763440860215054E-4</v>
      </c>
      <c r="AD59" s="22">
        <v>5.6465273856578201E-4</v>
      </c>
      <c r="AE59" s="22">
        <v>5.1072522982635344E-4</v>
      </c>
      <c r="AF59" s="22">
        <v>5.3475935828877007E-4</v>
      </c>
      <c r="AG59" s="21">
        <v>0</v>
      </c>
      <c r="AH59" s="21">
        <v>1</v>
      </c>
      <c r="AI59" s="21">
        <v>1</v>
      </c>
      <c r="AJ59" s="21">
        <v>1</v>
      </c>
      <c r="AK59" s="21">
        <v>1</v>
      </c>
      <c r="AL59" s="22">
        <v>0</v>
      </c>
      <c r="AM59" s="22">
        <v>1</v>
      </c>
      <c r="AN59" s="22">
        <v>1</v>
      </c>
      <c r="AO59" s="22">
        <v>1</v>
      </c>
      <c r="AP59" s="22">
        <v>1</v>
      </c>
    </row>
    <row r="60" spans="1:42" x14ac:dyDescent="0.25">
      <c r="A60" s="20" t="s">
        <v>45</v>
      </c>
      <c r="B60" s="21">
        <v>51</v>
      </c>
      <c r="C60" s="21">
        <v>58</v>
      </c>
      <c r="D60" s="21">
        <v>56</v>
      </c>
      <c r="E60" s="21">
        <v>57</v>
      </c>
      <c r="F60" s="21">
        <v>62</v>
      </c>
      <c r="G60" s="22">
        <v>2.7127659574468086E-2</v>
      </c>
      <c r="H60" s="22">
        <v>3.1016042780748664E-2</v>
      </c>
      <c r="I60" s="22">
        <v>2.9598308668076109E-2</v>
      </c>
      <c r="J60" s="22">
        <v>3.0110935023771792E-2</v>
      </c>
      <c r="K60" s="22">
        <v>3.1077694235588971E-2</v>
      </c>
      <c r="L60" s="21">
        <v>51</v>
      </c>
      <c r="M60" s="21">
        <v>58</v>
      </c>
      <c r="N60" s="21">
        <v>56</v>
      </c>
      <c r="O60" s="21">
        <v>57</v>
      </c>
      <c r="P60" s="21">
        <v>62</v>
      </c>
      <c r="Q60" s="22">
        <v>1</v>
      </c>
      <c r="R60" s="22">
        <v>1</v>
      </c>
      <c r="S60" s="22">
        <v>1</v>
      </c>
      <c r="T60" s="22">
        <v>1</v>
      </c>
      <c r="U60" s="22">
        <v>1</v>
      </c>
      <c r="V60" s="21"/>
      <c r="W60" s="21">
        <v>80</v>
      </c>
      <c r="X60" s="21">
        <v>81</v>
      </c>
      <c r="Y60" s="21">
        <v>46</v>
      </c>
      <c r="Z60" s="21">
        <v>45</v>
      </c>
      <c r="AA60" s="21">
        <v>58</v>
      </c>
      <c r="AB60" s="22">
        <v>5.6100981767180924E-2</v>
      </c>
      <c r="AC60" s="22">
        <v>4.3548387096774194E-2</v>
      </c>
      <c r="AD60" s="22">
        <v>2.5974025974025976E-2</v>
      </c>
      <c r="AE60" s="22">
        <v>2.2982635342185902E-2</v>
      </c>
      <c r="AF60" s="22">
        <v>3.1016042780748664E-2</v>
      </c>
      <c r="AG60" s="21">
        <v>80</v>
      </c>
      <c r="AH60" s="21">
        <v>81</v>
      </c>
      <c r="AI60" s="21">
        <v>46</v>
      </c>
      <c r="AJ60" s="21">
        <v>45</v>
      </c>
      <c r="AK60" s="21">
        <v>58</v>
      </c>
      <c r="AL60" s="22">
        <v>1</v>
      </c>
      <c r="AM60" s="22">
        <v>1</v>
      </c>
      <c r="AN60" s="22">
        <v>1</v>
      </c>
      <c r="AO60" s="22">
        <v>1</v>
      </c>
      <c r="AP60" s="22">
        <v>1</v>
      </c>
    </row>
    <row r="61" spans="1:42" x14ac:dyDescent="0.25">
      <c r="A61" s="20" t="s">
        <v>46</v>
      </c>
      <c r="B61" s="21">
        <v>0</v>
      </c>
      <c r="C61" s="21">
        <v>2</v>
      </c>
      <c r="D61" s="21">
        <v>0</v>
      </c>
      <c r="E61" s="21">
        <v>1</v>
      </c>
      <c r="F61" s="21">
        <v>3</v>
      </c>
      <c r="G61" s="22">
        <v>0</v>
      </c>
      <c r="H61" s="22">
        <v>1.0695187165775401E-3</v>
      </c>
      <c r="I61" s="22">
        <v>0</v>
      </c>
      <c r="J61" s="22">
        <v>5.2826201796090863E-4</v>
      </c>
      <c r="K61" s="22">
        <v>1.5037593984962407E-3</v>
      </c>
      <c r="L61" s="21">
        <v>0</v>
      </c>
      <c r="M61" s="21">
        <v>2</v>
      </c>
      <c r="N61" s="21">
        <v>0</v>
      </c>
      <c r="O61" s="21">
        <v>1</v>
      </c>
      <c r="P61" s="21">
        <v>3</v>
      </c>
      <c r="Q61" s="22">
        <v>0</v>
      </c>
      <c r="R61" s="22">
        <v>1</v>
      </c>
      <c r="S61" s="22">
        <v>0</v>
      </c>
      <c r="T61" s="22">
        <v>1</v>
      </c>
      <c r="U61" s="22">
        <v>1</v>
      </c>
      <c r="V61" s="21"/>
      <c r="W61" s="21">
        <v>0</v>
      </c>
      <c r="X61" s="21">
        <v>0</v>
      </c>
      <c r="Y61" s="21">
        <v>2</v>
      </c>
      <c r="Z61" s="21">
        <v>8</v>
      </c>
      <c r="AA61" s="21">
        <v>2</v>
      </c>
      <c r="AB61" s="22">
        <v>0</v>
      </c>
      <c r="AC61" s="22">
        <v>0</v>
      </c>
      <c r="AD61" s="22">
        <v>1.129305477131564E-3</v>
      </c>
      <c r="AE61" s="22">
        <v>4.0858018386108275E-3</v>
      </c>
      <c r="AF61" s="22">
        <v>1.0695187165775401E-3</v>
      </c>
      <c r="AG61" s="21">
        <v>0</v>
      </c>
      <c r="AH61" s="21">
        <v>0</v>
      </c>
      <c r="AI61" s="21">
        <v>2</v>
      </c>
      <c r="AJ61" s="21">
        <v>8</v>
      </c>
      <c r="AK61" s="21">
        <v>2</v>
      </c>
      <c r="AL61" s="22">
        <v>0</v>
      </c>
      <c r="AM61" s="22">
        <v>0</v>
      </c>
      <c r="AN61" s="22">
        <v>1</v>
      </c>
      <c r="AO61" s="22">
        <v>1</v>
      </c>
      <c r="AP61" s="22">
        <v>1</v>
      </c>
    </row>
    <row r="62" spans="1:42" x14ac:dyDescent="0.25">
      <c r="A62" s="20" t="s">
        <v>48</v>
      </c>
      <c r="B62" s="21">
        <v>240</v>
      </c>
      <c r="C62" s="21">
        <v>250</v>
      </c>
      <c r="D62" s="21">
        <v>251</v>
      </c>
      <c r="E62" s="21">
        <v>254</v>
      </c>
      <c r="F62" s="21">
        <v>239</v>
      </c>
      <c r="G62" s="22">
        <v>0.1276595744680851</v>
      </c>
      <c r="H62" s="22">
        <v>0.13368983957219252</v>
      </c>
      <c r="I62" s="22">
        <v>0.13266384778012685</v>
      </c>
      <c r="J62" s="22">
        <v>0.13417855256207079</v>
      </c>
      <c r="K62" s="22">
        <v>0.11979949874686717</v>
      </c>
      <c r="L62" s="21">
        <v>240</v>
      </c>
      <c r="M62" s="21">
        <v>250</v>
      </c>
      <c r="N62" s="21">
        <v>251</v>
      </c>
      <c r="O62" s="21">
        <v>254</v>
      </c>
      <c r="P62" s="21">
        <v>234</v>
      </c>
      <c r="Q62" s="22">
        <v>1</v>
      </c>
      <c r="R62" s="22">
        <v>1</v>
      </c>
      <c r="S62" s="22">
        <v>1</v>
      </c>
      <c r="T62" s="22">
        <v>1</v>
      </c>
      <c r="U62" s="22">
        <v>0.97907949790794979</v>
      </c>
      <c r="V62" s="21"/>
      <c r="W62" s="21">
        <v>205</v>
      </c>
      <c r="X62" s="21">
        <v>167</v>
      </c>
      <c r="Y62" s="21">
        <v>209</v>
      </c>
      <c r="Z62" s="21">
        <v>263</v>
      </c>
      <c r="AA62" s="21">
        <v>250</v>
      </c>
      <c r="AB62" s="22">
        <v>0.14375876577840113</v>
      </c>
      <c r="AC62" s="22">
        <v>8.9784946236559138E-2</v>
      </c>
      <c r="AD62" s="22">
        <v>0.11801242236024845</v>
      </c>
      <c r="AE62" s="22">
        <v>0.13432073544433096</v>
      </c>
      <c r="AF62" s="22">
        <v>0.13368983957219252</v>
      </c>
      <c r="AG62" s="21">
        <v>205</v>
      </c>
      <c r="AH62" s="21">
        <v>167</v>
      </c>
      <c r="AI62" s="21">
        <v>209</v>
      </c>
      <c r="AJ62" s="21">
        <v>263</v>
      </c>
      <c r="AK62" s="21">
        <v>250</v>
      </c>
      <c r="AL62" s="22">
        <v>1</v>
      </c>
      <c r="AM62" s="22">
        <v>1</v>
      </c>
      <c r="AN62" s="22">
        <v>1</v>
      </c>
      <c r="AO62" s="22">
        <v>1</v>
      </c>
      <c r="AP62" s="22">
        <v>1</v>
      </c>
    </row>
    <row r="63" spans="1:42" x14ac:dyDescent="0.25">
      <c r="A63" s="20" t="s">
        <v>139</v>
      </c>
      <c r="B63" s="21">
        <v>4</v>
      </c>
      <c r="C63" s="21">
        <v>4</v>
      </c>
      <c r="D63" s="21">
        <v>2</v>
      </c>
      <c r="E63" s="21">
        <v>2</v>
      </c>
      <c r="F63" s="21">
        <v>2</v>
      </c>
      <c r="G63" s="22">
        <v>2.1276595744680851E-3</v>
      </c>
      <c r="H63" s="22">
        <v>2.1390374331550803E-3</v>
      </c>
      <c r="I63" s="22">
        <v>1.0570824524312897E-3</v>
      </c>
      <c r="J63" s="22">
        <v>1.0565240359218173E-3</v>
      </c>
      <c r="K63" s="22">
        <v>1.0025062656641604E-3</v>
      </c>
      <c r="L63" s="21">
        <v>4</v>
      </c>
      <c r="M63" s="21">
        <v>4</v>
      </c>
      <c r="N63" s="21">
        <v>2</v>
      </c>
      <c r="O63" s="21">
        <v>2</v>
      </c>
      <c r="P63" s="21">
        <v>2</v>
      </c>
      <c r="Q63" s="22">
        <v>1</v>
      </c>
      <c r="R63" s="22">
        <v>1</v>
      </c>
      <c r="S63" s="22">
        <v>1</v>
      </c>
      <c r="T63" s="22">
        <v>1</v>
      </c>
      <c r="U63" s="22">
        <v>1</v>
      </c>
      <c r="V63" s="21"/>
      <c r="W63" s="21">
        <v>5</v>
      </c>
      <c r="X63" s="21">
        <v>5</v>
      </c>
      <c r="Y63" s="21">
        <v>5</v>
      </c>
      <c r="Z63" s="21">
        <v>0</v>
      </c>
      <c r="AA63" s="21">
        <v>4</v>
      </c>
      <c r="AB63" s="22">
        <v>3.5063113604488078E-3</v>
      </c>
      <c r="AC63" s="22">
        <v>2.6881720430107529E-3</v>
      </c>
      <c r="AD63" s="22">
        <v>2.82326369282891E-3</v>
      </c>
      <c r="AE63" s="22">
        <v>0</v>
      </c>
      <c r="AF63" s="22">
        <v>2.1390374331550803E-3</v>
      </c>
      <c r="AG63" s="21">
        <v>5</v>
      </c>
      <c r="AH63" s="21">
        <v>5</v>
      </c>
      <c r="AI63" s="21">
        <v>5</v>
      </c>
      <c r="AJ63" s="21">
        <v>0</v>
      </c>
      <c r="AK63" s="21">
        <v>4</v>
      </c>
      <c r="AL63" s="22">
        <v>1</v>
      </c>
      <c r="AM63" s="22">
        <v>1</v>
      </c>
      <c r="AN63" s="22">
        <v>1</v>
      </c>
      <c r="AO63" s="22">
        <v>0</v>
      </c>
      <c r="AP63" s="22">
        <v>1</v>
      </c>
    </row>
    <row r="64" spans="1:42" x14ac:dyDescent="0.25">
      <c r="A64" s="20" t="s">
        <v>57</v>
      </c>
      <c r="B64" s="21">
        <v>17</v>
      </c>
      <c r="C64" s="21">
        <v>16</v>
      </c>
      <c r="D64" s="21">
        <v>23</v>
      </c>
      <c r="E64" s="21">
        <v>24</v>
      </c>
      <c r="F64" s="21">
        <v>25</v>
      </c>
      <c r="G64" s="22">
        <v>9.0425531914893609E-3</v>
      </c>
      <c r="H64" s="22">
        <v>8.5561497326203211E-3</v>
      </c>
      <c r="I64" s="22">
        <v>1.2156448202959831E-2</v>
      </c>
      <c r="J64" s="22">
        <v>1.2678288431061807E-2</v>
      </c>
      <c r="K64" s="22">
        <v>1.2531328320802004E-2</v>
      </c>
      <c r="L64" s="21">
        <v>17</v>
      </c>
      <c r="M64" s="21">
        <v>16</v>
      </c>
      <c r="N64" s="21">
        <v>23</v>
      </c>
      <c r="O64" s="21">
        <v>24</v>
      </c>
      <c r="P64" s="21">
        <v>25</v>
      </c>
      <c r="Q64" s="22">
        <v>1</v>
      </c>
      <c r="R64" s="22">
        <v>1</v>
      </c>
      <c r="S64" s="22">
        <v>1</v>
      </c>
      <c r="T64" s="22">
        <v>1</v>
      </c>
      <c r="U64" s="22">
        <v>1</v>
      </c>
      <c r="V64" s="21"/>
      <c r="W64" s="21">
        <v>20</v>
      </c>
      <c r="X64" s="21">
        <v>33</v>
      </c>
      <c r="Y64" s="21">
        <v>35</v>
      </c>
      <c r="Z64" s="21">
        <v>25</v>
      </c>
      <c r="AA64" s="21">
        <v>16</v>
      </c>
      <c r="AB64" s="22">
        <v>1.4025245441795231E-2</v>
      </c>
      <c r="AC64" s="22">
        <v>1.7741935483870968E-2</v>
      </c>
      <c r="AD64" s="22">
        <v>1.9762845849802372E-2</v>
      </c>
      <c r="AE64" s="22">
        <v>1.2768130745658836E-2</v>
      </c>
      <c r="AF64" s="22">
        <v>8.5561497326203211E-3</v>
      </c>
      <c r="AG64" s="21">
        <v>20</v>
      </c>
      <c r="AH64" s="21">
        <v>33</v>
      </c>
      <c r="AI64" s="21">
        <v>35</v>
      </c>
      <c r="AJ64" s="21">
        <v>25</v>
      </c>
      <c r="AK64" s="21">
        <v>16</v>
      </c>
      <c r="AL64" s="22">
        <v>1</v>
      </c>
      <c r="AM64" s="22">
        <v>1</v>
      </c>
      <c r="AN64" s="22">
        <v>1</v>
      </c>
      <c r="AO64" s="22">
        <v>1</v>
      </c>
      <c r="AP64" s="22">
        <v>1</v>
      </c>
    </row>
    <row r="65" spans="1:42" x14ac:dyDescent="0.25">
      <c r="A65" s="20" t="s">
        <v>60</v>
      </c>
      <c r="B65" s="21">
        <v>2</v>
      </c>
      <c r="C65" s="21">
        <v>2</v>
      </c>
      <c r="D65" s="21">
        <v>3</v>
      </c>
      <c r="E65" s="21">
        <v>2</v>
      </c>
      <c r="F65" s="21">
        <v>2</v>
      </c>
      <c r="G65" s="22">
        <v>1.0638297872340426E-3</v>
      </c>
      <c r="H65" s="22">
        <v>1.0695187165775401E-3</v>
      </c>
      <c r="I65" s="22">
        <v>1.5856236786469344E-3</v>
      </c>
      <c r="J65" s="22">
        <v>1.0565240359218173E-3</v>
      </c>
      <c r="K65" s="22">
        <v>1.0025062656641604E-3</v>
      </c>
      <c r="L65" s="21">
        <v>2</v>
      </c>
      <c r="M65" s="21">
        <v>2</v>
      </c>
      <c r="N65" s="21">
        <v>3</v>
      </c>
      <c r="O65" s="21">
        <v>2</v>
      </c>
      <c r="P65" s="21">
        <v>2</v>
      </c>
      <c r="Q65" s="22">
        <v>1</v>
      </c>
      <c r="R65" s="22">
        <v>1</v>
      </c>
      <c r="S65" s="22">
        <v>1</v>
      </c>
      <c r="T65" s="22">
        <v>1</v>
      </c>
      <c r="U65" s="22">
        <v>1</v>
      </c>
      <c r="V65" s="21"/>
      <c r="W65" s="21">
        <v>0</v>
      </c>
      <c r="X65" s="21">
        <v>7</v>
      </c>
      <c r="Y65" s="21">
        <v>5</v>
      </c>
      <c r="Z65" s="21">
        <v>0</v>
      </c>
      <c r="AA65" s="21">
        <v>2</v>
      </c>
      <c r="AB65" s="22">
        <v>0</v>
      </c>
      <c r="AC65" s="22">
        <v>3.763440860215054E-3</v>
      </c>
      <c r="AD65" s="22">
        <v>2.82326369282891E-3</v>
      </c>
      <c r="AE65" s="22">
        <v>0</v>
      </c>
      <c r="AF65" s="22">
        <v>1.0695187165775401E-3</v>
      </c>
      <c r="AG65" s="21">
        <v>0</v>
      </c>
      <c r="AH65" s="21">
        <v>7</v>
      </c>
      <c r="AI65" s="21">
        <v>5</v>
      </c>
      <c r="AJ65" s="21">
        <v>0</v>
      </c>
      <c r="AK65" s="21">
        <v>2</v>
      </c>
      <c r="AL65" s="22">
        <v>0</v>
      </c>
      <c r="AM65" s="22">
        <v>1</v>
      </c>
      <c r="AN65" s="22">
        <v>1</v>
      </c>
      <c r="AO65" s="22">
        <v>0</v>
      </c>
      <c r="AP65" s="22">
        <v>1</v>
      </c>
    </row>
    <row r="66" spans="1:42" x14ac:dyDescent="0.25">
      <c r="A66" s="20" t="s">
        <v>96</v>
      </c>
      <c r="B66" s="21">
        <v>10</v>
      </c>
      <c r="C66" s="21">
        <v>10</v>
      </c>
      <c r="D66" s="21">
        <v>9</v>
      </c>
      <c r="E66" s="21">
        <v>5</v>
      </c>
      <c r="F66" s="21">
        <v>5</v>
      </c>
      <c r="G66" s="22">
        <v>5.3191489361702126E-3</v>
      </c>
      <c r="H66" s="22">
        <v>5.3475935828877002E-3</v>
      </c>
      <c r="I66" s="22">
        <v>4.7568710359408035E-3</v>
      </c>
      <c r="J66" s="22">
        <v>2.6413100898045432E-3</v>
      </c>
      <c r="K66" s="22">
        <v>2.5062656641604009E-3</v>
      </c>
      <c r="L66" s="21">
        <v>10</v>
      </c>
      <c r="M66" s="21">
        <v>10</v>
      </c>
      <c r="N66" s="21">
        <v>9</v>
      </c>
      <c r="O66" s="21">
        <v>5</v>
      </c>
      <c r="P66" s="21">
        <v>5</v>
      </c>
      <c r="Q66" s="22">
        <v>1</v>
      </c>
      <c r="R66" s="22">
        <v>1</v>
      </c>
      <c r="S66" s="22">
        <v>1</v>
      </c>
      <c r="T66" s="22">
        <v>1</v>
      </c>
      <c r="U66" s="22">
        <v>1</v>
      </c>
      <c r="V66" s="21"/>
      <c r="W66" s="21">
        <v>0</v>
      </c>
      <c r="X66" s="21">
        <v>0</v>
      </c>
      <c r="Y66" s="21">
        <v>1</v>
      </c>
      <c r="Z66" s="21">
        <v>5</v>
      </c>
      <c r="AA66" s="21">
        <v>10</v>
      </c>
      <c r="AB66" s="22">
        <v>0</v>
      </c>
      <c r="AC66" s="22">
        <v>0</v>
      </c>
      <c r="AD66" s="22">
        <v>5.6465273856578201E-4</v>
      </c>
      <c r="AE66" s="22">
        <v>2.5536261491317671E-3</v>
      </c>
      <c r="AF66" s="22">
        <v>5.3475935828877002E-3</v>
      </c>
      <c r="AG66" s="21">
        <v>0</v>
      </c>
      <c r="AH66" s="21">
        <v>0</v>
      </c>
      <c r="AI66" s="21">
        <v>1</v>
      </c>
      <c r="AJ66" s="21">
        <v>5</v>
      </c>
      <c r="AK66" s="21">
        <v>10</v>
      </c>
      <c r="AL66" s="22">
        <v>0</v>
      </c>
      <c r="AM66" s="22">
        <v>0</v>
      </c>
      <c r="AN66" s="22">
        <v>1</v>
      </c>
      <c r="AO66" s="22">
        <v>1</v>
      </c>
      <c r="AP66" s="22">
        <v>1</v>
      </c>
    </row>
    <row r="67" spans="1:42" x14ac:dyDescent="0.25">
      <c r="A67" s="20" t="s">
        <v>63</v>
      </c>
      <c r="B67" s="21">
        <v>1</v>
      </c>
      <c r="C67" s="21">
        <v>1</v>
      </c>
      <c r="D67" s="21">
        <v>0</v>
      </c>
      <c r="E67" s="21">
        <v>1</v>
      </c>
      <c r="F67" s="21">
        <v>1</v>
      </c>
      <c r="G67" s="22">
        <v>5.3191489361702129E-4</v>
      </c>
      <c r="H67" s="22">
        <v>5.3475935828877007E-4</v>
      </c>
      <c r="I67" s="22">
        <v>0</v>
      </c>
      <c r="J67" s="22">
        <v>5.2826201796090863E-4</v>
      </c>
      <c r="K67" s="22">
        <v>5.0125313283208019E-4</v>
      </c>
      <c r="L67" s="21">
        <v>1</v>
      </c>
      <c r="M67" s="21">
        <v>1</v>
      </c>
      <c r="N67" s="21">
        <v>0</v>
      </c>
      <c r="O67" s="21">
        <v>1</v>
      </c>
      <c r="P67" s="21">
        <v>1</v>
      </c>
      <c r="Q67" s="22">
        <v>1</v>
      </c>
      <c r="R67" s="22">
        <v>1</v>
      </c>
      <c r="S67" s="22">
        <v>0</v>
      </c>
      <c r="T67" s="22">
        <v>1</v>
      </c>
      <c r="U67" s="22">
        <v>1</v>
      </c>
      <c r="V67" s="21"/>
      <c r="W67" s="21">
        <v>0</v>
      </c>
      <c r="X67" s="21">
        <v>0</v>
      </c>
      <c r="Y67" s="21">
        <v>0</v>
      </c>
      <c r="Z67" s="21">
        <v>0</v>
      </c>
      <c r="AA67" s="21">
        <v>1</v>
      </c>
      <c r="AB67" s="22">
        <v>0</v>
      </c>
      <c r="AC67" s="22">
        <v>0</v>
      </c>
      <c r="AD67" s="22">
        <v>0</v>
      </c>
      <c r="AE67" s="22">
        <v>0</v>
      </c>
      <c r="AF67" s="22">
        <v>5.3475935828877007E-4</v>
      </c>
      <c r="AG67" s="21">
        <v>0</v>
      </c>
      <c r="AH67" s="21">
        <v>0</v>
      </c>
      <c r="AI67" s="21">
        <v>0</v>
      </c>
      <c r="AJ67" s="21">
        <v>0</v>
      </c>
      <c r="AK67" s="21">
        <v>1</v>
      </c>
      <c r="AL67" s="22">
        <v>0</v>
      </c>
      <c r="AM67" s="22">
        <v>0</v>
      </c>
      <c r="AN67" s="22">
        <v>0</v>
      </c>
      <c r="AO67" s="22">
        <v>0</v>
      </c>
      <c r="AP67" s="22">
        <v>1</v>
      </c>
    </row>
    <row r="68" spans="1:42" x14ac:dyDescent="0.25">
      <c r="A68" s="28" t="s">
        <v>70</v>
      </c>
      <c r="B68" s="29">
        <v>1880</v>
      </c>
      <c r="C68" s="29">
        <v>1870</v>
      </c>
      <c r="D68" s="29">
        <v>1892</v>
      </c>
      <c r="E68" s="29">
        <v>1893</v>
      </c>
      <c r="F68" s="29">
        <v>1995</v>
      </c>
      <c r="G68" s="24">
        <v>1</v>
      </c>
      <c r="H68" s="24">
        <v>1</v>
      </c>
      <c r="I68" s="24">
        <v>1</v>
      </c>
      <c r="J68" s="24">
        <v>1</v>
      </c>
      <c r="K68" s="24">
        <v>1</v>
      </c>
      <c r="L68" s="29">
        <v>1880</v>
      </c>
      <c r="M68" s="29">
        <v>1870</v>
      </c>
      <c r="N68" s="29">
        <v>1892</v>
      </c>
      <c r="O68" s="29">
        <v>1893</v>
      </c>
      <c r="P68" s="29">
        <v>1915</v>
      </c>
      <c r="Q68" s="24">
        <v>1</v>
      </c>
      <c r="R68" s="24">
        <v>1</v>
      </c>
      <c r="S68" s="24">
        <v>1</v>
      </c>
      <c r="T68" s="24">
        <v>1</v>
      </c>
      <c r="U68" s="24">
        <v>0.95989974937343359</v>
      </c>
      <c r="V68" s="29"/>
      <c r="W68" s="29">
        <v>1426</v>
      </c>
      <c r="X68" s="29">
        <v>1860</v>
      </c>
      <c r="Y68" s="29">
        <v>1771</v>
      </c>
      <c r="Z68" s="29">
        <v>1958</v>
      </c>
      <c r="AA68" s="29">
        <v>1870</v>
      </c>
      <c r="AB68" s="24">
        <v>1</v>
      </c>
      <c r="AC68" s="24">
        <v>1</v>
      </c>
      <c r="AD68" s="24">
        <v>1</v>
      </c>
      <c r="AE68" s="24">
        <v>1</v>
      </c>
      <c r="AF68" s="24">
        <v>1</v>
      </c>
      <c r="AG68" s="29">
        <v>1426</v>
      </c>
      <c r="AH68" s="29">
        <v>1860</v>
      </c>
      <c r="AI68" s="29">
        <v>1771</v>
      </c>
      <c r="AJ68" s="29">
        <v>1958</v>
      </c>
      <c r="AK68" s="29">
        <v>1870</v>
      </c>
      <c r="AL68" s="24">
        <v>1</v>
      </c>
      <c r="AM68" s="24">
        <v>1</v>
      </c>
      <c r="AN68" s="24">
        <v>1</v>
      </c>
      <c r="AO68" s="24">
        <v>1</v>
      </c>
      <c r="AP68" s="24">
        <v>1</v>
      </c>
    </row>
    <row r="69" spans="1:42" x14ac:dyDescent="0.25">
      <c r="A69" s="20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2"/>
      <c r="AC69" s="22"/>
      <c r="AD69" s="22"/>
      <c r="AE69" s="22"/>
      <c r="AF69" s="22"/>
      <c r="AG69" s="21"/>
      <c r="AH69" s="21"/>
      <c r="AI69" s="21"/>
      <c r="AJ69" s="21"/>
      <c r="AK69" s="21"/>
      <c r="AL69" s="22"/>
      <c r="AM69" s="22"/>
      <c r="AN69" s="22"/>
      <c r="AO69" s="22"/>
      <c r="AP69" s="22"/>
    </row>
    <row r="70" spans="1:42" x14ac:dyDescent="0.25">
      <c r="A70" s="30" t="s">
        <v>71</v>
      </c>
      <c r="B70" s="27" t="s">
        <v>12</v>
      </c>
      <c r="C70" s="27" t="s">
        <v>13</v>
      </c>
      <c r="D70" s="27" t="s">
        <v>14</v>
      </c>
      <c r="E70" s="27" t="s">
        <v>15</v>
      </c>
      <c r="F70" s="27" t="s">
        <v>16</v>
      </c>
      <c r="G70" s="27" t="s">
        <v>12</v>
      </c>
      <c r="H70" s="27" t="s">
        <v>13</v>
      </c>
      <c r="I70" s="27" t="s">
        <v>14</v>
      </c>
      <c r="J70" s="27" t="s">
        <v>15</v>
      </c>
      <c r="K70" s="27" t="s">
        <v>16</v>
      </c>
      <c r="L70" s="27" t="s">
        <v>12</v>
      </c>
      <c r="M70" s="27" t="s">
        <v>13</v>
      </c>
      <c r="N70" s="27" t="s">
        <v>14</v>
      </c>
      <c r="O70" s="27" t="s">
        <v>15</v>
      </c>
      <c r="P70" s="27" t="s">
        <v>16</v>
      </c>
      <c r="Q70" s="27" t="s">
        <v>12</v>
      </c>
      <c r="R70" s="27" t="s">
        <v>13</v>
      </c>
      <c r="S70" s="27" t="s">
        <v>14</v>
      </c>
      <c r="T70" s="27" t="s">
        <v>15</v>
      </c>
      <c r="U70" s="27" t="s">
        <v>16</v>
      </c>
      <c r="V70" s="27"/>
      <c r="W70" s="27" t="s">
        <v>17</v>
      </c>
      <c r="X70" s="27" t="s">
        <v>18</v>
      </c>
      <c r="Y70" s="27" t="s">
        <v>19</v>
      </c>
      <c r="Z70" s="27" t="s">
        <v>20</v>
      </c>
      <c r="AA70" s="27" t="s">
        <v>21</v>
      </c>
      <c r="AB70" s="27" t="s">
        <v>17</v>
      </c>
      <c r="AC70" s="27" t="s">
        <v>18</v>
      </c>
      <c r="AD70" s="27" t="s">
        <v>19</v>
      </c>
      <c r="AE70" s="27" t="s">
        <v>20</v>
      </c>
      <c r="AF70" s="27" t="s">
        <v>21</v>
      </c>
      <c r="AG70" s="27" t="s">
        <v>17</v>
      </c>
      <c r="AH70" s="27" t="s">
        <v>18</v>
      </c>
      <c r="AI70" s="27" t="s">
        <v>19</v>
      </c>
      <c r="AJ70" s="27" t="s">
        <v>20</v>
      </c>
      <c r="AK70" s="27" t="s">
        <v>21</v>
      </c>
      <c r="AL70" s="27" t="s">
        <v>17</v>
      </c>
      <c r="AM70" s="27" t="s">
        <v>18</v>
      </c>
      <c r="AN70" s="27" t="s">
        <v>19</v>
      </c>
      <c r="AO70" s="27" t="s">
        <v>20</v>
      </c>
      <c r="AP70" s="27" t="s">
        <v>21</v>
      </c>
    </row>
    <row r="71" spans="1:42" x14ac:dyDescent="0.25">
      <c r="A71" s="20" t="s">
        <v>22</v>
      </c>
      <c r="B71" s="21">
        <v>37</v>
      </c>
      <c r="C71" s="21">
        <v>43</v>
      </c>
      <c r="D71" s="21">
        <v>21</v>
      </c>
      <c r="E71" s="21">
        <v>19</v>
      </c>
      <c r="F71" s="21">
        <v>26</v>
      </c>
      <c r="G71" s="22">
        <v>1.2490294703439895E-3</v>
      </c>
      <c r="H71" s="22">
        <v>1.5232022670917463E-3</v>
      </c>
      <c r="I71" s="22">
        <v>7.2346436076756128E-4</v>
      </c>
      <c r="J71" s="22">
        <v>6.437840951445126E-4</v>
      </c>
      <c r="K71" s="22">
        <v>8.3229296712442784E-4</v>
      </c>
      <c r="L71" s="21">
        <v>37</v>
      </c>
      <c r="M71" s="21">
        <v>43</v>
      </c>
      <c r="N71" s="21">
        <v>21</v>
      </c>
      <c r="O71" s="21">
        <v>19</v>
      </c>
      <c r="P71" s="21">
        <v>26</v>
      </c>
      <c r="Q71" s="22">
        <v>1</v>
      </c>
      <c r="R71" s="22">
        <v>1</v>
      </c>
      <c r="S71" s="22">
        <v>1</v>
      </c>
      <c r="T71" s="22">
        <v>1</v>
      </c>
      <c r="U71" s="22">
        <v>1</v>
      </c>
      <c r="V71" s="21"/>
      <c r="W71" s="21">
        <v>0</v>
      </c>
      <c r="X71" s="21">
        <v>0</v>
      </c>
      <c r="Y71" s="21">
        <v>0</v>
      </c>
      <c r="Z71" s="21">
        <v>0</v>
      </c>
      <c r="AA71" s="21">
        <v>43</v>
      </c>
      <c r="AB71" s="22">
        <v>0</v>
      </c>
      <c r="AC71" s="22">
        <v>0</v>
      </c>
      <c r="AD71" s="22">
        <v>0</v>
      </c>
      <c r="AE71" s="22">
        <v>0</v>
      </c>
      <c r="AF71" s="22">
        <v>1.5232022670917463E-3</v>
      </c>
      <c r="AG71" s="21">
        <v>0</v>
      </c>
      <c r="AH71" s="21">
        <v>0</v>
      </c>
      <c r="AI71" s="21">
        <v>0</v>
      </c>
      <c r="AJ71" s="21">
        <v>0</v>
      </c>
      <c r="AK71" s="21">
        <v>43</v>
      </c>
      <c r="AL71" s="22">
        <v>0</v>
      </c>
      <c r="AM71" s="22">
        <v>0</v>
      </c>
      <c r="AN71" s="22">
        <v>0</v>
      </c>
      <c r="AO71" s="22">
        <v>0</v>
      </c>
      <c r="AP71" s="22">
        <v>1</v>
      </c>
    </row>
    <row r="72" spans="1:42" x14ac:dyDescent="0.25">
      <c r="A72" s="20" t="s">
        <v>23</v>
      </c>
      <c r="B72" s="21">
        <v>188</v>
      </c>
      <c r="C72" s="21">
        <v>188</v>
      </c>
      <c r="D72" s="21">
        <v>189</v>
      </c>
      <c r="E72" s="21">
        <v>191</v>
      </c>
      <c r="F72" s="21">
        <v>191</v>
      </c>
      <c r="G72" s="22">
        <v>6.3464200114775682E-3</v>
      </c>
      <c r="H72" s="22">
        <v>6.6595820049592629E-3</v>
      </c>
      <c r="I72" s="22">
        <v>6.511179246908051E-3</v>
      </c>
      <c r="J72" s="22">
        <v>6.471724324873784E-3</v>
      </c>
      <c r="K72" s="22">
        <v>6.114152181567912E-3</v>
      </c>
      <c r="L72" s="21">
        <v>188</v>
      </c>
      <c r="M72" s="21">
        <v>188</v>
      </c>
      <c r="N72" s="21">
        <v>189</v>
      </c>
      <c r="O72" s="21">
        <v>191</v>
      </c>
      <c r="P72" s="21">
        <v>191</v>
      </c>
      <c r="Q72" s="22">
        <v>1</v>
      </c>
      <c r="R72" s="22">
        <v>1</v>
      </c>
      <c r="S72" s="22">
        <v>1</v>
      </c>
      <c r="T72" s="22">
        <v>1</v>
      </c>
      <c r="U72" s="22">
        <v>1</v>
      </c>
      <c r="V72" s="21"/>
      <c r="W72" s="21">
        <v>153</v>
      </c>
      <c r="X72" s="21">
        <v>154</v>
      </c>
      <c r="Y72" s="21">
        <v>218</v>
      </c>
      <c r="Z72" s="21">
        <v>208</v>
      </c>
      <c r="AA72" s="21">
        <v>188</v>
      </c>
      <c r="AB72" s="22">
        <v>4.6261300758927218E-3</v>
      </c>
      <c r="AC72" s="22">
        <v>4.4913672421838541E-3</v>
      </c>
      <c r="AD72" s="22">
        <v>7.0605000647752303E-3</v>
      </c>
      <c r="AE72" s="22">
        <v>6.8928950159066809E-3</v>
      </c>
      <c r="AF72" s="22">
        <v>6.6595820049592629E-3</v>
      </c>
      <c r="AG72" s="21">
        <v>153</v>
      </c>
      <c r="AH72" s="21">
        <v>154</v>
      </c>
      <c r="AI72" s="21">
        <v>218</v>
      </c>
      <c r="AJ72" s="21">
        <v>208</v>
      </c>
      <c r="AK72" s="21">
        <v>188</v>
      </c>
      <c r="AL72" s="22">
        <v>1</v>
      </c>
      <c r="AM72" s="22">
        <v>1</v>
      </c>
      <c r="AN72" s="22">
        <v>1</v>
      </c>
      <c r="AO72" s="22">
        <v>1</v>
      </c>
      <c r="AP72" s="22">
        <v>1</v>
      </c>
    </row>
    <row r="73" spans="1:42" x14ac:dyDescent="0.25">
      <c r="A73" s="20" t="s">
        <v>24</v>
      </c>
      <c r="B73" s="21">
        <v>5199</v>
      </c>
      <c r="C73" s="21">
        <v>5257</v>
      </c>
      <c r="D73" s="21">
        <v>5495</v>
      </c>
      <c r="E73" s="21">
        <v>5826</v>
      </c>
      <c r="F73" s="21">
        <v>6303</v>
      </c>
      <c r="G73" s="22">
        <v>0.17550551935995679</v>
      </c>
      <c r="H73" s="22">
        <v>0.18622033297910026</v>
      </c>
      <c r="I73" s="22">
        <v>0.18930650773417854</v>
      </c>
      <c r="J73" s="22">
        <v>0.19740453359536475</v>
      </c>
      <c r="K73" s="22">
        <v>0.2017670219917411</v>
      </c>
      <c r="L73" s="21">
        <v>5199</v>
      </c>
      <c r="M73" s="21">
        <v>5257</v>
      </c>
      <c r="N73" s="21">
        <v>5495</v>
      </c>
      <c r="O73" s="21">
        <v>5826</v>
      </c>
      <c r="P73" s="21">
        <v>6254</v>
      </c>
      <c r="Q73" s="22">
        <v>1</v>
      </c>
      <c r="R73" s="22">
        <v>1</v>
      </c>
      <c r="S73" s="22">
        <v>1</v>
      </c>
      <c r="T73" s="22">
        <v>1</v>
      </c>
      <c r="U73" s="22">
        <v>0.99222592416309696</v>
      </c>
      <c r="V73" s="21"/>
      <c r="W73" s="21">
        <v>4842</v>
      </c>
      <c r="X73" s="21">
        <v>5639</v>
      </c>
      <c r="Y73" s="21">
        <v>5169</v>
      </c>
      <c r="Z73" s="21">
        <v>3968</v>
      </c>
      <c r="AA73" s="21">
        <v>5257</v>
      </c>
      <c r="AB73" s="22">
        <v>0.14640341063707557</v>
      </c>
      <c r="AC73" s="22">
        <v>0.16445986934204387</v>
      </c>
      <c r="AD73" s="22">
        <v>0.16741158181111543</v>
      </c>
      <c r="AE73" s="22">
        <v>0.13149522799575822</v>
      </c>
      <c r="AF73" s="22">
        <v>0.18622033297910026</v>
      </c>
      <c r="AG73" s="21">
        <v>4842</v>
      </c>
      <c r="AH73" s="21">
        <v>5639</v>
      </c>
      <c r="AI73" s="21">
        <v>5169</v>
      </c>
      <c r="AJ73" s="21">
        <v>3968</v>
      </c>
      <c r="AK73" s="21">
        <v>5257</v>
      </c>
      <c r="AL73" s="22">
        <v>1</v>
      </c>
      <c r="AM73" s="22">
        <v>1</v>
      </c>
      <c r="AN73" s="22">
        <v>1</v>
      </c>
      <c r="AO73" s="22">
        <v>1</v>
      </c>
      <c r="AP73" s="22">
        <v>1</v>
      </c>
    </row>
    <row r="74" spans="1:42" x14ac:dyDescent="0.25">
      <c r="A74" s="20" t="s">
        <v>25</v>
      </c>
      <c r="B74" s="21">
        <v>208</v>
      </c>
      <c r="C74" s="21">
        <v>288</v>
      </c>
      <c r="D74" s="21">
        <v>268</v>
      </c>
      <c r="E74" s="21">
        <v>267</v>
      </c>
      <c r="F74" s="21">
        <v>80</v>
      </c>
      <c r="G74" s="22">
        <v>7.0215710765283729E-3</v>
      </c>
      <c r="H74" s="22">
        <v>1.0201912858660999E-2</v>
      </c>
      <c r="I74" s="22">
        <v>9.2327832707479237E-3</v>
      </c>
      <c r="J74" s="22">
        <v>9.0468607054518344E-3</v>
      </c>
      <c r="K74" s="22">
        <v>2.5609014373059319E-3</v>
      </c>
      <c r="L74" s="21">
        <v>208</v>
      </c>
      <c r="M74" s="21">
        <v>288</v>
      </c>
      <c r="N74" s="21">
        <v>268</v>
      </c>
      <c r="O74" s="21">
        <v>267</v>
      </c>
      <c r="P74" s="21">
        <v>79</v>
      </c>
      <c r="Q74" s="22">
        <v>1</v>
      </c>
      <c r="R74" s="22">
        <v>1</v>
      </c>
      <c r="S74" s="22">
        <v>1</v>
      </c>
      <c r="T74" s="22">
        <v>1</v>
      </c>
      <c r="U74" s="22">
        <v>0.98750000000000004</v>
      </c>
      <c r="V74" s="21"/>
      <c r="W74" s="21">
        <v>68</v>
      </c>
      <c r="X74" s="21">
        <v>70</v>
      </c>
      <c r="Y74" s="21">
        <v>46</v>
      </c>
      <c r="Z74" s="21">
        <v>319</v>
      </c>
      <c r="AA74" s="21">
        <v>288</v>
      </c>
      <c r="AB74" s="22">
        <v>2.0560578115078765E-3</v>
      </c>
      <c r="AC74" s="22">
        <v>2.0415305646290247E-3</v>
      </c>
      <c r="AD74" s="22">
        <v>1.4898302888975256E-3</v>
      </c>
      <c r="AE74" s="22">
        <v>1.0571314952279958E-2</v>
      </c>
      <c r="AF74" s="22">
        <v>1.0201912858660999E-2</v>
      </c>
      <c r="AG74" s="21">
        <v>68</v>
      </c>
      <c r="AH74" s="21">
        <v>70</v>
      </c>
      <c r="AI74" s="21">
        <v>46</v>
      </c>
      <c r="AJ74" s="21">
        <v>319</v>
      </c>
      <c r="AK74" s="21">
        <v>288</v>
      </c>
      <c r="AL74" s="22">
        <v>1</v>
      </c>
      <c r="AM74" s="22">
        <v>1</v>
      </c>
      <c r="AN74" s="22">
        <v>1</v>
      </c>
      <c r="AO74" s="22">
        <v>1</v>
      </c>
      <c r="AP74" s="22">
        <v>1</v>
      </c>
    </row>
    <row r="75" spans="1:42" x14ac:dyDescent="0.25">
      <c r="A75" s="20" t="s">
        <v>27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1"/>
      <c r="W75" s="21">
        <v>3</v>
      </c>
      <c r="X75" s="21">
        <v>0</v>
      </c>
      <c r="Y75" s="21">
        <v>0</v>
      </c>
      <c r="Z75" s="21">
        <v>0</v>
      </c>
      <c r="AA75" s="21">
        <v>0</v>
      </c>
      <c r="AB75" s="22">
        <v>9.0708432860641617E-5</v>
      </c>
      <c r="AC75" s="22">
        <v>0</v>
      </c>
      <c r="AD75" s="22">
        <v>0</v>
      </c>
      <c r="AE75" s="22">
        <v>0</v>
      </c>
      <c r="AF75" s="22">
        <v>0</v>
      </c>
      <c r="AG75" s="21">
        <v>3</v>
      </c>
      <c r="AH75" s="21">
        <v>0</v>
      </c>
      <c r="AI75" s="21">
        <v>0</v>
      </c>
      <c r="AJ75" s="21">
        <v>0</v>
      </c>
      <c r="AK75" s="21">
        <v>0</v>
      </c>
      <c r="AL75" s="22">
        <v>1</v>
      </c>
      <c r="AM75" s="22">
        <v>0</v>
      </c>
      <c r="AN75" s="22">
        <v>0</v>
      </c>
      <c r="AO75" s="22">
        <v>0</v>
      </c>
      <c r="AP75" s="22">
        <v>0</v>
      </c>
    </row>
    <row r="76" spans="1:42" x14ac:dyDescent="0.25">
      <c r="A76" s="20" t="s">
        <v>29</v>
      </c>
      <c r="B76" s="21">
        <v>78</v>
      </c>
      <c r="C76" s="21">
        <v>126</v>
      </c>
      <c r="D76" s="21">
        <v>288</v>
      </c>
      <c r="E76" s="21">
        <v>328</v>
      </c>
      <c r="F76" s="21">
        <v>336</v>
      </c>
      <c r="G76" s="22">
        <v>2.6330891536981401E-3</v>
      </c>
      <c r="H76" s="22">
        <v>4.463336875664187E-3</v>
      </c>
      <c r="I76" s="22">
        <v>9.9217969476694118E-3</v>
      </c>
      <c r="J76" s="22">
        <v>1.1113746484600007E-2</v>
      </c>
      <c r="K76" s="22">
        <v>1.0755786036684914E-2</v>
      </c>
      <c r="L76" s="21">
        <v>78</v>
      </c>
      <c r="M76" s="21">
        <v>126</v>
      </c>
      <c r="N76" s="21">
        <v>288</v>
      </c>
      <c r="O76" s="21">
        <v>328</v>
      </c>
      <c r="P76" s="21">
        <v>326</v>
      </c>
      <c r="Q76" s="22">
        <v>1</v>
      </c>
      <c r="R76" s="22">
        <v>1</v>
      </c>
      <c r="S76" s="22">
        <v>1</v>
      </c>
      <c r="T76" s="22">
        <v>1</v>
      </c>
      <c r="U76" s="22">
        <v>0.97023809523809523</v>
      </c>
      <c r="V76" s="21"/>
      <c r="W76" s="21">
        <v>4</v>
      </c>
      <c r="X76" s="21">
        <v>281</v>
      </c>
      <c r="Y76" s="21">
        <v>104</v>
      </c>
      <c r="Z76" s="21">
        <v>167</v>
      </c>
      <c r="AA76" s="21">
        <v>126</v>
      </c>
      <c r="AB76" s="22">
        <v>1.2094457714752214E-4</v>
      </c>
      <c r="AC76" s="22">
        <v>8.195286980867942E-3</v>
      </c>
      <c r="AD76" s="22">
        <v>3.3683119575074493E-3</v>
      </c>
      <c r="AE76" s="22">
        <v>5.5341993637327679E-3</v>
      </c>
      <c r="AF76" s="22">
        <v>4.463336875664187E-3</v>
      </c>
      <c r="AG76" s="21">
        <v>4</v>
      </c>
      <c r="AH76" s="21">
        <v>281</v>
      </c>
      <c r="AI76" s="21">
        <v>104</v>
      </c>
      <c r="AJ76" s="21">
        <v>167</v>
      </c>
      <c r="AK76" s="21">
        <v>126</v>
      </c>
      <c r="AL76" s="22">
        <v>1</v>
      </c>
      <c r="AM76" s="22">
        <v>1</v>
      </c>
      <c r="AN76" s="22">
        <v>1</v>
      </c>
      <c r="AO76" s="22">
        <v>1</v>
      </c>
      <c r="AP76" s="22">
        <v>1</v>
      </c>
    </row>
    <row r="77" spans="1:42" x14ac:dyDescent="0.25">
      <c r="A77" s="20" t="s">
        <v>30</v>
      </c>
      <c r="B77" s="21">
        <v>37</v>
      </c>
      <c r="C77" s="21">
        <v>75</v>
      </c>
      <c r="D77" s="21">
        <v>142</v>
      </c>
      <c r="E77" s="21">
        <v>174</v>
      </c>
      <c r="F77" s="21">
        <v>0</v>
      </c>
      <c r="G77" s="22">
        <v>1.2490294703439895E-3</v>
      </c>
      <c r="H77" s="22">
        <v>2.6567481402763019E-3</v>
      </c>
      <c r="I77" s="22">
        <v>4.8919971061425569E-3</v>
      </c>
      <c r="J77" s="22">
        <v>5.8957069765865891E-3</v>
      </c>
      <c r="K77" s="22">
        <v>0</v>
      </c>
      <c r="L77" s="21">
        <v>37</v>
      </c>
      <c r="M77" s="21">
        <v>75</v>
      </c>
      <c r="N77" s="21">
        <v>142</v>
      </c>
      <c r="O77" s="21">
        <v>174</v>
      </c>
      <c r="P77" s="21">
        <v>0</v>
      </c>
      <c r="Q77" s="22">
        <v>1</v>
      </c>
      <c r="R77" s="22">
        <v>1</v>
      </c>
      <c r="S77" s="22">
        <v>1</v>
      </c>
      <c r="T77" s="22">
        <v>1</v>
      </c>
      <c r="U77" s="22">
        <v>0</v>
      </c>
      <c r="V77" s="21"/>
      <c r="W77" s="21">
        <v>0</v>
      </c>
      <c r="X77" s="21">
        <v>26</v>
      </c>
      <c r="Y77" s="21">
        <v>96</v>
      </c>
      <c r="Z77" s="21">
        <v>77</v>
      </c>
      <c r="AA77" s="21">
        <v>75</v>
      </c>
      <c r="AB77" s="22">
        <v>0</v>
      </c>
      <c r="AC77" s="22">
        <v>7.5828278114792346E-4</v>
      </c>
      <c r="AD77" s="22">
        <v>3.1092110376991838E-3</v>
      </c>
      <c r="AE77" s="22">
        <v>2.5516967126192999E-3</v>
      </c>
      <c r="AF77" s="22">
        <v>2.6567481402763019E-3</v>
      </c>
      <c r="AG77" s="21">
        <v>0</v>
      </c>
      <c r="AH77" s="21">
        <v>26</v>
      </c>
      <c r="AI77" s="21">
        <v>96</v>
      </c>
      <c r="AJ77" s="21">
        <v>77</v>
      </c>
      <c r="AK77" s="21">
        <v>75</v>
      </c>
      <c r="AL77" s="22">
        <v>0</v>
      </c>
      <c r="AM77" s="22">
        <v>1</v>
      </c>
      <c r="AN77" s="22">
        <v>1</v>
      </c>
      <c r="AO77" s="22">
        <v>1</v>
      </c>
      <c r="AP77" s="22">
        <v>1</v>
      </c>
    </row>
    <row r="78" spans="1:42" x14ac:dyDescent="0.25">
      <c r="A78" s="20" t="s">
        <v>87</v>
      </c>
      <c r="B78" s="21">
        <v>3</v>
      </c>
      <c r="C78" s="21">
        <v>0</v>
      </c>
      <c r="D78" s="21">
        <v>0</v>
      </c>
      <c r="E78" s="21">
        <v>0</v>
      </c>
      <c r="F78" s="21">
        <v>0</v>
      </c>
      <c r="G78" s="22">
        <v>1.0127265975762077E-4</v>
      </c>
      <c r="H78" s="22">
        <v>0</v>
      </c>
      <c r="I78" s="22">
        <v>0</v>
      </c>
      <c r="J78" s="22">
        <v>0</v>
      </c>
      <c r="K78" s="22">
        <v>0</v>
      </c>
      <c r="L78" s="21">
        <v>3</v>
      </c>
      <c r="M78" s="21">
        <v>0</v>
      </c>
      <c r="N78" s="21">
        <v>0</v>
      </c>
      <c r="O78" s="21">
        <v>0</v>
      </c>
      <c r="P78" s="21">
        <v>0</v>
      </c>
      <c r="Q78" s="22">
        <v>1</v>
      </c>
      <c r="R78" s="22">
        <v>0</v>
      </c>
      <c r="S78" s="22">
        <v>0</v>
      </c>
      <c r="T78" s="22">
        <v>0</v>
      </c>
      <c r="U78" s="22">
        <v>0</v>
      </c>
      <c r="V78" s="21"/>
      <c r="W78" s="21">
        <v>0</v>
      </c>
      <c r="X78" s="21">
        <v>86</v>
      </c>
      <c r="Y78" s="21">
        <v>133</v>
      </c>
      <c r="Z78" s="21">
        <v>39</v>
      </c>
      <c r="AA78" s="21">
        <v>0</v>
      </c>
      <c r="AB78" s="22">
        <v>0</v>
      </c>
      <c r="AC78" s="22">
        <v>2.5081661222585163E-3</v>
      </c>
      <c r="AD78" s="22">
        <v>4.3075527918124109E-3</v>
      </c>
      <c r="AE78" s="22">
        <v>1.2924178154825026E-3</v>
      </c>
      <c r="AF78" s="22">
        <v>0</v>
      </c>
      <c r="AG78" s="21">
        <v>0</v>
      </c>
      <c r="AH78" s="21">
        <v>86</v>
      </c>
      <c r="AI78" s="21">
        <v>133</v>
      </c>
      <c r="AJ78" s="21">
        <v>39</v>
      </c>
      <c r="AK78" s="21">
        <v>0</v>
      </c>
      <c r="AL78" s="22">
        <v>0</v>
      </c>
      <c r="AM78" s="22">
        <v>1</v>
      </c>
      <c r="AN78" s="22">
        <v>1</v>
      </c>
      <c r="AO78" s="22">
        <v>1</v>
      </c>
      <c r="AP78" s="22">
        <v>0</v>
      </c>
    </row>
    <row r="79" spans="1:42" x14ac:dyDescent="0.25">
      <c r="A79" s="20" t="s">
        <v>89</v>
      </c>
      <c r="B79" s="21">
        <v>2</v>
      </c>
      <c r="C79" s="21">
        <v>2</v>
      </c>
      <c r="D79" s="21">
        <v>2</v>
      </c>
      <c r="E79" s="21">
        <v>2</v>
      </c>
      <c r="F79" s="21">
        <v>3</v>
      </c>
      <c r="G79" s="22">
        <v>6.7515106505080518E-5</v>
      </c>
      <c r="H79" s="22">
        <v>7.0846617074034712E-5</v>
      </c>
      <c r="I79" s="22">
        <v>6.8901367692148684E-5</v>
      </c>
      <c r="J79" s="22">
        <v>6.7766746857317108E-5</v>
      </c>
      <c r="K79" s="22">
        <v>9.6033803898972435E-5</v>
      </c>
      <c r="L79" s="21">
        <v>2</v>
      </c>
      <c r="M79" s="21">
        <v>2</v>
      </c>
      <c r="N79" s="21">
        <v>2</v>
      </c>
      <c r="O79" s="21">
        <v>2</v>
      </c>
      <c r="P79" s="21">
        <v>3</v>
      </c>
      <c r="Q79" s="22">
        <v>1</v>
      </c>
      <c r="R79" s="22">
        <v>1</v>
      </c>
      <c r="S79" s="22">
        <v>1</v>
      </c>
      <c r="T79" s="22">
        <v>1</v>
      </c>
      <c r="U79" s="22">
        <v>1</v>
      </c>
      <c r="V79" s="21"/>
      <c r="W79" s="21">
        <v>0</v>
      </c>
      <c r="X79" s="21">
        <v>0</v>
      </c>
      <c r="Y79" s="21">
        <v>0</v>
      </c>
      <c r="Z79" s="21">
        <v>0</v>
      </c>
      <c r="AA79" s="21">
        <v>2</v>
      </c>
      <c r="AB79" s="22">
        <v>0</v>
      </c>
      <c r="AC79" s="22">
        <v>0</v>
      </c>
      <c r="AD79" s="22">
        <v>0</v>
      </c>
      <c r="AE79" s="22">
        <v>0</v>
      </c>
      <c r="AF79" s="22">
        <v>7.0846617074034712E-5</v>
      </c>
      <c r="AG79" s="21">
        <v>0</v>
      </c>
      <c r="AH79" s="21">
        <v>0</v>
      </c>
      <c r="AI79" s="21">
        <v>0</v>
      </c>
      <c r="AJ79" s="21">
        <v>0</v>
      </c>
      <c r="AK79" s="21">
        <v>2</v>
      </c>
      <c r="AL79" s="22">
        <v>0</v>
      </c>
      <c r="AM79" s="22">
        <v>0</v>
      </c>
      <c r="AN79" s="22">
        <v>0</v>
      </c>
      <c r="AO79" s="22">
        <v>0</v>
      </c>
      <c r="AP79" s="22">
        <v>1</v>
      </c>
    </row>
    <row r="80" spans="1:42" x14ac:dyDescent="0.25">
      <c r="A80" s="20" t="s">
        <v>31</v>
      </c>
      <c r="B80" s="21">
        <v>2</v>
      </c>
      <c r="C80" s="21">
        <v>2</v>
      </c>
      <c r="D80" s="21">
        <v>2</v>
      </c>
      <c r="E80" s="21">
        <v>1</v>
      </c>
      <c r="F80" s="21">
        <v>1</v>
      </c>
      <c r="G80" s="22">
        <v>6.7515106505080518E-5</v>
      </c>
      <c r="H80" s="22">
        <v>7.0846617074034712E-5</v>
      </c>
      <c r="I80" s="22">
        <v>6.8901367692148684E-5</v>
      </c>
      <c r="J80" s="22">
        <v>3.3883373428658554E-5</v>
      </c>
      <c r="K80" s="22">
        <v>3.2011267966324147E-5</v>
      </c>
      <c r="L80" s="21">
        <v>2</v>
      </c>
      <c r="M80" s="21">
        <v>2</v>
      </c>
      <c r="N80" s="21">
        <v>2</v>
      </c>
      <c r="O80" s="21">
        <v>1</v>
      </c>
      <c r="P80" s="21">
        <v>1</v>
      </c>
      <c r="Q80" s="22">
        <v>1</v>
      </c>
      <c r="R80" s="22">
        <v>1</v>
      </c>
      <c r="S80" s="22">
        <v>1</v>
      </c>
      <c r="T80" s="22">
        <v>1</v>
      </c>
      <c r="U80" s="22">
        <v>1</v>
      </c>
      <c r="V80" s="21"/>
      <c r="W80" s="21">
        <v>0</v>
      </c>
      <c r="X80" s="21">
        <v>0</v>
      </c>
      <c r="Y80" s="21">
        <v>0</v>
      </c>
      <c r="Z80" s="21">
        <v>1</v>
      </c>
      <c r="AA80" s="21">
        <v>2</v>
      </c>
      <c r="AB80" s="22">
        <v>0</v>
      </c>
      <c r="AC80" s="22">
        <v>0</v>
      </c>
      <c r="AD80" s="22">
        <v>0</v>
      </c>
      <c r="AE80" s="22">
        <v>3.3138918345705199E-5</v>
      </c>
      <c r="AF80" s="22">
        <v>7.0846617074034712E-5</v>
      </c>
      <c r="AG80" s="21">
        <v>0</v>
      </c>
      <c r="AH80" s="21">
        <v>0</v>
      </c>
      <c r="AI80" s="21">
        <v>0</v>
      </c>
      <c r="AJ80" s="21">
        <v>1</v>
      </c>
      <c r="AK80" s="21">
        <v>2</v>
      </c>
      <c r="AL80" s="22">
        <v>0</v>
      </c>
      <c r="AM80" s="22">
        <v>0</v>
      </c>
      <c r="AN80" s="22">
        <v>0</v>
      </c>
      <c r="AO80" s="22">
        <v>1</v>
      </c>
      <c r="AP80" s="22">
        <v>1</v>
      </c>
    </row>
    <row r="81" spans="1:42" x14ac:dyDescent="0.25">
      <c r="A81" s="20" t="s">
        <v>35</v>
      </c>
      <c r="B81" s="21">
        <v>7901</v>
      </c>
      <c r="C81" s="21">
        <v>6080</v>
      </c>
      <c r="D81" s="21">
        <v>6044</v>
      </c>
      <c r="E81" s="21">
        <v>5892</v>
      </c>
      <c r="F81" s="21">
        <v>8102</v>
      </c>
      <c r="G81" s="22">
        <v>0.26671842824832054</v>
      </c>
      <c r="H81" s="22">
        <v>0.21537371590506554</v>
      </c>
      <c r="I81" s="22">
        <v>0.20821993316567333</v>
      </c>
      <c r="J81" s="22">
        <v>0.19964083624165621</v>
      </c>
      <c r="K81" s="22">
        <v>0.25935529306315824</v>
      </c>
      <c r="L81" s="21">
        <v>7901</v>
      </c>
      <c r="M81" s="21">
        <v>6080</v>
      </c>
      <c r="N81" s="21">
        <v>6044</v>
      </c>
      <c r="O81" s="21">
        <v>5892</v>
      </c>
      <c r="P81" s="21">
        <v>7848</v>
      </c>
      <c r="Q81" s="22">
        <v>1</v>
      </c>
      <c r="R81" s="22">
        <v>1</v>
      </c>
      <c r="S81" s="22">
        <v>1</v>
      </c>
      <c r="T81" s="22">
        <v>1</v>
      </c>
      <c r="U81" s="22">
        <v>0.9686497161194767</v>
      </c>
      <c r="V81" s="21"/>
      <c r="W81" s="21">
        <v>14492</v>
      </c>
      <c r="X81" s="21">
        <v>14281</v>
      </c>
      <c r="Y81" s="21">
        <v>10435</v>
      </c>
      <c r="Z81" s="21">
        <v>9178</v>
      </c>
      <c r="AA81" s="21">
        <v>6080</v>
      </c>
      <c r="AB81" s="22">
        <v>0.43818220300547273</v>
      </c>
      <c r="AC81" s="22">
        <v>0.4165013999066729</v>
      </c>
      <c r="AD81" s="22">
        <v>0.33796476227490607</v>
      </c>
      <c r="AE81" s="22">
        <v>0.30414899257688227</v>
      </c>
      <c r="AF81" s="22">
        <v>0.21537371590506554</v>
      </c>
      <c r="AG81" s="21">
        <v>14492</v>
      </c>
      <c r="AH81" s="21">
        <v>14281</v>
      </c>
      <c r="AI81" s="21">
        <v>10435</v>
      </c>
      <c r="AJ81" s="21">
        <v>9178</v>
      </c>
      <c r="AK81" s="21">
        <v>6080</v>
      </c>
      <c r="AL81" s="22">
        <v>1</v>
      </c>
      <c r="AM81" s="22">
        <v>1</v>
      </c>
      <c r="AN81" s="22">
        <v>1</v>
      </c>
      <c r="AO81" s="22">
        <v>1</v>
      </c>
      <c r="AP81" s="22">
        <v>1</v>
      </c>
    </row>
    <row r="82" spans="1:42" x14ac:dyDescent="0.25">
      <c r="A82" s="20" t="s">
        <v>84</v>
      </c>
      <c r="B82" s="21">
        <v>0</v>
      </c>
      <c r="C82" s="21">
        <v>0</v>
      </c>
      <c r="D82" s="21">
        <v>0</v>
      </c>
      <c r="E82" s="21">
        <v>3</v>
      </c>
      <c r="F82" s="21">
        <v>3</v>
      </c>
      <c r="G82" s="22">
        <v>0</v>
      </c>
      <c r="H82" s="22">
        <v>0</v>
      </c>
      <c r="I82" s="22">
        <v>0</v>
      </c>
      <c r="J82" s="22">
        <v>1.0165012028597567E-4</v>
      </c>
      <c r="K82" s="22">
        <v>9.6033803898972435E-5</v>
      </c>
      <c r="L82" s="21">
        <v>0</v>
      </c>
      <c r="M82" s="21">
        <v>0</v>
      </c>
      <c r="N82" s="21">
        <v>0</v>
      </c>
      <c r="O82" s="21">
        <v>3</v>
      </c>
      <c r="P82" s="21">
        <v>3</v>
      </c>
      <c r="Q82" s="22">
        <v>0</v>
      </c>
      <c r="R82" s="22">
        <v>0</v>
      </c>
      <c r="S82" s="22">
        <v>0</v>
      </c>
      <c r="T82" s="22">
        <v>1</v>
      </c>
      <c r="U82" s="22">
        <v>1</v>
      </c>
      <c r="V82" s="21"/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</row>
    <row r="83" spans="1:42" x14ac:dyDescent="0.25">
      <c r="A83" s="20" t="s">
        <v>85</v>
      </c>
      <c r="B83" s="21">
        <v>1741</v>
      </c>
      <c r="C83" s="21">
        <v>1745</v>
      </c>
      <c r="D83" s="21">
        <v>1459</v>
      </c>
      <c r="E83" s="21">
        <v>1469</v>
      </c>
      <c r="F83" s="21">
        <v>1475</v>
      </c>
      <c r="G83" s="22">
        <v>5.8771900212672583E-2</v>
      </c>
      <c r="H83" s="22">
        <v>6.1813673397095287E-2</v>
      </c>
      <c r="I83" s="22">
        <v>5.026354773142247E-2</v>
      </c>
      <c r="J83" s="22">
        <v>4.9774675566699421E-2</v>
      </c>
      <c r="K83" s="22">
        <v>4.7216620250328113E-2</v>
      </c>
      <c r="L83" s="21">
        <v>1741</v>
      </c>
      <c r="M83" s="21">
        <v>1745</v>
      </c>
      <c r="N83" s="21">
        <v>1459</v>
      </c>
      <c r="O83" s="21">
        <v>1469</v>
      </c>
      <c r="P83" s="21">
        <v>1474</v>
      </c>
      <c r="Q83" s="22">
        <v>1</v>
      </c>
      <c r="R83" s="22">
        <v>1</v>
      </c>
      <c r="S83" s="22">
        <v>1</v>
      </c>
      <c r="T83" s="22">
        <v>1</v>
      </c>
      <c r="U83" s="22">
        <v>0.9993220338983051</v>
      </c>
      <c r="V83" s="21"/>
      <c r="W83" s="21">
        <v>909</v>
      </c>
      <c r="X83" s="21">
        <v>1299</v>
      </c>
      <c r="Y83" s="21">
        <v>1714</v>
      </c>
      <c r="Z83" s="21">
        <v>1741</v>
      </c>
      <c r="AA83" s="21">
        <v>1745</v>
      </c>
      <c r="AB83" s="22">
        <v>2.748465515677441E-2</v>
      </c>
      <c r="AC83" s="22">
        <v>3.7884974335044327E-2</v>
      </c>
      <c r="AD83" s="22">
        <v>5.5512372068920846E-2</v>
      </c>
      <c r="AE83" s="22">
        <v>5.7694856839872743E-2</v>
      </c>
      <c r="AF83" s="22">
        <v>6.1813673397095287E-2</v>
      </c>
      <c r="AG83" s="21">
        <v>909</v>
      </c>
      <c r="AH83" s="21">
        <v>1299</v>
      </c>
      <c r="AI83" s="21">
        <v>1714</v>
      </c>
      <c r="AJ83" s="21">
        <v>1741</v>
      </c>
      <c r="AK83" s="21">
        <v>1745</v>
      </c>
      <c r="AL83" s="22">
        <v>1</v>
      </c>
      <c r="AM83" s="22">
        <v>1</v>
      </c>
      <c r="AN83" s="22">
        <v>1</v>
      </c>
      <c r="AO83" s="22">
        <v>1</v>
      </c>
      <c r="AP83" s="22">
        <v>1</v>
      </c>
    </row>
    <row r="84" spans="1:42" x14ac:dyDescent="0.25">
      <c r="A84" s="20" t="s">
        <v>39</v>
      </c>
      <c r="B84" s="21">
        <v>0</v>
      </c>
      <c r="C84" s="21">
        <v>0</v>
      </c>
      <c r="D84" s="21">
        <v>1</v>
      </c>
      <c r="E84" s="21">
        <v>5</v>
      </c>
      <c r="F84" s="21">
        <v>8</v>
      </c>
      <c r="G84" s="22">
        <v>0</v>
      </c>
      <c r="H84" s="22">
        <v>0</v>
      </c>
      <c r="I84" s="22">
        <v>3.4450683846074342E-5</v>
      </c>
      <c r="J84" s="22">
        <v>1.6941686714329278E-4</v>
      </c>
      <c r="K84" s="22">
        <v>2.5609014373059318E-4</v>
      </c>
      <c r="L84" s="21">
        <v>0</v>
      </c>
      <c r="M84" s="21">
        <v>0</v>
      </c>
      <c r="N84" s="21">
        <v>1</v>
      </c>
      <c r="O84" s="21">
        <v>5</v>
      </c>
      <c r="P84" s="21">
        <v>8</v>
      </c>
      <c r="Q84" s="22">
        <v>0</v>
      </c>
      <c r="R84" s="22">
        <v>0</v>
      </c>
      <c r="S84" s="22">
        <v>1</v>
      </c>
      <c r="T84" s="22">
        <v>1</v>
      </c>
      <c r="U84" s="22">
        <v>1</v>
      </c>
      <c r="V84" s="21"/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</row>
    <row r="85" spans="1:42" x14ac:dyDescent="0.25">
      <c r="A85" s="20" t="s">
        <v>40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1"/>
      <c r="W85" s="21">
        <v>2</v>
      </c>
      <c r="X85" s="21">
        <v>90</v>
      </c>
      <c r="Y85" s="21">
        <v>0</v>
      </c>
      <c r="Z85" s="21">
        <v>0</v>
      </c>
      <c r="AA85" s="21">
        <v>0</v>
      </c>
      <c r="AB85" s="22">
        <v>6.0472288573761071E-5</v>
      </c>
      <c r="AC85" s="22">
        <v>2.6248250116658891E-3</v>
      </c>
      <c r="AD85" s="22">
        <v>0</v>
      </c>
      <c r="AE85" s="22">
        <v>0</v>
      </c>
      <c r="AF85" s="22">
        <v>0</v>
      </c>
      <c r="AG85" s="21">
        <v>2</v>
      </c>
      <c r="AH85" s="21">
        <v>90</v>
      </c>
      <c r="AI85" s="21">
        <v>0</v>
      </c>
      <c r="AJ85" s="21">
        <v>0</v>
      </c>
      <c r="AK85" s="21">
        <v>0</v>
      </c>
      <c r="AL85" s="22">
        <v>1</v>
      </c>
      <c r="AM85" s="22">
        <v>1</v>
      </c>
      <c r="AN85" s="22">
        <v>0</v>
      </c>
      <c r="AO85" s="22">
        <v>0</v>
      </c>
      <c r="AP85" s="22">
        <v>0</v>
      </c>
    </row>
    <row r="86" spans="1:42" x14ac:dyDescent="0.25">
      <c r="A86" s="20" t="s">
        <v>90</v>
      </c>
      <c r="B86" s="21">
        <v>1</v>
      </c>
      <c r="C86" s="21">
        <v>2</v>
      </c>
      <c r="D86" s="21">
        <v>2</v>
      </c>
      <c r="E86" s="21">
        <v>2</v>
      </c>
      <c r="F86" s="21">
        <v>0</v>
      </c>
      <c r="G86" s="22">
        <v>3.3757553252540259E-5</v>
      </c>
      <c r="H86" s="22">
        <v>7.0846617074034712E-5</v>
      </c>
      <c r="I86" s="22">
        <v>6.8901367692148684E-5</v>
      </c>
      <c r="J86" s="22">
        <v>6.7766746857317108E-5</v>
      </c>
      <c r="K86" s="22">
        <v>0</v>
      </c>
      <c r="L86" s="21">
        <v>1</v>
      </c>
      <c r="M86" s="21">
        <v>2</v>
      </c>
      <c r="N86" s="21">
        <v>2</v>
      </c>
      <c r="O86" s="21">
        <v>2</v>
      </c>
      <c r="P86" s="21">
        <v>0</v>
      </c>
      <c r="Q86" s="22">
        <v>1</v>
      </c>
      <c r="R86" s="22">
        <v>1</v>
      </c>
      <c r="S86" s="22">
        <v>1</v>
      </c>
      <c r="T86" s="22">
        <v>1</v>
      </c>
      <c r="U86" s="22">
        <v>0</v>
      </c>
      <c r="V86" s="21"/>
      <c r="W86" s="21">
        <v>1</v>
      </c>
      <c r="X86" s="21">
        <v>1</v>
      </c>
      <c r="Y86" s="21">
        <v>1</v>
      </c>
      <c r="Z86" s="21">
        <v>1</v>
      </c>
      <c r="AA86" s="21">
        <v>2</v>
      </c>
      <c r="AB86" s="22">
        <v>3.0236144286880536E-5</v>
      </c>
      <c r="AC86" s="22">
        <v>2.9164722351843211E-5</v>
      </c>
      <c r="AD86" s="22">
        <v>3.2387614976033165E-5</v>
      </c>
      <c r="AE86" s="22">
        <v>3.3138918345705199E-5</v>
      </c>
      <c r="AF86" s="22">
        <v>7.0846617074034712E-5</v>
      </c>
      <c r="AG86" s="21">
        <v>1</v>
      </c>
      <c r="AH86" s="21">
        <v>1</v>
      </c>
      <c r="AI86" s="21">
        <v>1</v>
      </c>
      <c r="AJ86" s="21">
        <v>1</v>
      </c>
      <c r="AK86" s="21">
        <v>2</v>
      </c>
      <c r="AL86" s="22">
        <v>1</v>
      </c>
      <c r="AM86" s="22">
        <v>1</v>
      </c>
      <c r="AN86" s="22">
        <v>1</v>
      </c>
      <c r="AO86" s="22">
        <v>1</v>
      </c>
      <c r="AP86" s="22">
        <v>1</v>
      </c>
    </row>
    <row r="87" spans="1:42" x14ac:dyDescent="0.25">
      <c r="A87" s="20" t="s">
        <v>41</v>
      </c>
      <c r="B87" s="21">
        <v>1</v>
      </c>
      <c r="C87" s="21">
        <v>1</v>
      </c>
      <c r="D87" s="21">
        <v>1</v>
      </c>
      <c r="E87" s="21">
        <v>1</v>
      </c>
      <c r="F87" s="21">
        <v>1</v>
      </c>
      <c r="G87" s="22">
        <v>3.3757553252540259E-5</v>
      </c>
      <c r="H87" s="22">
        <v>3.5423308537017356E-5</v>
      </c>
      <c r="I87" s="22">
        <v>3.4450683846074342E-5</v>
      </c>
      <c r="J87" s="22">
        <v>3.3883373428658554E-5</v>
      </c>
      <c r="K87" s="22">
        <v>3.2011267966324147E-5</v>
      </c>
      <c r="L87" s="21">
        <v>1</v>
      </c>
      <c r="M87" s="21">
        <v>1</v>
      </c>
      <c r="N87" s="21">
        <v>1</v>
      </c>
      <c r="O87" s="21">
        <v>1</v>
      </c>
      <c r="P87" s="21">
        <v>1</v>
      </c>
      <c r="Q87" s="22">
        <v>1</v>
      </c>
      <c r="R87" s="22">
        <v>1</v>
      </c>
      <c r="S87" s="22">
        <v>1</v>
      </c>
      <c r="T87" s="22">
        <v>1</v>
      </c>
      <c r="U87" s="22">
        <v>1</v>
      </c>
      <c r="V87" s="21"/>
      <c r="W87" s="21">
        <v>0</v>
      </c>
      <c r="X87" s="21">
        <v>0</v>
      </c>
      <c r="Y87" s="21">
        <v>0</v>
      </c>
      <c r="Z87" s="21">
        <v>1</v>
      </c>
      <c r="AA87" s="21">
        <v>1</v>
      </c>
      <c r="AB87" s="22">
        <v>0</v>
      </c>
      <c r="AC87" s="22">
        <v>0</v>
      </c>
      <c r="AD87" s="22">
        <v>0</v>
      </c>
      <c r="AE87" s="22">
        <v>3.3138918345705199E-5</v>
      </c>
      <c r="AF87" s="22">
        <v>3.5423308537017356E-5</v>
      </c>
      <c r="AG87" s="21">
        <v>0</v>
      </c>
      <c r="AH87" s="21">
        <v>0</v>
      </c>
      <c r="AI87" s="21">
        <v>0</v>
      </c>
      <c r="AJ87" s="21">
        <v>1</v>
      </c>
      <c r="AK87" s="21">
        <v>1</v>
      </c>
      <c r="AL87" s="22">
        <v>0</v>
      </c>
      <c r="AM87" s="22">
        <v>0</v>
      </c>
      <c r="AN87" s="22">
        <v>0</v>
      </c>
      <c r="AO87" s="22">
        <v>1</v>
      </c>
      <c r="AP87" s="22">
        <v>1</v>
      </c>
    </row>
    <row r="88" spans="1:42" x14ac:dyDescent="0.25">
      <c r="A88" s="20" t="s">
        <v>42</v>
      </c>
      <c r="B88" s="21">
        <v>0</v>
      </c>
      <c r="C88" s="21">
        <v>0</v>
      </c>
      <c r="D88" s="21">
        <v>0</v>
      </c>
      <c r="E88" s="21">
        <v>0</v>
      </c>
      <c r="F88" s="21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1"/>
      <c r="W88" s="21">
        <v>1</v>
      </c>
      <c r="X88" s="21">
        <v>0</v>
      </c>
      <c r="Y88" s="21">
        <v>1</v>
      </c>
      <c r="Z88" s="21">
        <v>5</v>
      </c>
      <c r="AA88" s="21">
        <v>0</v>
      </c>
      <c r="AB88" s="22">
        <v>3.0236144286880536E-5</v>
      </c>
      <c r="AC88" s="22">
        <v>0</v>
      </c>
      <c r="AD88" s="22">
        <v>3.2387614976033165E-5</v>
      </c>
      <c r="AE88" s="22">
        <v>1.6569459172852599E-4</v>
      </c>
      <c r="AF88" s="22">
        <v>0</v>
      </c>
      <c r="AG88" s="21">
        <v>1</v>
      </c>
      <c r="AH88" s="21">
        <v>0</v>
      </c>
      <c r="AI88" s="21">
        <v>1</v>
      </c>
      <c r="AJ88" s="21">
        <v>5</v>
      </c>
      <c r="AK88" s="21">
        <v>0</v>
      </c>
      <c r="AL88" s="22">
        <v>1</v>
      </c>
      <c r="AM88" s="22">
        <v>0</v>
      </c>
      <c r="AN88" s="22">
        <v>1</v>
      </c>
      <c r="AO88" s="22">
        <v>1</v>
      </c>
      <c r="AP88" s="22">
        <v>0</v>
      </c>
    </row>
    <row r="89" spans="1:42" x14ac:dyDescent="0.25">
      <c r="A89" s="20" t="s">
        <v>91</v>
      </c>
      <c r="B89" s="21">
        <v>3</v>
      </c>
      <c r="C89" s="21">
        <v>3</v>
      </c>
      <c r="D89" s="21">
        <v>2</v>
      </c>
      <c r="E89" s="21">
        <v>2</v>
      </c>
      <c r="F89" s="21">
        <v>2</v>
      </c>
      <c r="G89" s="22">
        <v>1.0127265975762077E-4</v>
      </c>
      <c r="H89" s="22">
        <v>1.0626992561105207E-4</v>
      </c>
      <c r="I89" s="22">
        <v>6.8901367692148684E-5</v>
      </c>
      <c r="J89" s="22">
        <v>6.7766746857317108E-5</v>
      </c>
      <c r="K89" s="22">
        <v>6.4022535932648295E-5</v>
      </c>
      <c r="L89" s="21">
        <v>3</v>
      </c>
      <c r="M89" s="21">
        <v>3</v>
      </c>
      <c r="N89" s="21">
        <v>2</v>
      </c>
      <c r="O89" s="21">
        <v>2</v>
      </c>
      <c r="P89" s="21">
        <v>2</v>
      </c>
      <c r="Q89" s="22">
        <v>1</v>
      </c>
      <c r="R89" s="22">
        <v>1</v>
      </c>
      <c r="S89" s="22">
        <v>1</v>
      </c>
      <c r="T89" s="22">
        <v>1</v>
      </c>
      <c r="U89" s="22">
        <v>1</v>
      </c>
      <c r="V89" s="21"/>
      <c r="W89" s="21">
        <v>0</v>
      </c>
      <c r="X89" s="21">
        <v>1</v>
      </c>
      <c r="Y89" s="21">
        <v>1</v>
      </c>
      <c r="Z89" s="21">
        <v>2</v>
      </c>
      <c r="AA89" s="21">
        <v>3</v>
      </c>
      <c r="AB89" s="22">
        <v>0</v>
      </c>
      <c r="AC89" s="22">
        <v>2.9164722351843211E-5</v>
      </c>
      <c r="AD89" s="22">
        <v>3.2387614976033165E-5</v>
      </c>
      <c r="AE89" s="22">
        <v>6.6277836691410399E-5</v>
      </c>
      <c r="AF89" s="22">
        <v>1.0626992561105207E-4</v>
      </c>
      <c r="AG89" s="21">
        <v>0</v>
      </c>
      <c r="AH89" s="21">
        <v>1</v>
      </c>
      <c r="AI89" s="21">
        <v>1</v>
      </c>
      <c r="AJ89" s="21">
        <v>2</v>
      </c>
      <c r="AK89" s="21">
        <v>3</v>
      </c>
      <c r="AL89" s="22">
        <v>0</v>
      </c>
      <c r="AM89" s="22">
        <v>1</v>
      </c>
      <c r="AN89" s="22">
        <v>1</v>
      </c>
      <c r="AO89" s="22">
        <v>1</v>
      </c>
      <c r="AP89" s="22">
        <v>1</v>
      </c>
    </row>
    <row r="90" spans="1:42" x14ac:dyDescent="0.25">
      <c r="A90" s="20" t="s">
        <v>45</v>
      </c>
      <c r="B90" s="21">
        <v>2214</v>
      </c>
      <c r="C90" s="21">
        <v>2228</v>
      </c>
      <c r="D90" s="21">
        <v>2263</v>
      </c>
      <c r="E90" s="21">
        <v>2156</v>
      </c>
      <c r="F90" s="21">
        <v>2171</v>
      </c>
      <c r="G90" s="22">
        <v>7.4739222901124128E-2</v>
      </c>
      <c r="H90" s="22">
        <v>7.8923131420474676E-2</v>
      </c>
      <c r="I90" s="22">
        <v>7.7961897543666239E-2</v>
      </c>
      <c r="J90" s="22">
        <v>7.3052553112187849E-2</v>
      </c>
      <c r="K90" s="22">
        <v>6.9496462754889715E-2</v>
      </c>
      <c r="L90" s="21">
        <v>2214</v>
      </c>
      <c r="M90" s="21">
        <v>2228</v>
      </c>
      <c r="N90" s="21">
        <v>2263</v>
      </c>
      <c r="O90" s="21">
        <v>2156</v>
      </c>
      <c r="P90" s="21">
        <v>2171</v>
      </c>
      <c r="Q90" s="22">
        <v>1</v>
      </c>
      <c r="R90" s="22">
        <v>1</v>
      </c>
      <c r="S90" s="22">
        <v>1</v>
      </c>
      <c r="T90" s="22">
        <v>1</v>
      </c>
      <c r="U90" s="22">
        <v>1</v>
      </c>
      <c r="V90" s="21"/>
      <c r="W90" s="21">
        <v>1951</v>
      </c>
      <c r="X90" s="21">
        <v>2186</v>
      </c>
      <c r="Y90" s="21">
        <v>1675</v>
      </c>
      <c r="Z90" s="21">
        <v>1824</v>
      </c>
      <c r="AA90" s="21">
        <v>2228</v>
      </c>
      <c r="AB90" s="22">
        <v>5.8990717503703931E-2</v>
      </c>
      <c r="AC90" s="22">
        <v>6.3754083061129257E-2</v>
      </c>
      <c r="AD90" s="22">
        <v>5.4249255084855549E-2</v>
      </c>
      <c r="AE90" s="22">
        <v>6.0445387062566275E-2</v>
      </c>
      <c r="AF90" s="22">
        <v>7.8923131420474676E-2</v>
      </c>
      <c r="AG90" s="21">
        <v>1951</v>
      </c>
      <c r="AH90" s="21">
        <v>2186</v>
      </c>
      <c r="AI90" s="21">
        <v>1675</v>
      </c>
      <c r="AJ90" s="21">
        <v>1824</v>
      </c>
      <c r="AK90" s="21">
        <v>2228</v>
      </c>
      <c r="AL90" s="22">
        <v>1</v>
      </c>
      <c r="AM90" s="22">
        <v>1</v>
      </c>
      <c r="AN90" s="22">
        <v>1</v>
      </c>
      <c r="AO90" s="22">
        <v>1</v>
      </c>
      <c r="AP90" s="22">
        <v>1</v>
      </c>
    </row>
    <row r="91" spans="1:42" x14ac:dyDescent="0.25">
      <c r="A91" s="20" t="s">
        <v>46</v>
      </c>
      <c r="B91" s="21">
        <v>424</v>
      </c>
      <c r="C91" s="21">
        <v>329</v>
      </c>
      <c r="D91" s="21">
        <v>501</v>
      </c>
      <c r="E91" s="21">
        <v>520</v>
      </c>
      <c r="F91" s="21">
        <v>549</v>
      </c>
      <c r="G91" s="22">
        <v>1.4313202579077068E-2</v>
      </c>
      <c r="H91" s="22">
        <v>1.1654268508678711E-2</v>
      </c>
      <c r="I91" s="22">
        <v>1.7259792606883248E-2</v>
      </c>
      <c r="J91" s="22">
        <v>1.761935418290245E-2</v>
      </c>
      <c r="K91" s="22">
        <v>1.7574186113511955E-2</v>
      </c>
      <c r="L91" s="21">
        <v>424</v>
      </c>
      <c r="M91" s="21">
        <v>329</v>
      </c>
      <c r="N91" s="21">
        <v>501</v>
      </c>
      <c r="O91" s="21">
        <v>520</v>
      </c>
      <c r="P91" s="21">
        <v>530</v>
      </c>
      <c r="Q91" s="22">
        <v>1</v>
      </c>
      <c r="R91" s="22">
        <v>1</v>
      </c>
      <c r="S91" s="22">
        <v>1</v>
      </c>
      <c r="T91" s="22">
        <v>1</v>
      </c>
      <c r="U91" s="22">
        <v>0.96539162112932608</v>
      </c>
      <c r="V91" s="21"/>
      <c r="W91" s="21">
        <v>0</v>
      </c>
      <c r="X91" s="21">
        <v>5</v>
      </c>
      <c r="Y91" s="21">
        <v>37</v>
      </c>
      <c r="Z91" s="21">
        <v>340</v>
      </c>
      <c r="AA91" s="21">
        <v>329</v>
      </c>
      <c r="AB91" s="22">
        <v>0</v>
      </c>
      <c r="AC91" s="22">
        <v>1.4582361175921604E-4</v>
      </c>
      <c r="AD91" s="22">
        <v>1.1983417541132271E-3</v>
      </c>
      <c r="AE91" s="22">
        <v>1.1267232237539766E-2</v>
      </c>
      <c r="AF91" s="22">
        <v>1.1654268508678711E-2</v>
      </c>
      <c r="AG91" s="21">
        <v>0</v>
      </c>
      <c r="AH91" s="21">
        <v>5</v>
      </c>
      <c r="AI91" s="21">
        <v>37</v>
      </c>
      <c r="AJ91" s="21">
        <v>340</v>
      </c>
      <c r="AK91" s="21">
        <v>329</v>
      </c>
      <c r="AL91" s="22">
        <v>0</v>
      </c>
      <c r="AM91" s="22">
        <v>1</v>
      </c>
      <c r="AN91" s="22">
        <v>1</v>
      </c>
      <c r="AO91" s="22">
        <v>1</v>
      </c>
      <c r="AP91" s="22">
        <v>1</v>
      </c>
    </row>
    <row r="92" spans="1:42" x14ac:dyDescent="0.25">
      <c r="A92" s="20" t="s">
        <v>47</v>
      </c>
      <c r="B92" s="21">
        <v>39</v>
      </c>
      <c r="C92" s="21">
        <v>42</v>
      </c>
      <c r="D92" s="21">
        <v>41</v>
      </c>
      <c r="E92" s="21">
        <v>42</v>
      </c>
      <c r="F92" s="21">
        <v>48</v>
      </c>
      <c r="G92" s="22">
        <v>1.31654457684907E-3</v>
      </c>
      <c r="H92" s="22">
        <v>1.487778958554729E-3</v>
      </c>
      <c r="I92" s="22">
        <v>1.4124780376890481E-3</v>
      </c>
      <c r="J92" s="22">
        <v>1.4231016840036595E-3</v>
      </c>
      <c r="K92" s="22">
        <v>1.536540862383559E-3</v>
      </c>
      <c r="L92" s="21">
        <v>39</v>
      </c>
      <c r="M92" s="21">
        <v>42</v>
      </c>
      <c r="N92" s="21">
        <v>41</v>
      </c>
      <c r="O92" s="21">
        <v>42</v>
      </c>
      <c r="P92" s="21">
        <v>48</v>
      </c>
      <c r="Q92" s="22">
        <v>1</v>
      </c>
      <c r="R92" s="22">
        <v>1</v>
      </c>
      <c r="S92" s="22">
        <v>1</v>
      </c>
      <c r="T92" s="22">
        <v>1</v>
      </c>
      <c r="U92" s="22">
        <v>1</v>
      </c>
      <c r="V92" s="21"/>
      <c r="W92" s="21">
        <v>0</v>
      </c>
      <c r="X92" s="21">
        <v>0</v>
      </c>
      <c r="Y92" s="21">
        <v>0</v>
      </c>
      <c r="Z92" s="21">
        <v>10</v>
      </c>
      <c r="AA92" s="21">
        <v>42</v>
      </c>
      <c r="AB92" s="22">
        <v>0</v>
      </c>
      <c r="AC92" s="22">
        <v>0</v>
      </c>
      <c r="AD92" s="22">
        <v>0</v>
      </c>
      <c r="AE92" s="22">
        <v>3.3138918345705198E-4</v>
      </c>
      <c r="AF92" s="22">
        <v>1.487778958554729E-3</v>
      </c>
      <c r="AG92" s="21">
        <v>0</v>
      </c>
      <c r="AH92" s="21">
        <v>0</v>
      </c>
      <c r="AI92" s="21">
        <v>0</v>
      </c>
      <c r="AJ92" s="21">
        <v>10</v>
      </c>
      <c r="AK92" s="21">
        <v>42</v>
      </c>
      <c r="AL92" s="22">
        <v>0</v>
      </c>
      <c r="AM92" s="22">
        <v>0</v>
      </c>
      <c r="AN92" s="22">
        <v>0</v>
      </c>
      <c r="AO92" s="22">
        <v>1</v>
      </c>
      <c r="AP92" s="22">
        <v>1</v>
      </c>
    </row>
    <row r="93" spans="1:42" x14ac:dyDescent="0.25">
      <c r="A93" s="20" t="s">
        <v>48</v>
      </c>
      <c r="B93" s="21">
        <v>10173</v>
      </c>
      <c r="C93" s="21">
        <v>10458</v>
      </c>
      <c r="D93" s="21">
        <v>10985</v>
      </c>
      <c r="E93" s="21">
        <v>11069</v>
      </c>
      <c r="F93" s="21">
        <v>10307</v>
      </c>
      <c r="G93" s="22">
        <v>0.34341558923809201</v>
      </c>
      <c r="H93" s="22">
        <v>0.37045696068012751</v>
      </c>
      <c r="I93" s="22">
        <v>0.37844076204912669</v>
      </c>
      <c r="J93" s="22">
        <v>0.37505506048182158</v>
      </c>
      <c r="K93" s="22">
        <v>0.32994013892890295</v>
      </c>
      <c r="L93" s="21">
        <v>10173</v>
      </c>
      <c r="M93" s="21">
        <v>10458</v>
      </c>
      <c r="N93" s="21">
        <v>10985</v>
      </c>
      <c r="O93" s="21">
        <v>11069</v>
      </c>
      <c r="P93" s="21">
        <v>9981</v>
      </c>
      <c r="Q93" s="22">
        <v>1</v>
      </c>
      <c r="R93" s="22">
        <v>1</v>
      </c>
      <c r="S93" s="22">
        <v>1</v>
      </c>
      <c r="T93" s="22">
        <v>1</v>
      </c>
      <c r="U93" s="22">
        <v>0.96837100999320846</v>
      </c>
      <c r="V93" s="21"/>
      <c r="W93" s="21">
        <v>9380</v>
      </c>
      <c r="X93" s="21">
        <v>8672</v>
      </c>
      <c r="Y93" s="21">
        <v>9952</v>
      </c>
      <c r="Z93" s="21">
        <v>11218</v>
      </c>
      <c r="AA93" s="21">
        <v>10458</v>
      </c>
      <c r="AB93" s="22">
        <v>0.28361503341093941</v>
      </c>
      <c r="AC93" s="22">
        <v>0.25291647223518432</v>
      </c>
      <c r="AD93" s="22">
        <v>0.32232154424148207</v>
      </c>
      <c r="AE93" s="22">
        <v>0.3717523860021209</v>
      </c>
      <c r="AF93" s="22">
        <v>0.37045696068012751</v>
      </c>
      <c r="AG93" s="21">
        <v>9380</v>
      </c>
      <c r="AH93" s="21">
        <v>8672</v>
      </c>
      <c r="AI93" s="21">
        <v>9952</v>
      </c>
      <c r="AJ93" s="21">
        <v>11218</v>
      </c>
      <c r="AK93" s="21">
        <v>10458</v>
      </c>
      <c r="AL93" s="22">
        <v>1</v>
      </c>
      <c r="AM93" s="22">
        <v>1</v>
      </c>
      <c r="AN93" s="22">
        <v>1</v>
      </c>
      <c r="AO93" s="22">
        <v>1</v>
      </c>
      <c r="AP93" s="22">
        <v>1</v>
      </c>
    </row>
    <row r="94" spans="1:42" x14ac:dyDescent="0.25">
      <c r="A94" s="20" t="s">
        <v>139</v>
      </c>
      <c r="B94" s="21">
        <v>145</v>
      </c>
      <c r="C94" s="21">
        <v>141</v>
      </c>
      <c r="D94" s="21">
        <v>116</v>
      </c>
      <c r="E94" s="21">
        <v>107</v>
      </c>
      <c r="F94" s="21">
        <v>117</v>
      </c>
      <c r="G94" s="22">
        <v>4.8948452216183375E-3</v>
      </c>
      <c r="H94" s="22">
        <v>4.9946865037194471E-3</v>
      </c>
      <c r="I94" s="22">
        <v>3.9962793261446236E-3</v>
      </c>
      <c r="J94" s="22">
        <v>3.6255209568664655E-3</v>
      </c>
      <c r="K94" s="22">
        <v>3.7453183520599251E-3</v>
      </c>
      <c r="L94" s="21">
        <v>145</v>
      </c>
      <c r="M94" s="21">
        <v>141</v>
      </c>
      <c r="N94" s="21">
        <v>116</v>
      </c>
      <c r="O94" s="21">
        <v>107</v>
      </c>
      <c r="P94" s="21">
        <v>110</v>
      </c>
      <c r="Q94" s="22">
        <v>1</v>
      </c>
      <c r="R94" s="22">
        <v>1</v>
      </c>
      <c r="S94" s="22">
        <v>1</v>
      </c>
      <c r="T94" s="22">
        <v>1</v>
      </c>
      <c r="U94" s="22">
        <v>0.94017094017094016</v>
      </c>
      <c r="V94" s="21"/>
      <c r="W94" s="21">
        <v>242</v>
      </c>
      <c r="X94" s="21">
        <v>149</v>
      </c>
      <c r="Y94" s="21">
        <v>96</v>
      </c>
      <c r="Z94" s="21">
        <v>30</v>
      </c>
      <c r="AA94" s="21">
        <v>141</v>
      </c>
      <c r="AB94" s="22">
        <v>7.31714691742509E-3</v>
      </c>
      <c r="AC94" s="22">
        <v>4.3455436304246382E-3</v>
      </c>
      <c r="AD94" s="22">
        <v>3.1092110376991838E-3</v>
      </c>
      <c r="AE94" s="22">
        <v>9.9416755037115578E-4</v>
      </c>
      <c r="AF94" s="22">
        <v>4.9946865037194471E-3</v>
      </c>
      <c r="AG94" s="21">
        <v>242</v>
      </c>
      <c r="AH94" s="21">
        <v>149</v>
      </c>
      <c r="AI94" s="21">
        <v>96</v>
      </c>
      <c r="AJ94" s="21">
        <v>30</v>
      </c>
      <c r="AK94" s="21">
        <v>141</v>
      </c>
      <c r="AL94" s="22">
        <v>1</v>
      </c>
      <c r="AM94" s="22">
        <v>1</v>
      </c>
      <c r="AN94" s="22">
        <v>1</v>
      </c>
      <c r="AO94" s="22">
        <v>1</v>
      </c>
      <c r="AP94" s="22">
        <v>1</v>
      </c>
    </row>
    <row r="95" spans="1:42" x14ac:dyDescent="0.25">
      <c r="A95" s="20" t="s">
        <v>53</v>
      </c>
      <c r="B95" s="21">
        <v>53</v>
      </c>
      <c r="C95" s="21">
        <v>42</v>
      </c>
      <c r="D95" s="21">
        <v>46</v>
      </c>
      <c r="E95" s="21">
        <v>47</v>
      </c>
      <c r="F95" s="21">
        <v>60</v>
      </c>
      <c r="G95" s="22">
        <v>1.7891503223846335E-3</v>
      </c>
      <c r="H95" s="22">
        <v>1.487778958554729E-3</v>
      </c>
      <c r="I95" s="22">
        <v>1.5847314569194199E-3</v>
      </c>
      <c r="J95" s="22">
        <v>1.5925185511469521E-3</v>
      </c>
      <c r="K95" s="22">
        <v>1.9206760779794487E-3</v>
      </c>
      <c r="L95" s="21">
        <v>53</v>
      </c>
      <c r="M95" s="21">
        <v>42</v>
      </c>
      <c r="N95" s="21">
        <v>46</v>
      </c>
      <c r="O95" s="21">
        <v>47</v>
      </c>
      <c r="P95" s="21">
        <v>60</v>
      </c>
      <c r="Q95" s="22">
        <v>1</v>
      </c>
      <c r="R95" s="22">
        <v>1</v>
      </c>
      <c r="S95" s="22">
        <v>1</v>
      </c>
      <c r="T95" s="22">
        <v>1</v>
      </c>
      <c r="U95" s="22">
        <v>1</v>
      </c>
      <c r="V95" s="21"/>
      <c r="W95" s="21">
        <v>0</v>
      </c>
      <c r="X95" s="21">
        <v>1</v>
      </c>
      <c r="Y95" s="21">
        <v>17</v>
      </c>
      <c r="Z95" s="21">
        <v>44</v>
      </c>
      <c r="AA95" s="21">
        <v>42</v>
      </c>
      <c r="AB95" s="22">
        <v>0</v>
      </c>
      <c r="AC95" s="22">
        <v>2.9164722351843211E-5</v>
      </c>
      <c r="AD95" s="22">
        <v>5.5058945459256377E-4</v>
      </c>
      <c r="AE95" s="22">
        <v>1.4581124072110287E-3</v>
      </c>
      <c r="AF95" s="22">
        <v>1.487778958554729E-3</v>
      </c>
      <c r="AG95" s="21">
        <v>0</v>
      </c>
      <c r="AH95" s="21">
        <v>1</v>
      </c>
      <c r="AI95" s="21">
        <v>17</v>
      </c>
      <c r="AJ95" s="21">
        <v>44</v>
      </c>
      <c r="AK95" s="21">
        <v>42</v>
      </c>
      <c r="AL95" s="22">
        <v>0</v>
      </c>
      <c r="AM95" s="22">
        <v>1</v>
      </c>
      <c r="AN95" s="22">
        <v>1</v>
      </c>
      <c r="AO95" s="22">
        <v>1</v>
      </c>
      <c r="AP95" s="22">
        <v>1</v>
      </c>
    </row>
    <row r="96" spans="1:42" x14ac:dyDescent="0.25">
      <c r="A96" s="20" t="s">
        <v>93</v>
      </c>
      <c r="B96" s="21">
        <v>70</v>
      </c>
      <c r="C96" s="21">
        <v>71</v>
      </c>
      <c r="D96" s="21">
        <v>74</v>
      </c>
      <c r="E96" s="21">
        <v>86</v>
      </c>
      <c r="F96" s="21">
        <v>123</v>
      </c>
      <c r="G96" s="22">
        <v>2.3630287276778178E-3</v>
      </c>
      <c r="H96" s="22">
        <v>2.5150549061282324E-3</v>
      </c>
      <c r="I96" s="22">
        <v>2.5493506046095015E-3</v>
      </c>
      <c r="J96" s="22">
        <v>2.9139701148646361E-3</v>
      </c>
      <c r="K96" s="22">
        <v>3.9373859598578701E-3</v>
      </c>
      <c r="L96" s="21">
        <v>70</v>
      </c>
      <c r="M96" s="21">
        <v>71</v>
      </c>
      <c r="N96" s="21">
        <v>74</v>
      </c>
      <c r="O96" s="21">
        <v>86</v>
      </c>
      <c r="P96" s="21">
        <v>123</v>
      </c>
      <c r="Q96" s="22">
        <v>1</v>
      </c>
      <c r="R96" s="22">
        <v>1</v>
      </c>
      <c r="S96" s="22">
        <v>1</v>
      </c>
      <c r="T96" s="22">
        <v>1</v>
      </c>
      <c r="U96" s="22">
        <v>1</v>
      </c>
      <c r="V96" s="21"/>
      <c r="W96" s="21">
        <v>4</v>
      </c>
      <c r="X96" s="21">
        <v>8</v>
      </c>
      <c r="Y96" s="21">
        <v>23</v>
      </c>
      <c r="Z96" s="21">
        <v>35</v>
      </c>
      <c r="AA96" s="21">
        <v>71</v>
      </c>
      <c r="AB96" s="22">
        <v>1.2094457714752214E-4</v>
      </c>
      <c r="AC96" s="22">
        <v>2.3331777881474569E-4</v>
      </c>
      <c r="AD96" s="22">
        <v>7.4491514444876281E-4</v>
      </c>
      <c r="AE96" s="22">
        <v>1.1598621420996819E-3</v>
      </c>
      <c r="AF96" s="22">
        <v>2.5150549061282324E-3</v>
      </c>
      <c r="AG96" s="21">
        <v>4</v>
      </c>
      <c r="AH96" s="21">
        <v>8</v>
      </c>
      <c r="AI96" s="21">
        <v>23</v>
      </c>
      <c r="AJ96" s="21">
        <v>35</v>
      </c>
      <c r="AK96" s="21">
        <v>71</v>
      </c>
      <c r="AL96" s="22">
        <v>1</v>
      </c>
      <c r="AM96" s="22">
        <v>1</v>
      </c>
      <c r="AN96" s="22">
        <v>1</v>
      </c>
      <c r="AO96" s="22">
        <v>1</v>
      </c>
      <c r="AP96" s="22">
        <v>1</v>
      </c>
    </row>
    <row r="97" spans="1:42" x14ac:dyDescent="0.25">
      <c r="A97" s="20" t="s">
        <v>54</v>
      </c>
      <c r="B97" s="21">
        <v>12</v>
      </c>
      <c r="C97" s="21">
        <v>13</v>
      </c>
      <c r="D97" s="21">
        <v>13</v>
      </c>
      <c r="E97" s="21">
        <v>12</v>
      </c>
      <c r="F97" s="21">
        <v>13</v>
      </c>
      <c r="G97" s="22">
        <v>4.0509063903048308E-4</v>
      </c>
      <c r="H97" s="22">
        <v>4.6050301098122566E-4</v>
      </c>
      <c r="I97" s="22">
        <v>4.4785888999896649E-4</v>
      </c>
      <c r="J97" s="22">
        <v>4.0660048114390268E-4</v>
      </c>
      <c r="K97" s="22">
        <v>4.1614648356221392E-4</v>
      </c>
      <c r="L97" s="21">
        <v>12</v>
      </c>
      <c r="M97" s="21">
        <v>13</v>
      </c>
      <c r="N97" s="21">
        <v>13</v>
      </c>
      <c r="O97" s="21">
        <v>12</v>
      </c>
      <c r="P97" s="21">
        <v>13</v>
      </c>
      <c r="Q97" s="22">
        <v>1</v>
      </c>
      <c r="R97" s="22">
        <v>1</v>
      </c>
      <c r="S97" s="22">
        <v>1</v>
      </c>
      <c r="T97" s="22">
        <v>1</v>
      </c>
      <c r="U97" s="22">
        <v>1</v>
      </c>
      <c r="V97" s="21"/>
      <c r="W97" s="21">
        <v>37</v>
      </c>
      <c r="X97" s="21">
        <v>45</v>
      </c>
      <c r="Y97" s="21">
        <v>43</v>
      </c>
      <c r="Z97" s="21">
        <v>14</v>
      </c>
      <c r="AA97" s="21">
        <v>13</v>
      </c>
      <c r="AB97" s="22">
        <v>1.1187373386145798E-3</v>
      </c>
      <c r="AC97" s="22">
        <v>1.3124125058329445E-3</v>
      </c>
      <c r="AD97" s="22">
        <v>1.3926674439694261E-3</v>
      </c>
      <c r="AE97" s="22">
        <v>4.6394485683987275E-4</v>
      </c>
      <c r="AF97" s="22">
        <v>4.6050301098122566E-4</v>
      </c>
      <c r="AG97" s="21">
        <v>37</v>
      </c>
      <c r="AH97" s="21">
        <v>45</v>
      </c>
      <c r="AI97" s="21">
        <v>43</v>
      </c>
      <c r="AJ97" s="21">
        <v>14</v>
      </c>
      <c r="AK97" s="21">
        <v>13</v>
      </c>
      <c r="AL97" s="22">
        <v>1</v>
      </c>
      <c r="AM97" s="22">
        <v>1</v>
      </c>
      <c r="AN97" s="22">
        <v>1</v>
      </c>
      <c r="AO97" s="22">
        <v>1</v>
      </c>
      <c r="AP97" s="22">
        <v>1</v>
      </c>
    </row>
    <row r="98" spans="1:42" x14ac:dyDescent="0.25">
      <c r="A98" s="20" t="s">
        <v>57</v>
      </c>
      <c r="B98" s="21">
        <v>408</v>
      </c>
      <c r="C98" s="21">
        <v>404</v>
      </c>
      <c r="D98" s="21">
        <v>446</v>
      </c>
      <c r="E98" s="21">
        <v>454</v>
      </c>
      <c r="F98" s="21">
        <v>459</v>
      </c>
      <c r="G98" s="22">
        <v>1.3773081727036424E-2</v>
      </c>
      <c r="H98" s="22">
        <v>1.4311016648955012E-2</v>
      </c>
      <c r="I98" s="22">
        <v>1.5365004995349157E-2</v>
      </c>
      <c r="J98" s="22">
        <v>1.5383051536610985E-2</v>
      </c>
      <c r="K98" s="22">
        <v>1.4693171996542784E-2</v>
      </c>
      <c r="L98" s="21">
        <v>408</v>
      </c>
      <c r="M98" s="21">
        <v>404</v>
      </c>
      <c r="N98" s="21">
        <v>446</v>
      </c>
      <c r="O98" s="21">
        <v>454</v>
      </c>
      <c r="P98" s="21">
        <v>459</v>
      </c>
      <c r="Q98" s="22">
        <v>1</v>
      </c>
      <c r="R98" s="22">
        <v>1</v>
      </c>
      <c r="S98" s="22">
        <v>1</v>
      </c>
      <c r="T98" s="22">
        <v>1</v>
      </c>
      <c r="U98" s="22">
        <v>1</v>
      </c>
      <c r="V98" s="21"/>
      <c r="W98" s="21">
        <v>709</v>
      </c>
      <c r="X98" s="21">
        <v>917</v>
      </c>
      <c r="Y98" s="21">
        <v>825</v>
      </c>
      <c r="Z98" s="21">
        <v>618</v>
      </c>
      <c r="AA98" s="21">
        <v>404</v>
      </c>
      <c r="AB98" s="22">
        <v>2.14374262993983E-2</v>
      </c>
      <c r="AC98" s="22">
        <v>2.6744050396640223E-2</v>
      </c>
      <c r="AD98" s="22">
        <v>2.6719782355227362E-2</v>
      </c>
      <c r="AE98" s="22">
        <v>2.047985153764581E-2</v>
      </c>
      <c r="AF98" s="22">
        <v>1.4311016648955012E-2</v>
      </c>
      <c r="AG98" s="21">
        <v>709</v>
      </c>
      <c r="AH98" s="21">
        <v>917</v>
      </c>
      <c r="AI98" s="21">
        <v>825</v>
      </c>
      <c r="AJ98" s="21">
        <v>618</v>
      </c>
      <c r="AK98" s="21">
        <v>404</v>
      </c>
      <c r="AL98" s="22">
        <v>1</v>
      </c>
      <c r="AM98" s="22">
        <v>1</v>
      </c>
      <c r="AN98" s="22">
        <v>1</v>
      </c>
      <c r="AO98" s="22">
        <v>1</v>
      </c>
      <c r="AP98" s="22">
        <v>1</v>
      </c>
    </row>
    <row r="99" spans="1:42" x14ac:dyDescent="0.25">
      <c r="A99" s="20" t="s">
        <v>94</v>
      </c>
      <c r="B99" s="21">
        <v>0</v>
      </c>
      <c r="C99" s="21">
        <v>0</v>
      </c>
      <c r="D99" s="21">
        <v>0</v>
      </c>
      <c r="E99" s="21">
        <v>1</v>
      </c>
      <c r="F99" s="21">
        <v>1</v>
      </c>
      <c r="G99" s="22">
        <v>0</v>
      </c>
      <c r="H99" s="22">
        <v>0</v>
      </c>
      <c r="I99" s="22">
        <v>0</v>
      </c>
      <c r="J99" s="22">
        <v>3.3883373428658554E-5</v>
      </c>
      <c r="K99" s="22">
        <v>3.2011267966324147E-5</v>
      </c>
      <c r="L99" s="21">
        <v>0</v>
      </c>
      <c r="M99" s="21">
        <v>0</v>
      </c>
      <c r="N99" s="21">
        <v>0</v>
      </c>
      <c r="O99" s="21">
        <v>1</v>
      </c>
      <c r="P99" s="21">
        <v>1</v>
      </c>
      <c r="Q99" s="22">
        <v>0</v>
      </c>
      <c r="R99" s="22">
        <v>0</v>
      </c>
      <c r="S99" s="22">
        <v>0</v>
      </c>
      <c r="T99" s="22">
        <v>1</v>
      </c>
      <c r="U99" s="22">
        <v>1</v>
      </c>
      <c r="V99" s="21"/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</row>
    <row r="100" spans="1:42" x14ac:dyDescent="0.25">
      <c r="A100" s="20" t="s">
        <v>58</v>
      </c>
      <c r="B100" s="21">
        <v>0</v>
      </c>
      <c r="C100" s="21">
        <v>0</v>
      </c>
      <c r="D100" s="21">
        <v>0</v>
      </c>
      <c r="E100" s="21">
        <v>0</v>
      </c>
      <c r="F100" s="21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1"/>
      <c r="W100" s="21">
        <v>12</v>
      </c>
      <c r="X100" s="21">
        <v>2</v>
      </c>
      <c r="Y100" s="21">
        <v>2</v>
      </c>
      <c r="Z100" s="21">
        <v>0</v>
      </c>
      <c r="AA100" s="21">
        <v>0</v>
      </c>
      <c r="AB100" s="22">
        <v>3.6283373144256647E-4</v>
      </c>
      <c r="AC100" s="22">
        <v>5.8329444703686422E-5</v>
      </c>
      <c r="AD100" s="22">
        <v>6.4775229952066329E-5</v>
      </c>
      <c r="AE100" s="22">
        <v>0</v>
      </c>
      <c r="AF100" s="22">
        <v>0</v>
      </c>
      <c r="AG100" s="21">
        <v>12</v>
      </c>
      <c r="AH100" s="21">
        <v>2</v>
      </c>
      <c r="AI100" s="21">
        <v>2</v>
      </c>
      <c r="AJ100" s="21">
        <v>0</v>
      </c>
      <c r="AK100" s="21">
        <v>0</v>
      </c>
      <c r="AL100" s="22">
        <v>1</v>
      </c>
      <c r="AM100" s="22">
        <v>1</v>
      </c>
      <c r="AN100" s="22">
        <v>1</v>
      </c>
      <c r="AO100" s="22">
        <v>0</v>
      </c>
      <c r="AP100" s="22">
        <v>0</v>
      </c>
    </row>
    <row r="101" spans="1:42" x14ac:dyDescent="0.25">
      <c r="A101" s="20" t="s">
        <v>60</v>
      </c>
      <c r="B101" s="21">
        <v>110</v>
      </c>
      <c r="C101" s="21">
        <v>107</v>
      </c>
      <c r="D101" s="21">
        <v>104</v>
      </c>
      <c r="E101" s="21">
        <v>107</v>
      </c>
      <c r="F101" s="21">
        <v>106</v>
      </c>
      <c r="G101" s="22">
        <v>3.7133308577794281E-3</v>
      </c>
      <c r="H101" s="22">
        <v>3.790294013460857E-3</v>
      </c>
      <c r="I101" s="22">
        <v>3.5828711199917319E-3</v>
      </c>
      <c r="J101" s="22">
        <v>3.6255209568664655E-3</v>
      </c>
      <c r="K101" s="22">
        <v>3.3931944044303594E-3</v>
      </c>
      <c r="L101" s="21">
        <v>110</v>
      </c>
      <c r="M101" s="21">
        <v>107</v>
      </c>
      <c r="N101" s="21">
        <v>104</v>
      </c>
      <c r="O101" s="21">
        <v>107</v>
      </c>
      <c r="P101" s="21">
        <v>105</v>
      </c>
      <c r="Q101" s="22">
        <v>1</v>
      </c>
      <c r="R101" s="22">
        <v>1</v>
      </c>
      <c r="S101" s="22">
        <v>1</v>
      </c>
      <c r="T101" s="22">
        <v>1</v>
      </c>
      <c r="U101" s="22">
        <v>0.99056603773584906</v>
      </c>
      <c r="V101" s="21"/>
      <c r="W101" s="21">
        <v>201</v>
      </c>
      <c r="X101" s="21">
        <v>260</v>
      </c>
      <c r="Y101" s="21">
        <v>141</v>
      </c>
      <c r="Z101" s="21">
        <v>44</v>
      </c>
      <c r="AA101" s="21">
        <v>107</v>
      </c>
      <c r="AB101" s="22">
        <v>6.0774650016629881E-3</v>
      </c>
      <c r="AC101" s="22">
        <v>7.5828278114792348E-3</v>
      </c>
      <c r="AD101" s="22">
        <v>4.566653711620676E-3</v>
      </c>
      <c r="AE101" s="22">
        <v>1.4581124072110287E-3</v>
      </c>
      <c r="AF101" s="22">
        <v>3.790294013460857E-3</v>
      </c>
      <c r="AG101" s="21">
        <v>201</v>
      </c>
      <c r="AH101" s="21">
        <v>260</v>
      </c>
      <c r="AI101" s="21">
        <v>141</v>
      </c>
      <c r="AJ101" s="21">
        <v>44</v>
      </c>
      <c r="AK101" s="21">
        <v>107</v>
      </c>
      <c r="AL101" s="22">
        <v>1</v>
      </c>
      <c r="AM101" s="22">
        <v>1</v>
      </c>
      <c r="AN101" s="22">
        <v>1</v>
      </c>
      <c r="AO101" s="22">
        <v>1</v>
      </c>
      <c r="AP101" s="22">
        <v>1</v>
      </c>
    </row>
    <row r="102" spans="1:42" x14ac:dyDescent="0.25">
      <c r="A102" s="20" t="s">
        <v>96</v>
      </c>
      <c r="B102" s="21">
        <v>478</v>
      </c>
      <c r="C102" s="21">
        <v>489</v>
      </c>
      <c r="D102" s="21">
        <v>500</v>
      </c>
      <c r="E102" s="21">
        <v>491</v>
      </c>
      <c r="F102" s="21">
        <v>515</v>
      </c>
      <c r="G102" s="22">
        <v>1.6136110454714241E-2</v>
      </c>
      <c r="H102" s="22">
        <v>1.7321997874601487E-2</v>
      </c>
      <c r="I102" s="22">
        <v>1.7225341923037173E-2</v>
      </c>
      <c r="J102" s="22">
        <v>1.6636736353471352E-2</v>
      </c>
      <c r="K102" s="22">
        <v>1.6485803002656934E-2</v>
      </c>
      <c r="L102" s="21">
        <v>478</v>
      </c>
      <c r="M102" s="21">
        <v>489</v>
      </c>
      <c r="N102" s="21">
        <v>500</v>
      </c>
      <c r="O102" s="21">
        <v>491</v>
      </c>
      <c r="P102" s="21">
        <v>515</v>
      </c>
      <c r="Q102" s="22">
        <v>1</v>
      </c>
      <c r="R102" s="22">
        <v>1</v>
      </c>
      <c r="S102" s="22">
        <v>1</v>
      </c>
      <c r="T102" s="22">
        <v>1</v>
      </c>
      <c r="U102" s="22">
        <v>1</v>
      </c>
      <c r="V102" s="21"/>
      <c r="W102" s="21">
        <v>61</v>
      </c>
      <c r="X102" s="21">
        <v>93</v>
      </c>
      <c r="Y102" s="21">
        <v>116</v>
      </c>
      <c r="Z102" s="21">
        <v>246</v>
      </c>
      <c r="AA102" s="21">
        <v>489</v>
      </c>
      <c r="AB102" s="22">
        <v>1.8444048014997127E-3</v>
      </c>
      <c r="AC102" s="22">
        <v>2.7123191787214187E-3</v>
      </c>
      <c r="AD102" s="22">
        <v>3.756963337219847E-3</v>
      </c>
      <c r="AE102" s="22">
        <v>8.152173913043478E-3</v>
      </c>
      <c r="AF102" s="22">
        <v>1.7321997874601487E-2</v>
      </c>
      <c r="AG102" s="21">
        <v>61</v>
      </c>
      <c r="AH102" s="21">
        <v>93</v>
      </c>
      <c r="AI102" s="21">
        <v>116</v>
      </c>
      <c r="AJ102" s="21">
        <v>246</v>
      </c>
      <c r="AK102" s="21">
        <v>489</v>
      </c>
      <c r="AL102" s="22">
        <v>1</v>
      </c>
      <c r="AM102" s="22">
        <v>1</v>
      </c>
      <c r="AN102" s="22">
        <v>1</v>
      </c>
      <c r="AO102" s="22">
        <v>1</v>
      </c>
      <c r="AP102" s="22">
        <v>1</v>
      </c>
    </row>
    <row r="103" spans="1:42" x14ac:dyDescent="0.25">
      <c r="A103" s="20" t="s">
        <v>63</v>
      </c>
      <c r="B103" s="21">
        <v>62</v>
      </c>
      <c r="C103" s="21">
        <v>63</v>
      </c>
      <c r="D103" s="21">
        <v>0</v>
      </c>
      <c r="E103" s="21">
        <v>159</v>
      </c>
      <c r="F103" s="21">
        <v>168</v>
      </c>
      <c r="G103" s="22">
        <v>2.092968301657496E-3</v>
      </c>
      <c r="H103" s="22">
        <v>2.2316684378320935E-3</v>
      </c>
      <c r="I103" s="22">
        <v>0</v>
      </c>
      <c r="J103" s="22">
        <v>5.3874563751567109E-3</v>
      </c>
      <c r="K103" s="22">
        <v>5.3778930183424568E-3</v>
      </c>
      <c r="L103" s="21">
        <v>62</v>
      </c>
      <c r="M103" s="21">
        <v>63</v>
      </c>
      <c r="N103" s="21">
        <v>0</v>
      </c>
      <c r="O103" s="21">
        <v>159</v>
      </c>
      <c r="P103" s="21">
        <v>168</v>
      </c>
      <c r="Q103" s="22">
        <v>1</v>
      </c>
      <c r="R103" s="22">
        <v>1</v>
      </c>
      <c r="S103" s="22">
        <v>0</v>
      </c>
      <c r="T103" s="22">
        <v>1</v>
      </c>
      <c r="U103" s="22">
        <v>1</v>
      </c>
      <c r="V103" s="21"/>
      <c r="W103" s="21">
        <v>0</v>
      </c>
      <c r="X103" s="21">
        <v>0</v>
      </c>
      <c r="Y103" s="21">
        <v>0</v>
      </c>
      <c r="Z103" s="21">
        <v>31</v>
      </c>
      <c r="AA103" s="21">
        <v>63</v>
      </c>
      <c r="AB103" s="22">
        <v>0</v>
      </c>
      <c r="AC103" s="22">
        <v>0</v>
      </c>
      <c r="AD103" s="22">
        <v>0</v>
      </c>
      <c r="AE103" s="22">
        <v>1.0273064687168611E-3</v>
      </c>
      <c r="AF103" s="22">
        <v>2.2316684378320935E-3</v>
      </c>
      <c r="AG103" s="21">
        <v>0</v>
      </c>
      <c r="AH103" s="21">
        <v>0</v>
      </c>
      <c r="AI103" s="21">
        <v>0</v>
      </c>
      <c r="AJ103" s="21">
        <v>31</v>
      </c>
      <c r="AK103" s="21">
        <v>63</v>
      </c>
      <c r="AL103" s="22">
        <v>0</v>
      </c>
      <c r="AM103" s="22">
        <v>0</v>
      </c>
      <c r="AN103" s="22">
        <v>0</v>
      </c>
      <c r="AO103" s="22">
        <v>1</v>
      </c>
      <c r="AP103" s="22">
        <v>1</v>
      </c>
    </row>
    <row r="104" spans="1:42" x14ac:dyDescent="0.25">
      <c r="A104" s="20" t="s">
        <v>65</v>
      </c>
      <c r="B104" s="21">
        <v>0</v>
      </c>
      <c r="C104" s="21">
        <v>0</v>
      </c>
      <c r="D104" s="21">
        <v>0</v>
      </c>
      <c r="E104" s="21">
        <v>0</v>
      </c>
      <c r="F104" s="21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1"/>
      <c r="W104" s="21">
        <v>0</v>
      </c>
      <c r="X104" s="21">
        <v>0</v>
      </c>
      <c r="Y104" s="21">
        <v>5</v>
      </c>
      <c r="Z104" s="21">
        <v>0</v>
      </c>
      <c r="AA104" s="21">
        <v>0</v>
      </c>
      <c r="AB104" s="22">
        <v>0</v>
      </c>
      <c r="AC104" s="22">
        <v>0</v>
      </c>
      <c r="AD104" s="22">
        <v>1.6193807488016582E-4</v>
      </c>
      <c r="AE104" s="22">
        <v>0</v>
      </c>
      <c r="AF104" s="22">
        <v>0</v>
      </c>
      <c r="AG104" s="21">
        <v>0</v>
      </c>
      <c r="AH104" s="21">
        <v>0</v>
      </c>
      <c r="AI104" s="21">
        <v>5</v>
      </c>
      <c r="AJ104" s="21">
        <v>0</v>
      </c>
      <c r="AK104" s="21">
        <v>0</v>
      </c>
      <c r="AL104" s="22">
        <v>0</v>
      </c>
      <c r="AM104" s="22">
        <v>0</v>
      </c>
      <c r="AN104" s="22">
        <v>1</v>
      </c>
      <c r="AO104" s="22">
        <v>0</v>
      </c>
      <c r="AP104" s="22">
        <v>0</v>
      </c>
    </row>
    <row r="105" spans="1:42" x14ac:dyDescent="0.25">
      <c r="A105" s="20" t="s">
        <v>66</v>
      </c>
      <c r="B105" s="21">
        <v>34</v>
      </c>
      <c r="C105" s="21">
        <v>31</v>
      </c>
      <c r="D105" s="21">
        <v>22</v>
      </c>
      <c r="E105" s="21">
        <v>80</v>
      </c>
      <c r="F105" s="21">
        <v>71</v>
      </c>
      <c r="G105" s="22">
        <v>1.1477568105863686E-3</v>
      </c>
      <c r="H105" s="22">
        <v>1.0981225646475381E-3</v>
      </c>
      <c r="I105" s="22">
        <v>7.5791504461363555E-4</v>
      </c>
      <c r="J105" s="22">
        <v>2.7106698742926844E-3</v>
      </c>
      <c r="K105" s="22">
        <v>2.2728000256090142E-3</v>
      </c>
      <c r="L105" s="21">
        <v>34</v>
      </c>
      <c r="M105" s="21">
        <v>31</v>
      </c>
      <c r="N105" s="21">
        <v>22</v>
      </c>
      <c r="O105" s="21">
        <v>80</v>
      </c>
      <c r="P105" s="21">
        <v>71</v>
      </c>
      <c r="Q105" s="22">
        <v>1</v>
      </c>
      <c r="R105" s="22">
        <v>1</v>
      </c>
      <c r="S105" s="22">
        <v>1</v>
      </c>
      <c r="T105" s="22">
        <v>1</v>
      </c>
      <c r="U105" s="22">
        <v>1</v>
      </c>
      <c r="V105" s="21"/>
      <c r="W105" s="21">
        <v>1</v>
      </c>
      <c r="X105" s="21">
        <v>22</v>
      </c>
      <c r="Y105" s="21">
        <v>26</v>
      </c>
      <c r="Z105" s="21">
        <v>15</v>
      </c>
      <c r="AA105" s="21">
        <v>31</v>
      </c>
      <c r="AB105" s="22">
        <v>3.0236144286880536E-5</v>
      </c>
      <c r="AC105" s="22">
        <v>6.4162389174055067E-4</v>
      </c>
      <c r="AD105" s="22">
        <v>8.4207798937686233E-4</v>
      </c>
      <c r="AE105" s="22">
        <v>4.9708377518557789E-4</v>
      </c>
      <c r="AF105" s="22">
        <v>1.0981225646475381E-3</v>
      </c>
      <c r="AG105" s="21">
        <v>1</v>
      </c>
      <c r="AH105" s="21">
        <v>22</v>
      </c>
      <c r="AI105" s="21">
        <v>26</v>
      </c>
      <c r="AJ105" s="21">
        <v>15</v>
      </c>
      <c r="AK105" s="21">
        <v>31</v>
      </c>
      <c r="AL105" s="22">
        <v>1</v>
      </c>
      <c r="AM105" s="22">
        <v>1</v>
      </c>
      <c r="AN105" s="22">
        <v>1</v>
      </c>
      <c r="AO105" s="22">
        <v>1</v>
      </c>
      <c r="AP105" s="22">
        <v>1</v>
      </c>
    </row>
    <row r="106" spans="1:42" x14ac:dyDescent="0.25">
      <c r="A106" s="31" t="s">
        <v>72</v>
      </c>
      <c r="B106" s="29">
        <v>29623</v>
      </c>
      <c r="C106" s="29">
        <v>28230</v>
      </c>
      <c r="D106" s="29">
        <v>29027</v>
      </c>
      <c r="E106" s="29">
        <v>29513</v>
      </c>
      <c r="F106" s="29">
        <v>31239</v>
      </c>
      <c r="G106" s="24">
        <v>1</v>
      </c>
      <c r="H106" s="24">
        <v>1</v>
      </c>
      <c r="I106" s="24">
        <v>1</v>
      </c>
      <c r="J106" s="24">
        <v>1</v>
      </c>
      <c r="K106" s="24">
        <v>1</v>
      </c>
      <c r="L106" s="29">
        <v>29623</v>
      </c>
      <c r="M106" s="29">
        <v>28230</v>
      </c>
      <c r="N106" s="29">
        <v>29027</v>
      </c>
      <c r="O106" s="29">
        <v>29513</v>
      </c>
      <c r="P106" s="29">
        <v>30571</v>
      </c>
      <c r="Q106" s="24">
        <v>1</v>
      </c>
      <c r="R106" s="24">
        <v>1</v>
      </c>
      <c r="S106" s="24">
        <v>1</v>
      </c>
      <c r="T106" s="24">
        <v>1</v>
      </c>
      <c r="U106" s="24">
        <v>0.97861647299849552</v>
      </c>
      <c r="V106" s="23"/>
      <c r="W106" s="29">
        <v>33073</v>
      </c>
      <c r="X106" s="29">
        <v>34288</v>
      </c>
      <c r="Y106" s="29">
        <v>30876</v>
      </c>
      <c r="Z106" s="29">
        <v>30176</v>
      </c>
      <c r="AA106" s="29">
        <v>28230</v>
      </c>
      <c r="AB106" s="24">
        <v>1</v>
      </c>
      <c r="AC106" s="24">
        <v>1</v>
      </c>
      <c r="AD106" s="24">
        <v>1</v>
      </c>
      <c r="AE106" s="24">
        <v>1</v>
      </c>
      <c r="AF106" s="24">
        <v>1</v>
      </c>
      <c r="AG106" s="29">
        <v>33073</v>
      </c>
      <c r="AH106" s="29">
        <v>34288</v>
      </c>
      <c r="AI106" s="29">
        <v>30876</v>
      </c>
      <c r="AJ106" s="29">
        <v>30176</v>
      </c>
      <c r="AK106" s="29">
        <v>28230</v>
      </c>
      <c r="AL106" s="24">
        <v>1</v>
      </c>
      <c r="AM106" s="24">
        <v>1</v>
      </c>
      <c r="AN106" s="24">
        <v>1</v>
      </c>
      <c r="AO106" s="24">
        <v>1</v>
      </c>
      <c r="AP106" s="24">
        <v>1</v>
      </c>
    </row>
    <row r="107" spans="1:42" x14ac:dyDescent="0.25">
      <c r="A107" s="20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</row>
    <row r="108" spans="1:42" x14ac:dyDescent="0.25">
      <c r="A108" s="30" t="s">
        <v>73</v>
      </c>
      <c r="B108" s="27" t="s">
        <v>12</v>
      </c>
      <c r="C108" s="27" t="s">
        <v>13</v>
      </c>
      <c r="D108" s="27" t="s">
        <v>14</v>
      </c>
      <c r="E108" s="27" t="s">
        <v>15</v>
      </c>
      <c r="F108" s="27" t="s">
        <v>16</v>
      </c>
      <c r="G108" s="27" t="s">
        <v>12</v>
      </c>
      <c r="H108" s="27" t="s">
        <v>13</v>
      </c>
      <c r="I108" s="27" t="s">
        <v>14</v>
      </c>
      <c r="J108" s="27" t="s">
        <v>15</v>
      </c>
      <c r="K108" s="27" t="s">
        <v>16</v>
      </c>
      <c r="L108" s="27" t="s">
        <v>12</v>
      </c>
      <c r="M108" s="27" t="s">
        <v>13</v>
      </c>
      <c r="N108" s="27" t="s">
        <v>14</v>
      </c>
      <c r="O108" s="27" t="s">
        <v>15</v>
      </c>
      <c r="P108" s="27" t="s">
        <v>16</v>
      </c>
      <c r="Q108" s="27" t="s">
        <v>12</v>
      </c>
      <c r="R108" s="27" t="s">
        <v>13</v>
      </c>
      <c r="S108" s="27" t="s">
        <v>14</v>
      </c>
      <c r="T108" s="27" t="s">
        <v>15</v>
      </c>
      <c r="U108" s="27" t="s">
        <v>16</v>
      </c>
      <c r="V108" s="27"/>
      <c r="W108" s="27" t="s">
        <v>17</v>
      </c>
      <c r="X108" s="27" t="s">
        <v>18</v>
      </c>
      <c r="Y108" s="27" t="s">
        <v>19</v>
      </c>
      <c r="Z108" s="27" t="s">
        <v>20</v>
      </c>
      <c r="AA108" s="27" t="s">
        <v>21</v>
      </c>
      <c r="AB108" s="27" t="s">
        <v>17</v>
      </c>
      <c r="AC108" s="27" t="s">
        <v>18</v>
      </c>
      <c r="AD108" s="27" t="s">
        <v>19</v>
      </c>
      <c r="AE108" s="27" t="s">
        <v>20</v>
      </c>
      <c r="AF108" s="27" t="s">
        <v>21</v>
      </c>
      <c r="AG108" s="27" t="s">
        <v>17</v>
      </c>
      <c r="AH108" s="27" t="s">
        <v>18</v>
      </c>
      <c r="AI108" s="27" t="s">
        <v>19</v>
      </c>
      <c r="AJ108" s="27" t="s">
        <v>20</v>
      </c>
      <c r="AK108" s="27" t="s">
        <v>21</v>
      </c>
      <c r="AL108" s="27" t="s">
        <v>17</v>
      </c>
      <c r="AM108" s="27" t="s">
        <v>18</v>
      </c>
      <c r="AN108" s="27" t="s">
        <v>19</v>
      </c>
      <c r="AO108" s="27" t="s">
        <v>20</v>
      </c>
      <c r="AP108" s="27" t="s">
        <v>21</v>
      </c>
    </row>
    <row r="109" spans="1:42" x14ac:dyDescent="0.25">
      <c r="A109" s="20" t="s">
        <v>22</v>
      </c>
      <c r="B109" s="21">
        <v>0</v>
      </c>
      <c r="C109" s="21">
        <v>1</v>
      </c>
      <c r="D109" s="21">
        <v>1</v>
      </c>
      <c r="E109" s="21">
        <v>1</v>
      </c>
      <c r="F109" s="21">
        <v>2</v>
      </c>
      <c r="G109" s="22">
        <v>0</v>
      </c>
      <c r="H109" s="22">
        <v>7.7006006468504539E-5</v>
      </c>
      <c r="I109" s="22">
        <v>7.6353363365656255E-5</v>
      </c>
      <c r="J109" s="22">
        <v>7.5895567698846392E-5</v>
      </c>
      <c r="K109" s="22">
        <v>1.0645092612305727E-4</v>
      </c>
      <c r="L109" s="21">
        <v>0</v>
      </c>
      <c r="M109" s="21">
        <v>1</v>
      </c>
      <c r="N109" s="21">
        <v>1</v>
      </c>
      <c r="O109" s="21">
        <v>1</v>
      </c>
      <c r="P109" s="21">
        <v>2</v>
      </c>
      <c r="Q109" s="22">
        <v>0</v>
      </c>
      <c r="R109" s="22">
        <v>1</v>
      </c>
      <c r="S109" s="22">
        <v>1</v>
      </c>
      <c r="T109" s="22">
        <v>1</v>
      </c>
      <c r="U109" s="22">
        <v>1</v>
      </c>
      <c r="V109" s="21"/>
      <c r="W109" s="21">
        <v>0</v>
      </c>
      <c r="X109" s="21">
        <v>0</v>
      </c>
      <c r="Y109" s="21">
        <v>0</v>
      </c>
      <c r="Z109" s="21">
        <v>0</v>
      </c>
      <c r="AA109" s="21">
        <v>1</v>
      </c>
      <c r="AB109" s="22">
        <v>0</v>
      </c>
      <c r="AC109" s="22">
        <v>0</v>
      </c>
      <c r="AD109" s="22">
        <v>0</v>
      </c>
      <c r="AE109" s="22">
        <v>0</v>
      </c>
      <c r="AF109" s="22">
        <v>7.7006006468504539E-5</v>
      </c>
      <c r="AG109" s="21">
        <v>0</v>
      </c>
      <c r="AH109" s="21">
        <v>0</v>
      </c>
      <c r="AI109" s="21">
        <v>0</v>
      </c>
      <c r="AJ109" s="21">
        <v>0</v>
      </c>
      <c r="AK109" s="21">
        <v>1</v>
      </c>
      <c r="AL109" s="22">
        <v>0</v>
      </c>
      <c r="AM109" s="22">
        <v>0</v>
      </c>
      <c r="AN109" s="22">
        <v>0</v>
      </c>
      <c r="AO109" s="22">
        <v>0</v>
      </c>
      <c r="AP109" s="22">
        <v>1</v>
      </c>
    </row>
    <row r="110" spans="1:42" x14ac:dyDescent="0.25">
      <c r="A110" s="20" t="s">
        <v>24</v>
      </c>
      <c r="B110" s="21">
        <v>3980</v>
      </c>
      <c r="C110" s="21">
        <v>4029</v>
      </c>
      <c r="D110" s="21">
        <v>4173</v>
      </c>
      <c r="E110" s="21">
        <v>4245</v>
      </c>
      <c r="F110" s="21">
        <v>4268</v>
      </c>
      <c r="G110" s="22">
        <v>0.29884367022075387</v>
      </c>
      <c r="H110" s="22">
        <v>0.31025720006160479</v>
      </c>
      <c r="I110" s="22">
        <v>0.31862258532488358</v>
      </c>
      <c r="J110" s="22">
        <v>0.32217668488160289</v>
      </c>
      <c r="K110" s="22">
        <v>0.22716627634660422</v>
      </c>
      <c r="L110" s="21">
        <v>3980</v>
      </c>
      <c r="M110" s="21">
        <v>4029</v>
      </c>
      <c r="N110" s="21">
        <v>4173</v>
      </c>
      <c r="O110" s="21">
        <v>4245</v>
      </c>
      <c r="P110" s="21">
        <v>4218</v>
      </c>
      <c r="Q110" s="22">
        <v>1</v>
      </c>
      <c r="R110" s="22">
        <v>1</v>
      </c>
      <c r="S110" s="22">
        <v>1</v>
      </c>
      <c r="T110" s="22">
        <v>1</v>
      </c>
      <c r="U110" s="22">
        <v>0.98828491096532334</v>
      </c>
      <c r="V110" s="21"/>
      <c r="W110" s="21">
        <v>0</v>
      </c>
      <c r="X110" s="21">
        <v>0</v>
      </c>
      <c r="Y110" s="21">
        <v>2387</v>
      </c>
      <c r="Z110" s="21">
        <v>2259</v>
      </c>
      <c r="AA110" s="21">
        <v>4029</v>
      </c>
      <c r="AB110" s="22">
        <v>0</v>
      </c>
      <c r="AC110" s="22">
        <v>0</v>
      </c>
      <c r="AD110" s="22">
        <v>0.17682791317875399</v>
      </c>
      <c r="AE110" s="22">
        <v>0.16970926301555106</v>
      </c>
      <c r="AF110" s="22">
        <v>0.31025720006160479</v>
      </c>
      <c r="AG110" s="21">
        <v>0</v>
      </c>
      <c r="AH110" s="21">
        <v>0</v>
      </c>
      <c r="AI110" s="21">
        <v>2387</v>
      </c>
      <c r="AJ110" s="21">
        <v>2259</v>
      </c>
      <c r="AK110" s="21">
        <v>4029</v>
      </c>
      <c r="AL110" s="22">
        <v>0</v>
      </c>
      <c r="AM110" s="22">
        <v>0</v>
      </c>
      <c r="AN110" s="22">
        <v>1</v>
      </c>
      <c r="AO110" s="22">
        <v>1</v>
      </c>
      <c r="AP110" s="22">
        <v>1</v>
      </c>
    </row>
    <row r="111" spans="1:42" x14ac:dyDescent="0.25">
      <c r="A111" s="20" t="s">
        <v>25</v>
      </c>
      <c r="B111" s="21">
        <v>143</v>
      </c>
      <c r="C111" s="21">
        <v>143</v>
      </c>
      <c r="D111" s="21">
        <v>134</v>
      </c>
      <c r="E111" s="21">
        <v>141</v>
      </c>
      <c r="F111" s="21">
        <v>61</v>
      </c>
      <c r="G111" s="22">
        <v>1.0737347950142664E-2</v>
      </c>
      <c r="H111" s="22">
        <v>1.101185892499615E-2</v>
      </c>
      <c r="I111" s="22">
        <v>1.0231350690997938E-2</v>
      </c>
      <c r="J111" s="22">
        <v>1.0701275045537341E-2</v>
      </c>
      <c r="K111" s="22">
        <v>3.246753246753247E-3</v>
      </c>
      <c r="L111" s="21">
        <v>143</v>
      </c>
      <c r="M111" s="21">
        <v>143</v>
      </c>
      <c r="N111" s="21">
        <v>134</v>
      </c>
      <c r="O111" s="21">
        <v>141</v>
      </c>
      <c r="P111" s="21">
        <v>60</v>
      </c>
      <c r="Q111" s="22">
        <v>1</v>
      </c>
      <c r="R111" s="22">
        <v>1</v>
      </c>
      <c r="S111" s="22">
        <v>1</v>
      </c>
      <c r="T111" s="22">
        <v>1</v>
      </c>
      <c r="U111" s="22">
        <v>0.98360655737704916</v>
      </c>
      <c r="V111" s="21"/>
      <c r="W111" s="21">
        <v>0</v>
      </c>
      <c r="X111" s="21">
        <v>0</v>
      </c>
      <c r="Y111" s="21">
        <v>51</v>
      </c>
      <c r="Z111" s="21">
        <v>111</v>
      </c>
      <c r="AA111" s="21">
        <v>143</v>
      </c>
      <c r="AB111" s="22">
        <v>0</v>
      </c>
      <c r="AC111" s="22">
        <v>0</v>
      </c>
      <c r="AD111" s="22">
        <v>3.7780576338988072E-3</v>
      </c>
      <c r="AE111" s="22">
        <v>8.338967771016453E-3</v>
      </c>
      <c r="AF111" s="22">
        <v>1.101185892499615E-2</v>
      </c>
      <c r="AG111" s="21">
        <v>0</v>
      </c>
      <c r="AH111" s="21">
        <v>0</v>
      </c>
      <c r="AI111" s="21">
        <v>51</v>
      </c>
      <c r="AJ111" s="21">
        <v>111</v>
      </c>
      <c r="AK111" s="21">
        <v>143</v>
      </c>
      <c r="AL111" s="22">
        <v>0</v>
      </c>
      <c r="AM111" s="22">
        <v>0</v>
      </c>
      <c r="AN111" s="22">
        <v>1</v>
      </c>
      <c r="AO111" s="22">
        <v>1</v>
      </c>
      <c r="AP111" s="22">
        <v>1</v>
      </c>
    </row>
    <row r="112" spans="1:42" x14ac:dyDescent="0.25">
      <c r="A112" s="20" t="s">
        <v>87</v>
      </c>
      <c r="B112" s="21">
        <v>0</v>
      </c>
      <c r="C112" s="21">
        <v>0</v>
      </c>
      <c r="D112" s="21">
        <v>0</v>
      </c>
      <c r="E112" s="21">
        <v>0</v>
      </c>
      <c r="F112" s="21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1"/>
      <c r="W112" s="21">
        <v>0</v>
      </c>
      <c r="X112" s="21">
        <v>0</v>
      </c>
      <c r="Y112" s="21">
        <v>1</v>
      </c>
      <c r="Z112" s="21">
        <v>0</v>
      </c>
      <c r="AA112" s="21">
        <v>0</v>
      </c>
      <c r="AB112" s="22">
        <v>0</v>
      </c>
      <c r="AC112" s="22">
        <v>0</v>
      </c>
      <c r="AD112" s="22">
        <v>7.4079561448996215E-5</v>
      </c>
      <c r="AE112" s="22">
        <v>0</v>
      </c>
      <c r="AF112" s="22">
        <v>0</v>
      </c>
      <c r="AG112" s="21">
        <v>0</v>
      </c>
      <c r="AH112" s="21">
        <v>0</v>
      </c>
      <c r="AI112" s="21">
        <v>1</v>
      </c>
      <c r="AJ112" s="21">
        <v>0</v>
      </c>
      <c r="AK112" s="21">
        <v>0</v>
      </c>
      <c r="AL112" s="22">
        <v>0</v>
      </c>
      <c r="AM112" s="22">
        <v>0</v>
      </c>
      <c r="AN112" s="22">
        <v>1</v>
      </c>
      <c r="AO112" s="22">
        <v>0</v>
      </c>
      <c r="AP112" s="22">
        <v>0</v>
      </c>
    </row>
    <row r="113" spans="1:42" x14ac:dyDescent="0.25">
      <c r="A113" s="20" t="s">
        <v>88</v>
      </c>
      <c r="B113" s="21">
        <v>5</v>
      </c>
      <c r="C113" s="21">
        <v>5</v>
      </c>
      <c r="D113" s="21">
        <v>4</v>
      </c>
      <c r="E113" s="21">
        <v>4</v>
      </c>
      <c r="F113" s="21">
        <v>5</v>
      </c>
      <c r="G113" s="22">
        <v>3.7543174650848477E-4</v>
      </c>
      <c r="H113" s="22">
        <v>3.8503003234252272E-4</v>
      </c>
      <c r="I113" s="22">
        <v>3.0541345346262502E-4</v>
      </c>
      <c r="J113" s="22">
        <v>3.0358227079538557E-4</v>
      </c>
      <c r="K113" s="22">
        <v>2.6612731530764318E-4</v>
      </c>
      <c r="L113" s="21">
        <v>5</v>
      </c>
      <c r="M113" s="21">
        <v>5</v>
      </c>
      <c r="N113" s="21">
        <v>4</v>
      </c>
      <c r="O113" s="21">
        <v>4</v>
      </c>
      <c r="P113" s="21">
        <v>5</v>
      </c>
      <c r="Q113" s="22">
        <v>1</v>
      </c>
      <c r="R113" s="22">
        <v>1</v>
      </c>
      <c r="S113" s="22">
        <v>1</v>
      </c>
      <c r="T113" s="22">
        <v>1</v>
      </c>
      <c r="U113" s="22">
        <v>1</v>
      </c>
      <c r="V113" s="21"/>
      <c r="W113" s="21">
        <v>0</v>
      </c>
      <c r="X113" s="21">
        <v>0</v>
      </c>
      <c r="Y113" s="21">
        <v>7</v>
      </c>
      <c r="Z113" s="21">
        <v>7</v>
      </c>
      <c r="AA113" s="21">
        <v>5</v>
      </c>
      <c r="AB113" s="22">
        <v>0</v>
      </c>
      <c r="AC113" s="22">
        <v>0</v>
      </c>
      <c r="AD113" s="22">
        <v>5.1855693014297359E-4</v>
      </c>
      <c r="AE113" s="22">
        <v>5.2588085042446094E-4</v>
      </c>
      <c r="AF113" s="22">
        <v>3.8503003234252272E-4</v>
      </c>
      <c r="AG113" s="21">
        <v>0</v>
      </c>
      <c r="AH113" s="21">
        <v>0</v>
      </c>
      <c r="AI113" s="21">
        <v>7</v>
      </c>
      <c r="AJ113" s="21">
        <v>7</v>
      </c>
      <c r="AK113" s="21">
        <v>5</v>
      </c>
      <c r="AL113" s="22">
        <v>0</v>
      </c>
      <c r="AM113" s="22">
        <v>0</v>
      </c>
      <c r="AN113" s="22">
        <v>1</v>
      </c>
      <c r="AO113" s="22">
        <v>1</v>
      </c>
      <c r="AP113" s="22">
        <v>1</v>
      </c>
    </row>
    <row r="114" spans="1:42" x14ac:dyDescent="0.25">
      <c r="A114" s="20" t="s">
        <v>89</v>
      </c>
      <c r="B114" s="21">
        <v>0</v>
      </c>
      <c r="C114" s="21">
        <v>0</v>
      </c>
      <c r="D114" s="21">
        <v>0</v>
      </c>
      <c r="E114" s="21">
        <v>0</v>
      </c>
      <c r="F114" s="21">
        <v>1</v>
      </c>
      <c r="G114" s="22">
        <v>0</v>
      </c>
      <c r="H114" s="22">
        <v>0</v>
      </c>
      <c r="I114" s="22">
        <v>0</v>
      </c>
      <c r="J114" s="22">
        <v>0</v>
      </c>
      <c r="K114" s="22">
        <v>5.3225463061528635E-5</v>
      </c>
      <c r="L114" s="21">
        <v>0</v>
      </c>
      <c r="M114" s="21">
        <v>0</v>
      </c>
      <c r="N114" s="21">
        <v>0</v>
      </c>
      <c r="O114" s="21">
        <v>0</v>
      </c>
      <c r="P114" s="21">
        <v>1</v>
      </c>
      <c r="Q114" s="22">
        <v>0</v>
      </c>
      <c r="R114" s="22">
        <v>0</v>
      </c>
      <c r="S114" s="22">
        <v>0</v>
      </c>
      <c r="T114" s="22">
        <v>0</v>
      </c>
      <c r="U114" s="22">
        <v>1</v>
      </c>
      <c r="V114" s="21"/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1">
        <v>0</v>
      </c>
      <c r="AH114" s="21">
        <v>0</v>
      </c>
      <c r="AI114" s="21">
        <v>0</v>
      </c>
      <c r="AJ114" s="21">
        <v>0</v>
      </c>
      <c r="AK114" s="21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</row>
    <row r="115" spans="1:42" x14ac:dyDescent="0.25">
      <c r="A115" s="20" t="s">
        <v>31</v>
      </c>
      <c r="B115" s="21">
        <v>37</v>
      </c>
      <c r="C115" s="21">
        <v>37</v>
      </c>
      <c r="D115" s="21">
        <v>41</v>
      </c>
      <c r="E115" s="21">
        <v>42</v>
      </c>
      <c r="F115" s="21">
        <v>42</v>
      </c>
      <c r="G115" s="22">
        <v>2.7781949241627874E-3</v>
      </c>
      <c r="H115" s="22">
        <v>2.8492222393346682E-3</v>
      </c>
      <c r="I115" s="22">
        <v>3.1304878979919065E-3</v>
      </c>
      <c r="J115" s="22">
        <v>3.1876138433515485E-3</v>
      </c>
      <c r="K115" s="22">
        <v>2.2354694485842027E-3</v>
      </c>
      <c r="L115" s="21">
        <v>37</v>
      </c>
      <c r="M115" s="21">
        <v>37</v>
      </c>
      <c r="N115" s="21">
        <v>41</v>
      </c>
      <c r="O115" s="21">
        <v>42</v>
      </c>
      <c r="P115" s="21">
        <v>42</v>
      </c>
      <c r="Q115" s="22">
        <v>1</v>
      </c>
      <c r="R115" s="22">
        <v>1</v>
      </c>
      <c r="S115" s="22">
        <v>1</v>
      </c>
      <c r="T115" s="22">
        <v>1</v>
      </c>
      <c r="U115" s="22">
        <v>1</v>
      </c>
      <c r="V115" s="21"/>
      <c r="W115" s="21">
        <v>0</v>
      </c>
      <c r="X115" s="21">
        <v>0</v>
      </c>
      <c r="Y115" s="21">
        <v>47</v>
      </c>
      <c r="Z115" s="21">
        <v>47</v>
      </c>
      <c r="AA115" s="21">
        <v>37</v>
      </c>
      <c r="AB115" s="22">
        <v>0</v>
      </c>
      <c r="AC115" s="22">
        <v>0</v>
      </c>
      <c r="AD115" s="22">
        <v>3.4817393881028226E-3</v>
      </c>
      <c r="AE115" s="22">
        <v>3.530914281421381E-3</v>
      </c>
      <c r="AF115" s="22">
        <v>2.8492222393346682E-3</v>
      </c>
      <c r="AG115" s="21">
        <v>0</v>
      </c>
      <c r="AH115" s="21">
        <v>0</v>
      </c>
      <c r="AI115" s="21">
        <v>47</v>
      </c>
      <c r="AJ115" s="21">
        <v>47</v>
      </c>
      <c r="AK115" s="21">
        <v>37</v>
      </c>
      <c r="AL115" s="22">
        <v>0</v>
      </c>
      <c r="AM115" s="22">
        <v>0</v>
      </c>
      <c r="AN115" s="22">
        <v>1</v>
      </c>
      <c r="AO115" s="22">
        <v>1</v>
      </c>
      <c r="AP115" s="22">
        <v>1</v>
      </c>
    </row>
    <row r="116" spans="1:42" x14ac:dyDescent="0.25">
      <c r="A116" s="20" t="s">
        <v>35</v>
      </c>
      <c r="B116" s="21">
        <v>1014</v>
      </c>
      <c r="C116" s="21">
        <v>711</v>
      </c>
      <c r="D116" s="21">
        <v>665</v>
      </c>
      <c r="E116" s="21">
        <v>614</v>
      </c>
      <c r="F116" s="21">
        <v>1152</v>
      </c>
      <c r="G116" s="22">
        <v>7.613755819192071E-2</v>
      </c>
      <c r="H116" s="22">
        <v>5.4751270599106727E-2</v>
      </c>
      <c r="I116" s="22">
        <v>5.0774986638161414E-2</v>
      </c>
      <c r="J116" s="22">
        <v>4.6599878567091683E-2</v>
      </c>
      <c r="K116" s="22">
        <v>6.1315733446880988E-2</v>
      </c>
      <c r="L116" s="21">
        <v>1014</v>
      </c>
      <c r="M116" s="21">
        <v>711</v>
      </c>
      <c r="N116" s="21">
        <v>665</v>
      </c>
      <c r="O116" s="21">
        <v>614</v>
      </c>
      <c r="P116" s="21">
        <v>1142</v>
      </c>
      <c r="Q116" s="22">
        <v>1</v>
      </c>
      <c r="R116" s="22">
        <v>1</v>
      </c>
      <c r="S116" s="22">
        <v>1</v>
      </c>
      <c r="T116" s="22">
        <v>1</v>
      </c>
      <c r="U116" s="22">
        <v>0.99131944444444442</v>
      </c>
      <c r="V116" s="21"/>
      <c r="W116" s="21">
        <v>0</v>
      </c>
      <c r="X116" s="21">
        <v>0</v>
      </c>
      <c r="Y116" s="21">
        <v>1771</v>
      </c>
      <c r="Z116" s="21">
        <v>1066</v>
      </c>
      <c r="AA116" s="21">
        <v>711</v>
      </c>
      <c r="AB116" s="22">
        <v>0</v>
      </c>
      <c r="AC116" s="22">
        <v>0</v>
      </c>
      <c r="AD116" s="22">
        <v>0.13119490332617231</v>
      </c>
      <c r="AE116" s="22">
        <v>8.0084140936067916E-2</v>
      </c>
      <c r="AF116" s="22">
        <v>5.4751270599106727E-2</v>
      </c>
      <c r="AG116" s="21">
        <v>0</v>
      </c>
      <c r="AH116" s="21">
        <v>0</v>
      </c>
      <c r="AI116" s="21">
        <v>1771</v>
      </c>
      <c r="AJ116" s="21">
        <v>1066</v>
      </c>
      <c r="AK116" s="21">
        <v>711</v>
      </c>
      <c r="AL116" s="22">
        <v>0</v>
      </c>
      <c r="AM116" s="22">
        <v>0</v>
      </c>
      <c r="AN116" s="22">
        <v>1</v>
      </c>
      <c r="AO116" s="22">
        <v>1</v>
      </c>
      <c r="AP116" s="22">
        <v>1</v>
      </c>
    </row>
    <row r="117" spans="1:42" x14ac:dyDescent="0.25">
      <c r="A117" s="20" t="s">
        <v>37</v>
      </c>
      <c r="B117" s="21">
        <v>0</v>
      </c>
      <c r="C117" s="21">
        <v>0</v>
      </c>
      <c r="D117" s="21">
        <v>0</v>
      </c>
      <c r="E117" s="21">
        <v>0</v>
      </c>
      <c r="F117" s="21">
        <v>5010</v>
      </c>
      <c r="G117" s="22">
        <v>0</v>
      </c>
      <c r="H117" s="22">
        <v>0</v>
      </c>
      <c r="I117" s="22">
        <v>0</v>
      </c>
      <c r="J117" s="22">
        <v>0</v>
      </c>
      <c r="K117" s="22">
        <v>0.26665956993825846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1"/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</row>
    <row r="118" spans="1:42" x14ac:dyDescent="0.25">
      <c r="A118" s="20" t="s">
        <v>85</v>
      </c>
      <c r="B118" s="21">
        <v>958</v>
      </c>
      <c r="C118" s="21">
        <v>960</v>
      </c>
      <c r="D118" s="21">
        <v>959</v>
      </c>
      <c r="E118" s="21">
        <v>961</v>
      </c>
      <c r="F118" s="21">
        <v>932</v>
      </c>
      <c r="G118" s="22">
        <v>7.1932722631025681E-2</v>
      </c>
      <c r="H118" s="22">
        <v>7.3925766209764363E-2</v>
      </c>
      <c r="I118" s="22">
        <v>7.3222875467664345E-2</v>
      </c>
      <c r="J118" s="22">
        <v>7.2935640558591378E-2</v>
      </c>
      <c r="K118" s="22">
        <v>4.9606131573344689E-2</v>
      </c>
      <c r="L118" s="21">
        <v>958</v>
      </c>
      <c r="M118" s="21">
        <v>960</v>
      </c>
      <c r="N118" s="21">
        <v>959</v>
      </c>
      <c r="O118" s="21">
        <v>961</v>
      </c>
      <c r="P118" s="21">
        <v>931</v>
      </c>
      <c r="Q118" s="22">
        <v>1</v>
      </c>
      <c r="R118" s="22">
        <v>1</v>
      </c>
      <c r="S118" s="22">
        <v>1</v>
      </c>
      <c r="T118" s="22">
        <v>1</v>
      </c>
      <c r="U118" s="22">
        <v>0.99892703862660948</v>
      </c>
      <c r="V118" s="21"/>
      <c r="W118" s="21">
        <v>0</v>
      </c>
      <c r="X118" s="21">
        <v>0</v>
      </c>
      <c r="Y118" s="21">
        <v>612</v>
      </c>
      <c r="Z118" s="21">
        <v>871</v>
      </c>
      <c r="AA118" s="21">
        <v>960</v>
      </c>
      <c r="AB118" s="22">
        <v>0</v>
      </c>
      <c r="AC118" s="22">
        <v>0</v>
      </c>
      <c r="AD118" s="22">
        <v>4.533669160678569E-2</v>
      </c>
      <c r="AE118" s="22">
        <v>6.5434602959957927E-2</v>
      </c>
      <c r="AF118" s="22">
        <v>7.3925766209764363E-2</v>
      </c>
      <c r="AG118" s="21">
        <v>0</v>
      </c>
      <c r="AH118" s="21">
        <v>0</v>
      </c>
      <c r="AI118" s="21">
        <v>612</v>
      </c>
      <c r="AJ118" s="21">
        <v>871</v>
      </c>
      <c r="AK118" s="21">
        <v>960</v>
      </c>
      <c r="AL118" s="22">
        <v>0</v>
      </c>
      <c r="AM118" s="22">
        <v>0</v>
      </c>
      <c r="AN118" s="22">
        <v>1</v>
      </c>
      <c r="AO118" s="22">
        <v>1</v>
      </c>
      <c r="AP118" s="22">
        <v>1</v>
      </c>
    </row>
    <row r="119" spans="1:42" x14ac:dyDescent="0.25">
      <c r="A119" s="20" t="s">
        <v>39</v>
      </c>
      <c r="B119" s="21">
        <v>0</v>
      </c>
      <c r="C119" s="21">
        <v>0</v>
      </c>
      <c r="D119" s="21">
        <v>2</v>
      </c>
      <c r="E119" s="21">
        <v>4</v>
      </c>
      <c r="F119" s="21">
        <v>6</v>
      </c>
      <c r="G119" s="22">
        <v>0</v>
      </c>
      <c r="H119" s="22">
        <v>0</v>
      </c>
      <c r="I119" s="22">
        <v>1.5270672673131251E-4</v>
      </c>
      <c r="J119" s="22">
        <v>3.0358227079538557E-4</v>
      </c>
      <c r="K119" s="22">
        <v>3.1935277836917181E-4</v>
      </c>
      <c r="L119" s="21">
        <v>0</v>
      </c>
      <c r="M119" s="21">
        <v>0</v>
      </c>
      <c r="N119" s="21">
        <v>2</v>
      </c>
      <c r="O119" s="21">
        <v>4</v>
      </c>
      <c r="P119" s="21">
        <v>6</v>
      </c>
      <c r="Q119" s="22">
        <v>0</v>
      </c>
      <c r="R119" s="22">
        <v>0</v>
      </c>
      <c r="S119" s="22">
        <v>1</v>
      </c>
      <c r="T119" s="22">
        <v>1</v>
      </c>
      <c r="U119" s="22">
        <v>1</v>
      </c>
      <c r="V119" s="21"/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</row>
    <row r="120" spans="1:42" x14ac:dyDescent="0.25">
      <c r="A120" s="20" t="s">
        <v>41</v>
      </c>
      <c r="B120" s="21">
        <v>18</v>
      </c>
      <c r="C120" s="21">
        <v>19</v>
      </c>
      <c r="D120" s="21">
        <v>21</v>
      </c>
      <c r="E120" s="21">
        <v>22</v>
      </c>
      <c r="F120" s="21">
        <v>32</v>
      </c>
      <c r="G120" s="22">
        <v>1.3515542874305451E-3</v>
      </c>
      <c r="H120" s="22">
        <v>1.4631141229015864E-3</v>
      </c>
      <c r="I120" s="22">
        <v>1.6034206306787815E-3</v>
      </c>
      <c r="J120" s="22">
        <v>1.6697024893746206E-3</v>
      </c>
      <c r="K120" s="22">
        <v>1.7032148179689163E-3</v>
      </c>
      <c r="L120" s="21">
        <v>18</v>
      </c>
      <c r="M120" s="21">
        <v>19</v>
      </c>
      <c r="N120" s="21">
        <v>21</v>
      </c>
      <c r="O120" s="21">
        <v>22</v>
      </c>
      <c r="P120" s="21">
        <v>32</v>
      </c>
      <c r="Q120" s="22">
        <v>1</v>
      </c>
      <c r="R120" s="22">
        <v>1</v>
      </c>
      <c r="S120" s="22">
        <v>1</v>
      </c>
      <c r="T120" s="22">
        <v>1</v>
      </c>
      <c r="U120" s="22">
        <v>1</v>
      </c>
      <c r="V120" s="21"/>
      <c r="W120" s="21">
        <v>0</v>
      </c>
      <c r="X120" s="21">
        <v>0</v>
      </c>
      <c r="Y120" s="21">
        <v>21</v>
      </c>
      <c r="Z120" s="21">
        <v>19</v>
      </c>
      <c r="AA120" s="21">
        <v>19</v>
      </c>
      <c r="AB120" s="22">
        <v>0</v>
      </c>
      <c r="AC120" s="22">
        <v>0</v>
      </c>
      <c r="AD120" s="22">
        <v>1.5556707904289208E-3</v>
      </c>
      <c r="AE120" s="22">
        <v>1.427390879723537E-3</v>
      </c>
      <c r="AF120" s="22">
        <v>1.4631141229015864E-3</v>
      </c>
      <c r="AG120" s="21">
        <v>0</v>
      </c>
      <c r="AH120" s="21">
        <v>0</v>
      </c>
      <c r="AI120" s="21">
        <v>21</v>
      </c>
      <c r="AJ120" s="21">
        <v>19</v>
      </c>
      <c r="AK120" s="21">
        <v>19</v>
      </c>
      <c r="AL120" s="22">
        <v>0</v>
      </c>
      <c r="AM120" s="22">
        <v>0</v>
      </c>
      <c r="AN120" s="22">
        <v>1</v>
      </c>
      <c r="AO120" s="22">
        <v>1</v>
      </c>
      <c r="AP120" s="22">
        <v>1</v>
      </c>
    </row>
    <row r="121" spans="1:42" x14ac:dyDescent="0.25">
      <c r="A121" s="20" t="s">
        <v>42</v>
      </c>
      <c r="B121" s="21">
        <v>23</v>
      </c>
      <c r="C121" s="21">
        <v>23</v>
      </c>
      <c r="D121" s="21">
        <v>20</v>
      </c>
      <c r="E121" s="21">
        <v>21</v>
      </c>
      <c r="F121" s="21">
        <v>22</v>
      </c>
      <c r="G121" s="22">
        <v>1.72698603393903E-3</v>
      </c>
      <c r="H121" s="22">
        <v>1.7711381487756045E-3</v>
      </c>
      <c r="I121" s="22">
        <v>1.5270672673131252E-3</v>
      </c>
      <c r="J121" s="22">
        <v>1.5938069216757742E-3</v>
      </c>
      <c r="K121" s="22">
        <v>1.17096018735363E-3</v>
      </c>
      <c r="L121" s="21">
        <v>23</v>
      </c>
      <c r="M121" s="21">
        <v>23</v>
      </c>
      <c r="N121" s="21">
        <v>20</v>
      </c>
      <c r="O121" s="21">
        <v>21</v>
      </c>
      <c r="P121" s="21">
        <v>22</v>
      </c>
      <c r="Q121" s="22">
        <v>1</v>
      </c>
      <c r="R121" s="22">
        <v>1</v>
      </c>
      <c r="S121" s="22">
        <v>1</v>
      </c>
      <c r="T121" s="22">
        <v>1</v>
      </c>
      <c r="U121" s="22">
        <v>1</v>
      </c>
      <c r="V121" s="21"/>
      <c r="W121" s="21">
        <v>0</v>
      </c>
      <c r="X121" s="21">
        <v>0</v>
      </c>
      <c r="Y121" s="21">
        <v>23</v>
      </c>
      <c r="Z121" s="21">
        <v>54</v>
      </c>
      <c r="AA121" s="21">
        <v>23</v>
      </c>
      <c r="AB121" s="22">
        <v>0</v>
      </c>
      <c r="AC121" s="22">
        <v>0</v>
      </c>
      <c r="AD121" s="22">
        <v>1.703829913326913E-3</v>
      </c>
      <c r="AE121" s="22">
        <v>4.0567951318458417E-3</v>
      </c>
      <c r="AF121" s="22">
        <v>1.7711381487756045E-3</v>
      </c>
      <c r="AG121" s="21">
        <v>0</v>
      </c>
      <c r="AH121" s="21">
        <v>0</v>
      </c>
      <c r="AI121" s="21">
        <v>23</v>
      </c>
      <c r="AJ121" s="21">
        <v>54</v>
      </c>
      <c r="AK121" s="21">
        <v>23</v>
      </c>
      <c r="AL121" s="22">
        <v>0</v>
      </c>
      <c r="AM121" s="22">
        <v>0</v>
      </c>
      <c r="AN121" s="22">
        <v>1</v>
      </c>
      <c r="AO121" s="22">
        <v>1</v>
      </c>
      <c r="AP121" s="22">
        <v>1</v>
      </c>
    </row>
    <row r="122" spans="1:42" x14ac:dyDescent="0.25">
      <c r="A122" s="20" t="s">
        <v>91</v>
      </c>
      <c r="B122" s="21">
        <v>1</v>
      </c>
      <c r="C122" s="21">
        <v>1</v>
      </c>
      <c r="D122" s="21">
        <v>0</v>
      </c>
      <c r="E122" s="21">
        <v>0</v>
      </c>
      <c r="F122" s="21">
        <v>1</v>
      </c>
      <c r="G122" s="22">
        <v>7.5086349301696948E-5</v>
      </c>
      <c r="H122" s="22">
        <v>7.7006006468504539E-5</v>
      </c>
      <c r="I122" s="22">
        <v>0</v>
      </c>
      <c r="J122" s="22">
        <v>0</v>
      </c>
      <c r="K122" s="22">
        <v>5.3225463061528635E-5</v>
      </c>
      <c r="L122" s="21">
        <v>1</v>
      </c>
      <c r="M122" s="21">
        <v>1</v>
      </c>
      <c r="N122" s="21">
        <v>0</v>
      </c>
      <c r="O122" s="21">
        <v>0</v>
      </c>
      <c r="P122" s="21">
        <v>1</v>
      </c>
      <c r="Q122" s="22">
        <v>1</v>
      </c>
      <c r="R122" s="22">
        <v>1</v>
      </c>
      <c r="S122" s="22">
        <v>0</v>
      </c>
      <c r="T122" s="22">
        <v>0</v>
      </c>
      <c r="U122" s="22">
        <v>1</v>
      </c>
      <c r="V122" s="21"/>
      <c r="W122" s="21">
        <v>0</v>
      </c>
      <c r="X122" s="21">
        <v>2</v>
      </c>
      <c r="Y122" s="21">
        <v>2</v>
      </c>
      <c r="Z122" s="21">
        <v>2</v>
      </c>
      <c r="AA122" s="21">
        <v>1</v>
      </c>
      <c r="AB122" s="22">
        <v>0</v>
      </c>
      <c r="AC122" s="22">
        <v>1</v>
      </c>
      <c r="AD122" s="22">
        <v>1.4815912289799243E-4</v>
      </c>
      <c r="AE122" s="22">
        <v>1.5025167154984599E-4</v>
      </c>
      <c r="AF122" s="22">
        <v>7.7006006468504539E-5</v>
      </c>
      <c r="AG122" s="21">
        <v>0</v>
      </c>
      <c r="AH122" s="21">
        <v>2</v>
      </c>
      <c r="AI122" s="21">
        <v>2</v>
      </c>
      <c r="AJ122" s="21">
        <v>2</v>
      </c>
      <c r="AK122" s="21">
        <v>1</v>
      </c>
      <c r="AL122" s="22">
        <v>0</v>
      </c>
      <c r="AM122" s="22">
        <v>1</v>
      </c>
      <c r="AN122" s="22">
        <v>1</v>
      </c>
      <c r="AO122" s="22">
        <v>1</v>
      </c>
      <c r="AP122" s="22">
        <v>1</v>
      </c>
    </row>
    <row r="123" spans="1:42" x14ac:dyDescent="0.25">
      <c r="A123" s="20" t="s">
        <v>45</v>
      </c>
      <c r="B123" s="21">
        <v>435</v>
      </c>
      <c r="C123" s="21">
        <v>437</v>
      </c>
      <c r="D123" s="21">
        <v>428</v>
      </c>
      <c r="E123" s="21">
        <v>424</v>
      </c>
      <c r="F123" s="21">
        <v>469</v>
      </c>
      <c r="G123" s="22">
        <v>3.2662561946238171E-2</v>
      </c>
      <c r="H123" s="22">
        <v>3.3651624826736483E-2</v>
      </c>
      <c r="I123" s="22">
        <v>3.2679239520500877E-2</v>
      </c>
      <c r="J123" s="22">
        <v>3.2179720704310869E-2</v>
      </c>
      <c r="K123" s="22">
        <v>2.4962742175856929E-2</v>
      </c>
      <c r="L123" s="21">
        <v>435</v>
      </c>
      <c r="M123" s="21">
        <v>437</v>
      </c>
      <c r="N123" s="21">
        <v>428</v>
      </c>
      <c r="O123" s="21">
        <v>424</v>
      </c>
      <c r="P123" s="21">
        <v>469</v>
      </c>
      <c r="Q123" s="22">
        <v>1</v>
      </c>
      <c r="R123" s="22">
        <v>1</v>
      </c>
      <c r="S123" s="22">
        <v>1</v>
      </c>
      <c r="T123" s="22">
        <v>1</v>
      </c>
      <c r="U123" s="22">
        <v>1</v>
      </c>
      <c r="V123" s="21"/>
      <c r="W123" s="21">
        <v>0</v>
      </c>
      <c r="X123" s="21">
        <v>0</v>
      </c>
      <c r="Y123" s="21">
        <v>296</v>
      </c>
      <c r="Z123" s="21">
        <v>354</v>
      </c>
      <c r="AA123" s="21">
        <v>437</v>
      </c>
      <c r="AB123" s="22">
        <v>0</v>
      </c>
      <c r="AC123" s="22">
        <v>0</v>
      </c>
      <c r="AD123" s="22">
        <v>2.192755018890288E-2</v>
      </c>
      <c r="AE123" s="22">
        <v>2.6594545864322739E-2</v>
      </c>
      <c r="AF123" s="22">
        <v>3.3651624826736483E-2</v>
      </c>
      <c r="AG123" s="21">
        <v>0</v>
      </c>
      <c r="AH123" s="21">
        <v>0</v>
      </c>
      <c r="AI123" s="21">
        <v>296</v>
      </c>
      <c r="AJ123" s="21">
        <v>354</v>
      </c>
      <c r="AK123" s="21">
        <v>437</v>
      </c>
      <c r="AL123" s="22">
        <v>0</v>
      </c>
      <c r="AM123" s="22">
        <v>0</v>
      </c>
      <c r="AN123" s="22">
        <v>1</v>
      </c>
      <c r="AO123" s="22">
        <v>1</v>
      </c>
      <c r="AP123" s="22">
        <v>1</v>
      </c>
    </row>
    <row r="124" spans="1:42" x14ac:dyDescent="0.25">
      <c r="A124" s="20" t="s">
        <v>46</v>
      </c>
      <c r="B124" s="21">
        <v>4</v>
      </c>
      <c r="C124" s="21">
        <v>6</v>
      </c>
      <c r="D124" s="21">
        <v>29</v>
      </c>
      <c r="E124" s="21">
        <v>36</v>
      </c>
      <c r="F124" s="21">
        <v>66</v>
      </c>
      <c r="G124" s="22">
        <v>3.0034539720678779E-4</v>
      </c>
      <c r="H124" s="22">
        <v>4.6203603881102723E-4</v>
      </c>
      <c r="I124" s="22">
        <v>2.2142475376040315E-3</v>
      </c>
      <c r="J124" s="22">
        <v>2.7322404371584699E-3</v>
      </c>
      <c r="K124" s="22">
        <v>3.5128805620608899E-3</v>
      </c>
      <c r="L124" s="21">
        <v>4</v>
      </c>
      <c r="M124" s="21">
        <v>6</v>
      </c>
      <c r="N124" s="21">
        <v>29</v>
      </c>
      <c r="O124" s="21">
        <v>36</v>
      </c>
      <c r="P124" s="21">
        <v>66</v>
      </c>
      <c r="Q124" s="22">
        <v>1</v>
      </c>
      <c r="R124" s="22">
        <v>1</v>
      </c>
      <c r="S124" s="22">
        <v>1</v>
      </c>
      <c r="T124" s="22">
        <v>1</v>
      </c>
      <c r="U124" s="22">
        <v>1</v>
      </c>
      <c r="V124" s="21"/>
      <c r="W124" s="21">
        <v>0</v>
      </c>
      <c r="X124" s="21">
        <v>0</v>
      </c>
      <c r="Y124" s="21">
        <v>0</v>
      </c>
      <c r="Z124" s="21">
        <v>1</v>
      </c>
      <c r="AA124" s="21">
        <v>6</v>
      </c>
      <c r="AB124" s="22">
        <v>0</v>
      </c>
      <c r="AC124" s="22">
        <v>0</v>
      </c>
      <c r="AD124" s="22">
        <v>0</v>
      </c>
      <c r="AE124" s="22">
        <v>7.5125835774922993E-5</v>
      </c>
      <c r="AF124" s="22">
        <v>4.6203603881102723E-4</v>
      </c>
      <c r="AG124" s="21">
        <v>0</v>
      </c>
      <c r="AH124" s="21">
        <v>0</v>
      </c>
      <c r="AI124" s="21">
        <v>0</v>
      </c>
      <c r="AJ124" s="21">
        <v>1</v>
      </c>
      <c r="AK124" s="21">
        <v>6</v>
      </c>
      <c r="AL124" s="22">
        <v>0</v>
      </c>
      <c r="AM124" s="22">
        <v>0</v>
      </c>
      <c r="AN124" s="22">
        <v>0</v>
      </c>
      <c r="AO124" s="22">
        <v>1</v>
      </c>
      <c r="AP124" s="22">
        <v>1</v>
      </c>
    </row>
    <row r="125" spans="1:42" x14ac:dyDescent="0.25">
      <c r="A125" s="20" t="s">
        <v>47</v>
      </c>
      <c r="B125" s="21">
        <v>5</v>
      </c>
      <c r="C125" s="21">
        <v>8</v>
      </c>
      <c r="D125" s="21">
        <v>8</v>
      </c>
      <c r="E125" s="21">
        <v>8</v>
      </c>
      <c r="F125" s="21">
        <v>8</v>
      </c>
      <c r="G125" s="22">
        <v>3.7543174650848477E-4</v>
      </c>
      <c r="H125" s="22">
        <v>6.1604805174803631E-4</v>
      </c>
      <c r="I125" s="22">
        <v>6.1082690692525004E-4</v>
      </c>
      <c r="J125" s="22">
        <v>6.0716454159077113E-4</v>
      </c>
      <c r="K125" s="22">
        <v>4.2580370449222908E-4</v>
      </c>
      <c r="L125" s="21">
        <v>5</v>
      </c>
      <c r="M125" s="21">
        <v>8</v>
      </c>
      <c r="N125" s="21">
        <v>8</v>
      </c>
      <c r="O125" s="21">
        <v>8</v>
      </c>
      <c r="P125" s="21">
        <v>8</v>
      </c>
      <c r="Q125" s="22">
        <v>1</v>
      </c>
      <c r="R125" s="22">
        <v>1</v>
      </c>
      <c r="S125" s="22">
        <v>1</v>
      </c>
      <c r="T125" s="22">
        <v>1</v>
      </c>
      <c r="U125" s="22">
        <v>1</v>
      </c>
      <c r="V125" s="21"/>
      <c r="W125" s="21">
        <v>0</v>
      </c>
      <c r="X125" s="21">
        <v>0</v>
      </c>
      <c r="Y125" s="21">
        <v>0</v>
      </c>
      <c r="Z125" s="21">
        <v>0</v>
      </c>
      <c r="AA125" s="21">
        <v>8</v>
      </c>
      <c r="AB125" s="22">
        <v>0</v>
      </c>
      <c r="AC125" s="22">
        <v>0</v>
      </c>
      <c r="AD125" s="22">
        <v>0</v>
      </c>
      <c r="AE125" s="22">
        <v>0</v>
      </c>
      <c r="AF125" s="22">
        <v>6.1604805174803631E-4</v>
      </c>
      <c r="AG125" s="21">
        <v>0</v>
      </c>
      <c r="AH125" s="21">
        <v>0</v>
      </c>
      <c r="AI125" s="21">
        <v>0</v>
      </c>
      <c r="AJ125" s="21">
        <v>0</v>
      </c>
      <c r="AK125" s="21">
        <v>8</v>
      </c>
      <c r="AL125" s="22">
        <v>0</v>
      </c>
      <c r="AM125" s="22">
        <v>0</v>
      </c>
      <c r="AN125" s="22">
        <v>0</v>
      </c>
      <c r="AO125" s="22">
        <v>0</v>
      </c>
      <c r="AP125" s="22">
        <v>1</v>
      </c>
    </row>
    <row r="126" spans="1:42" x14ac:dyDescent="0.25">
      <c r="A126" s="20" t="s">
        <v>48</v>
      </c>
      <c r="B126" s="21">
        <v>5147</v>
      </c>
      <c r="C126" s="21">
        <v>5070</v>
      </c>
      <c r="D126" s="21">
        <v>5121</v>
      </c>
      <c r="E126" s="21">
        <v>5054</v>
      </c>
      <c r="F126" s="21">
        <v>4931</v>
      </c>
      <c r="G126" s="22">
        <v>0.38646943985583421</v>
      </c>
      <c r="H126" s="22">
        <v>0.39042045279531801</v>
      </c>
      <c r="I126" s="22">
        <v>0.3910055737955257</v>
      </c>
      <c r="J126" s="22">
        <v>0.38357619914996965</v>
      </c>
      <c r="K126" s="22">
        <v>0.2624547583563977</v>
      </c>
      <c r="L126" s="21">
        <v>5147</v>
      </c>
      <c r="M126" s="21">
        <v>5070</v>
      </c>
      <c r="N126" s="21">
        <v>5121</v>
      </c>
      <c r="O126" s="21">
        <v>5054</v>
      </c>
      <c r="P126" s="21">
        <v>4694</v>
      </c>
      <c r="Q126" s="22">
        <v>1</v>
      </c>
      <c r="R126" s="22">
        <v>1</v>
      </c>
      <c r="S126" s="22">
        <v>1</v>
      </c>
      <c r="T126" s="22">
        <v>1</v>
      </c>
      <c r="U126" s="22">
        <v>0.95193672683025754</v>
      </c>
      <c r="V126" s="21"/>
      <c r="W126" s="21">
        <v>0</v>
      </c>
      <c r="X126" s="21">
        <v>0</v>
      </c>
      <c r="Y126" s="21">
        <v>7360</v>
      </c>
      <c r="Z126" s="21">
        <v>7368</v>
      </c>
      <c r="AA126" s="21">
        <v>5070</v>
      </c>
      <c r="AB126" s="22">
        <v>0</v>
      </c>
      <c r="AC126" s="22">
        <v>0</v>
      </c>
      <c r="AD126" s="22">
        <v>0.54522557226461221</v>
      </c>
      <c r="AE126" s="22">
        <v>0.55352715798963259</v>
      </c>
      <c r="AF126" s="22">
        <v>0.39042045279531801</v>
      </c>
      <c r="AG126" s="21">
        <v>0</v>
      </c>
      <c r="AH126" s="21">
        <v>0</v>
      </c>
      <c r="AI126" s="21">
        <v>7360</v>
      </c>
      <c r="AJ126" s="21">
        <v>7368</v>
      </c>
      <c r="AK126" s="21">
        <v>5070</v>
      </c>
      <c r="AL126" s="22">
        <v>0</v>
      </c>
      <c r="AM126" s="22">
        <v>0</v>
      </c>
      <c r="AN126" s="22">
        <v>1</v>
      </c>
      <c r="AO126" s="22">
        <v>1</v>
      </c>
      <c r="AP126" s="22">
        <v>1</v>
      </c>
    </row>
    <row r="127" spans="1:42" x14ac:dyDescent="0.25">
      <c r="A127" s="20" t="s">
        <v>92</v>
      </c>
      <c r="B127" s="21">
        <v>8</v>
      </c>
      <c r="C127" s="21">
        <v>8</v>
      </c>
      <c r="D127" s="21">
        <v>11</v>
      </c>
      <c r="E127" s="21">
        <v>11</v>
      </c>
      <c r="F127" s="21">
        <v>12</v>
      </c>
      <c r="G127" s="22">
        <v>6.0069079441357558E-4</v>
      </c>
      <c r="H127" s="22">
        <v>6.1604805174803631E-4</v>
      </c>
      <c r="I127" s="22">
        <v>8.3988699702221888E-4</v>
      </c>
      <c r="J127" s="22">
        <v>8.348512446873103E-4</v>
      </c>
      <c r="K127" s="22">
        <v>6.3870555673834362E-4</v>
      </c>
      <c r="L127" s="21">
        <v>8</v>
      </c>
      <c r="M127" s="21">
        <v>8</v>
      </c>
      <c r="N127" s="21">
        <v>11</v>
      </c>
      <c r="O127" s="21">
        <v>11</v>
      </c>
      <c r="P127" s="21">
        <v>12</v>
      </c>
      <c r="Q127" s="22">
        <v>1</v>
      </c>
      <c r="R127" s="22">
        <v>1</v>
      </c>
      <c r="S127" s="22">
        <v>1</v>
      </c>
      <c r="T127" s="22">
        <v>1</v>
      </c>
      <c r="U127" s="22">
        <v>1</v>
      </c>
      <c r="V127" s="21"/>
      <c r="W127" s="21">
        <v>0</v>
      </c>
      <c r="X127" s="21">
        <v>0</v>
      </c>
      <c r="Y127" s="21">
        <v>2</v>
      </c>
      <c r="Z127" s="21">
        <v>2</v>
      </c>
      <c r="AA127" s="21">
        <v>8</v>
      </c>
      <c r="AB127" s="22">
        <v>0</v>
      </c>
      <c r="AC127" s="22">
        <v>0</v>
      </c>
      <c r="AD127" s="22">
        <v>1.4815912289799243E-4</v>
      </c>
      <c r="AE127" s="22">
        <v>1.5025167154984599E-4</v>
      </c>
      <c r="AF127" s="22">
        <v>6.1604805174803631E-4</v>
      </c>
      <c r="AG127" s="21">
        <v>0</v>
      </c>
      <c r="AH127" s="21">
        <v>0</v>
      </c>
      <c r="AI127" s="21">
        <v>2</v>
      </c>
      <c r="AJ127" s="21">
        <v>2</v>
      </c>
      <c r="AK127" s="21">
        <v>8</v>
      </c>
      <c r="AL127" s="22">
        <v>0</v>
      </c>
      <c r="AM127" s="22">
        <v>0</v>
      </c>
      <c r="AN127" s="22">
        <v>1</v>
      </c>
      <c r="AO127" s="22">
        <v>1</v>
      </c>
      <c r="AP127" s="22">
        <v>1</v>
      </c>
    </row>
    <row r="128" spans="1:42" x14ac:dyDescent="0.25">
      <c r="A128" s="20" t="s">
        <v>49</v>
      </c>
      <c r="B128" s="21">
        <v>1</v>
      </c>
      <c r="C128" s="21">
        <v>1</v>
      </c>
      <c r="D128" s="21">
        <v>1</v>
      </c>
      <c r="E128" s="21">
        <v>0</v>
      </c>
      <c r="F128" s="21">
        <v>1</v>
      </c>
      <c r="G128" s="22">
        <v>7.5086349301696948E-5</v>
      </c>
      <c r="H128" s="22">
        <v>7.7006006468504539E-5</v>
      </c>
      <c r="I128" s="22">
        <v>7.6353363365656255E-5</v>
      </c>
      <c r="J128" s="22">
        <v>0</v>
      </c>
      <c r="K128" s="22">
        <v>5.3225463061528635E-5</v>
      </c>
      <c r="L128" s="21">
        <v>1</v>
      </c>
      <c r="M128" s="21">
        <v>1</v>
      </c>
      <c r="N128" s="21">
        <v>1</v>
      </c>
      <c r="O128" s="21">
        <v>0</v>
      </c>
      <c r="P128" s="21">
        <v>1</v>
      </c>
      <c r="Q128" s="22">
        <v>1</v>
      </c>
      <c r="R128" s="22">
        <v>1</v>
      </c>
      <c r="S128" s="22">
        <v>1</v>
      </c>
      <c r="T128" s="22">
        <v>0</v>
      </c>
      <c r="U128" s="22">
        <v>1</v>
      </c>
      <c r="V128" s="21"/>
      <c r="W128" s="21">
        <v>0</v>
      </c>
      <c r="X128" s="21">
        <v>0</v>
      </c>
      <c r="Y128" s="21">
        <v>0</v>
      </c>
      <c r="Z128" s="21">
        <v>1</v>
      </c>
      <c r="AA128" s="21">
        <v>1</v>
      </c>
      <c r="AB128" s="22">
        <v>0</v>
      </c>
      <c r="AC128" s="22">
        <v>0</v>
      </c>
      <c r="AD128" s="22">
        <v>0</v>
      </c>
      <c r="AE128" s="22">
        <v>7.5125835774922993E-5</v>
      </c>
      <c r="AF128" s="22">
        <v>7.7006006468504539E-5</v>
      </c>
      <c r="AG128" s="21">
        <v>0</v>
      </c>
      <c r="AH128" s="21">
        <v>0</v>
      </c>
      <c r="AI128" s="21">
        <v>0</v>
      </c>
      <c r="AJ128" s="21">
        <v>1</v>
      </c>
      <c r="AK128" s="21">
        <v>1</v>
      </c>
      <c r="AL128" s="22">
        <v>0</v>
      </c>
      <c r="AM128" s="22">
        <v>0</v>
      </c>
      <c r="AN128" s="22">
        <v>0</v>
      </c>
      <c r="AO128" s="22">
        <v>1</v>
      </c>
      <c r="AP128" s="22">
        <v>1</v>
      </c>
    </row>
    <row r="129" spans="1:42" x14ac:dyDescent="0.25">
      <c r="A129" s="20" t="s">
        <v>139</v>
      </c>
      <c r="B129" s="21">
        <v>77</v>
      </c>
      <c r="C129" s="21">
        <v>76</v>
      </c>
      <c r="D129" s="21">
        <v>71</v>
      </c>
      <c r="E129" s="21">
        <v>70</v>
      </c>
      <c r="F129" s="21">
        <v>88</v>
      </c>
      <c r="G129" s="22">
        <v>5.7816488962306655E-3</v>
      </c>
      <c r="H129" s="22">
        <v>5.8524564916063457E-3</v>
      </c>
      <c r="I129" s="22">
        <v>5.4210887989615941E-3</v>
      </c>
      <c r="J129" s="22">
        <v>5.3126897389192467E-3</v>
      </c>
      <c r="K129" s="22">
        <v>4.6838407494145199E-3</v>
      </c>
      <c r="L129" s="21">
        <v>77</v>
      </c>
      <c r="M129" s="21">
        <v>76</v>
      </c>
      <c r="N129" s="21">
        <v>71</v>
      </c>
      <c r="O129" s="21">
        <v>70</v>
      </c>
      <c r="P129" s="21">
        <v>74</v>
      </c>
      <c r="Q129" s="22">
        <v>1</v>
      </c>
      <c r="R129" s="22">
        <v>1</v>
      </c>
      <c r="S129" s="22">
        <v>1</v>
      </c>
      <c r="T129" s="22">
        <v>1</v>
      </c>
      <c r="U129" s="22">
        <v>0.84090909090909094</v>
      </c>
      <c r="V129" s="21"/>
      <c r="W129" s="21">
        <v>0</v>
      </c>
      <c r="X129" s="21">
        <v>0</v>
      </c>
      <c r="Y129" s="21">
        <v>175</v>
      </c>
      <c r="Z129" s="21">
        <v>33</v>
      </c>
      <c r="AA129" s="21">
        <v>76</v>
      </c>
      <c r="AB129" s="22">
        <v>0</v>
      </c>
      <c r="AC129" s="22">
        <v>0</v>
      </c>
      <c r="AD129" s="22">
        <v>1.2963923253574339E-2</v>
      </c>
      <c r="AE129" s="22">
        <v>2.4791525805724587E-3</v>
      </c>
      <c r="AF129" s="22">
        <v>5.8524564916063457E-3</v>
      </c>
      <c r="AG129" s="21">
        <v>0</v>
      </c>
      <c r="AH129" s="21">
        <v>0</v>
      </c>
      <c r="AI129" s="21">
        <v>175</v>
      </c>
      <c r="AJ129" s="21">
        <v>33</v>
      </c>
      <c r="AK129" s="21">
        <v>76</v>
      </c>
      <c r="AL129" s="22">
        <v>0</v>
      </c>
      <c r="AM129" s="22">
        <v>0</v>
      </c>
      <c r="AN129" s="22">
        <v>1</v>
      </c>
      <c r="AO129" s="22">
        <v>1</v>
      </c>
      <c r="AP129" s="22">
        <v>1</v>
      </c>
    </row>
    <row r="130" spans="1:42" x14ac:dyDescent="0.25">
      <c r="A130" s="20" t="s">
        <v>53</v>
      </c>
      <c r="B130" s="21">
        <v>4</v>
      </c>
      <c r="C130" s="21">
        <v>4</v>
      </c>
      <c r="D130" s="21">
        <v>7</v>
      </c>
      <c r="E130" s="21">
        <v>11</v>
      </c>
      <c r="F130" s="21">
        <v>10</v>
      </c>
      <c r="G130" s="22">
        <v>3.0034539720678779E-4</v>
      </c>
      <c r="H130" s="22">
        <v>3.0802402587401816E-4</v>
      </c>
      <c r="I130" s="22">
        <v>5.3447354355959376E-4</v>
      </c>
      <c r="J130" s="22">
        <v>8.348512446873103E-4</v>
      </c>
      <c r="K130" s="22">
        <v>5.3225463061528635E-4</v>
      </c>
      <c r="L130" s="21">
        <v>4</v>
      </c>
      <c r="M130" s="21">
        <v>4</v>
      </c>
      <c r="N130" s="21">
        <v>7</v>
      </c>
      <c r="O130" s="21">
        <v>11</v>
      </c>
      <c r="P130" s="21">
        <v>10</v>
      </c>
      <c r="Q130" s="22">
        <v>1</v>
      </c>
      <c r="R130" s="22">
        <v>1</v>
      </c>
      <c r="S130" s="22">
        <v>1</v>
      </c>
      <c r="T130" s="22">
        <v>1</v>
      </c>
      <c r="U130" s="22">
        <v>1</v>
      </c>
      <c r="V130" s="21"/>
      <c r="W130" s="21">
        <v>0</v>
      </c>
      <c r="X130" s="21">
        <v>0</v>
      </c>
      <c r="Y130" s="21">
        <v>0</v>
      </c>
      <c r="Z130" s="21">
        <v>0</v>
      </c>
      <c r="AA130" s="21">
        <v>4</v>
      </c>
      <c r="AB130" s="22">
        <v>0</v>
      </c>
      <c r="AC130" s="22">
        <v>0</v>
      </c>
      <c r="AD130" s="22">
        <v>0</v>
      </c>
      <c r="AE130" s="22">
        <v>0</v>
      </c>
      <c r="AF130" s="22">
        <v>3.0802402587401816E-4</v>
      </c>
      <c r="AG130" s="21">
        <v>0</v>
      </c>
      <c r="AH130" s="21">
        <v>0</v>
      </c>
      <c r="AI130" s="21">
        <v>0</v>
      </c>
      <c r="AJ130" s="21">
        <v>0</v>
      </c>
      <c r="AK130" s="21">
        <v>4</v>
      </c>
      <c r="AL130" s="22">
        <v>0</v>
      </c>
      <c r="AM130" s="22">
        <v>0</v>
      </c>
      <c r="AN130" s="22">
        <v>0</v>
      </c>
      <c r="AO130" s="22">
        <v>0</v>
      </c>
      <c r="AP130" s="22">
        <v>1</v>
      </c>
    </row>
    <row r="131" spans="1:42" x14ac:dyDescent="0.25">
      <c r="A131" s="20" t="s">
        <v>93</v>
      </c>
      <c r="B131" s="21">
        <v>19</v>
      </c>
      <c r="C131" s="21">
        <v>16</v>
      </c>
      <c r="D131" s="21">
        <v>16</v>
      </c>
      <c r="E131" s="21">
        <v>17</v>
      </c>
      <c r="F131" s="21">
        <v>25</v>
      </c>
      <c r="G131" s="22">
        <v>1.4266406367322421E-3</v>
      </c>
      <c r="H131" s="22">
        <v>1.2320961034960726E-3</v>
      </c>
      <c r="I131" s="22">
        <v>1.2216538138505001E-3</v>
      </c>
      <c r="J131" s="22">
        <v>1.2902246508803886E-3</v>
      </c>
      <c r="K131" s="22">
        <v>1.3306365765382159E-3</v>
      </c>
      <c r="L131" s="21">
        <v>19</v>
      </c>
      <c r="M131" s="21">
        <v>16</v>
      </c>
      <c r="N131" s="21">
        <v>16</v>
      </c>
      <c r="O131" s="21">
        <v>17</v>
      </c>
      <c r="P131" s="21">
        <v>25</v>
      </c>
      <c r="Q131" s="22">
        <v>1</v>
      </c>
      <c r="R131" s="22">
        <v>1</v>
      </c>
      <c r="S131" s="22">
        <v>1</v>
      </c>
      <c r="T131" s="22">
        <v>1</v>
      </c>
      <c r="U131" s="22">
        <v>1</v>
      </c>
      <c r="V131" s="21"/>
      <c r="W131" s="21">
        <v>0</v>
      </c>
      <c r="X131" s="21">
        <v>0</v>
      </c>
      <c r="Y131" s="21">
        <v>3</v>
      </c>
      <c r="Z131" s="21">
        <v>6</v>
      </c>
      <c r="AA131" s="21">
        <v>16</v>
      </c>
      <c r="AB131" s="22">
        <v>0</v>
      </c>
      <c r="AC131" s="22">
        <v>0</v>
      </c>
      <c r="AD131" s="22">
        <v>2.2223868434698867E-4</v>
      </c>
      <c r="AE131" s="22">
        <v>4.5075501464953799E-4</v>
      </c>
      <c r="AF131" s="22">
        <v>1.2320961034960726E-3</v>
      </c>
      <c r="AG131" s="21">
        <v>0</v>
      </c>
      <c r="AH131" s="21">
        <v>0</v>
      </c>
      <c r="AI131" s="21">
        <v>3</v>
      </c>
      <c r="AJ131" s="21">
        <v>6</v>
      </c>
      <c r="AK131" s="21">
        <v>16</v>
      </c>
      <c r="AL131" s="22">
        <v>0</v>
      </c>
      <c r="AM131" s="22">
        <v>0</v>
      </c>
      <c r="AN131" s="22">
        <v>1</v>
      </c>
      <c r="AO131" s="22">
        <v>1</v>
      </c>
      <c r="AP131" s="22">
        <v>1</v>
      </c>
    </row>
    <row r="132" spans="1:42" x14ac:dyDescent="0.25">
      <c r="A132" s="20" t="s">
        <v>54</v>
      </c>
      <c r="B132" s="21">
        <v>24</v>
      </c>
      <c r="C132" s="21">
        <v>22</v>
      </c>
      <c r="D132" s="21">
        <v>22</v>
      </c>
      <c r="E132" s="21">
        <v>25</v>
      </c>
      <c r="F132" s="21">
        <v>32</v>
      </c>
      <c r="G132" s="22">
        <v>1.8020723832407267E-3</v>
      </c>
      <c r="H132" s="22">
        <v>1.6941321423071E-3</v>
      </c>
      <c r="I132" s="22">
        <v>1.6797739940444378E-3</v>
      </c>
      <c r="J132" s="22">
        <v>1.8973891924711596E-3</v>
      </c>
      <c r="K132" s="22">
        <v>1.7032148179689163E-3</v>
      </c>
      <c r="L132" s="21">
        <v>24</v>
      </c>
      <c r="M132" s="21">
        <v>22</v>
      </c>
      <c r="N132" s="21">
        <v>22</v>
      </c>
      <c r="O132" s="21">
        <v>25</v>
      </c>
      <c r="P132" s="21">
        <v>32</v>
      </c>
      <c r="Q132" s="22">
        <v>1</v>
      </c>
      <c r="R132" s="22">
        <v>1</v>
      </c>
      <c r="S132" s="22">
        <v>1</v>
      </c>
      <c r="T132" s="22">
        <v>1</v>
      </c>
      <c r="U132" s="22">
        <v>1</v>
      </c>
      <c r="V132" s="21"/>
      <c r="W132" s="21">
        <v>0</v>
      </c>
      <c r="X132" s="21">
        <v>0</v>
      </c>
      <c r="Y132" s="21">
        <v>207</v>
      </c>
      <c r="Z132" s="21">
        <v>31</v>
      </c>
      <c r="AA132" s="21">
        <v>22</v>
      </c>
      <c r="AB132" s="22">
        <v>0</v>
      </c>
      <c r="AC132" s="22">
        <v>0</v>
      </c>
      <c r="AD132" s="22">
        <v>1.5334469219942217E-2</v>
      </c>
      <c r="AE132" s="22">
        <v>2.3289009090226129E-3</v>
      </c>
      <c r="AF132" s="22">
        <v>1.6941321423071E-3</v>
      </c>
      <c r="AG132" s="21">
        <v>0</v>
      </c>
      <c r="AH132" s="21">
        <v>0</v>
      </c>
      <c r="AI132" s="21">
        <v>207</v>
      </c>
      <c r="AJ132" s="21">
        <v>31</v>
      </c>
      <c r="AK132" s="21">
        <v>22</v>
      </c>
      <c r="AL132" s="22">
        <v>0</v>
      </c>
      <c r="AM132" s="22">
        <v>0</v>
      </c>
      <c r="AN132" s="22">
        <v>1</v>
      </c>
      <c r="AO132" s="22">
        <v>1</v>
      </c>
      <c r="AP132" s="22">
        <v>1</v>
      </c>
    </row>
    <row r="133" spans="1:42" x14ac:dyDescent="0.25">
      <c r="A133" s="20" t="s">
        <v>57</v>
      </c>
      <c r="B133" s="21">
        <v>47</v>
      </c>
      <c r="C133" s="21">
        <v>48</v>
      </c>
      <c r="D133" s="21">
        <v>37</v>
      </c>
      <c r="E133" s="21">
        <v>42</v>
      </c>
      <c r="F133" s="21">
        <v>39</v>
      </c>
      <c r="G133" s="22">
        <v>3.5290584171797567E-3</v>
      </c>
      <c r="H133" s="22">
        <v>3.6962883104882179E-3</v>
      </c>
      <c r="I133" s="22">
        <v>2.8250744445292813E-3</v>
      </c>
      <c r="J133" s="22">
        <v>3.1876138433515485E-3</v>
      </c>
      <c r="K133" s="22">
        <v>2.075793059399617E-3</v>
      </c>
      <c r="L133" s="21">
        <v>47</v>
      </c>
      <c r="M133" s="21">
        <v>48</v>
      </c>
      <c r="N133" s="21">
        <v>37</v>
      </c>
      <c r="O133" s="21">
        <v>42</v>
      </c>
      <c r="P133" s="21">
        <v>39</v>
      </c>
      <c r="Q133" s="22">
        <v>1</v>
      </c>
      <c r="R133" s="22">
        <v>1</v>
      </c>
      <c r="S133" s="22">
        <v>1</v>
      </c>
      <c r="T133" s="22">
        <v>1</v>
      </c>
      <c r="U133" s="22">
        <v>1</v>
      </c>
      <c r="V133" s="21"/>
      <c r="W133" s="21">
        <v>0</v>
      </c>
      <c r="X133" s="21">
        <v>0</v>
      </c>
      <c r="Y133" s="21">
        <v>155</v>
      </c>
      <c r="Z133" s="21">
        <v>154</v>
      </c>
      <c r="AA133" s="21">
        <v>48</v>
      </c>
      <c r="AB133" s="22">
        <v>0</v>
      </c>
      <c r="AC133" s="22">
        <v>0</v>
      </c>
      <c r="AD133" s="22">
        <v>1.1482332024594415E-2</v>
      </c>
      <c r="AE133" s="22">
        <v>1.1569378709338142E-2</v>
      </c>
      <c r="AF133" s="22">
        <v>3.6962883104882179E-3</v>
      </c>
      <c r="AG133" s="21">
        <v>0</v>
      </c>
      <c r="AH133" s="21">
        <v>0</v>
      </c>
      <c r="AI133" s="21">
        <v>155</v>
      </c>
      <c r="AJ133" s="21">
        <v>154</v>
      </c>
      <c r="AK133" s="21">
        <v>48</v>
      </c>
      <c r="AL133" s="22">
        <v>0</v>
      </c>
      <c r="AM133" s="22">
        <v>0</v>
      </c>
      <c r="AN133" s="22">
        <v>1</v>
      </c>
      <c r="AO133" s="22">
        <v>1</v>
      </c>
      <c r="AP133" s="22">
        <v>1</v>
      </c>
    </row>
    <row r="134" spans="1:42" x14ac:dyDescent="0.25">
      <c r="A134" s="20" t="s">
        <v>58</v>
      </c>
      <c r="B134" s="21">
        <v>0</v>
      </c>
      <c r="C134" s="21">
        <v>0</v>
      </c>
      <c r="D134" s="21">
        <v>0</v>
      </c>
      <c r="E134" s="21">
        <v>0</v>
      </c>
      <c r="F134" s="21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1"/>
      <c r="W134" s="21">
        <v>0</v>
      </c>
      <c r="X134" s="21">
        <v>0</v>
      </c>
      <c r="Y134" s="21">
        <v>8</v>
      </c>
      <c r="Z134" s="21">
        <v>0</v>
      </c>
      <c r="AA134" s="21">
        <v>0</v>
      </c>
      <c r="AB134" s="22">
        <v>0</v>
      </c>
      <c r="AC134" s="22">
        <v>0</v>
      </c>
      <c r="AD134" s="22">
        <v>5.9263649159196972E-4</v>
      </c>
      <c r="AE134" s="22">
        <v>0</v>
      </c>
      <c r="AF134" s="22">
        <v>0</v>
      </c>
      <c r="AG134" s="21">
        <v>0</v>
      </c>
      <c r="AH134" s="21">
        <v>0</v>
      </c>
      <c r="AI134" s="21">
        <v>8</v>
      </c>
      <c r="AJ134" s="21">
        <v>0</v>
      </c>
      <c r="AK134" s="21">
        <v>0</v>
      </c>
      <c r="AL134" s="22">
        <v>0</v>
      </c>
      <c r="AM134" s="22">
        <v>0</v>
      </c>
      <c r="AN134" s="22">
        <v>1</v>
      </c>
      <c r="AO134" s="22">
        <v>0</v>
      </c>
      <c r="AP134" s="22">
        <v>0</v>
      </c>
    </row>
    <row r="135" spans="1:42" x14ac:dyDescent="0.25">
      <c r="A135" s="20" t="s">
        <v>60</v>
      </c>
      <c r="B135" s="21">
        <v>70</v>
      </c>
      <c r="C135" s="21">
        <v>60</v>
      </c>
      <c r="D135" s="21">
        <v>53</v>
      </c>
      <c r="E135" s="21">
        <v>70</v>
      </c>
      <c r="F135" s="21">
        <v>79</v>
      </c>
      <c r="G135" s="22">
        <v>5.2560444511187869E-3</v>
      </c>
      <c r="H135" s="22">
        <v>4.6203603881102727E-3</v>
      </c>
      <c r="I135" s="22">
        <v>4.0467282583797814E-3</v>
      </c>
      <c r="J135" s="22">
        <v>5.3126897389192467E-3</v>
      </c>
      <c r="K135" s="22">
        <v>4.204811581860762E-3</v>
      </c>
      <c r="L135" s="21">
        <v>70</v>
      </c>
      <c r="M135" s="21">
        <v>60</v>
      </c>
      <c r="N135" s="21">
        <v>53</v>
      </c>
      <c r="O135" s="21">
        <v>70</v>
      </c>
      <c r="P135" s="21">
        <v>79</v>
      </c>
      <c r="Q135" s="22">
        <v>1</v>
      </c>
      <c r="R135" s="22">
        <v>1</v>
      </c>
      <c r="S135" s="22">
        <v>1</v>
      </c>
      <c r="T135" s="22">
        <v>1</v>
      </c>
      <c r="U135" s="22">
        <v>1</v>
      </c>
      <c r="V135" s="21"/>
      <c r="W135" s="21">
        <v>0</v>
      </c>
      <c r="X135" s="21">
        <v>0</v>
      </c>
      <c r="Y135" s="21">
        <v>157</v>
      </c>
      <c r="Z135" s="21">
        <v>51</v>
      </c>
      <c r="AA135" s="21">
        <v>60</v>
      </c>
      <c r="AB135" s="22">
        <v>0</v>
      </c>
      <c r="AC135" s="22">
        <v>0</v>
      </c>
      <c r="AD135" s="22">
        <v>1.1630491147492407E-2</v>
      </c>
      <c r="AE135" s="22">
        <v>3.8314176245210726E-3</v>
      </c>
      <c r="AF135" s="22">
        <v>4.6203603881102727E-3</v>
      </c>
      <c r="AG135" s="21">
        <v>0</v>
      </c>
      <c r="AH135" s="21">
        <v>0</v>
      </c>
      <c r="AI135" s="21">
        <v>157</v>
      </c>
      <c r="AJ135" s="21">
        <v>51</v>
      </c>
      <c r="AK135" s="21">
        <v>60</v>
      </c>
      <c r="AL135" s="22">
        <v>0</v>
      </c>
      <c r="AM135" s="22">
        <v>0</v>
      </c>
      <c r="AN135" s="22">
        <v>1</v>
      </c>
      <c r="AO135" s="22">
        <v>1</v>
      </c>
      <c r="AP135" s="22">
        <v>1</v>
      </c>
    </row>
    <row r="136" spans="1:42" x14ac:dyDescent="0.25">
      <c r="A136" s="20" t="s">
        <v>96</v>
      </c>
      <c r="B136" s="21">
        <v>1264</v>
      </c>
      <c r="C136" s="21">
        <v>1274</v>
      </c>
      <c r="D136" s="21">
        <v>1264</v>
      </c>
      <c r="E136" s="21">
        <v>1280</v>
      </c>
      <c r="F136" s="21">
        <v>1288</v>
      </c>
      <c r="G136" s="22">
        <v>9.4909145517344945E-2</v>
      </c>
      <c r="H136" s="22">
        <v>9.8105652240874794E-2</v>
      </c>
      <c r="I136" s="22">
        <v>9.6510651294189509E-2</v>
      </c>
      <c r="J136" s="22">
        <v>9.7146326654523371E-2</v>
      </c>
      <c r="K136" s="22">
        <v>6.8554396423248884E-2</v>
      </c>
      <c r="L136" s="21">
        <v>1264</v>
      </c>
      <c r="M136" s="21">
        <v>1274</v>
      </c>
      <c r="N136" s="21">
        <v>1264</v>
      </c>
      <c r="O136" s="21">
        <v>1280</v>
      </c>
      <c r="P136" s="21">
        <v>1288</v>
      </c>
      <c r="Q136" s="22">
        <v>1</v>
      </c>
      <c r="R136" s="22">
        <v>1</v>
      </c>
      <c r="S136" s="22">
        <v>1</v>
      </c>
      <c r="T136" s="22">
        <v>1</v>
      </c>
      <c r="U136" s="22">
        <v>1</v>
      </c>
      <c r="V136" s="21"/>
      <c r="W136" s="21">
        <v>0</v>
      </c>
      <c r="X136" s="21">
        <v>0</v>
      </c>
      <c r="Y136" s="21">
        <v>209</v>
      </c>
      <c r="Z136" s="21">
        <v>855</v>
      </c>
      <c r="AA136" s="21">
        <v>1274</v>
      </c>
      <c r="AB136" s="22">
        <v>0</v>
      </c>
      <c r="AC136" s="22">
        <v>0</v>
      </c>
      <c r="AD136" s="22">
        <v>1.5482628342840211E-2</v>
      </c>
      <c r="AE136" s="22">
        <v>6.4232589587559161E-2</v>
      </c>
      <c r="AF136" s="22">
        <v>9.8105652240874794E-2</v>
      </c>
      <c r="AG136" s="21">
        <v>0</v>
      </c>
      <c r="AH136" s="21">
        <v>0</v>
      </c>
      <c r="AI136" s="21">
        <v>209</v>
      </c>
      <c r="AJ136" s="21">
        <v>855</v>
      </c>
      <c r="AK136" s="21">
        <v>1274</v>
      </c>
      <c r="AL136" s="22">
        <v>0</v>
      </c>
      <c r="AM136" s="22">
        <v>0</v>
      </c>
      <c r="AN136" s="22">
        <v>1</v>
      </c>
      <c r="AO136" s="22">
        <v>1</v>
      </c>
      <c r="AP136" s="22">
        <v>1</v>
      </c>
    </row>
    <row r="137" spans="1:42" x14ac:dyDescent="0.25">
      <c r="A137" s="20" t="s">
        <v>62</v>
      </c>
      <c r="B137" s="21">
        <v>0</v>
      </c>
      <c r="C137" s="21">
        <v>0</v>
      </c>
      <c r="D137" s="21">
        <v>0</v>
      </c>
      <c r="E137" s="21">
        <v>0</v>
      </c>
      <c r="F137" s="21">
        <v>132</v>
      </c>
      <c r="G137" s="22">
        <v>0</v>
      </c>
      <c r="H137" s="22">
        <v>0</v>
      </c>
      <c r="I137" s="22">
        <v>0</v>
      </c>
      <c r="J137" s="22">
        <v>0</v>
      </c>
      <c r="K137" s="22">
        <v>7.0257611241217799E-3</v>
      </c>
      <c r="L137" s="21">
        <v>0</v>
      </c>
      <c r="M137" s="21">
        <v>0</v>
      </c>
      <c r="N137" s="21">
        <v>0</v>
      </c>
      <c r="O137" s="21">
        <v>0</v>
      </c>
      <c r="P137" s="21">
        <v>68</v>
      </c>
      <c r="Q137" s="22">
        <v>0</v>
      </c>
      <c r="R137" s="22">
        <v>0</v>
      </c>
      <c r="S137" s="22">
        <v>0</v>
      </c>
      <c r="T137" s="22">
        <v>0</v>
      </c>
      <c r="U137" s="22">
        <v>0.51515151515151514</v>
      </c>
      <c r="V137" s="21"/>
      <c r="W137" s="21">
        <v>0</v>
      </c>
      <c r="X137" s="21">
        <v>0</v>
      </c>
      <c r="Y137" s="21">
        <v>0</v>
      </c>
      <c r="Z137" s="21">
        <v>0</v>
      </c>
      <c r="AA137" s="21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1">
        <v>0</v>
      </c>
      <c r="AH137" s="21">
        <v>0</v>
      </c>
      <c r="AI137" s="21">
        <v>0</v>
      </c>
      <c r="AJ137" s="21">
        <v>0</v>
      </c>
      <c r="AK137" s="21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</row>
    <row r="138" spans="1:42" x14ac:dyDescent="0.25">
      <c r="A138" s="20" t="s">
        <v>63</v>
      </c>
      <c r="B138" s="21">
        <v>24</v>
      </c>
      <c r="C138" s="21">
        <v>21</v>
      </c>
      <c r="D138" s="21">
        <v>0</v>
      </c>
      <c r="E138" s="21">
        <v>51</v>
      </c>
      <c r="F138" s="21">
        <v>63</v>
      </c>
      <c r="G138" s="22">
        <v>1.8020723832407267E-3</v>
      </c>
      <c r="H138" s="22">
        <v>1.6171261358385953E-3</v>
      </c>
      <c r="I138" s="22">
        <v>0</v>
      </c>
      <c r="J138" s="22">
        <v>3.8706739526411659E-3</v>
      </c>
      <c r="K138" s="22">
        <v>3.3532041728763042E-3</v>
      </c>
      <c r="L138" s="21">
        <v>24</v>
      </c>
      <c r="M138" s="21">
        <v>21</v>
      </c>
      <c r="N138" s="21">
        <v>0</v>
      </c>
      <c r="O138" s="21">
        <v>51</v>
      </c>
      <c r="P138" s="21">
        <v>63</v>
      </c>
      <c r="Q138" s="22">
        <v>1</v>
      </c>
      <c r="R138" s="22">
        <v>1</v>
      </c>
      <c r="S138" s="22">
        <v>0</v>
      </c>
      <c r="T138" s="22">
        <v>1</v>
      </c>
      <c r="U138" s="22">
        <v>1</v>
      </c>
      <c r="V138" s="21"/>
      <c r="W138" s="21">
        <v>0</v>
      </c>
      <c r="X138" s="21">
        <v>0</v>
      </c>
      <c r="Y138" s="21">
        <v>0</v>
      </c>
      <c r="Z138" s="21">
        <v>11</v>
      </c>
      <c r="AA138" s="21">
        <v>21</v>
      </c>
      <c r="AB138" s="22">
        <v>0</v>
      </c>
      <c r="AC138" s="22">
        <v>0</v>
      </c>
      <c r="AD138" s="22">
        <v>0</v>
      </c>
      <c r="AE138" s="22">
        <v>8.2638419352415297E-4</v>
      </c>
      <c r="AF138" s="22">
        <v>1.6171261358385953E-3</v>
      </c>
      <c r="AG138" s="21">
        <v>0</v>
      </c>
      <c r="AH138" s="21">
        <v>0</v>
      </c>
      <c r="AI138" s="21">
        <v>0</v>
      </c>
      <c r="AJ138" s="21">
        <v>11</v>
      </c>
      <c r="AK138" s="21">
        <v>21</v>
      </c>
      <c r="AL138" s="22">
        <v>0</v>
      </c>
      <c r="AM138" s="22">
        <v>0</v>
      </c>
      <c r="AN138" s="22">
        <v>0</v>
      </c>
      <c r="AO138" s="22">
        <v>1</v>
      </c>
      <c r="AP138" s="22">
        <v>1</v>
      </c>
    </row>
    <row r="139" spans="1:42" x14ac:dyDescent="0.25">
      <c r="A139" s="20" t="s">
        <v>66</v>
      </c>
      <c r="B139" s="21">
        <v>10</v>
      </c>
      <c r="C139" s="21">
        <v>6</v>
      </c>
      <c r="D139" s="21">
        <v>9</v>
      </c>
      <c r="E139" s="21">
        <v>22</v>
      </c>
      <c r="F139" s="21">
        <v>11</v>
      </c>
      <c r="G139" s="22">
        <v>7.5086349301696953E-4</v>
      </c>
      <c r="H139" s="22">
        <v>4.6203603881102723E-4</v>
      </c>
      <c r="I139" s="22">
        <v>6.8718027029090632E-4</v>
      </c>
      <c r="J139" s="22">
        <v>1.6697024893746206E-3</v>
      </c>
      <c r="K139" s="22">
        <v>5.8548009367681499E-4</v>
      </c>
      <c r="L139" s="21">
        <v>10</v>
      </c>
      <c r="M139" s="21">
        <v>6</v>
      </c>
      <c r="N139" s="21">
        <v>9</v>
      </c>
      <c r="O139" s="21">
        <v>22</v>
      </c>
      <c r="P139" s="21">
        <v>11</v>
      </c>
      <c r="Q139" s="22">
        <v>1</v>
      </c>
      <c r="R139" s="22">
        <v>1</v>
      </c>
      <c r="S139" s="22">
        <v>1</v>
      </c>
      <c r="T139" s="22">
        <v>1</v>
      </c>
      <c r="U139" s="22">
        <v>1</v>
      </c>
      <c r="V139" s="21"/>
      <c r="W139" s="21">
        <v>0</v>
      </c>
      <c r="X139" s="21">
        <v>0</v>
      </c>
      <c r="Y139" s="21">
        <v>5</v>
      </c>
      <c r="Z139" s="21">
        <v>8</v>
      </c>
      <c r="AA139" s="21">
        <v>6</v>
      </c>
      <c r="AB139" s="22">
        <v>0</v>
      </c>
      <c r="AC139" s="22">
        <v>0</v>
      </c>
      <c r="AD139" s="22">
        <v>3.703978072449811E-4</v>
      </c>
      <c r="AE139" s="22">
        <v>6.0100668619938395E-4</v>
      </c>
      <c r="AF139" s="22">
        <v>4.6203603881102723E-4</v>
      </c>
      <c r="AG139" s="21">
        <v>0</v>
      </c>
      <c r="AH139" s="21">
        <v>0</v>
      </c>
      <c r="AI139" s="21">
        <v>5</v>
      </c>
      <c r="AJ139" s="21">
        <v>8</v>
      </c>
      <c r="AK139" s="21">
        <v>6</v>
      </c>
      <c r="AL139" s="22">
        <v>0</v>
      </c>
      <c r="AM139" s="22">
        <v>0</v>
      </c>
      <c r="AN139" s="22">
        <v>1</v>
      </c>
      <c r="AO139" s="22">
        <v>1</v>
      </c>
      <c r="AP139" s="22">
        <v>1</v>
      </c>
    </row>
    <row r="140" spans="1:42" x14ac:dyDescent="0.25">
      <c r="A140" s="31" t="s">
        <v>74</v>
      </c>
      <c r="B140" s="29">
        <v>13318</v>
      </c>
      <c r="C140" s="29">
        <v>12986</v>
      </c>
      <c r="D140" s="29">
        <v>13097</v>
      </c>
      <c r="E140" s="29">
        <v>13176</v>
      </c>
      <c r="F140" s="29">
        <v>18788</v>
      </c>
      <c r="G140" s="24">
        <v>1</v>
      </c>
      <c r="H140" s="24">
        <v>1</v>
      </c>
      <c r="I140" s="24">
        <v>1</v>
      </c>
      <c r="J140" s="24">
        <v>1</v>
      </c>
      <c r="K140" s="24">
        <v>1</v>
      </c>
      <c r="L140" s="29">
        <v>13318</v>
      </c>
      <c r="M140" s="29">
        <v>12986</v>
      </c>
      <c r="N140" s="29">
        <v>13097</v>
      </c>
      <c r="O140" s="29">
        <v>13176</v>
      </c>
      <c r="P140" s="29">
        <v>13401</v>
      </c>
      <c r="Q140" s="24">
        <v>1</v>
      </c>
      <c r="R140" s="24">
        <v>1</v>
      </c>
      <c r="S140" s="24">
        <v>1</v>
      </c>
      <c r="T140" s="24">
        <v>1</v>
      </c>
      <c r="U140" s="24">
        <v>0.71327443048754524</v>
      </c>
      <c r="V140" s="23"/>
      <c r="W140" s="29">
        <v>0</v>
      </c>
      <c r="X140" s="29">
        <v>2</v>
      </c>
      <c r="Y140" s="29">
        <v>13499</v>
      </c>
      <c r="Z140" s="29">
        <v>13311</v>
      </c>
      <c r="AA140" s="29">
        <v>12986</v>
      </c>
      <c r="AB140" s="24">
        <v>0</v>
      </c>
      <c r="AC140" s="24">
        <v>1</v>
      </c>
      <c r="AD140" s="24">
        <v>1</v>
      </c>
      <c r="AE140" s="24">
        <v>1</v>
      </c>
      <c r="AF140" s="24">
        <v>1</v>
      </c>
      <c r="AG140" s="29">
        <v>0</v>
      </c>
      <c r="AH140" s="29">
        <v>2</v>
      </c>
      <c r="AI140" s="29">
        <v>13499</v>
      </c>
      <c r="AJ140" s="29">
        <v>13311</v>
      </c>
      <c r="AK140" s="29">
        <v>12986</v>
      </c>
      <c r="AL140" s="24">
        <v>0</v>
      </c>
      <c r="AM140" s="24">
        <v>1</v>
      </c>
      <c r="AN140" s="24">
        <v>1</v>
      </c>
      <c r="AO140" s="24">
        <v>1</v>
      </c>
      <c r="AP140" s="24">
        <v>1</v>
      </c>
    </row>
    <row r="141" spans="1:42" x14ac:dyDescent="0.25">
      <c r="A141" s="20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</row>
    <row r="142" spans="1:42" x14ac:dyDescent="0.25">
      <c r="A142" s="30" t="s">
        <v>75</v>
      </c>
      <c r="B142" s="27" t="s">
        <v>12</v>
      </c>
      <c r="C142" s="27" t="s">
        <v>13</v>
      </c>
      <c r="D142" s="27" t="s">
        <v>14</v>
      </c>
      <c r="E142" s="27" t="s">
        <v>15</v>
      </c>
      <c r="F142" s="27" t="s">
        <v>16</v>
      </c>
      <c r="G142" s="27" t="s">
        <v>12</v>
      </c>
      <c r="H142" s="27" t="s">
        <v>13</v>
      </c>
      <c r="I142" s="27" t="s">
        <v>14</v>
      </c>
      <c r="J142" s="27" t="s">
        <v>15</v>
      </c>
      <c r="K142" s="27" t="s">
        <v>16</v>
      </c>
      <c r="L142" s="27" t="s">
        <v>12</v>
      </c>
      <c r="M142" s="27" t="s">
        <v>13</v>
      </c>
      <c r="N142" s="27" t="s">
        <v>14</v>
      </c>
      <c r="O142" s="27" t="s">
        <v>15</v>
      </c>
      <c r="P142" s="27" t="s">
        <v>16</v>
      </c>
      <c r="Q142" s="27" t="s">
        <v>12</v>
      </c>
      <c r="R142" s="27" t="s">
        <v>13</v>
      </c>
      <c r="S142" s="27" t="s">
        <v>14</v>
      </c>
      <c r="T142" s="27" t="s">
        <v>15</v>
      </c>
      <c r="U142" s="27" t="s">
        <v>16</v>
      </c>
      <c r="V142" s="27"/>
      <c r="W142" s="27" t="s">
        <v>17</v>
      </c>
      <c r="X142" s="27" t="s">
        <v>18</v>
      </c>
      <c r="Y142" s="27" t="s">
        <v>19</v>
      </c>
      <c r="Z142" s="27" t="s">
        <v>20</v>
      </c>
      <c r="AA142" s="27" t="s">
        <v>21</v>
      </c>
      <c r="AB142" s="27" t="s">
        <v>17</v>
      </c>
      <c r="AC142" s="27" t="s">
        <v>18</v>
      </c>
      <c r="AD142" s="27" t="s">
        <v>19</v>
      </c>
      <c r="AE142" s="27" t="s">
        <v>20</v>
      </c>
      <c r="AF142" s="27" t="s">
        <v>21</v>
      </c>
      <c r="AG142" s="27" t="s">
        <v>17</v>
      </c>
      <c r="AH142" s="27" t="s">
        <v>18</v>
      </c>
      <c r="AI142" s="27" t="s">
        <v>19</v>
      </c>
      <c r="AJ142" s="27" t="s">
        <v>20</v>
      </c>
      <c r="AK142" s="27" t="s">
        <v>21</v>
      </c>
      <c r="AL142" s="27" t="s">
        <v>17</v>
      </c>
      <c r="AM142" s="27" t="s">
        <v>18</v>
      </c>
      <c r="AN142" s="27" t="s">
        <v>19</v>
      </c>
      <c r="AO142" s="27" t="s">
        <v>20</v>
      </c>
      <c r="AP142" s="27" t="s">
        <v>21</v>
      </c>
    </row>
    <row r="143" spans="1:42" x14ac:dyDescent="0.25">
      <c r="A143" s="20" t="s">
        <v>24</v>
      </c>
      <c r="B143" s="21">
        <v>1440</v>
      </c>
      <c r="C143" s="21">
        <v>1414</v>
      </c>
      <c r="D143" s="21">
        <v>1482</v>
      </c>
      <c r="E143" s="21">
        <v>1489</v>
      </c>
      <c r="F143" s="21">
        <v>1519</v>
      </c>
      <c r="G143" s="22">
        <v>0.27108433734939757</v>
      </c>
      <c r="H143" s="22">
        <v>0.28704831506293138</v>
      </c>
      <c r="I143" s="22">
        <v>0.26393588601959039</v>
      </c>
      <c r="J143" s="22">
        <v>0.23710191082802548</v>
      </c>
      <c r="K143" s="22">
        <v>0.14254879879879881</v>
      </c>
      <c r="L143" s="21">
        <v>1440</v>
      </c>
      <c r="M143" s="21">
        <v>1414</v>
      </c>
      <c r="N143" s="21">
        <v>1482</v>
      </c>
      <c r="O143" s="21">
        <v>1489</v>
      </c>
      <c r="P143" s="21">
        <v>1507</v>
      </c>
      <c r="Q143" s="22">
        <v>1</v>
      </c>
      <c r="R143" s="22">
        <v>1</v>
      </c>
      <c r="S143" s="22">
        <v>1</v>
      </c>
      <c r="T143" s="22">
        <v>1</v>
      </c>
      <c r="U143" s="22">
        <v>0.99210006583278476</v>
      </c>
      <c r="V143" s="21"/>
      <c r="W143" s="21">
        <v>3372</v>
      </c>
      <c r="X143" s="21">
        <v>2526</v>
      </c>
      <c r="Y143" s="21">
        <v>2192</v>
      </c>
      <c r="Z143" s="21">
        <v>1418</v>
      </c>
      <c r="AA143" s="21">
        <v>1414</v>
      </c>
      <c r="AB143" s="22">
        <v>0.37329790767186982</v>
      </c>
      <c r="AC143" s="22">
        <v>0.3387421214965804</v>
      </c>
      <c r="AD143" s="22">
        <v>0.43883883883883884</v>
      </c>
      <c r="AE143" s="22">
        <v>0.25679101774719304</v>
      </c>
      <c r="AF143" s="22">
        <v>0.28704831506293138</v>
      </c>
      <c r="AG143" s="21">
        <v>3372</v>
      </c>
      <c r="AH143" s="21">
        <v>2526</v>
      </c>
      <c r="AI143" s="21">
        <v>2192</v>
      </c>
      <c r="AJ143" s="21">
        <v>1418</v>
      </c>
      <c r="AK143" s="21">
        <v>1414</v>
      </c>
      <c r="AL143" s="22">
        <v>1</v>
      </c>
      <c r="AM143" s="22">
        <v>1</v>
      </c>
      <c r="AN143" s="22">
        <v>1</v>
      </c>
      <c r="AO143" s="22">
        <v>1</v>
      </c>
      <c r="AP143" s="22">
        <v>1</v>
      </c>
    </row>
    <row r="144" spans="1:42" x14ac:dyDescent="0.25">
      <c r="A144" s="20" t="s">
        <v>25</v>
      </c>
      <c r="B144" s="21">
        <v>371</v>
      </c>
      <c r="C144" s="21">
        <v>371</v>
      </c>
      <c r="D144" s="21">
        <v>353</v>
      </c>
      <c r="E144" s="21">
        <v>331</v>
      </c>
      <c r="F144" s="21">
        <v>153</v>
      </c>
      <c r="G144" s="22">
        <v>6.9841867469879512E-2</v>
      </c>
      <c r="H144" s="22">
        <v>7.5314656922452289E-2</v>
      </c>
      <c r="I144" s="22">
        <v>6.28673196794301E-2</v>
      </c>
      <c r="J144" s="22">
        <v>5.2707006369426754E-2</v>
      </c>
      <c r="K144" s="22">
        <v>1.4358108108108109E-2</v>
      </c>
      <c r="L144" s="21">
        <v>371</v>
      </c>
      <c r="M144" s="21">
        <v>371</v>
      </c>
      <c r="N144" s="21">
        <v>353</v>
      </c>
      <c r="O144" s="21">
        <v>331</v>
      </c>
      <c r="P144" s="21">
        <v>152</v>
      </c>
      <c r="Q144" s="22">
        <v>1</v>
      </c>
      <c r="R144" s="22">
        <v>1</v>
      </c>
      <c r="S144" s="22">
        <v>1</v>
      </c>
      <c r="T144" s="22">
        <v>1</v>
      </c>
      <c r="U144" s="22">
        <v>0.99346405228758172</v>
      </c>
      <c r="V144" s="21"/>
      <c r="W144" s="21">
        <v>2195</v>
      </c>
      <c r="X144" s="21">
        <v>2402</v>
      </c>
      <c r="Y144" s="21">
        <v>79</v>
      </c>
      <c r="Z144" s="21">
        <v>1043</v>
      </c>
      <c r="AA144" s="21">
        <v>371</v>
      </c>
      <c r="AB144" s="22">
        <v>0.2429978966013506</v>
      </c>
      <c r="AC144" s="22">
        <v>0.32211345044924233</v>
      </c>
      <c r="AD144" s="22">
        <v>1.5815815815815815E-2</v>
      </c>
      <c r="AE144" s="22">
        <v>0.18888084027526258</v>
      </c>
      <c r="AF144" s="22">
        <v>7.5314656922452289E-2</v>
      </c>
      <c r="AG144" s="21">
        <v>2195</v>
      </c>
      <c r="AH144" s="21">
        <v>2402</v>
      </c>
      <c r="AI144" s="21">
        <v>79</v>
      </c>
      <c r="AJ144" s="21">
        <v>1043</v>
      </c>
      <c r="AK144" s="21">
        <v>371</v>
      </c>
      <c r="AL144" s="22">
        <v>1</v>
      </c>
      <c r="AM144" s="22">
        <v>1</v>
      </c>
      <c r="AN144" s="22">
        <v>1</v>
      </c>
      <c r="AO144" s="22">
        <v>1</v>
      </c>
      <c r="AP144" s="22">
        <v>1</v>
      </c>
    </row>
    <row r="145" spans="1:42" x14ac:dyDescent="0.25">
      <c r="A145" s="20" t="s">
        <v>29</v>
      </c>
      <c r="B145" s="21">
        <v>4</v>
      </c>
      <c r="C145" s="21">
        <v>3</v>
      </c>
      <c r="D145" s="21">
        <v>4</v>
      </c>
      <c r="E145" s="21">
        <v>4</v>
      </c>
      <c r="F145" s="21">
        <v>2</v>
      </c>
      <c r="G145" s="22">
        <v>7.5301204819277112E-4</v>
      </c>
      <c r="H145" s="22">
        <v>6.0901339829476245E-4</v>
      </c>
      <c r="I145" s="22">
        <v>7.1237756010685666E-4</v>
      </c>
      <c r="J145" s="22">
        <v>6.3694267515923564E-4</v>
      </c>
      <c r="K145" s="22">
        <v>1.8768768768768769E-4</v>
      </c>
      <c r="L145" s="21">
        <v>4</v>
      </c>
      <c r="M145" s="21">
        <v>3</v>
      </c>
      <c r="N145" s="21">
        <v>4</v>
      </c>
      <c r="O145" s="21">
        <v>4</v>
      </c>
      <c r="P145" s="21">
        <v>2</v>
      </c>
      <c r="Q145" s="22">
        <v>1</v>
      </c>
      <c r="R145" s="22">
        <v>1</v>
      </c>
      <c r="S145" s="22">
        <v>1</v>
      </c>
      <c r="T145" s="22">
        <v>1</v>
      </c>
      <c r="U145" s="22">
        <v>1</v>
      </c>
      <c r="V145" s="21"/>
      <c r="W145" s="21">
        <v>0</v>
      </c>
      <c r="X145" s="21">
        <v>0</v>
      </c>
      <c r="Y145" s="21">
        <v>1</v>
      </c>
      <c r="Z145" s="21">
        <v>1</v>
      </c>
      <c r="AA145" s="21">
        <v>3</v>
      </c>
      <c r="AB145" s="22">
        <v>0</v>
      </c>
      <c r="AC145" s="22">
        <v>0</v>
      </c>
      <c r="AD145" s="22">
        <v>2.0020020020020021E-4</v>
      </c>
      <c r="AE145" s="22">
        <v>1.8109380659181456E-4</v>
      </c>
      <c r="AF145" s="22">
        <v>6.0901339829476245E-4</v>
      </c>
      <c r="AG145" s="21">
        <v>0</v>
      </c>
      <c r="AH145" s="21">
        <v>0</v>
      </c>
      <c r="AI145" s="21">
        <v>1</v>
      </c>
      <c r="AJ145" s="21">
        <v>1</v>
      </c>
      <c r="AK145" s="21">
        <v>3</v>
      </c>
      <c r="AL145" s="22">
        <v>0</v>
      </c>
      <c r="AM145" s="22">
        <v>0</v>
      </c>
      <c r="AN145" s="22">
        <v>1</v>
      </c>
      <c r="AO145" s="22">
        <v>1</v>
      </c>
      <c r="AP145" s="22">
        <v>1</v>
      </c>
    </row>
    <row r="146" spans="1:42" x14ac:dyDescent="0.25">
      <c r="A146" s="20" t="s">
        <v>87</v>
      </c>
      <c r="B146" s="21">
        <v>0</v>
      </c>
      <c r="C146" s="21">
        <v>0</v>
      </c>
      <c r="D146" s="21">
        <v>0</v>
      </c>
      <c r="E146" s="21">
        <v>0</v>
      </c>
      <c r="F146" s="21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1">
        <v>0</v>
      </c>
      <c r="M146" s="21">
        <v>0</v>
      </c>
      <c r="N146" s="21">
        <v>0</v>
      </c>
      <c r="O146" s="21">
        <v>0</v>
      </c>
      <c r="P146" s="21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1"/>
      <c r="W146" s="21">
        <v>0</v>
      </c>
      <c r="X146" s="21">
        <v>1</v>
      </c>
      <c r="Y146" s="21">
        <v>1</v>
      </c>
      <c r="Z146" s="21">
        <v>1</v>
      </c>
      <c r="AA146" s="21">
        <v>0</v>
      </c>
      <c r="AB146" s="22">
        <v>0</v>
      </c>
      <c r="AC146" s="22">
        <v>1.3410218586562962E-4</v>
      </c>
      <c r="AD146" s="22">
        <v>2.0020020020020021E-4</v>
      </c>
      <c r="AE146" s="22">
        <v>1.8109380659181456E-4</v>
      </c>
      <c r="AF146" s="22">
        <v>0</v>
      </c>
      <c r="AG146" s="21">
        <v>0</v>
      </c>
      <c r="AH146" s="21">
        <v>1</v>
      </c>
      <c r="AI146" s="21">
        <v>1</v>
      </c>
      <c r="AJ146" s="21">
        <v>1</v>
      </c>
      <c r="AK146" s="21">
        <v>0</v>
      </c>
      <c r="AL146" s="22">
        <v>0</v>
      </c>
      <c r="AM146" s="22">
        <v>1</v>
      </c>
      <c r="AN146" s="22">
        <v>1</v>
      </c>
      <c r="AO146" s="22">
        <v>1</v>
      </c>
      <c r="AP146" s="22">
        <v>0</v>
      </c>
    </row>
    <row r="147" spans="1:42" x14ac:dyDescent="0.25">
      <c r="A147" s="20" t="s">
        <v>35</v>
      </c>
      <c r="B147" s="21">
        <v>1029</v>
      </c>
      <c r="C147" s="21">
        <v>650</v>
      </c>
      <c r="D147" s="21">
        <v>664</v>
      </c>
      <c r="E147" s="21">
        <v>641</v>
      </c>
      <c r="F147" s="21">
        <v>1069</v>
      </c>
      <c r="G147" s="22">
        <v>0.19371234939759036</v>
      </c>
      <c r="H147" s="22">
        <v>0.13195290296386519</v>
      </c>
      <c r="I147" s="22">
        <v>0.1182546749777382</v>
      </c>
      <c r="J147" s="22">
        <v>0.10207006369426752</v>
      </c>
      <c r="K147" s="22">
        <v>0.10031906906906907</v>
      </c>
      <c r="L147" s="21">
        <v>1029</v>
      </c>
      <c r="M147" s="21">
        <v>650</v>
      </c>
      <c r="N147" s="21">
        <v>664</v>
      </c>
      <c r="O147" s="21">
        <v>641</v>
      </c>
      <c r="P147" s="21">
        <v>1063</v>
      </c>
      <c r="Q147" s="22">
        <v>1</v>
      </c>
      <c r="R147" s="22">
        <v>1</v>
      </c>
      <c r="S147" s="22">
        <v>1</v>
      </c>
      <c r="T147" s="22">
        <v>1</v>
      </c>
      <c r="U147" s="22">
        <v>0.99438727782974745</v>
      </c>
      <c r="V147" s="21"/>
      <c r="W147" s="21">
        <v>833</v>
      </c>
      <c r="X147" s="21">
        <v>810</v>
      </c>
      <c r="Y147" s="21">
        <v>660</v>
      </c>
      <c r="Z147" s="21">
        <v>520</v>
      </c>
      <c r="AA147" s="21">
        <v>650</v>
      </c>
      <c r="AB147" s="22">
        <v>9.2217424997232372E-2</v>
      </c>
      <c r="AC147" s="22">
        <v>0.10862277055115999</v>
      </c>
      <c r="AD147" s="22">
        <v>0.13213213213213212</v>
      </c>
      <c r="AE147" s="22">
        <v>9.4168779427743571E-2</v>
      </c>
      <c r="AF147" s="22">
        <v>0.13195290296386519</v>
      </c>
      <c r="AG147" s="21">
        <v>833</v>
      </c>
      <c r="AH147" s="21">
        <v>810</v>
      </c>
      <c r="AI147" s="21">
        <v>660</v>
      </c>
      <c r="AJ147" s="21">
        <v>520</v>
      </c>
      <c r="AK147" s="21">
        <v>650</v>
      </c>
      <c r="AL147" s="22">
        <v>1</v>
      </c>
      <c r="AM147" s="22">
        <v>1</v>
      </c>
      <c r="AN147" s="22">
        <v>1</v>
      </c>
      <c r="AO147" s="22">
        <v>1</v>
      </c>
      <c r="AP147" s="22">
        <v>1</v>
      </c>
    </row>
    <row r="148" spans="1:42" x14ac:dyDescent="0.25">
      <c r="A148" s="20" t="s">
        <v>84</v>
      </c>
      <c r="B148" s="21">
        <v>0</v>
      </c>
      <c r="C148" s="21">
        <v>0</v>
      </c>
      <c r="D148" s="21">
        <v>0</v>
      </c>
      <c r="E148" s="21">
        <v>6</v>
      </c>
      <c r="F148" s="21">
        <v>12</v>
      </c>
      <c r="G148" s="22">
        <v>0</v>
      </c>
      <c r="H148" s="22">
        <v>0</v>
      </c>
      <c r="I148" s="22">
        <v>0</v>
      </c>
      <c r="J148" s="22">
        <v>9.5541401273885351E-4</v>
      </c>
      <c r="K148" s="22">
        <v>1.1261261261261261E-3</v>
      </c>
      <c r="L148" s="21">
        <v>0</v>
      </c>
      <c r="M148" s="21">
        <v>0</v>
      </c>
      <c r="N148" s="21">
        <v>0</v>
      </c>
      <c r="O148" s="21">
        <v>6</v>
      </c>
      <c r="P148" s="21">
        <v>12</v>
      </c>
      <c r="Q148" s="22">
        <v>0</v>
      </c>
      <c r="R148" s="22">
        <v>0</v>
      </c>
      <c r="S148" s="22">
        <v>0</v>
      </c>
      <c r="T148" s="22">
        <v>1</v>
      </c>
      <c r="U148" s="22">
        <v>1</v>
      </c>
      <c r="V148" s="21"/>
      <c r="W148" s="21">
        <v>0</v>
      </c>
      <c r="X148" s="21">
        <v>0</v>
      </c>
      <c r="Y148" s="21">
        <v>0</v>
      </c>
      <c r="Z148" s="21">
        <v>0</v>
      </c>
      <c r="AA148" s="21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1">
        <v>0</v>
      </c>
      <c r="AH148" s="21">
        <v>0</v>
      </c>
      <c r="AI148" s="21">
        <v>0</v>
      </c>
      <c r="AJ148" s="21">
        <v>0</v>
      </c>
      <c r="AK148" s="21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</row>
    <row r="149" spans="1:42" x14ac:dyDescent="0.25">
      <c r="A149" s="20" t="s">
        <v>85</v>
      </c>
      <c r="B149" s="21">
        <v>51</v>
      </c>
      <c r="C149" s="21">
        <v>51</v>
      </c>
      <c r="D149" s="21">
        <v>42</v>
      </c>
      <c r="E149" s="21">
        <v>47</v>
      </c>
      <c r="F149" s="21">
        <v>62</v>
      </c>
      <c r="G149" s="22">
        <v>9.600903614457831E-3</v>
      </c>
      <c r="H149" s="22">
        <v>1.0353227771010963E-2</v>
      </c>
      <c r="I149" s="22">
        <v>7.4799643811219946E-3</v>
      </c>
      <c r="J149" s="22">
        <v>7.4840764331210192E-3</v>
      </c>
      <c r="K149" s="22">
        <v>5.8183183183183182E-3</v>
      </c>
      <c r="L149" s="21">
        <v>51</v>
      </c>
      <c r="M149" s="21">
        <v>51</v>
      </c>
      <c r="N149" s="21">
        <v>42</v>
      </c>
      <c r="O149" s="21">
        <v>47</v>
      </c>
      <c r="P149" s="21">
        <v>61</v>
      </c>
      <c r="Q149" s="22">
        <v>1</v>
      </c>
      <c r="R149" s="22">
        <v>1</v>
      </c>
      <c r="S149" s="22">
        <v>1</v>
      </c>
      <c r="T149" s="22">
        <v>1</v>
      </c>
      <c r="U149" s="22">
        <v>0.9838709677419355</v>
      </c>
      <c r="V149" s="21"/>
      <c r="W149" s="21">
        <v>140</v>
      </c>
      <c r="X149" s="21">
        <v>169</v>
      </c>
      <c r="Y149" s="21">
        <v>123</v>
      </c>
      <c r="Z149" s="21">
        <v>89</v>
      </c>
      <c r="AA149" s="21">
        <v>51</v>
      </c>
      <c r="AB149" s="22">
        <v>1.5498726890291154E-2</v>
      </c>
      <c r="AC149" s="22">
        <v>2.2663269411291403E-2</v>
      </c>
      <c r="AD149" s="22">
        <v>2.4624624624624624E-2</v>
      </c>
      <c r="AE149" s="22">
        <v>1.6117348786671495E-2</v>
      </c>
      <c r="AF149" s="22">
        <v>1.0353227771010963E-2</v>
      </c>
      <c r="AG149" s="21">
        <v>140</v>
      </c>
      <c r="AH149" s="21">
        <v>169</v>
      </c>
      <c r="AI149" s="21">
        <v>123</v>
      </c>
      <c r="AJ149" s="21">
        <v>89</v>
      </c>
      <c r="AK149" s="21">
        <v>51</v>
      </c>
      <c r="AL149" s="22">
        <v>1</v>
      </c>
      <c r="AM149" s="22">
        <v>1</v>
      </c>
      <c r="AN149" s="22">
        <v>1</v>
      </c>
      <c r="AO149" s="22">
        <v>1</v>
      </c>
      <c r="AP149" s="22">
        <v>1</v>
      </c>
    </row>
    <row r="150" spans="1:42" x14ac:dyDescent="0.25">
      <c r="A150" s="20" t="s">
        <v>40</v>
      </c>
      <c r="B150" s="21">
        <v>0</v>
      </c>
      <c r="C150" s="21">
        <v>0</v>
      </c>
      <c r="D150" s="21">
        <v>0</v>
      </c>
      <c r="E150" s="21">
        <v>0</v>
      </c>
      <c r="F150" s="21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0</v>
      </c>
      <c r="V150" s="21"/>
      <c r="W150" s="21">
        <v>0</v>
      </c>
      <c r="X150" s="21">
        <v>1</v>
      </c>
      <c r="Y150" s="21">
        <v>0</v>
      </c>
      <c r="Z150" s="21">
        <v>0</v>
      </c>
      <c r="AA150" s="21">
        <v>0</v>
      </c>
      <c r="AB150" s="22">
        <v>0</v>
      </c>
      <c r="AC150" s="22">
        <v>1.3410218586562962E-4</v>
      </c>
      <c r="AD150" s="22">
        <v>0</v>
      </c>
      <c r="AE150" s="22">
        <v>0</v>
      </c>
      <c r="AF150" s="22">
        <v>0</v>
      </c>
      <c r="AG150" s="21">
        <v>0</v>
      </c>
      <c r="AH150" s="21">
        <v>1</v>
      </c>
      <c r="AI150" s="21">
        <v>0</v>
      </c>
      <c r="AJ150" s="21">
        <v>0</v>
      </c>
      <c r="AK150" s="21">
        <v>0</v>
      </c>
      <c r="AL150" s="22">
        <v>0</v>
      </c>
      <c r="AM150" s="22">
        <v>1</v>
      </c>
      <c r="AN150" s="22">
        <v>0</v>
      </c>
      <c r="AO150" s="22">
        <v>0</v>
      </c>
      <c r="AP150" s="22">
        <v>0</v>
      </c>
    </row>
    <row r="151" spans="1:42" x14ac:dyDescent="0.25">
      <c r="A151" s="20" t="s">
        <v>90</v>
      </c>
      <c r="B151" s="21">
        <v>1</v>
      </c>
      <c r="C151" s="21">
        <v>2</v>
      </c>
      <c r="D151" s="21">
        <v>4</v>
      </c>
      <c r="E151" s="21">
        <v>5</v>
      </c>
      <c r="F151" s="21">
        <v>0</v>
      </c>
      <c r="G151" s="22">
        <v>1.8825301204819278E-4</v>
      </c>
      <c r="H151" s="22">
        <v>4.0600893219650832E-4</v>
      </c>
      <c r="I151" s="22">
        <v>7.1237756010685666E-4</v>
      </c>
      <c r="J151" s="22">
        <v>7.9617834394904463E-4</v>
      </c>
      <c r="K151" s="22">
        <v>0</v>
      </c>
      <c r="L151" s="21">
        <v>1</v>
      </c>
      <c r="M151" s="21">
        <v>2</v>
      </c>
      <c r="N151" s="21">
        <v>4</v>
      </c>
      <c r="O151" s="21">
        <v>5</v>
      </c>
      <c r="P151" s="21">
        <v>0</v>
      </c>
      <c r="Q151" s="22">
        <v>1</v>
      </c>
      <c r="R151" s="22">
        <v>1</v>
      </c>
      <c r="S151" s="22">
        <v>1</v>
      </c>
      <c r="T151" s="22">
        <v>1</v>
      </c>
      <c r="U151" s="22">
        <v>0</v>
      </c>
      <c r="V151" s="21"/>
      <c r="W151" s="21">
        <v>0</v>
      </c>
      <c r="X151" s="21">
        <v>0</v>
      </c>
      <c r="Y151" s="21">
        <v>0</v>
      </c>
      <c r="Z151" s="21">
        <v>0</v>
      </c>
      <c r="AA151" s="21">
        <v>2</v>
      </c>
      <c r="AB151" s="22">
        <v>0</v>
      </c>
      <c r="AC151" s="22">
        <v>0</v>
      </c>
      <c r="AD151" s="22">
        <v>0</v>
      </c>
      <c r="AE151" s="22">
        <v>0</v>
      </c>
      <c r="AF151" s="22">
        <v>4.0600893219650832E-4</v>
      </c>
      <c r="AG151" s="21">
        <v>0</v>
      </c>
      <c r="AH151" s="21">
        <v>0</v>
      </c>
      <c r="AI151" s="21">
        <v>0</v>
      </c>
      <c r="AJ151" s="21">
        <v>0</v>
      </c>
      <c r="AK151" s="21">
        <v>2</v>
      </c>
      <c r="AL151" s="22">
        <v>0</v>
      </c>
      <c r="AM151" s="22">
        <v>0</v>
      </c>
      <c r="AN151" s="22">
        <v>0</v>
      </c>
      <c r="AO151" s="22">
        <v>0</v>
      </c>
      <c r="AP151" s="22">
        <v>1</v>
      </c>
    </row>
    <row r="152" spans="1:42" x14ac:dyDescent="0.25">
      <c r="A152" s="20" t="s">
        <v>42</v>
      </c>
      <c r="B152" s="21">
        <v>9</v>
      </c>
      <c r="C152" s="21">
        <v>9</v>
      </c>
      <c r="D152" s="21">
        <v>11</v>
      </c>
      <c r="E152" s="21">
        <v>11</v>
      </c>
      <c r="F152" s="21">
        <v>11</v>
      </c>
      <c r="G152" s="22">
        <v>1.694277108433735E-3</v>
      </c>
      <c r="H152" s="22">
        <v>1.8270401948842874E-3</v>
      </c>
      <c r="I152" s="22">
        <v>1.9590382902938555E-3</v>
      </c>
      <c r="J152" s="22">
        <v>1.7515923566878981E-3</v>
      </c>
      <c r="K152" s="22">
        <v>1.0322822822822822E-3</v>
      </c>
      <c r="L152" s="21">
        <v>9</v>
      </c>
      <c r="M152" s="21">
        <v>9</v>
      </c>
      <c r="N152" s="21">
        <v>11</v>
      </c>
      <c r="O152" s="21">
        <v>11</v>
      </c>
      <c r="P152" s="21">
        <v>11</v>
      </c>
      <c r="Q152" s="22">
        <v>1</v>
      </c>
      <c r="R152" s="22">
        <v>1</v>
      </c>
      <c r="S152" s="22">
        <v>1</v>
      </c>
      <c r="T152" s="22">
        <v>1</v>
      </c>
      <c r="U152" s="22">
        <v>1</v>
      </c>
      <c r="V152" s="21"/>
      <c r="W152" s="21">
        <v>12</v>
      </c>
      <c r="X152" s="21">
        <v>10</v>
      </c>
      <c r="Y152" s="21">
        <v>16</v>
      </c>
      <c r="Z152" s="21">
        <v>45</v>
      </c>
      <c r="AA152" s="21">
        <v>9</v>
      </c>
      <c r="AB152" s="22">
        <v>1.328462304882099E-3</v>
      </c>
      <c r="AC152" s="22">
        <v>1.3410218586562962E-3</v>
      </c>
      <c r="AD152" s="22">
        <v>3.2032032032032033E-3</v>
      </c>
      <c r="AE152" s="22">
        <v>8.1492212966316549E-3</v>
      </c>
      <c r="AF152" s="22">
        <v>1.8270401948842874E-3</v>
      </c>
      <c r="AG152" s="21">
        <v>12</v>
      </c>
      <c r="AH152" s="21">
        <v>10</v>
      </c>
      <c r="AI152" s="21">
        <v>16</v>
      </c>
      <c r="AJ152" s="21">
        <v>45</v>
      </c>
      <c r="AK152" s="21">
        <v>9</v>
      </c>
      <c r="AL152" s="22">
        <v>1</v>
      </c>
      <c r="AM152" s="22">
        <v>1</v>
      </c>
      <c r="AN152" s="22">
        <v>1</v>
      </c>
      <c r="AO152" s="22">
        <v>1</v>
      </c>
      <c r="AP152" s="22">
        <v>1</v>
      </c>
    </row>
    <row r="153" spans="1:42" x14ac:dyDescent="0.25">
      <c r="A153" s="20" t="s">
        <v>91</v>
      </c>
      <c r="B153" s="21">
        <v>2</v>
      </c>
      <c r="C153" s="21">
        <v>2</v>
      </c>
      <c r="D153" s="21">
        <v>1</v>
      </c>
      <c r="E153" s="21">
        <v>1</v>
      </c>
      <c r="F153" s="21">
        <v>2</v>
      </c>
      <c r="G153" s="22">
        <v>3.7650602409638556E-4</v>
      </c>
      <c r="H153" s="22">
        <v>4.0600893219650832E-4</v>
      </c>
      <c r="I153" s="22">
        <v>1.7809439002671417E-4</v>
      </c>
      <c r="J153" s="22">
        <v>1.5923566878980891E-4</v>
      </c>
      <c r="K153" s="22">
        <v>1.8768768768768769E-4</v>
      </c>
      <c r="L153" s="21">
        <v>2</v>
      </c>
      <c r="M153" s="21">
        <v>2</v>
      </c>
      <c r="N153" s="21">
        <v>1</v>
      </c>
      <c r="O153" s="21">
        <v>1</v>
      </c>
      <c r="P153" s="21">
        <v>2</v>
      </c>
      <c r="Q153" s="22">
        <v>1</v>
      </c>
      <c r="R153" s="22">
        <v>1</v>
      </c>
      <c r="S153" s="22">
        <v>1</v>
      </c>
      <c r="T153" s="22">
        <v>1</v>
      </c>
      <c r="U153" s="22">
        <v>1</v>
      </c>
      <c r="V153" s="21"/>
      <c r="W153" s="21">
        <v>0</v>
      </c>
      <c r="X153" s="21">
        <v>1</v>
      </c>
      <c r="Y153" s="21">
        <v>1</v>
      </c>
      <c r="Z153" s="21">
        <v>2</v>
      </c>
      <c r="AA153" s="21">
        <v>2</v>
      </c>
      <c r="AB153" s="22">
        <v>0</v>
      </c>
      <c r="AC153" s="22">
        <v>1.3410218586562962E-4</v>
      </c>
      <c r="AD153" s="22">
        <v>2.0020020020020021E-4</v>
      </c>
      <c r="AE153" s="22">
        <v>3.6218761318362912E-4</v>
      </c>
      <c r="AF153" s="22">
        <v>4.0600893219650832E-4</v>
      </c>
      <c r="AG153" s="21">
        <v>0</v>
      </c>
      <c r="AH153" s="21">
        <v>1</v>
      </c>
      <c r="AI153" s="21">
        <v>1</v>
      </c>
      <c r="AJ153" s="21">
        <v>2</v>
      </c>
      <c r="AK153" s="21">
        <v>2</v>
      </c>
      <c r="AL153" s="22">
        <v>0</v>
      </c>
      <c r="AM153" s="22">
        <v>1</v>
      </c>
      <c r="AN153" s="22">
        <v>1</v>
      </c>
      <c r="AO153" s="22">
        <v>1</v>
      </c>
      <c r="AP153" s="22">
        <v>1</v>
      </c>
    </row>
    <row r="154" spans="1:42" x14ac:dyDescent="0.25">
      <c r="A154" s="20" t="s">
        <v>45</v>
      </c>
      <c r="B154" s="21">
        <v>34</v>
      </c>
      <c r="C154" s="21">
        <v>32</v>
      </c>
      <c r="D154" s="21">
        <v>38</v>
      </c>
      <c r="E154" s="21">
        <v>45</v>
      </c>
      <c r="F154" s="21">
        <v>118</v>
      </c>
      <c r="G154" s="22">
        <v>6.400602409638554E-3</v>
      </c>
      <c r="H154" s="22">
        <v>6.4961429151441331E-3</v>
      </c>
      <c r="I154" s="22">
        <v>6.7675868210151377E-3</v>
      </c>
      <c r="J154" s="22">
        <v>7.1656050955414014E-3</v>
      </c>
      <c r="K154" s="22">
        <v>1.1073573573573574E-2</v>
      </c>
      <c r="L154" s="21">
        <v>34</v>
      </c>
      <c r="M154" s="21">
        <v>32</v>
      </c>
      <c r="N154" s="21">
        <v>38</v>
      </c>
      <c r="O154" s="21">
        <v>45</v>
      </c>
      <c r="P154" s="21">
        <v>118</v>
      </c>
      <c r="Q154" s="22">
        <v>1</v>
      </c>
      <c r="R154" s="22">
        <v>1</v>
      </c>
      <c r="S154" s="22">
        <v>1</v>
      </c>
      <c r="T154" s="22">
        <v>1</v>
      </c>
      <c r="U154" s="22">
        <v>1</v>
      </c>
      <c r="V154" s="21"/>
      <c r="W154" s="21">
        <v>1134</v>
      </c>
      <c r="X154" s="21">
        <v>400</v>
      </c>
      <c r="Y154" s="21">
        <v>237</v>
      </c>
      <c r="Z154" s="21">
        <v>77</v>
      </c>
      <c r="AA154" s="21">
        <v>32</v>
      </c>
      <c r="AB154" s="22">
        <v>0.12553968781135835</v>
      </c>
      <c r="AC154" s="22">
        <v>5.3640874346251845E-2</v>
      </c>
      <c r="AD154" s="22">
        <v>4.7447447447447451E-2</v>
      </c>
      <c r="AE154" s="22">
        <v>1.3944223107569721E-2</v>
      </c>
      <c r="AF154" s="22">
        <v>6.4961429151441331E-3</v>
      </c>
      <c r="AG154" s="21">
        <v>1134</v>
      </c>
      <c r="AH154" s="21">
        <v>400</v>
      </c>
      <c r="AI154" s="21">
        <v>237</v>
      </c>
      <c r="AJ154" s="21">
        <v>77</v>
      </c>
      <c r="AK154" s="21">
        <v>32</v>
      </c>
      <c r="AL154" s="22">
        <v>1</v>
      </c>
      <c r="AM154" s="22">
        <v>1</v>
      </c>
      <c r="AN154" s="22">
        <v>1</v>
      </c>
      <c r="AO154" s="22">
        <v>1</v>
      </c>
      <c r="AP154" s="22">
        <v>1</v>
      </c>
    </row>
    <row r="155" spans="1:42" x14ac:dyDescent="0.25">
      <c r="A155" s="20" t="s">
        <v>46</v>
      </c>
      <c r="B155" s="21">
        <v>0</v>
      </c>
      <c r="C155" s="21">
        <v>0</v>
      </c>
      <c r="D155" s="21">
        <v>10</v>
      </c>
      <c r="E155" s="21">
        <v>10</v>
      </c>
      <c r="F155" s="21">
        <v>13</v>
      </c>
      <c r="G155" s="22">
        <v>0</v>
      </c>
      <c r="H155" s="22">
        <v>0</v>
      </c>
      <c r="I155" s="22">
        <v>1.7809439002671415E-3</v>
      </c>
      <c r="J155" s="22">
        <v>1.5923566878980893E-3</v>
      </c>
      <c r="K155" s="22">
        <v>1.21996996996997E-3</v>
      </c>
      <c r="L155" s="21">
        <v>0</v>
      </c>
      <c r="M155" s="21">
        <v>0</v>
      </c>
      <c r="N155" s="21">
        <v>10</v>
      </c>
      <c r="O155" s="21">
        <v>10</v>
      </c>
      <c r="P155" s="21">
        <v>13</v>
      </c>
      <c r="Q155" s="22">
        <v>0</v>
      </c>
      <c r="R155" s="22">
        <v>0</v>
      </c>
      <c r="S155" s="22">
        <v>1</v>
      </c>
      <c r="T155" s="22">
        <v>1</v>
      </c>
      <c r="U155" s="22">
        <v>1</v>
      </c>
      <c r="V155" s="21"/>
      <c r="W155" s="21">
        <v>0</v>
      </c>
      <c r="X155" s="21">
        <v>0</v>
      </c>
      <c r="Y155" s="21">
        <v>0</v>
      </c>
      <c r="Z155" s="21">
        <v>1</v>
      </c>
      <c r="AA155" s="21">
        <v>0</v>
      </c>
      <c r="AB155" s="22">
        <v>0</v>
      </c>
      <c r="AC155" s="22">
        <v>0</v>
      </c>
      <c r="AD155" s="22">
        <v>0</v>
      </c>
      <c r="AE155" s="22">
        <v>1.8109380659181456E-4</v>
      </c>
      <c r="AF155" s="22">
        <v>0</v>
      </c>
      <c r="AG155" s="21">
        <v>0</v>
      </c>
      <c r="AH155" s="21">
        <v>0</v>
      </c>
      <c r="AI155" s="21">
        <v>0</v>
      </c>
      <c r="AJ155" s="21">
        <v>1</v>
      </c>
      <c r="AK155" s="21">
        <v>0</v>
      </c>
      <c r="AL155" s="22">
        <v>0</v>
      </c>
      <c r="AM155" s="22">
        <v>0</v>
      </c>
      <c r="AN155" s="22">
        <v>0</v>
      </c>
      <c r="AO155" s="22">
        <v>1</v>
      </c>
      <c r="AP155" s="22">
        <v>0</v>
      </c>
    </row>
    <row r="156" spans="1:42" x14ac:dyDescent="0.25">
      <c r="A156" s="20" t="s">
        <v>48</v>
      </c>
      <c r="B156" s="21">
        <v>1836</v>
      </c>
      <c r="C156" s="21">
        <v>1863</v>
      </c>
      <c r="D156" s="21">
        <v>1871</v>
      </c>
      <c r="E156" s="21">
        <v>1864</v>
      </c>
      <c r="F156" s="21">
        <v>1744</v>
      </c>
      <c r="G156" s="22">
        <v>0.34563253012048195</v>
      </c>
      <c r="H156" s="22">
        <v>0.37819732034104753</v>
      </c>
      <c r="I156" s="22">
        <v>0.33321460373998218</v>
      </c>
      <c r="J156" s="22">
        <v>0.29681528662420381</v>
      </c>
      <c r="K156" s="22">
        <v>0.16366366366366367</v>
      </c>
      <c r="L156" s="21">
        <v>1836</v>
      </c>
      <c r="M156" s="21">
        <v>1863</v>
      </c>
      <c r="N156" s="21">
        <v>1871</v>
      </c>
      <c r="O156" s="21">
        <v>1864</v>
      </c>
      <c r="P156" s="21">
        <v>1743</v>
      </c>
      <c r="Q156" s="22">
        <v>1</v>
      </c>
      <c r="R156" s="22">
        <v>1</v>
      </c>
      <c r="S156" s="22">
        <v>1</v>
      </c>
      <c r="T156" s="22">
        <v>1</v>
      </c>
      <c r="U156" s="22">
        <v>0.99942660550458717</v>
      </c>
      <c r="V156" s="21"/>
      <c r="W156" s="21">
        <v>1005</v>
      </c>
      <c r="X156" s="21">
        <v>819</v>
      </c>
      <c r="Y156" s="21">
        <v>1369</v>
      </c>
      <c r="Z156" s="21">
        <v>1883</v>
      </c>
      <c r="AA156" s="21">
        <v>1863</v>
      </c>
      <c r="AB156" s="22">
        <v>0.11125871803387578</v>
      </c>
      <c r="AC156" s="22">
        <v>0.10982969022395066</v>
      </c>
      <c r="AD156" s="22">
        <v>0.27407407407407408</v>
      </c>
      <c r="AE156" s="22">
        <v>0.34099963781238679</v>
      </c>
      <c r="AF156" s="22">
        <v>0.37819732034104753</v>
      </c>
      <c r="AG156" s="21">
        <v>1005</v>
      </c>
      <c r="AH156" s="21">
        <v>819</v>
      </c>
      <c r="AI156" s="21">
        <v>1369</v>
      </c>
      <c r="AJ156" s="21">
        <v>1883</v>
      </c>
      <c r="AK156" s="21">
        <v>1863</v>
      </c>
      <c r="AL156" s="22">
        <v>1</v>
      </c>
      <c r="AM156" s="22">
        <v>1</v>
      </c>
      <c r="AN156" s="22">
        <v>1</v>
      </c>
      <c r="AO156" s="22">
        <v>1</v>
      </c>
      <c r="AP156" s="22">
        <v>1</v>
      </c>
    </row>
    <row r="157" spans="1:42" x14ac:dyDescent="0.25">
      <c r="A157" s="20" t="s">
        <v>139</v>
      </c>
      <c r="B157" s="21">
        <v>12</v>
      </c>
      <c r="C157" s="21">
        <v>12</v>
      </c>
      <c r="D157" s="21">
        <v>12</v>
      </c>
      <c r="E157" s="21">
        <v>11</v>
      </c>
      <c r="F157" s="21">
        <v>9</v>
      </c>
      <c r="G157" s="22">
        <v>2.2590361445783132E-3</v>
      </c>
      <c r="H157" s="22">
        <v>2.4360535931790498E-3</v>
      </c>
      <c r="I157" s="22">
        <v>2.1371326803205698E-3</v>
      </c>
      <c r="J157" s="22">
        <v>1.7515923566878981E-3</v>
      </c>
      <c r="K157" s="22">
        <v>8.4459459459459464E-4</v>
      </c>
      <c r="L157" s="21">
        <v>12</v>
      </c>
      <c r="M157" s="21">
        <v>12</v>
      </c>
      <c r="N157" s="21">
        <v>12</v>
      </c>
      <c r="O157" s="21">
        <v>11</v>
      </c>
      <c r="P157" s="21">
        <v>9</v>
      </c>
      <c r="Q157" s="22">
        <v>1</v>
      </c>
      <c r="R157" s="22">
        <v>1</v>
      </c>
      <c r="S157" s="22">
        <v>1</v>
      </c>
      <c r="T157" s="22">
        <v>1</v>
      </c>
      <c r="U157" s="22">
        <v>1</v>
      </c>
      <c r="V157" s="21"/>
      <c r="W157" s="21">
        <v>186</v>
      </c>
      <c r="X157" s="21">
        <v>82</v>
      </c>
      <c r="Y157" s="21">
        <v>45</v>
      </c>
      <c r="Z157" s="21">
        <v>23</v>
      </c>
      <c r="AA157" s="21">
        <v>12</v>
      </c>
      <c r="AB157" s="22">
        <v>2.0591165725672534E-2</v>
      </c>
      <c r="AC157" s="22">
        <v>1.0996379240981628E-2</v>
      </c>
      <c r="AD157" s="22">
        <v>9.0090090090090089E-3</v>
      </c>
      <c r="AE157" s="22">
        <v>4.1651575516117346E-3</v>
      </c>
      <c r="AF157" s="22">
        <v>2.4360535931790498E-3</v>
      </c>
      <c r="AG157" s="21">
        <v>186</v>
      </c>
      <c r="AH157" s="21">
        <v>82</v>
      </c>
      <c r="AI157" s="21">
        <v>45</v>
      </c>
      <c r="AJ157" s="21">
        <v>23</v>
      </c>
      <c r="AK157" s="21">
        <v>12</v>
      </c>
      <c r="AL157" s="22">
        <v>1</v>
      </c>
      <c r="AM157" s="22">
        <v>1</v>
      </c>
      <c r="AN157" s="22">
        <v>1</v>
      </c>
      <c r="AO157" s="22">
        <v>1</v>
      </c>
      <c r="AP157" s="22">
        <v>1</v>
      </c>
    </row>
    <row r="158" spans="1:42" x14ac:dyDescent="0.25">
      <c r="A158" s="20" t="s">
        <v>93</v>
      </c>
      <c r="B158" s="21">
        <v>149</v>
      </c>
      <c r="C158" s="21">
        <v>138</v>
      </c>
      <c r="D158" s="21">
        <v>137</v>
      </c>
      <c r="E158" s="21">
        <v>125</v>
      </c>
      <c r="F158" s="21">
        <v>150</v>
      </c>
      <c r="G158" s="22">
        <v>2.8049698795180721E-2</v>
      </c>
      <c r="H158" s="22">
        <v>2.8014616321559074E-2</v>
      </c>
      <c r="I158" s="22">
        <v>2.4398931433659839E-2</v>
      </c>
      <c r="J158" s="22">
        <v>1.9904458598726114E-2</v>
      </c>
      <c r="K158" s="22">
        <v>1.4076576576576577E-2</v>
      </c>
      <c r="L158" s="21">
        <v>149</v>
      </c>
      <c r="M158" s="21">
        <v>138</v>
      </c>
      <c r="N158" s="21">
        <v>137</v>
      </c>
      <c r="O158" s="21">
        <v>125</v>
      </c>
      <c r="P158" s="21">
        <v>150</v>
      </c>
      <c r="Q158" s="22">
        <v>1</v>
      </c>
      <c r="R158" s="22">
        <v>1</v>
      </c>
      <c r="S158" s="22">
        <v>1</v>
      </c>
      <c r="T158" s="22">
        <v>1</v>
      </c>
      <c r="U158" s="22">
        <v>1</v>
      </c>
      <c r="V158" s="21"/>
      <c r="W158" s="21">
        <v>12</v>
      </c>
      <c r="X158" s="21">
        <v>14</v>
      </c>
      <c r="Y158" s="21">
        <v>40</v>
      </c>
      <c r="Z158" s="21">
        <v>102</v>
      </c>
      <c r="AA158" s="21">
        <v>138</v>
      </c>
      <c r="AB158" s="22">
        <v>1.328462304882099E-3</v>
      </c>
      <c r="AC158" s="22">
        <v>1.8774306021188145E-3</v>
      </c>
      <c r="AD158" s="22">
        <v>8.0080080080080079E-3</v>
      </c>
      <c r="AE158" s="22">
        <v>1.8471568272365086E-2</v>
      </c>
      <c r="AF158" s="22">
        <v>2.8014616321559074E-2</v>
      </c>
      <c r="AG158" s="21">
        <v>12</v>
      </c>
      <c r="AH158" s="21">
        <v>14</v>
      </c>
      <c r="AI158" s="21">
        <v>40</v>
      </c>
      <c r="AJ158" s="21">
        <v>102</v>
      </c>
      <c r="AK158" s="21">
        <v>138</v>
      </c>
      <c r="AL158" s="22">
        <v>1</v>
      </c>
      <c r="AM158" s="22">
        <v>1</v>
      </c>
      <c r="AN158" s="22">
        <v>1</v>
      </c>
      <c r="AO158" s="22">
        <v>1</v>
      </c>
      <c r="AP158" s="22">
        <v>1</v>
      </c>
    </row>
    <row r="159" spans="1:42" x14ac:dyDescent="0.25">
      <c r="A159" s="20" t="s">
        <v>57</v>
      </c>
      <c r="B159" s="21">
        <v>16</v>
      </c>
      <c r="C159" s="21">
        <v>17</v>
      </c>
      <c r="D159" s="21">
        <v>8</v>
      </c>
      <c r="E159" s="21">
        <v>7</v>
      </c>
      <c r="F159" s="21">
        <v>8</v>
      </c>
      <c r="G159" s="22">
        <v>3.0120481927710845E-3</v>
      </c>
      <c r="H159" s="22">
        <v>3.4510759236703208E-3</v>
      </c>
      <c r="I159" s="22">
        <v>1.4247551202137133E-3</v>
      </c>
      <c r="J159" s="22">
        <v>1.1146496815286624E-3</v>
      </c>
      <c r="K159" s="22">
        <v>7.5075075075075074E-4</v>
      </c>
      <c r="L159" s="21">
        <v>16</v>
      </c>
      <c r="M159" s="21">
        <v>17</v>
      </c>
      <c r="N159" s="21">
        <v>8</v>
      </c>
      <c r="O159" s="21">
        <v>7</v>
      </c>
      <c r="P159" s="21">
        <v>8</v>
      </c>
      <c r="Q159" s="22">
        <v>1</v>
      </c>
      <c r="R159" s="22">
        <v>1</v>
      </c>
      <c r="S159" s="22">
        <v>1</v>
      </c>
      <c r="T159" s="22">
        <v>1</v>
      </c>
      <c r="U159" s="22">
        <v>1</v>
      </c>
      <c r="V159" s="21"/>
      <c r="W159" s="21">
        <v>28</v>
      </c>
      <c r="X159" s="21">
        <v>60</v>
      </c>
      <c r="Y159" s="21">
        <v>56</v>
      </c>
      <c r="Z159" s="21">
        <v>54</v>
      </c>
      <c r="AA159" s="21">
        <v>17</v>
      </c>
      <c r="AB159" s="22">
        <v>3.0997453780582311E-3</v>
      </c>
      <c r="AC159" s="22">
        <v>8.0461311519377764E-3</v>
      </c>
      <c r="AD159" s="22">
        <v>1.121121121121121E-2</v>
      </c>
      <c r="AE159" s="22">
        <v>9.7790655559579862E-3</v>
      </c>
      <c r="AF159" s="22">
        <v>3.4510759236703208E-3</v>
      </c>
      <c r="AG159" s="21">
        <v>28</v>
      </c>
      <c r="AH159" s="21">
        <v>60</v>
      </c>
      <c r="AI159" s="21">
        <v>56</v>
      </c>
      <c r="AJ159" s="21">
        <v>54</v>
      </c>
      <c r="AK159" s="21">
        <v>17</v>
      </c>
      <c r="AL159" s="22">
        <v>1</v>
      </c>
      <c r="AM159" s="22">
        <v>1</v>
      </c>
      <c r="AN159" s="22">
        <v>1</v>
      </c>
      <c r="AO159" s="22">
        <v>1</v>
      </c>
      <c r="AP159" s="22">
        <v>1</v>
      </c>
    </row>
    <row r="160" spans="1:42" x14ac:dyDescent="0.25">
      <c r="A160" s="20" t="s">
        <v>94</v>
      </c>
      <c r="B160" s="21">
        <v>0</v>
      </c>
      <c r="C160" s="21">
        <v>0</v>
      </c>
      <c r="D160" s="21">
        <v>0</v>
      </c>
      <c r="E160" s="21">
        <v>2</v>
      </c>
      <c r="F160" s="21">
        <v>2</v>
      </c>
      <c r="G160" s="22">
        <v>0</v>
      </c>
      <c r="H160" s="22">
        <v>0</v>
      </c>
      <c r="I160" s="22">
        <v>0</v>
      </c>
      <c r="J160" s="22">
        <v>3.1847133757961782E-4</v>
      </c>
      <c r="K160" s="22">
        <v>1.8768768768768769E-4</v>
      </c>
      <c r="L160" s="21">
        <v>0</v>
      </c>
      <c r="M160" s="21">
        <v>0</v>
      </c>
      <c r="N160" s="21">
        <v>0</v>
      </c>
      <c r="O160" s="21">
        <v>2</v>
      </c>
      <c r="P160" s="21">
        <v>2</v>
      </c>
      <c r="Q160" s="22">
        <v>0</v>
      </c>
      <c r="R160" s="22">
        <v>0</v>
      </c>
      <c r="S160" s="22">
        <v>0</v>
      </c>
      <c r="T160" s="22">
        <v>1</v>
      </c>
      <c r="U160" s="22">
        <v>1</v>
      </c>
      <c r="V160" s="21"/>
      <c r="W160" s="21">
        <v>0</v>
      </c>
      <c r="X160" s="21">
        <v>0</v>
      </c>
      <c r="Y160" s="21">
        <v>0</v>
      </c>
      <c r="Z160" s="21">
        <v>0</v>
      </c>
      <c r="AA160" s="21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1">
        <v>0</v>
      </c>
      <c r="AH160" s="21">
        <v>0</v>
      </c>
      <c r="AI160" s="21">
        <v>0</v>
      </c>
      <c r="AJ160" s="21">
        <v>0</v>
      </c>
      <c r="AK160" s="21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</row>
    <row r="161" spans="1:55" x14ac:dyDescent="0.25">
      <c r="A161" s="20" t="s">
        <v>58</v>
      </c>
      <c r="B161" s="21">
        <v>0</v>
      </c>
      <c r="C161" s="21">
        <v>0</v>
      </c>
      <c r="D161" s="21">
        <v>0</v>
      </c>
      <c r="E161" s="21">
        <v>0</v>
      </c>
      <c r="F161" s="21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1">
        <v>0</v>
      </c>
      <c r="M161" s="21">
        <v>0</v>
      </c>
      <c r="N161" s="21">
        <v>0</v>
      </c>
      <c r="O161" s="21">
        <v>0</v>
      </c>
      <c r="P161" s="21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1"/>
      <c r="W161" s="21">
        <v>0</v>
      </c>
      <c r="X161" s="21">
        <v>0</v>
      </c>
      <c r="Y161" s="21">
        <v>9</v>
      </c>
      <c r="Z161" s="21">
        <v>0</v>
      </c>
      <c r="AA161" s="21">
        <v>0</v>
      </c>
      <c r="AB161" s="22">
        <v>0</v>
      </c>
      <c r="AC161" s="22">
        <v>0</v>
      </c>
      <c r="AD161" s="22">
        <v>1.8018018018018018E-3</v>
      </c>
      <c r="AE161" s="22">
        <v>0</v>
      </c>
      <c r="AF161" s="22">
        <v>0</v>
      </c>
      <c r="AG161" s="21">
        <v>0</v>
      </c>
      <c r="AH161" s="21">
        <v>0</v>
      </c>
      <c r="AI161" s="21">
        <v>9</v>
      </c>
      <c r="AJ161" s="21">
        <v>0</v>
      </c>
      <c r="AK161" s="21">
        <v>0</v>
      </c>
      <c r="AL161" s="22">
        <v>0</v>
      </c>
      <c r="AM161" s="22">
        <v>0</v>
      </c>
      <c r="AN161" s="22">
        <v>1</v>
      </c>
      <c r="AO161" s="22">
        <v>0</v>
      </c>
      <c r="AP161" s="22">
        <v>0</v>
      </c>
    </row>
    <row r="162" spans="1:55" x14ac:dyDescent="0.25">
      <c r="A162" s="20" t="s">
        <v>95</v>
      </c>
      <c r="B162" s="21">
        <v>26</v>
      </c>
      <c r="C162" s="21">
        <v>26</v>
      </c>
      <c r="D162" s="21">
        <v>93</v>
      </c>
      <c r="E162" s="21">
        <v>1119</v>
      </c>
      <c r="F162" s="21">
        <v>5307</v>
      </c>
      <c r="G162" s="22">
        <v>4.8945783132530122E-3</v>
      </c>
      <c r="H162" s="22">
        <v>5.2781161185546082E-3</v>
      </c>
      <c r="I162" s="22">
        <v>1.6562778272484417E-2</v>
      </c>
      <c r="J162" s="22">
        <v>0.17818471337579617</v>
      </c>
      <c r="K162" s="22">
        <v>0.49802927927927926</v>
      </c>
      <c r="L162" s="21">
        <v>26</v>
      </c>
      <c r="M162" s="21">
        <v>26</v>
      </c>
      <c r="N162" s="21">
        <v>93</v>
      </c>
      <c r="O162" s="21">
        <v>1119</v>
      </c>
      <c r="P162" s="21">
        <v>5307</v>
      </c>
      <c r="Q162" s="22">
        <v>1</v>
      </c>
      <c r="R162" s="22">
        <v>1</v>
      </c>
      <c r="S162" s="22">
        <v>1</v>
      </c>
      <c r="T162" s="22">
        <v>1</v>
      </c>
      <c r="U162" s="22">
        <v>1</v>
      </c>
      <c r="V162" s="21"/>
      <c r="W162" s="21">
        <v>0</v>
      </c>
      <c r="X162" s="21">
        <v>0</v>
      </c>
      <c r="Y162" s="21">
        <v>0</v>
      </c>
      <c r="Z162" s="21">
        <v>0</v>
      </c>
      <c r="AA162" s="21">
        <v>26</v>
      </c>
      <c r="AB162" s="22">
        <v>0</v>
      </c>
      <c r="AC162" s="22">
        <v>0</v>
      </c>
      <c r="AD162" s="22">
        <v>0</v>
      </c>
      <c r="AE162" s="22">
        <v>0</v>
      </c>
      <c r="AF162" s="22">
        <v>5.2781161185546082E-3</v>
      </c>
      <c r="AG162" s="21">
        <v>0</v>
      </c>
      <c r="AH162" s="21">
        <v>0</v>
      </c>
      <c r="AI162" s="21">
        <v>0</v>
      </c>
      <c r="AJ162" s="21">
        <v>0</v>
      </c>
      <c r="AK162" s="21">
        <v>26</v>
      </c>
      <c r="AL162" s="22">
        <v>0</v>
      </c>
      <c r="AM162" s="22">
        <v>0</v>
      </c>
      <c r="AN162" s="22">
        <v>0</v>
      </c>
      <c r="AO162" s="22">
        <v>0</v>
      </c>
      <c r="AP162" s="22">
        <v>1</v>
      </c>
    </row>
    <row r="163" spans="1:55" x14ac:dyDescent="0.25">
      <c r="A163" s="20" t="s">
        <v>60</v>
      </c>
      <c r="B163" s="21">
        <v>290</v>
      </c>
      <c r="C163" s="21">
        <v>292</v>
      </c>
      <c r="D163" s="21">
        <v>293</v>
      </c>
      <c r="E163" s="21">
        <v>322</v>
      </c>
      <c r="F163" s="21">
        <v>191</v>
      </c>
      <c r="G163" s="22">
        <v>5.4593373493975902E-2</v>
      </c>
      <c r="H163" s="22">
        <v>5.9277304100690216E-2</v>
      </c>
      <c r="I163" s="22">
        <v>5.2181656277827247E-2</v>
      </c>
      <c r="J163" s="22">
        <v>5.1273885350318474E-2</v>
      </c>
      <c r="K163" s="22">
        <v>1.7924174174174173E-2</v>
      </c>
      <c r="L163" s="21">
        <v>290</v>
      </c>
      <c r="M163" s="21">
        <v>292</v>
      </c>
      <c r="N163" s="21">
        <v>293</v>
      </c>
      <c r="O163" s="21">
        <v>322</v>
      </c>
      <c r="P163" s="21">
        <v>191</v>
      </c>
      <c r="Q163" s="22">
        <v>1</v>
      </c>
      <c r="R163" s="22">
        <v>1</v>
      </c>
      <c r="S163" s="22">
        <v>1</v>
      </c>
      <c r="T163" s="22">
        <v>1</v>
      </c>
      <c r="U163" s="22">
        <v>1</v>
      </c>
      <c r="V163" s="21"/>
      <c r="W163" s="21">
        <v>100</v>
      </c>
      <c r="X163" s="21">
        <v>107</v>
      </c>
      <c r="Y163" s="21">
        <v>74</v>
      </c>
      <c r="Z163" s="21">
        <v>168</v>
      </c>
      <c r="AA163" s="21">
        <v>292</v>
      </c>
      <c r="AB163" s="22">
        <v>1.1070519207350825E-2</v>
      </c>
      <c r="AC163" s="22">
        <v>1.4348933887622367E-2</v>
      </c>
      <c r="AD163" s="22">
        <v>1.4814814814814815E-2</v>
      </c>
      <c r="AE163" s="22">
        <v>3.0423759507424847E-2</v>
      </c>
      <c r="AF163" s="22">
        <v>5.9277304100690216E-2</v>
      </c>
      <c r="AG163" s="21">
        <v>100</v>
      </c>
      <c r="AH163" s="21">
        <v>107</v>
      </c>
      <c r="AI163" s="21">
        <v>74</v>
      </c>
      <c r="AJ163" s="21">
        <v>168</v>
      </c>
      <c r="AK163" s="21">
        <v>292</v>
      </c>
      <c r="AL163" s="22">
        <v>1</v>
      </c>
      <c r="AM163" s="22">
        <v>1</v>
      </c>
      <c r="AN163" s="22">
        <v>1</v>
      </c>
      <c r="AO163" s="22">
        <v>1</v>
      </c>
      <c r="AP163" s="22">
        <v>1</v>
      </c>
    </row>
    <row r="164" spans="1:55" x14ac:dyDescent="0.25">
      <c r="A164" s="20" t="s">
        <v>63</v>
      </c>
      <c r="B164" s="21">
        <v>40</v>
      </c>
      <c r="C164" s="21">
        <v>42</v>
      </c>
      <c r="D164" s="21">
        <v>590</v>
      </c>
      <c r="E164" s="21">
        <v>238</v>
      </c>
      <c r="F164" s="21">
        <v>282</v>
      </c>
      <c r="G164" s="22">
        <v>7.5301204819277108E-3</v>
      </c>
      <c r="H164" s="22">
        <v>8.5261875761266752E-3</v>
      </c>
      <c r="I164" s="22">
        <v>0.10507569011576136</v>
      </c>
      <c r="J164" s="22">
        <v>3.7898089171974521E-2</v>
      </c>
      <c r="K164" s="22">
        <v>2.6463963963963964E-2</v>
      </c>
      <c r="L164" s="21">
        <v>40</v>
      </c>
      <c r="M164" s="21">
        <v>42</v>
      </c>
      <c r="N164" s="21">
        <v>590</v>
      </c>
      <c r="O164" s="21">
        <v>238</v>
      </c>
      <c r="P164" s="21">
        <v>282</v>
      </c>
      <c r="Q164" s="22">
        <v>1</v>
      </c>
      <c r="R164" s="22">
        <v>1</v>
      </c>
      <c r="S164" s="22">
        <v>1</v>
      </c>
      <c r="T164" s="22">
        <v>1</v>
      </c>
      <c r="U164" s="22">
        <v>1</v>
      </c>
      <c r="V164" s="21"/>
      <c r="W164" s="21">
        <v>16</v>
      </c>
      <c r="X164" s="21">
        <v>55</v>
      </c>
      <c r="Y164" s="21">
        <v>89</v>
      </c>
      <c r="Z164" s="21">
        <v>94</v>
      </c>
      <c r="AA164" s="21">
        <v>42</v>
      </c>
      <c r="AB164" s="22">
        <v>1.7712830731761321E-3</v>
      </c>
      <c r="AC164" s="22">
        <v>7.3756202226096289E-3</v>
      </c>
      <c r="AD164" s="22">
        <v>1.7817817817817817E-2</v>
      </c>
      <c r="AE164" s="22">
        <v>1.7022817819630567E-2</v>
      </c>
      <c r="AF164" s="22">
        <v>8.5261875761266752E-3</v>
      </c>
      <c r="AG164" s="21">
        <v>16</v>
      </c>
      <c r="AH164" s="21">
        <v>55</v>
      </c>
      <c r="AI164" s="21">
        <v>89</v>
      </c>
      <c r="AJ164" s="21">
        <v>94</v>
      </c>
      <c r="AK164" s="21">
        <v>42</v>
      </c>
      <c r="AL164" s="22">
        <v>1</v>
      </c>
      <c r="AM164" s="22">
        <v>1</v>
      </c>
      <c r="AN164" s="22">
        <v>1</v>
      </c>
      <c r="AO164" s="22">
        <v>1</v>
      </c>
      <c r="AP164" s="22">
        <v>1</v>
      </c>
    </row>
    <row r="165" spans="1:55" x14ac:dyDescent="0.25">
      <c r="A165" s="20" t="s">
        <v>65</v>
      </c>
      <c r="B165" s="21">
        <v>0</v>
      </c>
      <c r="C165" s="21">
        <v>0</v>
      </c>
      <c r="D165" s="21">
        <v>0</v>
      </c>
      <c r="E165" s="21">
        <v>0</v>
      </c>
      <c r="F165" s="21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1"/>
      <c r="W165" s="21">
        <v>0</v>
      </c>
      <c r="X165" s="21">
        <v>0</v>
      </c>
      <c r="Y165" s="21">
        <v>1</v>
      </c>
      <c r="Z165" s="21">
        <v>0</v>
      </c>
      <c r="AA165" s="21">
        <v>0</v>
      </c>
      <c r="AB165" s="22">
        <v>0</v>
      </c>
      <c r="AC165" s="22">
        <v>0</v>
      </c>
      <c r="AD165" s="22">
        <v>2.0020020020020021E-4</v>
      </c>
      <c r="AE165" s="22">
        <v>0</v>
      </c>
      <c r="AF165" s="22">
        <v>0</v>
      </c>
      <c r="AG165" s="21">
        <v>0</v>
      </c>
      <c r="AH165" s="21">
        <v>0</v>
      </c>
      <c r="AI165" s="21">
        <v>1</v>
      </c>
      <c r="AJ165" s="21">
        <v>0</v>
      </c>
      <c r="AK165" s="21">
        <v>0</v>
      </c>
      <c r="AL165" s="22">
        <v>0</v>
      </c>
      <c r="AM165" s="22">
        <v>0</v>
      </c>
      <c r="AN165" s="22">
        <v>1</v>
      </c>
      <c r="AO165" s="22">
        <v>0</v>
      </c>
      <c r="AP165" s="22">
        <v>0</v>
      </c>
    </row>
    <row r="166" spans="1:55" x14ac:dyDescent="0.25">
      <c r="A166" s="20" t="s">
        <v>66</v>
      </c>
      <c r="B166" s="21">
        <v>2</v>
      </c>
      <c r="C166" s="21">
        <v>2</v>
      </c>
      <c r="D166" s="21">
        <v>2</v>
      </c>
      <c r="E166" s="21">
        <v>2</v>
      </c>
      <c r="F166" s="21">
        <v>2</v>
      </c>
      <c r="G166" s="22">
        <v>3.7650602409638556E-4</v>
      </c>
      <c r="H166" s="22">
        <v>4.0600893219650832E-4</v>
      </c>
      <c r="I166" s="22">
        <v>3.5618878005342833E-4</v>
      </c>
      <c r="J166" s="22">
        <v>3.1847133757961782E-4</v>
      </c>
      <c r="K166" s="22">
        <v>1.8768768768768769E-4</v>
      </c>
      <c r="L166" s="21">
        <v>2</v>
      </c>
      <c r="M166" s="21">
        <v>2</v>
      </c>
      <c r="N166" s="21">
        <v>2</v>
      </c>
      <c r="O166" s="21">
        <v>2</v>
      </c>
      <c r="P166" s="21">
        <v>2</v>
      </c>
      <c r="Q166" s="22">
        <v>1</v>
      </c>
      <c r="R166" s="22">
        <v>1</v>
      </c>
      <c r="S166" s="22">
        <v>1</v>
      </c>
      <c r="T166" s="22">
        <v>1</v>
      </c>
      <c r="U166" s="22">
        <v>1</v>
      </c>
      <c r="V166" s="21"/>
      <c r="W166" s="21">
        <v>0</v>
      </c>
      <c r="X166" s="21">
        <v>0</v>
      </c>
      <c r="Y166" s="21">
        <v>2</v>
      </c>
      <c r="Z166" s="21">
        <v>1</v>
      </c>
      <c r="AA166" s="21">
        <v>2</v>
      </c>
      <c r="AB166" s="22">
        <v>0</v>
      </c>
      <c r="AC166" s="22">
        <v>0</v>
      </c>
      <c r="AD166" s="22">
        <v>4.0040040040040042E-4</v>
      </c>
      <c r="AE166" s="22">
        <v>1.8109380659181456E-4</v>
      </c>
      <c r="AF166" s="22">
        <v>4.0600893219650832E-4</v>
      </c>
      <c r="AG166" s="21">
        <v>0</v>
      </c>
      <c r="AH166" s="21">
        <v>0</v>
      </c>
      <c r="AI166" s="21">
        <v>2</v>
      </c>
      <c r="AJ166" s="21">
        <v>1</v>
      </c>
      <c r="AK166" s="21">
        <v>2</v>
      </c>
      <c r="AL166" s="22">
        <v>0</v>
      </c>
      <c r="AM166" s="22">
        <v>0</v>
      </c>
      <c r="AN166" s="22">
        <v>1</v>
      </c>
      <c r="AO166" s="22">
        <v>1</v>
      </c>
      <c r="AP166" s="22">
        <v>1</v>
      </c>
    </row>
    <row r="167" spans="1:55" x14ac:dyDescent="0.25">
      <c r="A167" s="31" t="s">
        <v>76</v>
      </c>
      <c r="B167" s="29">
        <v>5312</v>
      </c>
      <c r="C167" s="29">
        <v>4926</v>
      </c>
      <c r="D167" s="29">
        <v>5615</v>
      </c>
      <c r="E167" s="29">
        <v>6280</v>
      </c>
      <c r="F167" s="29">
        <v>10656</v>
      </c>
      <c r="G167" s="24">
        <v>1</v>
      </c>
      <c r="H167" s="24">
        <v>1</v>
      </c>
      <c r="I167" s="24">
        <v>1</v>
      </c>
      <c r="J167" s="24">
        <v>1</v>
      </c>
      <c r="K167" s="24">
        <v>1</v>
      </c>
      <c r="L167" s="29">
        <v>5312</v>
      </c>
      <c r="M167" s="29">
        <v>4926</v>
      </c>
      <c r="N167" s="29">
        <v>5615</v>
      </c>
      <c r="O167" s="29">
        <v>6280</v>
      </c>
      <c r="P167" s="29">
        <v>10635</v>
      </c>
      <c r="Q167" s="24">
        <v>1</v>
      </c>
      <c r="R167" s="24">
        <v>1</v>
      </c>
      <c r="S167" s="24">
        <v>1</v>
      </c>
      <c r="T167" s="24">
        <v>1</v>
      </c>
      <c r="U167" s="24">
        <v>0.99802927927927931</v>
      </c>
      <c r="V167" s="23"/>
      <c r="W167" s="29">
        <v>9033</v>
      </c>
      <c r="X167" s="29">
        <v>7457</v>
      </c>
      <c r="Y167" s="29">
        <v>4995</v>
      </c>
      <c r="Z167" s="29">
        <v>5522</v>
      </c>
      <c r="AA167" s="29">
        <v>4926</v>
      </c>
      <c r="AB167" s="24">
        <v>1</v>
      </c>
      <c r="AC167" s="24">
        <v>1</v>
      </c>
      <c r="AD167" s="24">
        <v>1</v>
      </c>
      <c r="AE167" s="24">
        <v>1</v>
      </c>
      <c r="AF167" s="24">
        <v>1</v>
      </c>
      <c r="AG167" s="29">
        <v>9033</v>
      </c>
      <c r="AH167" s="29">
        <v>7457</v>
      </c>
      <c r="AI167" s="29">
        <v>4995</v>
      </c>
      <c r="AJ167" s="29">
        <v>5522</v>
      </c>
      <c r="AK167" s="29">
        <v>4926</v>
      </c>
      <c r="AL167" s="24">
        <v>1</v>
      </c>
      <c r="AM167" s="24">
        <v>1</v>
      </c>
      <c r="AN167" s="24">
        <v>1</v>
      </c>
      <c r="AO167" s="24">
        <v>1</v>
      </c>
      <c r="AP167" s="24">
        <v>1</v>
      </c>
    </row>
    <row r="168" spans="1:55" x14ac:dyDescent="0.25">
      <c r="A168" s="20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2"/>
      <c r="AC168" s="22"/>
      <c r="AD168" s="22"/>
      <c r="AE168" s="22"/>
      <c r="AF168" s="22"/>
      <c r="AG168" s="21"/>
      <c r="AH168" s="21"/>
      <c r="AI168" s="21"/>
      <c r="AJ168" s="21"/>
      <c r="AK168" s="21"/>
      <c r="AL168" s="22"/>
      <c r="AM168" s="22"/>
      <c r="AN168" s="22"/>
      <c r="AO168" s="22"/>
      <c r="AP168" s="22"/>
    </row>
    <row r="169" spans="1:55" x14ac:dyDescent="0.25">
      <c r="A169" s="30" t="s">
        <v>77</v>
      </c>
      <c r="B169" s="27" t="s">
        <v>12</v>
      </c>
      <c r="C169" s="27" t="s">
        <v>13</v>
      </c>
      <c r="D169" s="27" t="s">
        <v>14</v>
      </c>
      <c r="E169" s="27" t="s">
        <v>15</v>
      </c>
      <c r="F169" s="27" t="s">
        <v>16</v>
      </c>
      <c r="G169" s="27" t="s">
        <v>12</v>
      </c>
      <c r="H169" s="27" t="s">
        <v>13</v>
      </c>
      <c r="I169" s="27" t="s">
        <v>14</v>
      </c>
      <c r="J169" s="27" t="s">
        <v>15</v>
      </c>
      <c r="K169" s="27" t="s">
        <v>16</v>
      </c>
      <c r="L169" s="27" t="s">
        <v>12</v>
      </c>
      <c r="M169" s="27" t="s">
        <v>13</v>
      </c>
      <c r="N169" s="27" t="s">
        <v>14</v>
      </c>
      <c r="O169" s="27" t="s">
        <v>15</v>
      </c>
      <c r="P169" s="27" t="s">
        <v>16</v>
      </c>
      <c r="Q169" s="27" t="s">
        <v>12</v>
      </c>
      <c r="R169" s="27" t="s">
        <v>13</v>
      </c>
      <c r="S169" s="27" t="s">
        <v>14</v>
      </c>
      <c r="T169" s="27" t="s">
        <v>15</v>
      </c>
      <c r="U169" s="27" t="s">
        <v>16</v>
      </c>
      <c r="V169" s="27"/>
      <c r="W169" s="27" t="s">
        <v>17</v>
      </c>
      <c r="X169" s="27" t="s">
        <v>18</v>
      </c>
      <c r="Y169" s="27" t="s">
        <v>19</v>
      </c>
      <c r="Z169" s="27" t="s">
        <v>20</v>
      </c>
      <c r="AA169" s="27" t="s">
        <v>21</v>
      </c>
      <c r="AB169" s="27" t="s">
        <v>17</v>
      </c>
      <c r="AC169" s="27" t="s">
        <v>18</v>
      </c>
      <c r="AD169" s="27" t="s">
        <v>19</v>
      </c>
      <c r="AE169" s="27" t="s">
        <v>20</v>
      </c>
      <c r="AF169" s="27" t="s">
        <v>21</v>
      </c>
      <c r="AG169" s="27" t="s">
        <v>17</v>
      </c>
      <c r="AH169" s="27" t="s">
        <v>18</v>
      </c>
      <c r="AI169" s="27" t="s">
        <v>19</v>
      </c>
      <c r="AJ169" s="27" t="s">
        <v>20</v>
      </c>
      <c r="AK169" s="27" t="s">
        <v>21</v>
      </c>
      <c r="AL169" s="27" t="s">
        <v>17</v>
      </c>
      <c r="AM169" s="27" t="s">
        <v>18</v>
      </c>
      <c r="AN169" s="27" t="s">
        <v>19</v>
      </c>
      <c r="AO169" s="27" t="s">
        <v>20</v>
      </c>
      <c r="AP169" s="27" t="s">
        <v>21</v>
      </c>
    </row>
    <row r="170" spans="1:55" x14ac:dyDescent="0.25">
      <c r="A170" s="20" t="s">
        <v>22</v>
      </c>
      <c r="B170" s="21">
        <v>0</v>
      </c>
      <c r="C170" s="21">
        <v>0</v>
      </c>
      <c r="D170" s="21">
        <v>0</v>
      </c>
      <c r="E170" s="21">
        <v>0</v>
      </c>
      <c r="F170" s="21">
        <v>1</v>
      </c>
      <c r="G170" s="22">
        <v>0</v>
      </c>
      <c r="H170" s="22">
        <v>0</v>
      </c>
      <c r="I170" s="22">
        <v>0</v>
      </c>
      <c r="J170" s="22">
        <v>0</v>
      </c>
      <c r="K170" s="22">
        <v>4.1981528127623844E-4</v>
      </c>
      <c r="L170" s="21">
        <v>0</v>
      </c>
      <c r="M170" s="21">
        <v>0</v>
      </c>
      <c r="N170" s="21">
        <v>0</v>
      </c>
      <c r="O170" s="21">
        <v>0</v>
      </c>
      <c r="P170" s="21">
        <v>1</v>
      </c>
      <c r="Q170" s="22">
        <v>0</v>
      </c>
      <c r="R170" s="22">
        <v>0</v>
      </c>
      <c r="S170" s="22">
        <v>0</v>
      </c>
      <c r="T170" s="22">
        <v>0</v>
      </c>
      <c r="U170" s="22">
        <v>1</v>
      </c>
      <c r="V170" s="21"/>
      <c r="W170" s="21">
        <v>0</v>
      </c>
      <c r="X170" s="21">
        <v>0</v>
      </c>
      <c r="Y170" s="21">
        <v>0</v>
      </c>
      <c r="Z170" s="21">
        <v>0</v>
      </c>
      <c r="AA170" s="21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1">
        <v>0</v>
      </c>
      <c r="AH170" s="21">
        <v>0</v>
      </c>
      <c r="AI170" s="21">
        <v>0</v>
      </c>
      <c r="AJ170" s="21">
        <v>0</v>
      </c>
      <c r="AK170" s="21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</row>
    <row r="171" spans="1:55" x14ac:dyDescent="0.25">
      <c r="A171" s="20" t="s">
        <v>27</v>
      </c>
      <c r="B171" s="21">
        <v>1969</v>
      </c>
      <c r="C171" s="21">
        <v>2046</v>
      </c>
      <c r="D171" s="21">
        <v>2059</v>
      </c>
      <c r="E171" s="21">
        <v>2061</v>
      </c>
      <c r="F171" s="21">
        <v>2111</v>
      </c>
      <c r="G171" s="22">
        <v>0.88454627133872421</v>
      </c>
      <c r="H171" s="22">
        <v>0.88956521739130434</v>
      </c>
      <c r="I171" s="22">
        <v>0.89057093425605538</v>
      </c>
      <c r="J171" s="22">
        <v>0.88989637305699487</v>
      </c>
      <c r="K171" s="22">
        <v>0.88623005877413941</v>
      </c>
      <c r="L171" s="21">
        <v>1969</v>
      </c>
      <c r="M171" s="21">
        <v>2046</v>
      </c>
      <c r="N171" s="21">
        <v>2059</v>
      </c>
      <c r="O171" s="21">
        <v>2061</v>
      </c>
      <c r="P171" s="21">
        <v>1994</v>
      </c>
      <c r="Q171" s="22">
        <v>1</v>
      </c>
      <c r="R171" s="22">
        <v>1</v>
      </c>
      <c r="S171" s="22">
        <v>1</v>
      </c>
      <c r="T171" s="22">
        <v>1</v>
      </c>
      <c r="U171" s="22">
        <v>0.94457603031738513</v>
      </c>
      <c r="V171" s="21"/>
      <c r="W171" s="21">
        <v>2036</v>
      </c>
      <c r="X171" s="21">
        <v>1761</v>
      </c>
      <c r="Y171" s="21">
        <v>1753</v>
      </c>
      <c r="Z171" s="21">
        <v>1829</v>
      </c>
      <c r="AA171" s="21">
        <v>2046</v>
      </c>
      <c r="AB171" s="22">
        <v>0.90248226950354615</v>
      </c>
      <c r="AC171" s="22">
        <v>0.86450662739322537</v>
      </c>
      <c r="AD171" s="22">
        <v>0.85637518319491934</v>
      </c>
      <c r="AE171" s="22">
        <v>0.8570759137769447</v>
      </c>
      <c r="AF171" s="22">
        <v>0.88956521739130434</v>
      </c>
      <c r="AG171" s="21">
        <v>2036</v>
      </c>
      <c r="AH171" s="21">
        <v>1761</v>
      </c>
      <c r="AI171" s="21">
        <v>1753</v>
      </c>
      <c r="AJ171" s="21">
        <v>1829</v>
      </c>
      <c r="AK171" s="21">
        <v>2046</v>
      </c>
      <c r="AL171" s="22">
        <v>1</v>
      </c>
      <c r="AM171" s="22">
        <v>1</v>
      </c>
      <c r="AN171" s="22">
        <v>1</v>
      </c>
      <c r="AO171" s="22">
        <v>1</v>
      </c>
      <c r="AP171" s="22">
        <v>1</v>
      </c>
    </row>
    <row r="172" spans="1:55" s="21" customFormat="1" ht="12.75" x14ac:dyDescent="0.2">
      <c r="A172" s="20" t="s">
        <v>85</v>
      </c>
      <c r="B172" s="21">
        <v>253</v>
      </c>
      <c r="C172" s="21">
        <v>250</v>
      </c>
      <c r="D172" s="21">
        <v>249</v>
      </c>
      <c r="E172" s="21">
        <v>251</v>
      </c>
      <c r="F172" s="21">
        <v>265</v>
      </c>
      <c r="G172" s="22">
        <v>0.11365678346810422</v>
      </c>
      <c r="H172" s="22">
        <v>0.10869565217391304</v>
      </c>
      <c r="I172" s="22">
        <v>0.10769896193771626</v>
      </c>
      <c r="J172" s="22">
        <v>0.10837651122625216</v>
      </c>
      <c r="K172" s="22">
        <v>0.11125104953820319</v>
      </c>
      <c r="L172" s="21">
        <v>253</v>
      </c>
      <c r="M172" s="21">
        <v>250</v>
      </c>
      <c r="N172" s="21">
        <v>249</v>
      </c>
      <c r="O172" s="21">
        <v>251</v>
      </c>
      <c r="P172" s="21">
        <v>264</v>
      </c>
      <c r="Q172" s="22">
        <v>1</v>
      </c>
      <c r="R172" s="22">
        <v>1</v>
      </c>
      <c r="S172" s="22">
        <v>1</v>
      </c>
      <c r="T172" s="22">
        <v>1</v>
      </c>
      <c r="U172" s="22">
        <v>0.99622641509433962</v>
      </c>
      <c r="W172" s="21">
        <v>216</v>
      </c>
      <c r="X172" s="21">
        <v>271</v>
      </c>
      <c r="Y172" s="21">
        <v>293</v>
      </c>
      <c r="Z172" s="21">
        <v>304</v>
      </c>
      <c r="AA172" s="21">
        <v>250</v>
      </c>
      <c r="AB172" s="22">
        <v>9.5744680851063829E-2</v>
      </c>
      <c r="AC172" s="22">
        <v>0.1330387825233186</v>
      </c>
      <c r="AD172" s="22">
        <v>0.14313629702002931</v>
      </c>
      <c r="AE172" s="22">
        <v>0.14245548266166824</v>
      </c>
      <c r="AF172" s="22">
        <v>0.10869565217391304</v>
      </c>
      <c r="AG172" s="21">
        <v>216</v>
      </c>
      <c r="AH172" s="21">
        <v>271</v>
      </c>
      <c r="AI172" s="21">
        <v>293</v>
      </c>
      <c r="AJ172" s="21">
        <v>304</v>
      </c>
      <c r="AK172" s="21">
        <v>250</v>
      </c>
      <c r="AL172" s="22">
        <v>1</v>
      </c>
      <c r="AM172" s="22">
        <v>1</v>
      </c>
      <c r="AN172" s="22">
        <v>1</v>
      </c>
      <c r="AO172" s="22">
        <v>1</v>
      </c>
      <c r="AP172" s="22">
        <v>1</v>
      </c>
      <c r="AQ172" s="39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</row>
    <row r="173" spans="1:55" s="23" customFormat="1" ht="12.75" x14ac:dyDescent="0.2">
      <c r="A173" s="20" t="s">
        <v>91</v>
      </c>
      <c r="B173" s="21">
        <v>1</v>
      </c>
      <c r="C173" s="21">
        <v>1</v>
      </c>
      <c r="D173" s="21">
        <v>1</v>
      </c>
      <c r="E173" s="21">
        <v>1</v>
      </c>
      <c r="F173" s="21">
        <v>1</v>
      </c>
      <c r="G173" s="22">
        <v>4.4923629829290209E-4</v>
      </c>
      <c r="H173" s="22">
        <v>4.3478260869565219E-4</v>
      </c>
      <c r="I173" s="22">
        <v>4.3252595155709344E-4</v>
      </c>
      <c r="J173" s="22">
        <v>4.3177892918825559E-4</v>
      </c>
      <c r="K173" s="22">
        <v>4.1981528127623844E-4</v>
      </c>
      <c r="L173" s="21">
        <v>1</v>
      </c>
      <c r="M173" s="21">
        <v>1</v>
      </c>
      <c r="N173" s="21">
        <v>1</v>
      </c>
      <c r="O173" s="21">
        <v>1</v>
      </c>
      <c r="P173" s="21">
        <v>1</v>
      </c>
      <c r="Q173" s="22">
        <v>1</v>
      </c>
      <c r="R173" s="22">
        <v>1</v>
      </c>
      <c r="S173" s="22">
        <v>1</v>
      </c>
      <c r="T173" s="22">
        <v>1</v>
      </c>
      <c r="U173" s="22">
        <v>1</v>
      </c>
      <c r="V173" s="21"/>
      <c r="W173" s="21">
        <v>0</v>
      </c>
      <c r="X173" s="21">
        <v>1</v>
      </c>
      <c r="Y173" s="21">
        <v>1</v>
      </c>
      <c r="Z173" s="21">
        <v>1</v>
      </c>
      <c r="AA173" s="21">
        <v>1</v>
      </c>
      <c r="AB173" s="22">
        <v>0</v>
      </c>
      <c r="AC173" s="22">
        <v>4.9091801669121256E-4</v>
      </c>
      <c r="AD173" s="22">
        <v>4.8851978505129456E-4</v>
      </c>
      <c r="AE173" s="22">
        <v>4.6860356138706655E-4</v>
      </c>
      <c r="AF173" s="22">
        <v>4.3478260869565219E-4</v>
      </c>
      <c r="AG173" s="21">
        <v>0</v>
      </c>
      <c r="AH173" s="21">
        <v>1</v>
      </c>
      <c r="AI173" s="21">
        <v>1</v>
      </c>
      <c r="AJ173" s="21">
        <v>1</v>
      </c>
      <c r="AK173" s="21">
        <v>1</v>
      </c>
      <c r="AL173" s="22">
        <v>0</v>
      </c>
      <c r="AM173" s="22">
        <v>1</v>
      </c>
      <c r="AN173" s="22">
        <v>1</v>
      </c>
      <c r="AO173" s="22">
        <v>1</v>
      </c>
      <c r="AP173" s="22">
        <v>1</v>
      </c>
      <c r="AQ173" s="40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</row>
    <row r="174" spans="1:55" s="21" customFormat="1" ht="12.75" x14ac:dyDescent="0.2">
      <c r="A174" s="20" t="s">
        <v>93</v>
      </c>
      <c r="B174" s="21">
        <v>3</v>
      </c>
      <c r="C174" s="21">
        <v>3</v>
      </c>
      <c r="D174" s="21">
        <v>3</v>
      </c>
      <c r="E174" s="21">
        <v>3</v>
      </c>
      <c r="F174" s="21">
        <v>4</v>
      </c>
      <c r="G174" s="22">
        <v>1.3477088948787063E-3</v>
      </c>
      <c r="H174" s="22">
        <v>1.3043478260869566E-3</v>
      </c>
      <c r="I174" s="22">
        <v>1.2975778546712802E-3</v>
      </c>
      <c r="J174" s="22">
        <v>1.2953367875647669E-3</v>
      </c>
      <c r="K174" s="22">
        <v>1.6792611251049538E-3</v>
      </c>
      <c r="L174" s="21">
        <v>3</v>
      </c>
      <c r="M174" s="21">
        <v>3</v>
      </c>
      <c r="N174" s="21">
        <v>3</v>
      </c>
      <c r="O174" s="21">
        <v>3</v>
      </c>
      <c r="P174" s="21">
        <v>4</v>
      </c>
      <c r="Q174" s="22">
        <v>1</v>
      </c>
      <c r="R174" s="22">
        <v>1</v>
      </c>
      <c r="S174" s="22">
        <v>1</v>
      </c>
      <c r="T174" s="22">
        <v>1</v>
      </c>
      <c r="U174" s="22">
        <v>1</v>
      </c>
      <c r="W174" s="21">
        <v>4</v>
      </c>
      <c r="X174" s="21">
        <v>4</v>
      </c>
      <c r="Y174" s="21">
        <v>0</v>
      </c>
      <c r="Z174" s="21">
        <v>0</v>
      </c>
      <c r="AA174" s="21">
        <v>3</v>
      </c>
      <c r="AB174" s="22">
        <v>1.7730496453900709E-3</v>
      </c>
      <c r="AC174" s="22">
        <v>1.9636720667648502E-3</v>
      </c>
      <c r="AD174" s="22">
        <v>0</v>
      </c>
      <c r="AE174" s="22">
        <v>0</v>
      </c>
      <c r="AF174" s="22">
        <v>1.3043478260869566E-3</v>
      </c>
      <c r="AG174" s="21">
        <v>4</v>
      </c>
      <c r="AH174" s="21">
        <v>4</v>
      </c>
      <c r="AI174" s="21">
        <v>0</v>
      </c>
      <c r="AJ174" s="21">
        <v>0</v>
      </c>
      <c r="AK174" s="21">
        <v>3</v>
      </c>
      <c r="AL174" s="22">
        <v>1</v>
      </c>
      <c r="AM174" s="22">
        <v>1</v>
      </c>
      <c r="AN174" s="22">
        <v>0</v>
      </c>
      <c r="AO174" s="22">
        <v>0</v>
      </c>
      <c r="AP174" s="22">
        <v>1</v>
      </c>
      <c r="AQ174" s="39"/>
    </row>
    <row r="175" spans="1:55" s="21" customFormat="1" ht="12.75" x14ac:dyDescent="0.2">
      <c r="A175" s="31" t="s">
        <v>78</v>
      </c>
      <c r="B175" s="29">
        <v>2226</v>
      </c>
      <c r="C175" s="29">
        <v>2300</v>
      </c>
      <c r="D175" s="29">
        <v>2312</v>
      </c>
      <c r="E175" s="29">
        <v>2316</v>
      </c>
      <c r="F175" s="29">
        <v>2382</v>
      </c>
      <c r="G175" s="24">
        <v>1</v>
      </c>
      <c r="H175" s="24">
        <v>1</v>
      </c>
      <c r="I175" s="24">
        <v>1</v>
      </c>
      <c r="J175" s="24">
        <v>1</v>
      </c>
      <c r="K175" s="24">
        <v>1</v>
      </c>
      <c r="L175" s="29">
        <v>2226</v>
      </c>
      <c r="M175" s="29">
        <v>2300</v>
      </c>
      <c r="N175" s="29">
        <v>2312</v>
      </c>
      <c r="O175" s="29">
        <v>2316</v>
      </c>
      <c r="P175" s="29">
        <v>2264</v>
      </c>
      <c r="Q175" s="24">
        <v>1</v>
      </c>
      <c r="R175" s="24">
        <v>1</v>
      </c>
      <c r="S175" s="24">
        <v>1</v>
      </c>
      <c r="T175" s="24">
        <v>1</v>
      </c>
      <c r="U175" s="24">
        <v>0.9504617968094039</v>
      </c>
      <c r="V175" s="23"/>
      <c r="W175" s="29">
        <v>2256</v>
      </c>
      <c r="X175" s="29">
        <v>2037</v>
      </c>
      <c r="Y175" s="29">
        <v>2047</v>
      </c>
      <c r="Z175" s="29">
        <v>2134</v>
      </c>
      <c r="AA175" s="29">
        <v>2300</v>
      </c>
      <c r="AB175" s="24">
        <v>1</v>
      </c>
      <c r="AC175" s="24">
        <v>1</v>
      </c>
      <c r="AD175" s="24">
        <v>1</v>
      </c>
      <c r="AE175" s="24">
        <v>1</v>
      </c>
      <c r="AF175" s="24">
        <v>1</v>
      </c>
      <c r="AG175" s="29">
        <v>2256</v>
      </c>
      <c r="AH175" s="29">
        <v>2037</v>
      </c>
      <c r="AI175" s="29">
        <v>2047</v>
      </c>
      <c r="AJ175" s="29">
        <v>2134</v>
      </c>
      <c r="AK175" s="29">
        <v>2300</v>
      </c>
      <c r="AL175" s="24">
        <v>1</v>
      </c>
      <c r="AM175" s="24">
        <v>1</v>
      </c>
      <c r="AN175" s="24">
        <v>1</v>
      </c>
      <c r="AO175" s="24">
        <v>1</v>
      </c>
      <c r="AP175" s="24">
        <v>1</v>
      </c>
      <c r="AQ175" s="39"/>
    </row>
    <row r="176" spans="1:55" s="21" customFormat="1" ht="12.75" x14ac:dyDescent="0.2">
      <c r="A176" s="20"/>
      <c r="AB176" s="22"/>
      <c r="AC176" s="22"/>
      <c r="AD176" s="22"/>
      <c r="AE176" s="22"/>
      <c r="AF176" s="22"/>
      <c r="AL176" s="22"/>
      <c r="AM176" s="22"/>
      <c r="AN176" s="22"/>
      <c r="AO176" s="22"/>
      <c r="AP176" s="22"/>
      <c r="AQ176" s="39"/>
    </row>
    <row r="177" spans="1:55" s="21" customFormat="1" ht="12.75" x14ac:dyDescent="0.2">
      <c r="A177" s="2" t="s">
        <v>79</v>
      </c>
      <c r="AB177" s="22"/>
      <c r="AC177" s="22"/>
      <c r="AD177" s="22"/>
      <c r="AE177" s="22"/>
      <c r="AF177" s="22"/>
      <c r="AL177" s="22"/>
      <c r="AM177" s="22"/>
      <c r="AN177" s="22"/>
      <c r="AO177" s="22"/>
      <c r="AP177" s="22"/>
      <c r="AQ177" s="39"/>
    </row>
    <row r="178" spans="1:55" s="21" customFormat="1" ht="12.75" x14ac:dyDescent="0.2">
      <c r="A178" s="1" t="s">
        <v>80</v>
      </c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4"/>
      <c r="AC178" s="24"/>
      <c r="AD178" s="24"/>
      <c r="AE178" s="24"/>
      <c r="AF178" s="24"/>
      <c r="AG178" s="23"/>
      <c r="AH178" s="23"/>
      <c r="AI178" s="23"/>
      <c r="AJ178" s="23"/>
      <c r="AK178" s="23"/>
      <c r="AL178" s="24"/>
      <c r="AM178" s="24"/>
      <c r="AN178" s="24"/>
      <c r="AO178" s="24"/>
      <c r="AP178" s="24"/>
      <c r="AQ178" s="39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</row>
    <row r="179" spans="1:55" s="23" customFormat="1" ht="12.75" x14ac:dyDescent="0.2">
      <c r="A179" s="10" t="s">
        <v>11</v>
      </c>
      <c r="B179" s="10" t="s">
        <v>12</v>
      </c>
      <c r="C179" s="10" t="s">
        <v>13</v>
      </c>
      <c r="D179" s="10" t="s">
        <v>14</v>
      </c>
      <c r="E179" s="10" t="s">
        <v>15</v>
      </c>
      <c r="F179" s="10" t="s">
        <v>16</v>
      </c>
      <c r="G179" s="10" t="s">
        <v>12</v>
      </c>
      <c r="H179" s="10" t="s">
        <v>13</v>
      </c>
      <c r="I179" s="10" t="s">
        <v>14</v>
      </c>
      <c r="J179" s="10" t="s">
        <v>15</v>
      </c>
      <c r="K179" s="10" t="s">
        <v>16</v>
      </c>
      <c r="L179" s="10" t="s">
        <v>12</v>
      </c>
      <c r="M179" s="10" t="s">
        <v>13</v>
      </c>
      <c r="N179" s="10" t="s">
        <v>14</v>
      </c>
      <c r="O179" s="10" t="s">
        <v>15</v>
      </c>
      <c r="P179" s="10" t="s">
        <v>16</v>
      </c>
      <c r="Q179" s="10" t="s">
        <v>12</v>
      </c>
      <c r="R179" s="10" t="s">
        <v>13</v>
      </c>
      <c r="S179" s="10" t="s">
        <v>14</v>
      </c>
      <c r="T179" s="10" t="s">
        <v>15</v>
      </c>
      <c r="U179" s="10" t="s">
        <v>16</v>
      </c>
      <c r="V179" s="10"/>
      <c r="W179" s="10" t="s">
        <v>17</v>
      </c>
      <c r="X179" s="10" t="s">
        <v>18</v>
      </c>
      <c r="Y179" s="10" t="s">
        <v>19</v>
      </c>
      <c r="Z179" s="10" t="s">
        <v>20</v>
      </c>
      <c r="AA179" s="10" t="s">
        <v>21</v>
      </c>
      <c r="AB179" s="10" t="s">
        <v>17</v>
      </c>
      <c r="AC179" s="10" t="s">
        <v>18</v>
      </c>
      <c r="AD179" s="10" t="s">
        <v>19</v>
      </c>
      <c r="AE179" s="10" t="s">
        <v>20</v>
      </c>
      <c r="AF179" s="10" t="s">
        <v>21</v>
      </c>
      <c r="AG179" s="10" t="s">
        <v>17</v>
      </c>
      <c r="AH179" s="10" t="s">
        <v>18</v>
      </c>
      <c r="AI179" s="10" t="s">
        <v>19</v>
      </c>
      <c r="AJ179" s="10" t="s">
        <v>20</v>
      </c>
      <c r="AK179" s="10" t="s">
        <v>21</v>
      </c>
      <c r="AL179" s="10" t="s">
        <v>17</v>
      </c>
      <c r="AM179" s="10" t="s">
        <v>18</v>
      </c>
      <c r="AN179" s="10" t="s">
        <v>19</v>
      </c>
      <c r="AO179" s="10" t="s">
        <v>20</v>
      </c>
      <c r="AP179" s="10" t="s">
        <v>21</v>
      </c>
      <c r="AQ179" s="39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</row>
    <row r="180" spans="1:55" s="21" customFormat="1" ht="12.75" x14ac:dyDescent="0.2">
      <c r="A180" s="20" t="s">
        <v>24</v>
      </c>
      <c r="B180" s="21">
        <v>10634</v>
      </c>
      <c r="C180" s="21">
        <v>10712</v>
      </c>
      <c r="D180" s="21">
        <v>11161</v>
      </c>
      <c r="E180" s="21">
        <v>11569</v>
      </c>
      <c r="F180" s="21">
        <v>12095</v>
      </c>
      <c r="G180" s="22">
        <v>0.2030978437326916</v>
      </c>
      <c r="H180" s="22">
        <v>0.21291143266020035</v>
      </c>
      <c r="I180" s="22">
        <v>0.21487014612171035</v>
      </c>
      <c r="J180" s="22">
        <v>0.21755237128135696</v>
      </c>
      <c r="K180" s="22">
        <v>0.18590531816784506</v>
      </c>
      <c r="L180" s="21">
        <v>10634</v>
      </c>
      <c r="M180" s="21">
        <v>10712</v>
      </c>
      <c r="N180" s="21">
        <v>11161</v>
      </c>
      <c r="O180" s="21">
        <v>11569</v>
      </c>
      <c r="P180" s="21">
        <v>11984</v>
      </c>
      <c r="Q180" s="22">
        <v>1</v>
      </c>
      <c r="R180" s="22">
        <v>1</v>
      </c>
      <c r="S180" s="22">
        <v>1</v>
      </c>
      <c r="T180" s="22">
        <v>1</v>
      </c>
      <c r="U180" s="22">
        <v>0.99082265398925173</v>
      </c>
      <c r="W180" s="21">
        <v>8295</v>
      </c>
      <c r="X180" s="21">
        <v>8236</v>
      </c>
      <c r="Y180" s="21">
        <v>9802</v>
      </c>
      <c r="Z180" s="21">
        <v>7658</v>
      </c>
      <c r="AA180" s="21">
        <v>10712</v>
      </c>
      <c r="AB180" s="22">
        <v>0.18116100288285139</v>
      </c>
      <c r="AC180" s="22">
        <v>0.18043992638681974</v>
      </c>
      <c r="AD180" s="22">
        <v>0.18428968940362489</v>
      </c>
      <c r="AE180" s="22">
        <v>0.14421573981657596</v>
      </c>
      <c r="AF180" s="22">
        <v>0.21291143266020035</v>
      </c>
      <c r="AG180" s="21">
        <v>8295</v>
      </c>
      <c r="AH180" s="21">
        <v>8236</v>
      </c>
      <c r="AI180" s="21">
        <v>9802</v>
      </c>
      <c r="AJ180" s="21">
        <v>7658</v>
      </c>
      <c r="AK180" s="21">
        <v>10712</v>
      </c>
      <c r="AL180" s="22">
        <v>1</v>
      </c>
      <c r="AM180" s="22">
        <v>1</v>
      </c>
      <c r="AN180" s="22">
        <v>1</v>
      </c>
      <c r="AO180" s="22">
        <v>1</v>
      </c>
      <c r="AP180" s="22">
        <v>1</v>
      </c>
      <c r="AQ180" s="39"/>
    </row>
    <row r="181" spans="1:55" s="21" customFormat="1" ht="12.75" x14ac:dyDescent="0.2">
      <c r="A181" s="20" t="s">
        <v>48</v>
      </c>
      <c r="B181" s="21">
        <v>17396</v>
      </c>
      <c r="C181" s="21">
        <v>17641</v>
      </c>
      <c r="D181" s="21">
        <v>18228</v>
      </c>
      <c r="E181" s="21">
        <v>18241</v>
      </c>
      <c r="F181" s="21">
        <v>17221</v>
      </c>
      <c r="G181" s="22">
        <v>0.33224469527683875</v>
      </c>
      <c r="H181" s="22">
        <v>0.35063205597074254</v>
      </c>
      <c r="I181" s="22">
        <v>0.35092312727412739</v>
      </c>
      <c r="J181" s="22">
        <v>0.34301778931136934</v>
      </c>
      <c r="K181" s="22">
        <v>0.26469412849677221</v>
      </c>
      <c r="L181" s="21">
        <v>17396</v>
      </c>
      <c r="M181" s="21">
        <v>17641</v>
      </c>
      <c r="N181" s="21">
        <v>18228</v>
      </c>
      <c r="O181" s="21">
        <v>18241</v>
      </c>
      <c r="P181" s="21">
        <v>16652</v>
      </c>
      <c r="Q181" s="22">
        <v>1</v>
      </c>
      <c r="R181" s="22">
        <v>1</v>
      </c>
      <c r="S181" s="22">
        <v>1</v>
      </c>
      <c r="T181" s="22">
        <v>1</v>
      </c>
      <c r="U181" s="22">
        <v>0.96695894547354977</v>
      </c>
      <c r="W181" s="21">
        <v>10590</v>
      </c>
      <c r="X181" s="21">
        <v>9658</v>
      </c>
      <c r="Y181" s="21">
        <v>18890</v>
      </c>
      <c r="Z181" s="21">
        <v>20732</v>
      </c>
      <c r="AA181" s="21">
        <v>17641</v>
      </c>
      <c r="AB181" s="22">
        <v>0.23128330566960775</v>
      </c>
      <c r="AC181" s="22">
        <v>0.21159407589168347</v>
      </c>
      <c r="AD181" s="22">
        <v>0.35515529818756109</v>
      </c>
      <c r="AE181" s="22">
        <v>0.39042579235795938</v>
      </c>
      <c r="AF181" s="22">
        <v>0.35063205597074254</v>
      </c>
      <c r="AG181" s="21">
        <v>10590</v>
      </c>
      <c r="AH181" s="21">
        <v>9658</v>
      </c>
      <c r="AI181" s="21">
        <v>18890</v>
      </c>
      <c r="AJ181" s="21">
        <v>20732</v>
      </c>
      <c r="AK181" s="21">
        <v>17641</v>
      </c>
      <c r="AL181" s="22">
        <v>1</v>
      </c>
      <c r="AM181" s="22">
        <v>1</v>
      </c>
      <c r="AN181" s="22">
        <v>1</v>
      </c>
      <c r="AO181" s="22">
        <v>1</v>
      </c>
      <c r="AP181" s="22">
        <v>1</v>
      </c>
      <c r="AQ181" s="39"/>
    </row>
    <row r="182" spans="1:55" s="21" customFormat="1" ht="12.75" x14ac:dyDescent="0.2">
      <c r="A182" s="20" t="s">
        <v>35</v>
      </c>
      <c r="B182" s="21">
        <v>10067</v>
      </c>
      <c r="C182" s="21">
        <v>7549</v>
      </c>
      <c r="D182" s="21">
        <v>7497</v>
      </c>
      <c r="E182" s="21">
        <v>7276</v>
      </c>
      <c r="F182" s="21">
        <v>10562</v>
      </c>
      <c r="G182" s="22">
        <v>0.19226875990756126</v>
      </c>
      <c r="H182" s="22">
        <v>0.15004372714262998</v>
      </c>
      <c r="I182" s="22">
        <v>0.14433128621758465</v>
      </c>
      <c r="J182" s="22">
        <v>0.13682349843920419</v>
      </c>
      <c r="K182" s="22">
        <v>0.16234245312019674</v>
      </c>
      <c r="L182" s="21">
        <v>10067</v>
      </c>
      <c r="M182" s="21">
        <v>7549</v>
      </c>
      <c r="N182" s="21">
        <v>7497</v>
      </c>
      <c r="O182" s="21">
        <v>7276</v>
      </c>
      <c r="P182" s="21">
        <v>10218</v>
      </c>
      <c r="Q182" s="22">
        <v>1</v>
      </c>
      <c r="R182" s="22">
        <v>1</v>
      </c>
      <c r="S182" s="22">
        <v>1</v>
      </c>
      <c r="T182" s="22">
        <v>1</v>
      </c>
      <c r="U182" s="22">
        <v>0.9674304109070252</v>
      </c>
      <c r="W182" s="21">
        <v>15428</v>
      </c>
      <c r="X182" s="21">
        <v>15243</v>
      </c>
      <c r="Y182" s="21">
        <v>13006</v>
      </c>
      <c r="Z182" s="21">
        <v>10874</v>
      </c>
      <c r="AA182" s="21">
        <v>7549</v>
      </c>
      <c r="AB182" s="22">
        <v>0.33694417751375905</v>
      </c>
      <c r="AC182" s="22">
        <v>0.333954079397073</v>
      </c>
      <c r="AD182" s="22">
        <v>0.24452884109197565</v>
      </c>
      <c r="AE182" s="22">
        <v>0.20477957100619573</v>
      </c>
      <c r="AF182" s="22">
        <v>0.15004372714262998</v>
      </c>
      <c r="AG182" s="21">
        <v>15428</v>
      </c>
      <c r="AH182" s="21">
        <v>15243</v>
      </c>
      <c r="AI182" s="21">
        <v>13006</v>
      </c>
      <c r="AJ182" s="21">
        <v>10874</v>
      </c>
      <c r="AK182" s="21">
        <v>7549</v>
      </c>
      <c r="AL182" s="22">
        <v>1</v>
      </c>
      <c r="AM182" s="22">
        <v>1</v>
      </c>
      <c r="AN182" s="22">
        <v>1</v>
      </c>
      <c r="AO182" s="22">
        <v>1</v>
      </c>
      <c r="AP182" s="22">
        <v>1</v>
      </c>
      <c r="AQ182" s="39"/>
    </row>
    <row r="183" spans="1:55" s="21" customFormat="1" ht="12.75" x14ac:dyDescent="0.2">
      <c r="A183" s="20" t="s">
        <v>81</v>
      </c>
      <c r="B183" s="21">
        <v>14262</v>
      </c>
      <c r="C183" s="21">
        <v>14410</v>
      </c>
      <c r="D183" s="21">
        <v>15057</v>
      </c>
      <c r="E183" s="21">
        <v>16092</v>
      </c>
      <c r="F183" s="21">
        <v>25182</v>
      </c>
      <c r="G183" s="22">
        <v>0.27238870108290836</v>
      </c>
      <c r="H183" s="22">
        <v>0.28641278422642708</v>
      </c>
      <c r="I183" s="22">
        <v>0.28987544038657759</v>
      </c>
      <c r="J183" s="22">
        <v>0.30260634096806949</v>
      </c>
      <c r="K183" s="22">
        <v>0.387058100215186</v>
      </c>
      <c r="L183" s="21">
        <v>14262</v>
      </c>
      <c r="M183" s="21">
        <v>14410</v>
      </c>
      <c r="N183" s="21">
        <v>15057</v>
      </c>
      <c r="O183" s="21">
        <v>16092</v>
      </c>
      <c r="P183" s="21">
        <v>19932</v>
      </c>
      <c r="Q183" s="22">
        <v>1</v>
      </c>
      <c r="R183" s="22">
        <v>1</v>
      </c>
      <c r="S183" s="22">
        <v>1</v>
      </c>
      <c r="T183" s="22">
        <v>1</v>
      </c>
      <c r="U183" s="22">
        <v>0.79151775077436259</v>
      </c>
      <c r="W183" s="21">
        <v>11475</v>
      </c>
      <c r="X183" s="21">
        <v>12507</v>
      </c>
      <c r="Y183" s="21">
        <v>11490</v>
      </c>
      <c r="Z183" s="21">
        <v>13837</v>
      </c>
      <c r="AA183" s="21">
        <v>14410</v>
      </c>
      <c r="AB183" s="22">
        <v>0.25061151393378178</v>
      </c>
      <c r="AC183" s="22">
        <v>0.27401191832442379</v>
      </c>
      <c r="AD183" s="22">
        <v>0.21602617131683838</v>
      </c>
      <c r="AE183" s="22">
        <v>0.26057889681926893</v>
      </c>
      <c r="AF183" s="22">
        <v>0.28641278422642708</v>
      </c>
      <c r="AG183" s="21">
        <v>11475</v>
      </c>
      <c r="AH183" s="21">
        <v>12507</v>
      </c>
      <c r="AI183" s="21">
        <v>11490</v>
      </c>
      <c r="AJ183" s="21">
        <v>13837</v>
      </c>
      <c r="AK183" s="21">
        <v>14410</v>
      </c>
      <c r="AL183" s="22">
        <v>1</v>
      </c>
      <c r="AM183" s="22">
        <v>1</v>
      </c>
      <c r="AN183" s="22">
        <v>1</v>
      </c>
      <c r="AO183" s="22">
        <v>1</v>
      </c>
      <c r="AP183" s="22">
        <v>1</v>
      </c>
      <c r="AQ183" s="39"/>
    </row>
    <row r="184" spans="1:55" s="21" customFormat="1" ht="12.75" x14ac:dyDescent="0.2">
      <c r="A184" s="31" t="s">
        <v>82</v>
      </c>
      <c r="B184" s="23">
        <v>52359</v>
      </c>
      <c r="C184" s="23">
        <v>50312</v>
      </c>
      <c r="D184" s="23">
        <v>51943</v>
      </c>
      <c r="E184" s="23">
        <v>53178</v>
      </c>
      <c r="F184" s="23">
        <v>65060</v>
      </c>
      <c r="G184" s="24">
        <v>1</v>
      </c>
      <c r="H184" s="24">
        <v>1</v>
      </c>
      <c r="I184" s="24">
        <v>1</v>
      </c>
      <c r="J184" s="24">
        <v>1</v>
      </c>
      <c r="K184" s="24">
        <v>1</v>
      </c>
      <c r="L184" s="23">
        <v>52359</v>
      </c>
      <c r="M184" s="23">
        <v>50312</v>
      </c>
      <c r="N184" s="23">
        <v>51943</v>
      </c>
      <c r="O184" s="23">
        <v>53178</v>
      </c>
      <c r="P184" s="23">
        <v>58786</v>
      </c>
      <c r="Q184" s="24">
        <v>1</v>
      </c>
      <c r="R184" s="24">
        <v>1</v>
      </c>
      <c r="S184" s="24">
        <v>1</v>
      </c>
      <c r="T184" s="24">
        <v>1</v>
      </c>
      <c r="U184" s="24">
        <v>0.9035659391331079</v>
      </c>
      <c r="V184" s="23"/>
      <c r="W184" s="23">
        <v>45788</v>
      </c>
      <c r="X184" s="23">
        <v>45644</v>
      </c>
      <c r="Y184" s="23">
        <v>53188</v>
      </c>
      <c r="Z184" s="23">
        <v>53101</v>
      </c>
      <c r="AA184" s="23">
        <v>50312</v>
      </c>
      <c r="AB184" s="24">
        <v>1</v>
      </c>
      <c r="AC184" s="24">
        <v>1</v>
      </c>
      <c r="AD184" s="24">
        <v>1</v>
      </c>
      <c r="AE184" s="24">
        <v>1</v>
      </c>
      <c r="AF184" s="24">
        <v>1</v>
      </c>
      <c r="AG184" s="23">
        <v>45788</v>
      </c>
      <c r="AH184" s="23">
        <v>45644</v>
      </c>
      <c r="AI184" s="23">
        <v>53188</v>
      </c>
      <c r="AJ184" s="23">
        <v>53101</v>
      </c>
      <c r="AK184" s="23">
        <v>50312</v>
      </c>
      <c r="AL184" s="24">
        <v>1</v>
      </c>
      <c r="AM184" s="24">
        <v>1</v>
      </c>
      <c r="AN184" s="24">
        <v>1</v>
      </c>
      <c r="AO184" s="24">
        <v>1</v>
      </c>
      <c r="AP184" s="24">
        <v>1</v>
      </c>
      <c r="AQ184" s="39"/>
    </row>
    <row r="185" spans="1:55" s="21" customFormat="1" ht="12.75" x14ac:dyDescent="0.2">
      <c r="A185" s="20"/>
      <c r="AB185" s="22"/>
      <c r="AC185" s="22"/>
      <c r="AD185" s="22"/>
      <c r="AE185" s="22"/>
      <c r="AF185" s="22"/>
      <c r="AL185" s="22"/>
      <c r="AM185" s="22"/>
      <c r="AN185" s="22"/>
      <c r="AO185" s="22"/>
      <c r="AP185" s="22"/>
      <c r="AQ185" s="39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</row>
    <row r="186" spans="1:55" s="23" customFormat="1" ht="12.75" x14ac:dyDescent="0.2">
      <c r="A186" s="10" t="s">
        <v>69</v>
      </c>
      <c r="B186" s="10" t="s">
        <v>12</v>
      </c>
      <c r="C186" s="10" t="s">
        <v>13</v>
      </c>
      <c r="D186" s="10" t="s">
        <v>14</v>
      </c>
      <c r="E186" s="10" t="s">
        <v>15</v>
      </c>
      <c r="F186" s="10" t="s">
        <v>16</v>
      </c>
      <c r="G186" s="10" t="s">
        <v>12</v>
      </c>
      <c r="H186" s="10" t="s">
        <v>13</v>
      </c>
      <c r="I186" s="10" t="s">
        <v>14</v>
      </c>
      <c r="J186" s="10" t="s">
        <v>15</v>
      </c>
      <c r="K186" s="10" t="s">
        <v>16</v>
      </c>
      <c r="L186" s="10" t="s">
        <v>12</v>
      </c>
      <c r="M186" s="10" t="s">
        <v>13</v>
      </c>
      <c r="N186" s="10" t="s">
        <v>14</v>
      </c>
      <c r="O186" s="10" t="s">
        <v>15</v>
      </c>
      <c r="P186" s="10" t="s">
        <v>16</v>
      </c>
      <c r="Q186" s="10" t="s">
        <v>12</v>
      </c>
      <c r="R186" s="10" t="s">
        <v>13</v>
      </c>
      <c r="S186" s="10" t="s">
        <v>14</v>
      </c>
      <c r="T186" s="10" t="s">
        <v>15</v>
      </c>
      <c r="U186" s="10" t="s">
        <v>16</v>
      </c>
      <c r="V186" s="10"/>
      <c r="W186" s="10" t="s">
        <v>17</v>
      </c>
      <c r="X186" s="10" t="s">
        <v>18</v>
      </c>
      <c r="Y186" s="10" t="s">
        <v>19</v>
      </c>
      <c r="Z186" s="10" t="s">
        <v>20</v>
      </c>
      <c r="AA186" s="10" t="s">
        <v>21</v>
      </c>
      <c r="AB186" s="10" t="s">
        <v>17</v>
      </c>
      <c r="AC186" s="10" t="s">
        <v>18</v>
      </c>
      <c r="AD186" s="10" t="s">
        <v>19</v>
      </c>
      <c r="AE186" s="10" t="s">
        <v>20</v>
      </c>
      <c r="AF186" s="10" t="s">
        <v>21</v>
      </c>
      <c r="AG186" s="10" t="s">
        <v>17</v>
      </c>
      <c r="AH186" s="10" t="s">
        <v>18</v>
      </c>
      <c r="AI186" s="10" t="s">
        <v>19</v>
      </c>
      <c r="AJ186" s="10" t="s">
        <v>20</v>
      </c>
      <c r="AK186" s="10" t="s">
        <v>21</v>
      </c>
      <c r="AL186" s="10" t="s">
        <v>17</v>
      </c>
      <c r="AM186" s="10" t="s">
        <v>18</v>
      </c>
      <c r="AN186" s="10" t="s">
        <v>19</v>
      </c>
      <c r="AO186" s="10" t="s">
        <v>20</v>
      </c>
      <c r="AP186" s="10" t="s">
        <v>21</v>
      </c>
      <c r="AQ186" s="39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</row>
    <row r="187" spans="1:55" s="21" customFormat="1" ht="12.75" x14ac:dyDescent="0.2">
      <c r="A187" s="20" t="s">
        <v>23</v>
      </c>
      <c r="B187" s="21">
        <v>1362</v>
      </c>
      <c r="C187" s="21">
        <v>1352</v>
      </c>
      <c r="D187" s="21">
        <v>1358</v>
      </c>
      <c r="E187" s="21">
        <v>1355</v>
      </c>
      <c r="F187" s="21">
        <v>1353</v>
      </c>
      <c r="G187" s="22">
        <v>0.72446808510638294</v>
      </c>
      <c r="H187" s="22">
        <v>0.72299465240641714</v>
      </c>
      <c r="I187" s="22">
        <v>0.71775898520084569</v>
      </c>
      <c r="J187" s="22">
        <v>0.71579503433703118</v>
      </c>
      <c r="K187" s="22">
        <v>0.67819548872180446</v>
      </c>
      <c r="L187" s="21">
        <v>1362</v>
      </c>
      <c r="M187" s="21">
        <v>1352</v>
      </c>
      <c r="N187" s="21">
        <v>1358</v>
      </c>
      <c r="O187" s="21">
        <v>1355</v>
      </c>
      <c r="P187" s="21">
        <v>1353</v>
      </c>
      <c r="Q187" s="22">
        <v>1</v>
      </c>
      <c r="R187" s="22">
        <v>1</v>
      </c>
      <c r="S187" s="22">
        <v>1</v>
      </c>
      <c r="T187" s="22">
        <v>1</v>
      </c>
      <c r="U187" s="22">
        <v>1</v>
      </c>
      <c r="W187" s="21">
        <v>880</v>
      </c>
      <c r="X187" s="21">
        <v>1221</v>
      </c>
      <c r="Y187" s="21">
        <v>1153</v>
      </c>
      <c r="Z187" s="21">
        <v>1436</v>
      </c>
      <c r="AA187" s="21">
        <v>1352</v>
      </c>
      <c r="AB187" s="22">
        <v>0.61711079943899017</v>
      </c>
      <c r="AC187" s="22">
        <v>0.65645161290322585</v>
      </c>
      <c r="AD187" s="22">
        <v>0.65104460756634674</v>
      </c>
      <c r="AE187" s="22">
        <v>0.73340143003064351</v>
      </c>
      <c r="AF187" s="22">
        <v>0.72299465240641714</v>
      </c>
      <c r="AG187" s="21">
        <v>880</v>
      </c>
      <c r="AH187" s="21">
        <v>1221</v>
      </c>
      <c r="AI187" s="21">
        <v>1153</v>
      </c>
      <c r="AJ187" s="21">
        <v>1436</v>
      </c>
      <c r="AK187" s="21">
        <v>1352</v>
      </c>
      <c r="AL187" s="22">
        <v>1</v>
      </c>
      <c r="AM187" s="22">
        <v>1</v>
      </c>
      <c r="AN187" s="22">
        <v>1</v>
      </c>
      <c r="AO187" s="22">
        <v>1</v>
      </c>
      <c r="AP187" s="22">
        <v>1</v>
      </c>
      <c r="AQ187" s="39"/>
    </row>
    <row r="188" spans="1:55" s="21" customFormat="1" ht="12.75" x14ac:dyDescent="0.2">
      <c r="A188" s="20" t="s">
        <v>48</v>
      </c>
      <c r="B188" s="21">
        <v>240</v>
      </c>
      <c r="C188" s="21">
        <v>250</v>
      </c>
      <c r="D188" s="21">
        <v>251</v>
      </c>
      <c r="E188" s="21">
        <v>254</v>
      </c>
      <c r="F188" s="21">
        <v>239</v>
      </c>
      <c r="G188" s="22">
        <v>0.1276595744680851</v>
      </c>
      <c r="H188" s="22">
        <v>0.13368983957219252</v>
      </c>
      <c r="I188" s="22">
        <v>0.13266384778012685</v>
      </c>
      <c r="J188" s="22">
        <v>0.13417855256207079</v>
      </c>
      <c r="K188" s="22">
        <v>0.11979949874686717</v>
      </c>
      <c r="L188" s="21">
        <v>240</v>
      </c>
      <c r="M188" s="21">
        <v>250</v>
      </c>
      <c r="N188" s="21">
        <v>251</v>
      </c>
      <c r="O188" s="21">
        <v>254</v>
      </c>
      <c r="P188" s="21">
        <v>234</v>
      </c>
      <c r="Q188" s="22">
        <v>1</v>
      </c>
      <c r="R188" s="22">
        <v>1</v>
      </c>
      <c r="S188" s="22">
        <v>1</v>
      </c>
      <c r="T188" s="22">
        <v>1</v>
      </c>
      <c r="U188" s="22">
        <v>0.97907949790794979</v>
      </c>
      <c r="W188" s="21">
        <v>205</v>
      </c>
      <c r="X188" s="21">
        <v>167</v>
      </c>
      <c r="Y188" s="21">
        <v>209</v>
      </c>
      <c r="Z188" s="21">
        <v>263</v>
      </c>
      <c r="AA188" s="21">
        <v>250</v>
      </c>
      <c r="AB188" s="22">
        <v>0.14375876577840113</v>
      </c>
      <c r="AC188" s="22">
        <v>8.9784946236559138E-2</v>
      </c>
      <c r="AD188" s="22">
        <v>0.11801242236024845</v>
      </c>
      <c r="AE188" s="22">
        <v>0.13432073544433096</v>
      </c>
      <c r="AF188" s="22">
        <v>0.13368983957219252</v>
      </c>
      <c r="AG188" s="21">
        <v>205</v>
      </c>
      <c r="AH188" s="21">
        <v>167</v>
      </c>
      <c r="AI188" s="21">
        <v>209</v>
      </c>
      <c r="AJ188" s="21">
        <v>263</v>
      </c>
      <c r="AK188" s="21">
        <v>250</v>
      </c>
      <c r="AL188" s="22">
        <v>1</v>
      </c>
      <c r="AM188" s="22">
        <v>1</v>
      </c>
      <c r="AN188" s="22">
        <v>1</v>
      </c>
      <c r="AO188" s="22">
        <v>1</v>
      </c>
      <c r="AP188" s="22">
        <v>1</v>
      </c>
      <c r="AQ188" s="39"/>
    </row>
    <row r="189" spans="1:55" s="21" customFormat="1" ht="12.75" x14ac:dyDescent="0.2">
      <c r="A189" s="20" t="s">
        <v>35</v>
      </c>
      <c r="B189" s="21">
        <v>123</v>
      </c>
      <c r="C189" s="21">
        <v>108</v>
      </c>
      <c r="D189" s="21">
        <v>124</v>
      </c>
      <c r="E189" s="21">
        <v>129</v>
      </c>
      <c r="F189" s="21">
        <v>239</v>
      </c>
      <c r="G189" s="22">
        <v>6.5425531914893614E-2</v>
      </c>
      <c r="H189" s="22">
        <v>5.7754010695187166E-2</v>
      </c>
      <c r="I189" s="22">
        <v>6.5539112050739964E-2</v>
      </c>
      <c r="J189" s="22">
        <v>6.8145800316957217E-2</v>
      </c>
      <c r="K189" s="22">
        <v>0.11979949874686717</v>
      </c>
      <c r="L189" s="21">
        <v>123</v>
      </c>
      <c r="M189" s="21">
        <v>108</v>
      </c>
      <c r="N189" s="21">
        <v>124</v>
      </c>
      <c r="O189" s="21">
        <v>129</v>
      </c>
      <c r="P189" s="21">
        <v>165</v>
      </c>
      <c r="Q189" s="22">
        <v>1</v>
      </c>
      <c r="R189" s="22">
        <v>1</v>
      </c>
      <c r="S189" s="22">
        <v>1</v>
      </c>
      <c r="T189" s="22">
        <v>1</v>
      </c>
      <c r="U189" s="22">
        <v>0.69037656903765687</v>
      </c>
      <c r="W189" s="21">
        <v>103</v>
      </c>
      <c r="X189" s="21">
        <v>152</v>
      </c>
      <c r="Y189" s="21">
        <v>140</v>
      </c>
      <c r="Z189" s="21">
        <v>110</v>
      </c>
      <c r="AA189" s="21">
        <v>108</v>
      </c>
      <c r="AB189" s="22">
        <v>7.223001402524544E-2</v>
      </c>
      <c r="AC189" s="22">
        <v>8.1720430107526887E-2</v>
      </c>
      <c r="AD189" s="22">
        <v>7.9051383399209488E-2</v>
      </c>
      <c r="AE189" s="22">
        <v>5.6179775280898875E-2</v>
      </c>
      <c r="AF189" s="22">
        <v>5.7754010695187166E-2</v>
      </c>
      <c r="AG189" s="21">
        <v>103</v>
      </c>
      <c r="AH189" s="21">
        <v>152</v>
      </c>
      <c r="AI189" s="21">
        <v>140</v>
      </c>
      <c r="AJ189" s="21">
        <v>110</v>
      </c>
      <c r="AK189" s="21">
        <v>108</v>
      </c>
      <c r="AL189" s="22">
        <v>1</v>
      </c>
      <c r="AM189" s="22">
        <v>1</v>
      </c>
      <c r="AN189" s="22">
        <v>1</v>
      </c>
      <c r="AO189" s="22">
        <v>1</v>
      </c>
      <c r="AP189" s="22">
        <v>1</v>
      </c>
      <c r="AQ189" s="39"/>
    </row>
    <row r="190" spans="1:55" s="21" customFormat="1" ht="12.75" x14ac:dyDescent="0.2">
      <c r="A190" s="20" t="s">
        <v>81</v>
      </c>
      <c r="B190" s="21">
        <v>155</v>
      </c>
      <c r="C190" s="21">
        <v>160</v>
      </c>
      <c r="D190" s="21">
        <v>159</v>
      </c>
      <c r="E190" s="21">
        <v>155</v>
      </c>
      <c r="F190" s="21">
        <v>164</v>
      </c>
      <c r="G190" s="22">
        <v>8.2446808510638292E-2</v>
      </c>
      <c r="H190" s="22">
        <v>8.5561497326203204E-2</v>
      </c>
      <c r="I190" s="22">
        <v>8.4038054968287521E-2</v>
      </c>
      <c r="J190" s="22">
        <v>8.1880612783940834E-2</v>
      </c>
      <c r="K190" s="22">
        <v>8.2205513784461157E-2</v>
      </c>
      <c r="L190" s="21">
        <v>155</v>
      </c>
      <c r="M190" s="21">
        <v>160</v>
      </c>
      <c r="N190" s="21">
        <v>159</v>
      </c>
      <c r="O190" s="21">
        <v>155</v>
      </c>
      <c r="P190" s="21">
        <v>163</v>
      </c>
      <c r="Q190" s="22">
        <v>1</v>
      </c>
      <c r="R190" s="22">
        <v>1</v>
      </c>
      <c r="S190" s="22">
        <v>1</v>
      </c>
      <c r="T190" s="22">
        <v>1</v>
      </c>
      <c r="U190" s="22">
        <v>0.99390243902439024</v>
      </c>
      <c r="W190" s="21">
        <v>238</v>
      </c>
      <c r="X190" s="21">
        <v>320</v>
      </c>
      <c r="Y190" s="21">
        <v>269</v>
      </c>
      <c r="Z190" s="21">
        <v>149</v>
      </c>
      <c r="AA190" s="21">
        <v>160</v>
      </c>
      <c r="AB190" s="22">
        <v>0.16690042075736325</v>
      </c>
      <c r="AC190" s="22">
        <v>0.17204301075268819</v>
      </c>
      <c r="AD190" s="22">
        <v>0.15189158667419536</v>
      </c>
      <c r="AE190" s="22">
        <v>7.6098059244126659E-2</v>
      </c>
      <c r="AF190" s="22">
        <v>8.5561497326203204E-2</v>
      </c>
      <c r="AG190" s="21">
        <v>238</v>
      </c>
      <c r="AH190" s="21">
        <v>320</v>
      </c>
      <c r="AI190" s="21">
        <v>269</v>
      </c>
      <c r="AJ190" s="21">
        <v>149</v>
      </c>
      <c r="AK190" s="21">
        <v>160</v>
      </c>
      <c r="AL190" s="22">
        <v>1</v>
      </c>
      <c r="AM190" s="22">
        <v>1</v>
      </c>
      <c r="AN190" s="22">
        <v>1</v>
      </c>
      <c r="AO190" s="22">
        <v>1</v>
      </c>
      <c r="AP190" s="22">
        <v>1</v>
      </c>
      <c r="AQ190" s="39"/>
    </row>
    <row r="191" spans="1:55" s="21" customFormat="1" ht="12.75" x14ac:dyDescent="0.2">
      <c r="A191" s="31" t="s">
        <v>82</v>
      </c>
      <c r="B191" s="23">
        <v>1880</v>
      </c>
      <c r="C191" s="23">
        <v>1870</v>
      </c>
      <c r="D191" s="23">
        <v>1892</v>
      </c>
      <c r="E191" s="23">
        <v>1893</v>
      </c>
      <c r="F191" s="23">
        <v>1995</v>
      </c>
      <c r="G191" s="24">
        <v>1</v>
      </c>
      <c r="H191" s="24">
        <v>1</v>
      </c>
      <c r="I191" s="24">
        <v>1</v>
      </c>
      <c r="J191" s="24">
        <v>1</v>
      </c>
      <c r="K191" s="24">
        <v>1</v>
      </c>
      <c r="L191" s="23">
        <v>1880</v>
      </c>
      <c r="M191" s="23">
        <v>1870</v>
      </c>
      <c r="N191" s="23">
        <v>1892</v>
      </c>
      <c r="O191" s="23">
        <v>1893</v>
      </c>
      <c r="P191" s="23">
        <v>1915</v>
      </c>
      <c r="Q191" s="24">
        <v>1</v>
      </c>
      <c r="R191" s="24">
        <v>1</v>
      </c>
      <c r="S191" s="24">
        <v>1</v>
      </c>
      <c r="T191" s="24">
        <v>1</v>
      </c>
      <c r="U191" s="24">
        <v>0.95989974937343359</v>
      </c>
      <c r="V191" s="23"/>
      <c r="W191" s="23">
        <v>1426</v>
      </c>
      <c r="X191" s="23">
        <v>1860</v>
      </c>
      <c r="Y191" s="23">
        <v>1771</v>
      </c>
      <c r="Z191" s="23">
        <v>1958</v>
      </c>
      <c r="AA191" s="23">
        <v>1870</v>
      </c>
      <c r="AB191" s="24">
        <v>1</v>
      </c>
      <c r="AC191" s="24">
        <v>1</v>
      </c>
      <c r="AD191" s="24">
        <v>1</v>
      </c>
      <c r="AE191" s="24">
        <v>1</v>
      </c>
      <c r="AF191" s="24">
        <v>1</v>
      </c>
      <c r="AG191" s="23">
        <v>1426</v>
      </c>
      <c r="AH191" s="23">
        <v>1860</v>
      </c>
      <c r="AI191" s="23">
        <v>1771</v>
      </c>
      <c r="AJ191" s="23">
        <v>1958</v>
      </c>
      <c r="AK191" s="23">
        <v>1870</v>
      </c>
      <c r="AL191" s="24">
        <v>1</v>
      </c>
      <c r="AM191" s="24">
        <v>1</v>
      </c>
      <c r="AN191" s="24">
        <v>1</v>
      </c>
      <c r="AO191" s="24">
        <v>1</v>
      </c>
      <c r="AP191" s="24">
        <v>1</v>
      </c>
      <c r="AQ191" s="39"/>
    </row>
    <row r="192" spans="1:55" s="21" customFormat="1" ht="12.75" x14ac:dyDescent="0.2">
      <c r="A192" s="20"/>
      <c r="AB192" s="22"/>
      <c r="AC192" s="22"/>
      <c r="AD192" s="22"/>
      <c r="AE192" s="22"/>
      <c r="AF192" s="22"/>
      <c r="AL192" s="22"/>
      <c r="AM192" s="22"/>
      <c r="AN192" s="22"/>
      <c r="AO192" s="22"/>
      <c r="AP192" s="22"/>
      <c r="AQ192" s="39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</row>
    <row r="193" spans="1:55" s="23" customFormat="1" ht="12.75" x14ac:dyDescent="0.2">
      <c r="A193" s="10" t="s">
        <v>71</v>
      </c>
      <c r="B193" s="10" t="s">
        <v>12</v>
      </c>
      <c r="C193" s="10" t="s">
        <v>13</v>
      </c>
      <c r="D193" s="10" t="s">
        <v>14</v>
      </c>
      <c r="E193" s="10" t="s">
        <v>15</v>
      </c>
      <c r="F193" s="10" t="s">
        <v>16</v>
      </c>
      <c r="G193" s="10" t="s">
        <v>12</v>
      </c>
      <c r="H193" s="10" t="s">
        <v>13</v>
      </c>
      <c r="I193" s="10" t="s">
        <v>14</v>
      </c>
      <c r="J193" s="10" t="s">
        <v>15</v>
      </c>
      <c r="K193" s="10" t="s">
        <v>16</v>
      </c>
      <c r="L193" s="10" t="s">
        <v>12</v>
      </c>
      <c r="M193" s="10" t="s">
        <v>13</v>
      </c>
      <c r="N193" s="10" t="s">
        <v>14</v>
      </c>
      <c r="O193" s="10" t="s">
        <v>15</v>
      </c>
      <c r="P193" s="10" t="s">
        <v>16</v>
      </c>
      <c r="Q193" s="10" t="s">
        <v>12</v>
      </c>
      <c r="R193" s="10" t="s">
        <v>13</v>
      </c>
      <c r="S193" s="10" t="s">
        <v>14</v>
      </c>
      <c r="T193" s="10" t="s">
        <v>15</v>
      </c>
      <c r="U193" s="10" t="s">
        <v>16</v>
      </c>
      <c r="V193" s="10"/>
      <c r="W193" s="10" t="s">
        <v>17</v>
      </c>
      <c r="X193" s="10" t="s">
        <v>18</v>
      </c>
      <c r="Y193" s="10" t="s">
        <v>19</v>
      </c>
      <c r="Z193" s="10" t="s">
        <v>20</v>
      </c>
      <c r="AA193" s="10" t="s">
        <v>21</v>
      </c>
      <c r="AB193" s="10" t="s">
        <v>17</v>
      </c>
      <c r="AC193" s="10" t="s">
        <v>18</v>
      </c>
      <c r="AD193" s="10" t="s">
        <v>19</v>
      </c>
      <c r="AE193" s="10" t="s">
        <v>20</v>
      </c>
      <c r="AF193" s="10" t="s">
        <v>21</v>
      </c>
      <c r="AG193" s="10" t="s">
        <v>17</v>
      </c>
      <c r="AH193" s="10" t="s">
        <v>18</v>
      </c>
      <c r="AI193" s="10" t="s">
        <v>19</v>
      </c>
      <c r="AJ193" s="10" t="s">
        <v>20</v>
      </c>
      <c r="AK193" s="10" t="s">
        <v>21</v>
      </c>
      <c r="AL193" s="10" t="s">
        <v>17</v>
      </c>
      <c r="AM193" s="10" t="s">
        <v>18</v>
      </c>
      <c r="AN193" s="10" t="s">
        <v>19</v>
      </c>
      <c r="AO193" s="10" t="s">
        <v>20</v>
      </c>
      <c r="AP193" s="10" t="s">
        <v>21</v>
      </c>
      <c r="AQ193" s="39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</row>
    <row r="194" spans="1:55" s="21" customFormat="1" ht="12.75" x14ac:dyDescent="0.2">
      <c r="A194" s="20" t="s">
        <v>48</v>
      </c>
      <c r="B194" s="21">
        <v>10173</v>
      </c>
      <c r="C194" s="21">
        <v>10458</v>
      </c>
      <c r="D194" s="21">
        <v>10985</v>
      </c>
      <c r="E194" s="21">
        <v>11069</v>
      </c>
      <c r="F194" s="21">
        <v>10307</v>
      </c>
      <c r="G194" s="22">
        <v>0.34341558923809201</v>
      </c>
      <c r="H194" s="22">
        <v>0.37045696068012751</v>
      </c>
      <c r="I194" s="22">
        <v>0.37844076204912669</v>
      </c>
      <c r="J194" s="22">
        <v>0.37505506048182158</v>
      </c>
      <c r="K194" s="22">
        <v>0.32994013892890295</v>
      </c>
      <c r="L194" s="21">
        <v>10173</v>
      </c>
      <c r="M194" s="21">
        <v>10458</v>
      </c>
      <c r="N194" s="21">
        <v>10985</v>
      </c>
      <c r="O194" s="21">
        <v>11069</v>
      </c>
      <c r="P194" s="21">
        <v>9981</v>
      </c>
      <c r="Q194" s="22">
        <v>1</v>
      </c>
      <c r="R194" s="22">
        <v>1</v>
      </c>
      <c r="S194" s="22">
        <v>1</v>
      </c>
      <c r="T194" s="22">
        <v>1</v>
      </c>
      <c r="U194" s="22">
        <v>0.96837100999320846</v>
      </c>
      <c r="W194" s="21">
        <v>9380</v>
      </c>
      <c r="X194" s="21">
        <v>8672</v>
      </c>
      <c r="Y194" s="21">
        <v>9952</v>
      </c>
      <c r="Z194" s="21">
        <v>11218</v>
      </c>
      <c r="AA194" s="21">
        <v>10458</v>
      </c>
      <c r="AB194" s="22">
        <v>0.28361503341093941</v>
      </c>
      <c r="AC194" s="22">
        <v>0.25291647223518432</v>
      </c>
      <c r="AD194" s="22">
        <v>0.32232154424148207</v>
      </c>
      <c r="AE194" s="22">
        <v>0.3717523860021209</v>
      </c>
      <c r="AF194" s="22">
        <v>0.37045696068012751</v>
      </c>
      <c r="AG194" s="21">
        <v>9380</v>
      </c>
      <c r="AH194" s="21">
        <v>8672</v>
      </c>
      <c r="AI194" s="21">
        <v>9952</v>
      </c>
      <c r="AJ194" s="21">
        <v>11218</v>
      </c>
      <c r="AK194" s="21">
        <v>10458</v>
      </c>
      <c r="AL194" s="22">
        <v>1</v>
      </c>
      <c r="AM194" s="22">
        <v>1</v>
      </c>
      <c r="AN194" s="22">
        <v>1</v>
      </c>
      <c r="AO194" s="22">
        <v>1</v>
      </c>
      <c r="AP194" s="22">
        <v>1</v>
      </c>
      <c r="AQ194" s="39"/>
    </row>
    <row r="195" spans="1:55" s="21" customFormat="1" ht="12.75" x14ac:dyDescent="0.2">
      <c r="A195" s="20" t="s">
        <v>24</v>
      </c>
      <c r="B195" s="21">
        <v>5199</v>
      </c>
      <c r="C195" s="21">
        <v>5257</v>
      </c>
      <c r="D195" s="21">
        <v>5495</v>
      </c>
      <c r="E195" s="21">
        <v>5826</v>
      </c>
      <c r="F195" s="21">
        <v>6303</v>
      </c>
      <c r="G195" s="22">
        <v>0.17550551935995679</v>
      </c>
      <c r="H195" s="22">
        <v>0.18622033297910026</v>
      </c>
      <c r="I195" s="22">
        <v>0.18930650773417854</v>
      </c>
      <c r="J195" s="22">
        <v>0.19740453359536475</v>
      </c>
      <c r="K195" s="22">
        <v>0.2017670219917411</v>
      </c>
      <c r="L195" s="21">
        <v>5199</v>
      </c>
      <c r="M195" s="21">
        <v>5257</v>
      </c>
      <c r="N195" s="21">
        <v>5495</v>
      </c>
      <c r="O195" s="21">
        <v>5826</v>
      </c>
      <c r="P195" s="21">
        <v>6254</v>
      </c>
      <c r="Q195" s="22">
        <v>1</v>
      </c>
      <c r="R195" s="22">
        <v>1</v>
      </c>
      <c r="S195" s="22">
        <v>1</v>
      </c>
      <c r="T195" s="22">
        <v>1</v>
      </c>
      <c r="U195" s="22">
        <v>0.99222592416309696</v>
      </c>
      <c r="W195" s="21">
        <v>4842</v>
      </c>
      <c r="X195" s="21">
        <v>5639</v>
      </c>
      <c r="Y195" s="21">
        <v>5169</v>
      </c>
      <c r="Z195" s="21">
        <v>3968</v>
      </c>
      <c r="AA195" s="21">
        <v>5257</v>
      </c>
      <c r="AB195" s="22">
        <v>0.14640341063707557</v>
      </c>
      <c r="AC195" s="22">
        <v>0.16445986934204387</v>
      </c>
      <c r="AD195" s="22">
        <v>0.16741158181111543</v>
      </c>
      <c r="AE195" s="22">
        <v>0.13149522799575822</v>
      </c>
      <c r="AF195" s="22">
        <v>0.18622033297910026</v>
      </c>
      <c r="AG195" s="21">
        <v>4842</v>
      </c>
      <c r="AH195" s="21">
        <v>5639</v>
      </c>
      <c r="AI195" s="21">
        <v>5169</v>
      </c>
      <c r="AJ195" s="21">
        <v>3968</v>
      </c>
      <c r="AK195" s="21">
        <v>5257</v>
      </c>
      <c r="AL195" s="22">
        <v>1</v>
      </c>
      <c r="AM195" s="22">
        <v>1</v>
      </c>
      <c r="AN195" s="22">
        <v>1</v>
      </c>
      <c r="AO195" s="22">
        <v>1</v>
      </c>
      <c r="AP195" s="22">
        <v>1</v>
      </c>
      <c r="AQ195" s="39"/>
    </row>
    <row r="196" spans="1:55" s="21" customFormat="1" ht="12.75" x14ac:dyDescent="0.2">
      <c r="A196" s="20" t="s">
        <v>35</v>
      </c>
      <c r="B196" s="21">
        <v>7901</v>
      </c>
      <c r="C196" s="21">
        <v>6080</v>
      </c>
      <c r="D196" s="21">
        <v>6044</v>
      </c>
      <c r="E196" s="21">
        <v>5892</v>
      </c>
      <c r="F196" s="21">
        <v>8102</v>
      </c>
      <c r="G196" s="22">
        <v>0.26671842824832054</v>
      </c>
      <c r="H196" s="22">
        <v>0.21537371590506554</v>
      </c>
      <c r="I196" s="22">
        <v>0.20821993316567333</v>
      </c>
      <c r="J196" s="22">
        <v>0.19964083624165621</v>
      </c>
      <c r="K196" s="22">
        <v>0.25935529306315824</v>
      </c>
      <c r="L196" s="21">
        <v>7901</v>
      </c>
      <c r="M196" s="21">
        <v>6080</v>
      </c>
      <c r="N196" s="21">
        <v>6044</v>
      </c>
      <c r="O196" s="21">
        <v>5892</v>
      </c>
      <c r="P196" s="21">
        <v>7848</v>
      </c>
      <c r="Q196" s="22">
        <v>1</v>
      </c>
      <c r="R196" s="22">
        <v>1</v>
      </c>
      <c r="S196" s="22">
        <v>1</v>
      </c>
      <c r="T196" s="22">
        <v>1</v>
      </c>
      <c r="U196" s="22">
        <v>0.9686497161194767</v>
      </c>
      <c r="W196" s="21">
        <v>14492</v>
      </c>
      <c r="X196" s="21">
        <v>14281</v>
      </c>
      <c r="Y196" s="21">
        <v>10435</v>
      </c>
      <c r="Z196" s="21">
        <v>9178</v>
      </c>
      <c r="AA196" s="21">
        <v>6080</v>
      </c>
      <c r="AB196" s="22">
        <v>0.43818220300547273</v>
      </c>
      <c r="AC196" s="22">
        <v>0.4165013999066729</v>
      </c>
      <c r="AD196" s="22">
        <v>0.33796476227490607</v>
      </c>
      <c r="AE196" s="22">
        <v>0.30414899257688227</v>
      </c>
      <c r="AF196" s="22">
        <v>0.21537371590506554</v>
      </c>
      <c r="AG196" s="21">
        <v>14492</v>
      </c>
      <c r="AH196" s="21">
        <v>14281</v>
      </c>
      <c r="AI196" s="21">
        <v>10435</v>
      </c>
      <c r="AJ196" s="21">
        <v>9178</v>
      </c>
      <c r="AK196" s="21">
        <v>6080</v>
      </c>
      <c r="AL196" s="22">
        <v>1</v>
      </c>
      <c r="AM196" s="22">
        <v>1</v>
      </c>
      <c r="AN196" s="22">
        <v>1</v>
      </c>
      <c r="AO196" s="22">
        <v>1</v>
      </c>
      <c r="AP196" s="22">
        <v>1</v>
      </c>
      <c r="AQ196" s="39"/>
    </row>
    <row r="197" spans="1:55" s="21" customFormat="1" ht="12.75" x14ac:dyDescent="0.2">
      <c r="A197" s="20" t="s">
        <v>81</v>
      </c>
      <c r="B197" s="21">
        <v>6350</v>
      </c>
      <c r="C197" s="21">
        <v>6435</v>
      </c>
      <c r="D197" s="21">
        <v>6503</v>
      </c>
      <c r="E197" s="21">
        <v>6726</v>
      </c>
      <c r="F197" s="21">
        <v>6527</v>
      </c>
      <c r="G197" s="22">
        <v>0.21436046315363064</v>
      </c>
      <c r="H197" s="22">
        <v>0.22794899043570668</v>
      </c>
      <c r="I197" s="22">
        <v>0.22403279705102147</v>
      </c>
      <c r="J197" s="22">
        <v>0.22789956968115746</v>
      </c>
      <c r="K197" s="22">
        <v>0.20893754601619771</v>
      </c>
      <c r="L197" s="21">
        <v>6350</v>
      </c>
      <c r="M197" s="21">
        <v>6435</v>
      </c>
      <c r="N197" s="21">
        <v>6503</v>
      </c>
      <c r="O197" s="21">
        <v>6726</v>
      </c>
      <c r="P197" s="21">
        <v>6488</v>
      </c>
      <c r="Q197" s="22">
        <v>1</v>
      </c>
      <c r="R197" s="22">
        <v>1</v>
      </c>
      <c r="S197" s="22">
        <v>1</v>
      </c>
      <c r="T197" s="22">
        <v>1</v>
      </c>
      <c r="U197" s="22">
        <v>0.99402481997855063</v>
      </c>
      <c r="W197" s="21">
        <v>4359</v>
      </c>
      <c r="X197" s="21">
        <v>5696</v>
      </c>
      <c r="Y197" s="21">
        <v>5320</v>
      </c>
      <c r="Z197" s="21">
        <v>5812</v>
      </c>
      <c r="AA197" s="21">
        <v>6435</v>
      </c>
      <c r="AB197" s="22">
        <v>0.13179935294651227</v>
      </c>
      <c r="AC197" s="22">
        <v>0.16612225851609894</v>
      </c>
      <c r="AD197" s="22">
        <v>0.17230211167249643</v>
      </c>
      <c r="AE197" s="22">
        <v>0.19260339342523861</v>
      </c>
      <c r="AF197" s="22">
        <v>0.22794899043570668</v>
      </c>
      <c r="AG197" s="21">
        <v>4359</v>
      </c>
      <c r="AH197" s="21">
        <v>5696</v>
      </c>
      <c r="AI197" s="21">
        <v>5320</v>
      </c>
      <c r="AJ197" s="21">
        <v>5812</v>
      </c>
      <c r="AK197" s="21">
        <v>6435</v>
      </c>
      <c r="AL197" s="22">
        <v>1</v>
      </c>
      <c r="AM197" s="22">
        <v>1</v>
      </c>
      <c r="AN197" s="22">
        <v>1</v>
      </c>
      <c r="AO197" s="22">
        <v>1</v>
      </c>
      <c r="AP197" s="22">
        <v>1</v>
      </c>
      <c r="AQ197" s="39"/>
    </row>
    <row r="198" spans="1:55" s="21" customFormat="1" ht="12.75" x14ac:dyDescent="0.2">
      <c r="A198" s="31" t="s">
        <v>82</v>
      </c>
      <c r="B198" s="23">
        <v>29623</v>
      </c>
      <c r="C198" s="23">
        <v>28230</v>
      </c>
      <c r="D198" s="23">
        <v>29027</v>
      </c>
      <c r="E198" s="23">
        <v>29513</v>
      </c>
      <c r="F198" s="23">
        <v>31239</v>
      </c>
      <c r="G198" s="24">
        <v>1</v>
      </c>
      <c r="H198" s="24">
        <v>1</v>
      </c>
      <c r="I198" s="24">
        <v>1</v>
      </c>
      <c r="J198" s="24">
        <v>1</v>
      </c>
      <c r="K198" s="24">
        <v>1</v>
      </c>
      <c r="L198" s="23">
        <v>29623</v>
      </c>
      <c r="M198" s="23">
        <v>28230</v>
      </c>
      <c r="N198" s="23">
        <v>29027</v>
      </c>
      <c r="O198" s="23">
        <v>29513</v>
      </c>
      <c r="P198" s="23">
        <v>30571</v>
      </c>
      <c r="Q198" s="24">
        <v>1</v>
      </c>
      <c r="R198" s="24">
        <v>1</v>
      </c>
      <c r="S198" s="24">
        <v>1</v>
      </c>
      <c r="T198" s="24">
        <v>1</v>
      </c>
      <c r="U198" s="24">
        <v>0.97861647299849552</v>
      </c>
      <c r="V198" s="23"/>
      <c r="W198" s="23">
        <v>33073</v>
      </c>
      <c r="X198" s="23">
        <v>34288</v>
      </c>
      <c r="Y198" s="23">
        <v>30876</v>
      </c>
      <c r="Z198" s="23">
        <v>30176</v>
      </c>
      <c r="AA198" s="23">
        <v>28230</v>
      </c>
      <c r="AB198" s="24">
        <v>1</v>
      </c>
      <c r="AC198" s="24">
        <v>1</v>
      </c>
      <c r="AD198" s="24">
        <v>1</v>
      </c>
      <c r="AE198" s="24">
        <v>1</v>
      </c>
      <c r="AF198" s="24">
        <v>1</v>
      </c>
      <c r="AG198" s="23">
        <v>33073</v>
      </c>
      <c r="AH198" s="23">
        <v>34288</v>
      </c>
      <c r="AI198" s="23">
        <v>30876</v>
      </c>
      <c r="AJ198" s="23">
        <v>30176</v>
      </c>
      <c r="AK198" s="23">
        <v>28230</v>
      </c>
      <c r="AL198" s="24">
        <v>1</v>
      </c>
      <c r="AM198" s="24">
        <v>1</v>
      </c>
      <c r="AN198" s="24">
        <v>1</v>
      </c>
      <c r="AO198" s="24">
        <v>1</v>
      </c>
      <c r="AP198" s="24">
        <v>1</v>
      </c>
      <c r="AQ198" s="39"/>
    </row>
    <row r="199" spans="1:55" s="21" customFormat="1" ht="12.75" x14ac:dyDescent="0.2">
      <c r="A199" s="20"/>
      <c r="AB199" s="22"/>
      <c r="AC199" s="22"/>
      <c r="AD199" s="22"/>
      <c r="AE199" s="22"/>
      <c r="AF199" s="22"/>
      <c r="AL199" s="22"/>
      <c r="AM199" s="22"/>
      <c r="AN199" s="22"/>
      <c r="AO199" s="22"/>
      <c r="AP199" s="22"/>
      <c r="AQ199" s="39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</row>
    <row r="200" spans="1:55" s="23" customFormat="1" ht="12.75" x14ac:dyDescent="0.2">
      <c r="A200" s="10" t="s">
        <v>73</v>
      </c>
      <c r="B200" s="10" t="s">
        <v>12</v>
      </c>
      <c r="C200" s="10" t="s">
        <v>13</v>
      </c>
      <c r="D200" s="10" t="s">
        <v>14</v>
      </c>
      <c r="E200" s="10" t="s">
        <v>15</v>
      </c>
      <c r="F200" s="10" t="s">
        <v>16</v>
      </c>
      <c r="G200" s="10" t="s">
        <v>12</v>
      </c>
      <c r="H200" s="10" t="s">
        <v>13</v>
      </c>
      <c r="I200" s="10" t="s">
        <v>14</v>
      </c>
      <c r="J200" s="10" t="s">
        <v>15</v>
      </c>
      <c r="K200" s="10" t="s">
        <v>16</v>
      </c>
      <c r="L200" s="10" t="s">
        <v>12</v>
      </c>
      <c r="M200" s="10" t="s">
        <v>13</v>
      </c>
      <c r="N200" s="10" t="s">
        <v>14</v>
      </c>
      <c r="O200" s="10" t="s">
        <v>15</v>
      </c>
      <c r="P200" s="10" t="s">
        <v>16</v>
      </c>
      <c r="Q200" s="10" t="s">
        <v>12</v>
      </c>
      <c r="R200" s="10" t="s">
        <v>13</v>
      </c>
      <c r="S200" s="10" t="s">
        <v>14</v>
      </c>
      <c r="T200" s="10" t="s">
        <v>15</v>
      </c>
      <c r="U200" s="10" t="s">
        <v>16</v>
      </c>
      <c r="V200" s="10"/>
      <c r="W200" s="10" t="s">
        <v>17</v>
      </c>
      <c r="X200" s="10" t="s">
        <v>18</v>
      </c>
      <c r="Y200" s="10" t="s">
        <v>19</v>
      </c>
      <c r="Z200" s="10" t="s">
        <v>20</v>
      </c>
      <c r="AA200" s="10" t="s">
        <v>21</v>
      </c>
      <c r="AB200" s="10" t="s">
        <v>17</v>
      </c>
      <c r="AC200" s="10" t="s">
        <v>18</v>
      </c>
      <c r="AD200" s="10" t="s">
        <v>19</v>
      </c>
      <c r="AE200" s="10" t="s">
        <v>20</v>
      </c>
      <c r="AF200" s="10" t="s">
        <v>21</v>
      </c>
      <c r="AG200" s="10" t="s">
        <v>17</v>
      </c>
      <c r="AH200" s="10" t="s">
        <v>18</v>
      </c>
      <c r="AI200" s="10" t="s">
        <v>19</v>
      </c>
      <c r="AJ200" s="10" t="s">
        <v>20</v>
      </c>
      <c r="AK200" s="10" t="s">
        <v>21</v>
      </c>
      <c r="AL200" s="10" t="s">
        <v>17</v>
      </c>
      <c r="AM200" s="10" t="s">
        <v>18</v>
      </c>
      <c r="AN200" s="10" t="s">
        <v>19</v>
      </c>
      <c r="AO200" s="10" t="s">
        <v>20</v>
      </c>
      <c r="AP200" s="10" t="s">
        <v>21</v>
      </c>
      <c r="AQ200" s="39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</row>
    <row r="201" spans="1:55" s="21" customFormat="1" ht="12.75" x14ac:dyDescent="0.2">
      <c r="A201" s="20" t="s">
        <v>37</v>
      </c>
      <c r="B201" s="21">
        <v>0</v>
      </c>
      <c r="C201" s="21">
        <v>0</v>
      </c>
      <c r="D201" s="21">
        <v>0</v>
      </c>
      <c r="E201" s="21">
        <v>0</v>
      </c>
      <c r="F201" s="21">
        <v>5010</v>
      </c>
      <c r="G201" s="22">
        <v>0</v>
      </c>
      <c r="H201" s="22">
        <v>0</v>
      </c>
      <c r="I201" s="22">
        <v>0</v>
      </c>
      <c r="J201" s="22">
        <v>0</v>
      </c>
      <c r="K201" s="22">
        <v>0.26665956993825846</v>
      </c>
      <c r="L201" s="21">
        <v>0</v>
      </c>
      <c r="M201" s="21">
        <v>0</v>
      </c>
      <c r="N201" s="21">
        <v>0</v>
      </c>
      <c r="O201" s="21">
        <v>0</v>
      </c>
      <c r="P201" s="21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W201" s="21">
        <v>0</v>
      </c>
      <c r="X201" s="21">
        <v>0</v>
      </c>
      <c r="Y201" s="21">
        <v>0</v>
      </c>
      <c r="Z201" s="21">
        <v>0</v>
      </c>
      <c r="AA201" s="21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1">
        <v>0</v>
      </c>
      <c r="AH201" s="21">
        <v>0</v>
      </c>
      <c r="AI201" s="21">
        <v>0</v>
      </c>
      <c r="AJ201" s="21">
        <v>0</v>
      </c>
      <c r="AK201" s="21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39"/>
    </row>
    <row r="202" spans="1:55" s="21" customFormat="1" ht="12.75" x14ac:dyDescent="0.2">
      <c r="A202" s="20" t="s">
        <v>48</v>
      </c>
      <c r="B202" s="21">
        <v>5147</v>
      </c>
      <c r="C202" s="21">
        <v>5070</v>
      </c>
      <c r="D202" s="21">
        <v>5121</v>
      </c>
      <c r="E202" s="21">
        <v>5054</v>
      </c>
      <c r="F202" s="21">
        <v>4931</v>
      </c>
      <c r="G202" s="22">
        <v>0.38646943985583421</v>
      </c>
      <c r="H202" s="22">
        <v>0.39042045279531801</v>
      </c>
      <c r="I202" s="22">
        <v>0.3910055737955257</v>
      </c>
      <c r="J202" s="22">
        <v>0.38357619914996965</v>
      </c>
      <c r="K202" s="22">
        <v>0.2624547583563977</v>
      </c>
      <c r="L202" s="21">
        <v>5147</v>
      </c>
      <c r="M202" s="21">
        <v>5070</v>
      </c>
      <c r="N202" s="21">
        <v>5121</v>
      </c>
      <c r="O202" s="21">
        <v>5054</v>
      </c>
      <c r="P202" s="21">
        <v>4694</v>
      </c>
      <c r="Q202" s="22">
        <v>1</v>
      </c>
      <c r="R202" s="22">
        <v>1</v>
      </c>
      <c r="S202" s="22">
        <v>1</v>
      </c>
      <c r="T202" s="22">
        <v>1</v>
      </c>
      <c r="U202" s="22">
        <v>0.95193672683025754</v>
      </c>
      <c r="W202" s="21">
        <v>0</v>
      </c>
      <c r="X202" s="21">
        <v>0</v>
      </c>
      <c r="Y202" s="21">
        <v>7360</v>
      </c>
      <c r="Z202" s="21">
        <v>7368</v>
      </c>
      <c r="AA202" s="21">
        <v>5070</v>
      </c>
      <c r="AB202" s="22">
        <v>0</v>
      </c>
      <c r="AC202" s="22">
        <v>0</v>
      </c>
      <c r="AD202" s="22">
        <v>0.54522557226461221</v>
      </c>
      <c r="AE202" s="22">
        <v>0.55352715798963259</v>
      </c>
      <c r="AF202" s="22">
        <v>0.39042045279531801</v>
      </c>
      <c r="AG202" s="21">
        <v>0</v>
      </c>
      <c r="AH202" s="21">
        <v>0</v>
      </c>
      <c r="AI202" s="21">
        <v>7360</v>
      </c>
      <c r="AJ202" s="21">
        <v>7368</v>
      </c>
      <c r="AK202" s="21">
        <v>5070</v>
      </c>
      <c r="AL202" s="22">
        <v>0</v>
      </c>
      <c r="AM202" s="22">
        <v>0</v>
      </c>
      <c r="AN202" s="22">
        <v>1</v>
      </c>
      <c r="AO202" s="22">
        <v>1</v>
      </c>
      <c r="AP202" s="22">
        <v>1</v>
      </c>
      <c r="AQ202" s="39"/>
    </row>
    <row r="203" spans="1:55" s="21" customFormat="1" ht="12.75" x14ac:dyDescent="0.2">
      <c r="A203" s="20" t="s">
        <v>24</v>
      </c>
      <c r="B203" s="21">
        <v>3980</v>
      </c>
      <c r="C203" s="21">
        <v>4029</v>
      </c>
      <c r="D203" s="21">
        <v>4173</v>
      </c>
      <c r="E203" s="21">
        <v>4245</v>
      </c>
      <c r="F203" s="21">
        <v>4268</v>
      </c>
      <c r="G203" s="22">
        <v>0.29884367022075387</v>
      </c>
      <c r="H203" s="22">
        <v>0.31025720006160479</v>
      </c>
      <c r="I203" s="22">
        <v>0.31862258532488358</v>
      </c>
      <c r="J203" s="22">
        <v>0.32217668488160289</v>
      </c>
      <c r="K203" s="22">
        <v>0.22716627634660422</v>
      </c>
      <c r="L203" s="21">
        <v>3980</v>
      </c>
      <c r="M203" s="21">
        <v>4029</v>
      </c>
      <c r="N203" s="21">
        <v>4173</v>
      </c>
      <c r="O203" s="21">
        <v>4245</v>
      </c>
      <c r="P203" s="21">
        <v>4218</v>
      </c>
      <c r="Q203" s="22">
        <v>1</v>
      </c>
      <c r="R203" s="22">
        <v>1</v>
      </c>
      <c r="S203" s="22">
        <v>1</v>
      </c>
      <c r="T203" s="22">
        <v>1</v>
      </c>
      <c r="U203" s="22">
        <v>0.98828491096532334</v>
      </c>
      <c r="W203" s="21">
        <v>0</v>
      </c>
      <c r="X203" s="21">
        <v>0</v>
      </c>
      <c r="Y203" s="21">
        <v>2387</v>
      </c>
      <c r="Z203" s="21">
        <v>2259</v>
      </c>
      <c r="AA203" s="21">
        <v>4029</v>
      </c>
      <c r="AB203" s="22">
        <v>0</v>
      </c>
      <c r="AC203" s="22">
        <v>0</v>
      </c>
      <c r="AD203" s="22">
        <v>0.17682791317875399</v>
      </c>
      <c r="AE203" s="22">
        <v>0.16970926301555106</v>
      </c>
      <c r="AF203" s="22">
        <v>0.31025720006160479</v>
      </c>
      <c r="AG203" s="21">
        <v>0</v>
      </c>
      <c r="AH203" s="21">
        <v>0</v>
      </c>
      <c r="AI203" s="21">
        <v>2387</v>
      </c>
      <c r="AJ203" s="21">
        <v>2259</v>
      </c>
      <c r="AK203" s="21">
        <v>4029</v>
      </c>
      <c r="AL203" s="22">
        <v>0</v>
      </c>
      <c r="AM203" s="22">
        <v>0</v>
      </c>
      <c r="AN203" s="22">
        <v>1</v>
      </c>
      <c r="AO203" s="22">
        <v>1</v>
      </c>
      <c r="AP203" s="22">
        <v>1</v>
      </c>
      <c r="AQ203" s="39"/>
    </row>
    <row r="204" spans="1:55" s="21" customFormat="1" ht="12.75" x14ac:dyDescent="0.2">
      <c r="A204" s="20" t="s">
        <v>81</v>
      </c>
      <c r="B204" s="21">
        <v>4191</v>
      </c>
      <c r="C204" s="21">
        <v>3887</v>
      </c>
      <c r="D204" s="21">
        <v>3803</v>
      </c>
      <c r="E204" s="21">
        <v>3877</v>
      </c>
      <c r="F204" s="21">
        <v>4579</v>
      </c>
      <c r="G204" s="22">
        <v>0.31468688992341193</v>
      </c>
      <c r="H204" s="22">
        <v>0.29932234714307715</v>
      </c>
      <c r="I204" s="22">
        <v>0.29037184087959073</v>
      </c>
      <c r="J204" s="22">
        <v>0.29424711596842745</v>
      </c>
      <c r="K204" s="22">
        <v>0.24371939535873963</v>
      </c>
      <c r="L204" s="21">
        <v>4191</v>
      </c>
      <c r="M204" s="21">
        <v>3887</v>
      </c>
      <c r="N204" s="21">
        <v>3803</v>
      </c>
      <c r="O204" s="21">
        <v>3877</v>
      </c>
      <c r="P204" s="21">
        <v>4489</v>
      </c>
      <c r="Q204" s="22">
        <v>1</v>
      </c>
      <c r="R204" s="22">
        <v>1</v>
      </c>
      <c r="S204" s="22">
        <v>1</v>
      </c>
      <c r="T204" s="22">
        <v>1</v>
      </c>
      <c r="U204" s="22">
        <v>0.98034505350513212</v>
      </c>
      <c r="W204" s="21">
        <v>0</v>
      </c>
      <c r="X204" s="21">
        <v>2</v>
      </c>
      <c r="Y204" s="21">
        <v>3752</v>
      </c>
      <c r="Z204" s="21">
        <v>3684</v>
      </c>
      <c r="AA204" s="21">
        <v>3887</v>
      </c>
      <c r="AB204" s="22">
        <v>0</v>
      </c>
      <c r="AC204" s="22">
        <v>1</v>
      </c>
      <c r="AD204" s="22">
        <v>0.27794651455663383</v>
      </c>
      <c r="AE204" s="22">
        <v>0.27676357899481629</v>
      </c>
      <c r="AF204" s="22">
        <v>0.29932234714307715</v>
      </c>
      <c r="AG204" s="21">
        <v>0</v>
      </c>
      <c r="AH204" s="21">
        <v>2</v>
      </c>
      <c r="AI204" s="21">
        <v>3752</v>
      </c>
      <c r="AJ204" s="21">
        <v>3684</v>
      </c>
      <c r="AK204" s="21">
        <v>3887</v>
      </c>
      <c r="AL204" s="22">
        <v>0</v>
      </c>
      <c r="AM204" s="22">
        <v>1</v>
      </c>
      <c r="AN204" s="22">
        <v>1</v>
      </c>
      <c r="AO204" s="22">
        <v>1</v>
      </c>
      <c r="AP204" s="22">
        <v>1</v>
      </c>
      <c r="AQ204" s="39"/>
    </row>
    <row r="205" spans="1:55" s="21" customFormat="1" ht="12.75" x14ac:dyDescent="0.2">
      <c r="A205" s="31" t="s">
        <v>82</v>
      </c>
      <c r="B205" s="23">
        <v>13318</v>
      </c>
      <c r="C205" s="23">
        <v>12986</v>
      </c>
      <c r="D205" s="23">
        <v>13097</v>
      </c>
      <c r="E205" s="23">
        <v>13176</v>
      </c>
      <c r="F205" s="23">
        <v>18788</v>
      </c>
      <c r="G205" s="24">
        <v>1</v>
      </c>
      <c r="H205" s="24">
        <v>1</v>
      </c>
      <c r="I205" s="24">
        <v>1</v>
      </c>
      <c r="J205" s="24">
        <v>1</v>
      </c>
      <c r="K205" s="24">
        <v>1</v>
      </c>
      <c r="L205" s="23">
        <v>13318</v>
      </c>
      <c r="M205" s="23">
        <v>12986</v>
      </c>
      <c r="N205" s="23">
        <v>13097</v>
      </c>
      <c r="O205" s="23">
        <v>13176</v>
      </c>
      <c r="P205" s="23">
        <v>13401</v>
      </c>
      <c r="Q205" s="24">
        <v>1</v>
      </c>
      <c r="R205" s="24">
        <v>1</v>
      </c>
      <c r="S205" s="24">
        <v>1</v>
      </c>
      <c r="T205" s="24">
        <v>1</v>
      </c>
      <c r="U205" s="24">
        <v>0.71327443048754524</v>
      </c>
      <c r="V205" s="23"/>
      <c r="W205" s="23">
        <v>0</v>
      </c>
      <c r="X205" s="23">
        <v>2</v>
      </c>
      <c r="Y205" s="23">
        <v>13499</v>
      </c>
      <c r="Z205" s="23">
        <v>13311</v>
      </c>
      <c r="AA205" s="23">
        <v>12986</v>
      </c>
      <c r="AB205" s="24">
        <v>0</v>
      </c>
      <c r="AC205" s="24">
        <v>1</v>
      </c>
      <c r="AD205" s="24">
        <v>1</v>
      </c>
      <c r="AE205" s="24">
        <v>1</v>
      </c>
      <c r="AF205" s="24">
        <v>1</v>
      </c>
      <c r="AG205" s="23">
        <v>0</v>
      </c>
      <c r="AH205" s="23">
        <v>2</v>
      </c>
      <c r="AI205" s="23">
        <v>13499</v>
      </c>
      <c r="AJ205" s="23">
        <v>13311</v>
      </c>
      <c r="AK205" s="23">
        <v>12986</v>
      </c>
      <c r="AL205" s="24">
        <v>0</v>
      </c>
      <c r="AM205" s="24">
        <v>1</v>
      </c>
      <c r="AN205" s="24">
        <v>1</v>
      </c>
      <c r="AO205" s="24">
        <v>1</v>
      </c>
      <c r="AP205" s="24">
        <v>1</v>
      </c>
      <c r="AQ205" s="39"/>
    </row>
    <row r="206" spans="1:55" s="21" customFormat="1" ht="12.75" x14ac:dyDescent="0.2">
      <c r="A206" s="20"/>
      <c r="AB206" s="22"/>
      <c r="AC206" s="22"/>
      <c r="AD206" s="22"/>
      <c r="AE206" s="22"/>
      <c r="AF206" s="22"/>
      <c r="AL206" s="22"/>
      <c r="AM206" s="22"/>
      <c r="AN206" s="22"/>
      <c r="AO206" s="22"/>
      <c r="AP206" s="22"/>
      <c r="AQ206" s="39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</row>
    <row r="207" spans="1:55" s="23" customFormat="1" ht="12.75" x14ac:dyDescent="0.2">
      <c r="A207" s="10" t="s">
        <v>75</v>
      </c>
      <c r="B207" s="10" t="s">
        <v>12</v>
      </c>
      <c r="C207" s="10" t="s">
        <v>13</v>
      </c>
      <c r="D207" s="10" t="s">
        <v>14</v>
      </c>
      <c r="E207" s="10" t="s">
        <v>15</v>
      </c>
      <c r="F207" s="10" t="s">
        <v>16</v>
      </c>
      <c r="G207" s="10" t="s">
        <v>12</v>
      </c>
      <c r="H207" s="10" t="s">
        <v>13</v>
      </c>
      <c r="I207" s="10" t="s">
        <v>14</v>
      </c>
      <c r="J207" s="10" t="s">
        <v>15</v>
      </c>
      <c r="K207" s="10" t="s">
        <v>16</v>
      </c>
      <c r="L207" s="10" t="s">
        <v>12</v>
      </c>
      <c r="M207" s="10" t="s">
        <v>13</v>
      </c>
      <c r="N207" s="10" t="s">
        <v>14</v>
      </c>
      <c r="O207" s="10" t="s">
        <v>15</v>
      </c>
      <c r="P207" s="10" t="s">
        <v>16</v>
      </c>
      <c r="Q207" s="10" t="s">
        <v>12</v>
      </c>
      <c r="R207" s="10" t="s">
        <v>13</v>
      </c>
      <c r="S207" s="10" t="s">
        <v>14</v>
      </c>
      <c r="T207" s="10" t="s">
        <v>15</v>
      </c>
      <c r="U207" s="10" t="s">
        <v>16</v>
      </c>
      <c r="V207" s="10"/>
      <c r="W207" s="10" t="s">
        <v>17</v>
      </c>
      <c r="X207" s="10" t="s">
        <v>18</v>
      </c>
      <c r="Y207" s="10" t="s">
        <v>19</v>
      </c>
      <c r="Z207" s="10" t="s">
        <v>20</v>
      </c>
      <c r="AA207" s="10" t="s">
        <v>21</v>
      </c>
      <c r="AB207" s="10" t="s">
        <v>17</v>
      </c>
      <c r="AC207" s="10" t="s">
        <v>18</v>
      </c>
      <c r="AD207" s="10" t="s">
        <v>19</v>
      </c>
      <c r="AE207" s="10" t="s">
        <v>20</v>
      </c>
      <c r="AF207" s="10" t="s">
        <v>21</v>
      </c>
      <c r="AG207" s="10" t="s">
        <v>17</v>
      </c>
      <c r="AH207" s="10" t="s">
        <v>18</v>
      </c>
      <c r="AI207" s="10" t="s">
        <v>19</v>
      </c>
      <c r="AJ207" s="10" t="s">
        <v>20</v>
      </c>
      <c r="AK207" s="10" t="s">
        <v>21</v>
      </c>
      <c r="AL207" s="10" t="s">
        <v>17</v>
      </c>
      <c r="AM207" s="10" t="s">
        <v>18</v>
      </c>
      <c r="AN207" s="10" t="s">
        <v>19</v>
      </c>
      <c r="AO207" s="10" t="s">
        <v>20</v>
      </c>
      <c r="AP207" s="10" t="s">
        <v>21</v>
      </c>
      <c r="AQ207" s="39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</row>
    <row r="208" spans="1:55" s="21" customFormat="1" ht="12.75" x14ac:dyDescent="0.2">
      <c r="A208" s="20" t="s">
        <v>24</v>
      </c>
      <c r="B208" s="21">
        <v>1440</v>
      </c>
      <c r="C208" s="21">
        <v>1414</v>
      </c>
      <c r="D208" s="21">
        <v>1482</v>
      </c>
      <c r="E208" s="21">
        <v>1489</v>
      </c>
      <c r="F208" s="21">
        <v>1519</v>
      </c>
      <c r="G208" s="22">
        <v>0.27108433734939757</v>
      </c>
      <c r="H208" s="22">
        <v>0.28704831506293138</v>
      </c>
      <c r="I208" s="22">
        <v>0.26393588601959039</v>
      </c>
      <c r="J208" s="22">
        <v>0.23710191082802548</v>
      </c>
      <c r="K208" s="22">
        <v>0.14254879879879881</v>
      </c>
      <c r="L208" s="21">
        <v>1440</v>
      </c>
      <c r="M208" s="21">
        <v>1414</v>
      </c>
      <c r="N208" s="21">
        <v>1482</v>
      </c>
      <c r="O208" s="21">
        <v>1489</v>
      </c>
      <c r="P208" s="21">
        <v>1507</v>
      </c>
      <c r="Q208" s="22">
        <v>1</v>
      </c>
      <c r="R208" s="22">
        <v>1</v>
      </c>
      <c r="S208" s="22">
        <v>1</v>
      </c>
      <c r="T208" s="22">
        <v>1</v>
      </c>
      <c r="U208" s="22">
        <v>0.99210006583278476</v>
      </c>
      <c r="W208" s="21">
        <v>3372</v>
      </c>
      <c r="X208" s="21">
        <v>2526</v>
      </c>
      <c r="Y208" s="21">
        <v>2192</v>
      </c>
      <c r="Z208" s="21">
        <v>1418</v>
      </c>
      <c r="AA208" s="21">
        <v>1414</v>
      </c>
      <c r="AB208" s="22">
        <v>0.37329790767186982</v>
      </c>
      <c r="AC208" s="22">
        <v>0.3387421214965804</v>
      </c>
      <c r="AD208" s="22">
        <v>0.43883883883883884</v>
      </c>
      <c r="AE208" s="22">
        <v>0.25679101774719304</v>
      </c>
      <c r="AF208" s="22">
        <v>0.28704831506293138</v>
      </c>
      <c r="AG208" s="21">
        <v>3372</v>
      </c>
      <c r="AH208" s="21">
        <v>2526</v>
      </c>
      <c r="AI208" s="21">
        <v>2192</v>
      </c>
      <c r="AJ208" s="21">
        <v>1418</v>
      </c>
      <c r="AK208" s="21">
        <v>1414</v>
      </c>
      <c r="AL208" s="22">
        <v>1</v>
      </c>
      <c r="AM208" s="22">
        <v>1</v>
      </c>
      <c r="AN208" s="22">
        <v>1</v>
      </c>
      <c r="AO208" s="22">
        <v>1</v>
      </c>
      <c r="AP208" s="22">
        <v>1</v>
      </c>
      <c r="AQ208" s="39"/>
    </row>
    <row r="209" spans="1:55" s="21" customFormat="1" ht="12.75" x14ac:dyDescent="0.2">
      <c r="A209" s="20" t="s">
        <v>48</v>
      </c>
      <c r="B209" s="21">
        <v>1836</v>
      </c>
      <c r="C209" s="21">
        <v>1863</v>
      </c>
      <c r="D209" s="21">
        <v>1871</v>
      </c>
      <c r="E209" s="21">
        <v>1864</v>
      </c>
      <c r="F209" s="21">
        <v>1744</v>
      </c>
      <c r="G209" s="22">
        <v>0.34563253012048195</v>
      </c>
      <c r="H209" s="22">
        <v>0.37819732034104753</v>
      </c>
      <c r="I209" s="22">
        <v>0.33321460373998218</v>
      </c>
      <c r="J209" s="22">
        <v>0.29681528662420381</v>
      </c>
      <c r="K209" s="22">
        <v>0.16366366366366367</v>
      </c>
      <c r="L209" s="21">
        <v>1836</v>
      </c>
      <c r="M209" s="21">
        <v>1863</v>
      </c>
      <c r="N209" s="21">
        <v>1871</v>
      </c>
      <c r="O209" s="21">
        <v>1864</v>
      </c>
      <c r="P209" s="21">
        <v>1743</v>
      </c>
      <c r="Q209" s="22">
        <v>1</v>
      </c>
      <c r="R209" s="22">
        <v>1</v>
      </c>
      <c r="S209" s="22">
        <v>1</v>
      </c>
      <c r="T209" s="22">
        <v>1</v>
      </c>
      <c r="U209" s="22">
        <v>0.99942660550458717</v>
      </c>
      <c r="W209" s="21">
        <v>1005</v>
      </c>
      <c r="X209" s="21">
        <v>819</v>
      </c>
      <c r="Y209" s="21">
        <v>1369</v>
      </c>
      <c r="Z209" s="21">
        <v>1883</v>
      </c>
      <c r="AA209" s="21">
        <v>1863</v>
      </c>
      <c r="AB209" s="22">
        <v>0.11125871803387578</v>
      </c>
      <c r="AC209" s="22">
        <v>0.10982969022395066</v>
      </c>
      <c r="AD209" s="22">
        <v>0.27407407407407408</v>
      </c>
      <c r="AE209" s="22">
        <v>0.34099963781238679</v>
      </c>
      <c r="AF209" s="22">
        <v>0.37819732034104753</v>
      </c>
      <c r="AG209" s="21">
        <v>1005</v>
      </c>
      <c r="AH209" s="21">
        <v>819</v>
      </c>
      <c r="AI209" s="21">
        <v>1369</v>
      </c>
      <c r="AJ209" s="21">
        <v>1883</v>
      </c>
      <c r="AK209" s="21">
        <v>1863</v>
      </c>
      <c r="AL209" s="22">
        <v>1</v>
      </c>
      <c r="AM209" s="22">
        <v>1</v>
      </c>
      <c r="AN209" s="22">
        <v>1</v>
      </c>
      <c r="AO209" s="22">
        <v>1</v>
      </c>
      <c r="AP209" s="22">
        <v>1</v>
      </c>
      <c r="AQ209" s="39"/>
    </row>
    <row r="210" spans="1:55" s="21" customFormat="1" ht="12.75" x14ac:dyDescent="0.2">
      <c r="A210" s="20" t="s">
        <v>60</v>
      </c>
      <c r="B210" s="21">
        <v>290</v>
      </c>
      <c r="C210" s="21">
        <v>292</v>
      </c>
      <c r="D210" s="21">
        <v>293</v>
      </c>
      <c r="E210" s="21">
        <v>322</v>
      </c>
      <c r="F210" s="21">
        <v>191</v>
      </c>
      <c r="G210" s="22">
        <v>5.4593373493975902E-2</v>
      </c>
      <c r="H210" s="22">
        <v>5.9277304100690216E-2</v>
      </c>
      <c r="I210" s="22">
        <v>5.2181656277827247E-2</v>
      </c>
      <c r="J210" s="22">
        <v>5.1273885350318474E-2</v>
      </c>
      <c r="K210" s="22">
        <v>1.7924174174174173E-2</v>
      </c>
      <c r="L210" s="21">
        <v>290</v>
      </c>
      <c r="M210" s="21">
        <v>292</v>
      </c>
      <c r="N210" s="21">
        <v>293</v>
      </c>
      <c r="O210" s="21">
        <v>322</v>
      </c>
      <c r="P210" s="21">
        <v>191</v>
      </c>
      <c r="Q210" s="22">
        <v>1</v>
      </c>
      <c r="R210" s="22">
        <v>1</v>
      </c>
      <c r="S210" s="22">
        <v>1</v>
      </c>
      <c r="T210" s="22">
        <v>1</v>
      </c>
      <c r="U210" s="22">
        <v>1</v>
      </c>
      <c r="W210" s="21">
        <v>100</v>
      </c>
      <c r="X210" s="21">
        <v>107</v>
      </c>
      <c r="Y210" s="21">
        <v>74</v>
      </c>
      <c r="Z210" s="21">
        <v>168</v>
      </c>
      <c r="AA210" s="21">
        <v>292</v>
      </c>
      <c r="AB210" s="22">
        <v>1.1070519207350825E-2</v>
      </c>
      <c r="AC210" s="22">
        <v>1.4348933887622367E-2</v>
      </c>
      <c r="AD210" s="22">
        <v>1.4814814814814815E-2</v>
      </c>
      <c r="AE210" s="22">
        <v>3.0423759507424847E-2</v>
      </c>
      <c r="AF210" s="22">
        <v>5.9277304100690216E-2</v>
      </c>
      <c r="AG210" s="21">
        <v>100</v>
      </c>
      <c r="AH210" s="21">
        <v>107</v>
      </c>
      <c r="AI210" s="21">
        <v>74</v>
      </c>
      <c r="AJ210" s="21">
        <v>168</v>
      </c>
      <c r="AK210" s="21">
        <v>292</v>
      </c>
      <c r="AL210" s="22">
        <v>1</v>
      </c>
      <c r="AM210" s="22">
        <v>1</v>
      </c>
      <c r="AN210" s="22">
        <v>1</v>
      </c>
      <c r="AO210" s="22">
        <v>1</v>
      </c>
      <c r="AP210" s="22">
        <v>1</v>
      </c>
      <c r="AQ210" s="39"/>
    </row>
    <row r="211" spans="1:55" s="21" customFormat="1" ht="12.75" x14ac:dyDescent="0.2">
      <c r="A211" s="20" t="s">
        <v>81</v>
      </c>
      <c r="B211" s="21">
        <v>1746</v>
      </c>
      <c r="C211" s="21">
        <v>1357</v>
      </c>
      <c r="D211" s="21">
        <v>1969</v>
      </c>
      <c r="E211" s="21">
        <v>2605</v>
      </c>
      <c r="F211" s="21">
        <v>7202</v>
      </c>
      <c r="G211" s="22">
        <v>0.32868975903614456</v>
      </c>
      <c r="H211" s="22">
        <v>0.27547706049533088</v>
      </c>
      <c r="I211" s="22">
        <v>0.3506678539626002</v>
      </c>
      <c r="J211" s="22">
        <v>0.41480891719745222</v>
      </c>
      <c r="K211" s="22">
        <v>0.67586336336336339</v>
      </c>
      <c r="L211" s="21">
        <v>1746</v>
      </c>
      <c r="M211" s="21">
        <v>1357</v>
      </c>
      <c r="N211" s="21">
        <v>1969</v>
      </c>
      <c r="O211" s="21">
        <v>2605</v>
      </c>
      <c r="P211" s="21">
        <v>7194</v>
      </c>
      <c r="Q211" s="22">
        <v>1</v>
      </c>
      <c r="R211" s="22">
        <v>1</v>
      </c>
      <c r="S211" s="22">
        <v>1</v>
      </c>
      <c r="T211" s="22">
        <v>1</v>
      </c>
      <c r="U211" s="22">
        <v>0.99888919744515414</v>
      </c>
      <c r="W211" s="21">
        <v>4556</v>
      </c>
      <c r="X211" s="21">
        <v>4005</v>
      </c>
      <c r="Y211" s="21">
        <v>1360</v>
      </c>
      <c r="Z211" s="21">
        <v>2053</v>
      </c>
      <c r="AA211" s="21">
        <v>1357</v>
      </c>
      <c r="AB211" s="22">
        <v>0.50437285508690355</v>
      </c>
      <c r="AC211" s="22">
        <v>0.53707925439184656</v>
      </c>
      <c r="AD211" s="22">
        <v>0.2722722722722723</v>
      </c>
      <c r="AE211" s="22">
        <v>0.37178558493299529</v>
      </c>
      <c r="AF211" s="22">
        <v>0.27547706049533088</v>
      </c>
      <c r="AG211" s="21">
        <v>4556</v>
      </c>
      <c r="AH211" s="21">
        <v>4005</v>
      </c>
      <c r="AI211" s="21">
        <v>1360</v>
      </c>
      <c r="AJ211" s="21">
        <v>2053</v>
      </c>
      <c r="AK211" s="21">
        <v>1357</v>
      </c>
      <c r="AL211" s="22">
        <v>1</v>
      </c>
      <c r="AM211" s="22">
        <v>1</v>
      </c>
      <c r="AN211" s="22">
        <v>1</v>
      </c>
      <c r="AO211" s="22">
        <v>1</v>
      </c>
      <c r="AP211" s="22">
        <v>1</v>
      </c>
      <c r="AQ211" s="39"/>
    </row>
    <row r="212" spans="1:55" s="21" customFormat="1" ht="12.75" x14ac:dyDescent="0.2">
      <c r="A212" s="31" t="s">
        <v>82</v>
      </c>
      <c r="B212" s="23">
        <v>5312</v>
      </c>
      <c r="C212" s="23">
        <v>4926</v>
      </c>
      <c r="D212" s="23">
        <v>5615</v>
      </c>
      <c r="E212" s="23">
        <v>6280</v>
      </c>
      <c r="F212" s="23">
        <v>10656</v>
      </c>
      <c r="G212" s="24">
        <v>1</v>
      </c>
      <c r="H212" s="24">
        <v>1</v>
      </c>
      <c r="I212" s="24">
        <v>1</v>
      </c>
      <c r="J212" s="24">
        <v>1</v>
      </c>
      <c r="K212" s="24">
        <v>1</v>
      </c>
      <c r="L212" s="23">
        <v>5312</v>
      </c>
      <c r="M212" s="23">
        <v>4926</v>
      </c>
      <c r="N212" s="23">
        <v>5615</v>
      </c>
      <c r="O212" s="23">
        <v>6280</v>
      </c>
      <c r="P212" s="23">
        <v>10635</v>
      </c>
      <c r="Q212" s="24">
        <v>1</v>
      </c>
      <c r="R212" s="24">
        <v>1</v>
      </c>
      <c r="S212" s="24">
        <v>1</v>
      </c>
      <c r="T212" s="24">
        <v>1</v>
      </c>
      <c r="U212" s="24">
        <v>0.99802927927927931</v>
      </c>
      <c r="V212" s="23"/>
      <c r="W212" s="23">
        <v>9033</v>
      </c>
      <c r="X212" s="23">
        <v>7457</v>
      </c>
      <c r="Y212" s="23">
        <v>4995</v>
      </c>
      <c r="Z212" s="23">
        <v>5522</v>
      </c>
      <c r="AA212" s="23">
        <v>4926</v>
      </c>
      <c r="AB212" s="24">
        <v>1</v>
      </c>
      <c r="AC212" s="24">
        <v>1</v>
      </c>
      <c r="AD212" s="24">
        <v>1</v>
      </c>
      <c r="AE212" s="24">
        <v>1</v>
      </c>
      <c r="AF212" s="24">
        <v>1</v>
      </c>
      <c r="AG212" s="23">
        <v>9033</v>
      </c>
      <c r="AH212" s="23">
        <v>7457</v>
      </c>
      <c r="AI212" s="23">
        <v>4995</v>
      </c>
      <c r="AJ212" s="23">
        <v>5522</v>
      </c>
      <c r="AK212" s="23">
        <v>4926</v>
      </c>
      <c r="AL212" s="24">
        <v>1</v>
      </c>
      <c r="AM212" s="24">
        <v>1</v>
      </c>
      <c r="AN212" s="24">
        <v>1</v>
      </c>
      <c r="AO212" s="24">
        <v>1</v>
      </c>
      <c r="AP212" s="24">
        <v>1</v>
      </c>
      <c r="AQ212" s="39"/>
    </row>
    <row r="213" spans="1:55" s="21" customFormat="1" ht="12.75" x14ac:dyDescent="0.2">
      <c r="A213" s="20"/>
      <c r="AB213" s="22"/>
      <c r="AC213" s="22"/>
      <c r="AD213" s="22"/>
      <c r="AE213" s="22"/>
      <c r="AF213" s="22"/>
      <c r="AL213" s="22"/>
      <c r="AM213" s="22"/>
      <c r="AN213" s="22"/>
      <c r="AO213" s="22"/>
      <c r="AP213" s="22"/>
      <c r="AQ213" s="39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</row>
    <row r="214" spans="1:55" s="23" customFormat="1" ht="12.75" x14ac:dyDescent="0.2">
      <c r="A214" s="10" t="s">
        <v>77</v>
      </c>
      <c r="B214" s="10" t="s">
        <v>12</v>
      </c>
      <c r="C214" s="10" t="s">
        <v>13</v>
      </c>
      <c r="D214" s="10" t="s">
        <v>14</v>
      </c>
      <c r="E214" s="10" t="s">
        <v>15</v>
      </c>
      <c r="F214" s="10" t="s">
        <v>16</v>
      </c>
      <c r="G214" s="10" t="s">
        <v>12</v>
      </c>
      <c r="H214" s="10" t="s">
        <v>13</v>
      </c>
      <c r="I214" s="10" t="s">
        <v>14</v>
      </c>
      <c r="J214" s="10" t="s">
        <v>15</v>
      </c>
      <c r="K214" s="10" t="s">
        <v>16</v>
      </c>
      <c r="L214" s="10" t="s">
        <v>12</v>
      </c>
      <c r="M214" s="10" t="s">
        <v>13</v>
      </c>
      <c r="N214" s="10" t="s">
        <v>14</v>
      </c>
      <c r="O214" s="10" t="s">
        <v>15</v>
      </c>
      <c r="P214" s="10" t="s">
        <v>16</v>
      </c>
      <c r="Q214" s="10" t="s">
        <v>12</v>
      </c>
      <c r="R214" s="10" t="s">
        <v>13</v>
      </c>
      <c r="S214" s="10" t="s">
        <v>14</v>
      </c>
      <c r="T214" s="10" t="s">
        <v>15</v>
      </c>
      <c r="U214" s="10" t="s">
        <v>16</v>
      </c>
      <c r="V214" s="10"/>
      <c r="W214" s="10" t="s">
        <v>17</v>
      </c>
      <c r="X214" s="10" t="s">
        <v>18</v>
      </c>
      <c r="Y214" s="10" t="s">
        <v>19</v>
      </c>
      <c r="Z214" s="10" t="s">
        <v>20</v>
      </c>
      <c r="AA214" s="10" t="s">
        <v>21</v>
      </c>
      <c r="AB214" s="10" t="s">
        <v>17</v>
      </c>
      <c r="AC214" s="10" t="s">
        <v>18</v>
      </c>
      <c r="AD214" s="10" t="s">
        <v>19</v>
      </c>
      <c r="AE214" s="10" t="s">
        <v>20</v>
      </c>
      <c r="AF214" s="10" t="s">
        <v>21</v>
      </c>
      <c r="AG214" s="10" t="s">
        <v>17</v>
      </c>
      <c r="AH214" s="10" t="s">
        <v>18</v>
      </c>
      <c r="AI214" s="10" t="s">
        <v>19</v>
      </c>
      <c r="AJ214" s="10" t="s">
        <v>20</v>
      </c>
      <c r="AK214" s="10" t="s">
        <v>21</v>
      </c>
      <c r="AL214" s="10" t="s">
        <v>17</v>
      </c>
      <c r="AM214" s="10" t="s">
        <v>18</v>
      </c>
      <c r="AN214" s="10" t="s">
        <v>19</v>
      </c>
      <c r="AO214" s="10" t="s">
        <v>20</v>
      </c>
      <c r="AP214" s="10" t="s">
        <v>21</v>
      </c>
      <c r="AQ214" s="39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</row>
    <row r="215" spans="1:55" x14ac:dyDescent="0.25">
      <c r="A215" s="20" t="s">
        <v>27</v>
      </c>
      <c r="B215" s="21">
        <v>1969</v>
      </c>
      <c r="C215" s="21">
        <v>2046</v>
      </c>
      <c r="D215" s="21">
        <v>2059</v>
      </c>
      <c r="E215" s="21">
        <v>2061</v>
      </c>
      <c r="F215" s="21">
        <v>2111</v>
      </c>
      <c r="G215" s="22">
        <v>0.88454627133872421</v>
      </c>
      <c r="H215" s="22">
        <v>0.88956521739130434</v>
      </c>
      <c r="I215" s="22">
        <v>0.89057093425605538</v>
      </c>
      <c r="J215" s="22">
        <v>0.88989637305699487</v>
      </c>
      <c r="K215" s="22">
        <v>0.88623005877413941</v>
      </c>
      <c r="L215" s="21">
        <v>1969</v>
      </c>
      <c r="M215" s="21">
        <v>2046</v>
      </c>
      <c r="N215" s="21">
        <v>2059</v>
      </c>
      <c r="O215" s="21">
        <v>2061</v>
      </c>
      <c r="P215" s="21">
        <v>1994</v>
      </c>
      <c r="Q215" s="22">
        <v>1</v>
      </c>
      <c r="R215" s="22">
        <v>1</v>
      </c>
      <c r="S215" s="22">
        <v>1</v>
      </c>
      <c r="T215" s="22">
        <v>1</v>
      </c>
      <c r="U215" s="22">
        <v>0.94457603031738513</v>
      </c>
      <c r="V215" s="21"/>
      <c r="W215" s="21">
        <v>2036</v>
      </c>
      <c r="X215" s="21">
        <v>1761</v>
      </c>
      <c r="Y215" s="21">
        <v>1753</v>
      </c>
      <c r="Z215" s="21">
        <v>1829</v>
      </c>
      <c r="AA215" s="21">
        <v>2046</v>
      </c>
      <c r="AB215" s="22">
        <v>0.90248226950354615</v>
      </c>
      <c r="AC215" s="22">
        <v>0.86450662739322537</v>
      </c>
      <c r="AD215" s="22">
        <v>0.85637518319491934</v>
      </c>
      <c r="AE215" s="22">
        <v>0.8570759137769447</v>
      </c>
      <c r="AF215" s="22">
        <v>0.88956521739130434</v>
      </c>
      <c r="AG215" s="21">
        <v>2036</v>
      </c>
      <c r="AH215" s="21">
        <v>1761</v>
      </c>
      <c r="AI215" s="21">
        <v>1753</v>
      </c>
      <c r="AJ215" s="21">
        <v>1829</v>
      </c>
      <c r="AK215" s="21">
        <v>2046</v>
      </c>
      <c r="AL215" s="22">
        <v>1</v>
      </c>
      <c r="AM215" s="22">
        <v>1</v>
      </c>
      <c r="AN215" s="22">
        <v>1</v>
      </c>
      <c r="AO215" s="22">
        <v>1</v>
      </c>
      <c r="AP215" s="22">
        <v>1</v>
      </c>
    </row>
    <row r="216" spans="1:55" x14ac:dyDescent="0.25">
      <c r="A216" s="20" t="s">
        <v>81</v>
      </c>
      <c r="B216" s="21">
        <v>257</v>
      </c>
      <c r="C216" s="21">
        <v>254</v>
      </c>
      <c r="D216" s="21">
        <v>253</v>
      </c>
      <c r="E216" s="21">
        <v>255</v>
      </c>
      <c r="F216" s="21">
        <v>271</v>
      </c>
      <c r="G216" s="22">
        <v>0.11545372866127583</v>
      </c>
      <c r="H216" s="22">
        <v>0.11043478260869566</v>
      </c>
      <c r="I216" s="22">
        <v>0.10942906574394463</v>
      </c>
      <c r="J216" s="22">
        <v>0.11010362694300518</v>
      </c>
      <c r="K216" s="22">
        <v>0.11376994122586062</v>
      </c>
      <c r="L216" s="21">
        <v>257</v>
      </c>
      <c r="M216" s="21">
        <v>254</v>
      </c>
      <c r="N216" s="21">
        <v>253</v>
      </c>
      <c r="O216" s="21">
        <v>255</v>
      </c>
      <c r="P216" s="21">
        <v>270</v>
      </c>
      <c r="Q216" s="22">
        <v>1</v>
      </c>
      <c r="R216" s="22">
        <v>1</v>
      </c>
      <c r="S216" s="22">
        <v>1</v>
      </c>
      <c r="T216" s="22">
        <v>1</v>
      </c>
      <c r="U216" s="22">
        <v>0.99630996309963105</v>
      </c>
      <c r="V216" s="21"/>
      <c r="W216" s="21">
        <v>220</v>
      </c>
      <c r="X216" s="21">
        <v>276</v>
      </c>
      <c r="Y216" s="21">
        <v>294</v>
      </c>
      <c r="Z216" s="21">
        <v>305</v>
      </c>
      <c r="AA216" s="21">
        <v>254</v>
      </c>
      <c r="AB216" s="22">
        <v>9.7517730496453903E-2</v>
      </c>
      <c r="AC216" s="22">
        <v>0.13549337260677466</v>
      </c>
      <c r="AD216" s="22">
        <v>0.1436248168050806</v>
      </c>
      <c r="AE216" s="22">
        <v>0.1429240862230553</v>
      </c>
      <c r="AF216" s="22">
        <v>0.11043478260869566</v>
      </c>
      <c r="AG216" s="21">
        <v>220</v>
      </c>
      <c r="AH216" s="21">
        <v>276</v>
      </c>
      <c r="AI216" s="21">
        <v>294</v>
      </c>
      <c r="AJ216" s="21">
        <v>305</v>
      </c>
      <c r="AK216" s="21">
        <v>254</v>
      </c>
      <c r="AL216" s="22">
        <v>1</v>
      </c>
      <c r="AM216" s="22">
        <v>1</v>
      </c>
      <c r="AN216" s="22">
        <v>1</v>
      </c>
      <c r="AO216" s="22">
        <v>1</v>
      </c>
      <c r="AP216" s="22">
        <v>1</v>
      </c>
    </row>
    <row r="217" spans="1:55" x14ac:dyDescent="0.25">
      <c r="A217" s="31" t="s">
        <v>82</v>
      </c>
      <c r="B217" s="23">
        <v>2226</v>
      </c>
      <c r="C217" s="23">
        <v>2300</v>
      </c>
      <c r="D217" s="23">
        <v>2312</v>
      </c>
      <c r="E217" s="23">
        <v>2316</v>
      </c>
      <c r="F217" s="23">
        <v>2382</v>
      </c>
      <c r="G217" s="24">
        <v>1</v>
      </c>
      <c r="H217" s="24">
        <v>1</v>
      </c>
      <c r="I217" s="24">
        <v>1</v>
      </c>
      <c r="J217" s="24">
        <v>1</v>
      </c>
      <c r="K217" s="24">
        <v>1</v>
      </c>
      <c r="L217" s="23">
        <v>2226</v>
      </c>
      <c r="M217" s="23">
        <v>2300</v>
      </c>
      <c r="N217" s="23">
        <v>2312</v>
      </c>
      <c r="O217" s="23">
        <v>2316</v>
      </c>
      <c r="P217" s="23">
        <v>2264</v>
      </c>
      <c r="Q217" s="24">
        <v>1</v>
      </c>
      <c r="R217" s="24">
        <v>1</v>
      </c>
      <c r="S217" s="24">
        <v>1</v>
      </c>
      <c r="T217" s="24">
        <v>1</v>
      </c>
      <c r="U217" s="24">
        <v>0.9504617968094039</v>
      </c>
      <c r="V217" s="23"/>
      <c r="W217" s="23">
        <v>2256</v>
      </c>
      <c r="X217" s="23">
        <v>2037</v>
      </c>
      <c r="Y217" s="23">
        <v>2047</v>
      </c>
      <c r="Z217" s="23">
        <v>2134</v>
      </c>
      <c r="AA217" s="23">
        <v>2300</v>
      </c>
      <c r="AB217" s="24">
        <v>1</v>
      </c>
      <c r="AC217" s="24">
        <v>1</v>
      </c>
      <c r="AD217" s="24">
        <v>1</v>
      </c>
      <c r="AE217" s="24">
        <v>1</v>
      </c>
      <c r="AF217" s="24">
        <v>1</v>
      </c>
      <c r="AG217" s="23">
        <v>2256</v>
      </c>
      <c r="AH217" s="23">
        <v>2037</v>
      </c>
      <c r="AI217" s="23">
        <v>2047</v>
      </c>
      <c r="AJ217" s="23">
        <v>2134</v>
      </c>
      <c r="AK217" s="23">
        <v>2300</v>
      </c>
      <c r="AL217" s="24">
        <v>1</v>
      </c>
      <c r="AM217" s="24">
        <v>1</v>
      </c>
      <c r="AN217" s="24">
        <v>1</v>
      </c>
      <c r="AO217" s="24">
        <v>1</v>
      </c>
      <c r="AP217" s="24">
        <v>1</v>
      </c>
    </row>
    <row r="218" spans="1:55" x14ac:dyDescent="0.25">
      <c r="A218" s="20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2"/>
      <c r="AC218" s="22"/>
      <c r="AD218" s="22"/>
      <c r="AE218" s="22"/>
      <c r="AF218" s="22"/>
      <c r="AG218" s="21"/>
      <c r="AH218" s="21"/>
      <c r="AI218" s="21"/>
      <c r="AJ218" s="21"/>
      <c r="AK218" s="21"/>
      <c r="AL218" s="22"/>
      <c r="AM218" s="22"/>
      <c r="AN218" s="22"/>
      <c r="AO218" s="22"/>
      <c r="AP218" s="22"/>
    </row>
    <row r="219" spans="1:55" x14ac:dyDescent="0.25">
      <c r="A219" s="20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2"/>
      <c r="AC219" s="22"/>
      <c r="AD219" s="22"/>
      <c r="AE219" s="22"/>
      <c r="AF219" s="22"/>
      <c r="AG219" s="21"/>
      <c r="AH219" s="21"/>
      <c r="AI219" s="21"/>
      <c r="AJ219" s="21"/>
      <c r="AK219" s="21"/>
      <c r="AL219" s="22"/>
      <c r="AM219" s="22"/>
      <c r="AN219" s="22"/>
      <c r="AO219" s="22"/>
      <c r="AP219" s="22"/>
    </row>
  </sheetData>
  <mergeCells count="8">
    <mergeCell ref="AG6:AK6"/>
    <mergeCell ref="AL6:AP6"/>
    <mergeCell ref="B6:F6"/>
    <mergeCell ref="G6:K6"/>
    <mergeCell ref="L6:P6"/>
    <mergeCell ref="Q6:U6"/>
    <mergeCell ref="W6:AA6"/>
    <mergeCell ref="AB6:AF6"/>
  </mergeCells>
  <conditionalFormatting sqref="A7">
    <cfRule type="duplicateValues" dxfId="12" priority="1"/>
  </conditionalFormatting>
  <dataValidations count="1">
    <dataValidation type="list" allowBlank="1" showInputMessage="1" showErrorMessage="1" sqref="A180:A182 A187:A189 A194:A196 A201:A203 A208:A210 A215">
      <formula1>$A$18:$A$82</formula1>
    </dataValidation>
  </dataValidations>
  <hyperlinks>
    <hyperlink ref="B1" location="Contents!A1" display="Back to Contents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C102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B1" sqref="B1"/>
    </sheetView>
  </sheetViews>
  <sheetFormatPr defaultRowHeight="15" x14ac:dyDescent="0.25"/>
  <cols>
    <col min="1" max="1" width="25.28515625" customWidth="1"/>
    <col min="2" max="42" width="12.5703125" customWidth="1"/>
  </cols>
  <sheetData>
    <row r="1" spans="1:42" x14ac:dyDescent="0.25">
      <c r="A1" s="1" t="s">
        <v>0</v>
      </c>
      <c r="B1" s="87" t="s">
        <v>189</v>
      </c>
      <c r="C1" s="2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5" t="s">
        <v>1</v>
      </c>
      <c r="X1" s="6"/>
      <c r="Y1" s="6"/>
      <c r="Z1" s="6"/>
      <c r="AA1" s="87" t="s">
        <v>189</v>
      </c>
      <c r="AB1" s="7"/>
      <c r="AC1" s="7"/>
      <c r="AD1" s="7"/>
      <c r="AE1" s="6"/>
      <c r="AF1" s="6"/>
      <c r="AG1" s="6"/>
      <c r="AH1" s="3"/>
      <c r="AI1" s="8"/>
      <c r="AJ1" s="8"/>
      <c r="AK1" s="8"/>
      <c r="AL1" s="8"/>
      <c r="AM1" s="9"/>
      <c r="AN1" s="9"/>
      <c r="AO1" s="9"/>
      <c r="AP1" s="9"/>
    </row>
    <row r="2" spans="1:42" x14ac:dyDescent="0.25">
      <c r="A2" s="1" t="s">
        <v>155</v>
      </c>
      <c r="B2" s="2"/>
      <c r="C2" s="2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5"/>
      <c r="X2" s="6"/>
      <c r="Y2" s="6"/>
      <c r="Z2" s="6"/>
      <c r="AA2" s="7"/>
      <c r="AB2" s="7"/>
      <c r="AC2" s="7"/>
      <c r="AD2" s="7"/>
      <c r="AE2" s="6"/>
      <c r="AF2" s="6"/>
      <c r="AG2" s="6"/>
      <c r="AH2" s="3"/>
      <c r="AI2" s="8"/>
      <c r="AJ2" s="8"/>
      <c r="AK2" s="8"/>
      <c r="AL2" s="8"/>
      <c r="AM2" s="9"/>
      <c r="AN2" s="9"/>
      <c r="AO2" s="9"/>
      <c r="AP2" s="9"/>
    </row>
    <row r="3" spans="1:42" x14ac:dyDescent="0.25">
      <c r="A3" s="1" t="s">
        <v>204</v>
      </c>
      <c r="B3" s="2"/>
      <c r="C3" s="2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3"/>
      <c r="P3" s="3"/>
      <c r="Q3" s="3"/>
      <c r="R3" s="3"/>
      <c r="S3" s="3"/>
      <c r="T3" s="3"/>
      <c r="U3" s="3"/>
      <c r="V3" s="3"/>
      <c r="W3" s="5"/>
      <c r="X3" s="6"/>
      <c r="Y3" s="6"/>
      <c r="Z3" s="6"/>
      <c r="AA3" s="7"/>
      <c r="AB3" s="7"/>
      <c r="AC3" s="7"/>
      <c r="AD3" s="7"/>
      <c r="AE3" s="6"/>
      <c r="AF3" s="6"/>
      <c r="AG3" s="6"/>
      <c r="AH3" s="3"/>
      <c r="AI3" s="8"/>
      <c r="AJ3" s="8"/>
      <c r="AK3" s="8"/>
      <c r="AL3" s="8"/>
      <c r="AM3" s="9"/>
      <c r="AN3" s="9"/>
      <c r="AO3" s="9"/>
      <c r="AP3" s="9"/>
    </row>
    <row r="4" spans="1:42" x14ac:dyDescent="0.25">
      <c r="A4" s="10" t="s">
        <v>2</v>
      </c>
      <c r="B4" s="11" t="s">
        <v>97</v>
      </c>
      <c r="C4" s="11" t="s">
        <v>4</v>
      </c>
      <c r="D4" s="4"/>
      <c r="E4" s="12"/>
      <c r="F4" s="13"/>
      <c r="G4" s="13"/>
      <c r="H4" s="4"/>
      <c r="I4" s="4"/>
      <c r="J4" s="4"/>
      <c r="K4" s="4"/>
      <c r="L4" s="4"/>
      <c r="M4" s="4"/>
      <c r="N4" s="4"/>
      <c r="O4" s="13"/>
      <c r="P4" s="13"/>
      <c r="Q4" s="13"/>
      <c r="R4" s="13"/>
      <c r="S4" s="13"/>
      <c r="T4" s="13"/>
      <c r="U4" s="13"/>
      <c r="V4" s="13"/>
      <c r="W4" s="14" t="s">
        <v>5</v>
      </c>
      <c r="X4" s="14"/>
      <c r="Y4" s="14" t="s">
        <v>97</v>
      </c>
      <c r="Z4" s="14" t="s">
        <v>4</v>
      </c>
      <c r="AA4" s="15"/>
      <c r="AB4" s="15"/>
      <c r="AC4" s="15"/>
      <c r="AD4" s="15"/>
      <c r="AE4" s="16"/>
      <c r="AF4" s="16"/>
      <c r="AG4" s="16"/>
      <c r="AH4" s="13"/>
      <c r="AI4" s="17"/>
      <c r="AJ4" s="17"/>
      <c r="AK4" s="17"/>
      <c r="AL4" s="17"/>
      <c r="AM4" s="9"/>
      <c r="AN4" s="9"/>
      <c r="AO4" s="9"/>
      <c r="AP4" s="9"/>
    </row>
    <row r="5" spans="1:42" x14ac:dyDescent="0.25">
      <c r="A5" s="1" t="s">
        <v>6</v>
      </c>
      <c r="B5" s="122" t="s">
        <v>7</v>
      </c>
      <c r="C5" s="122"/>
      <c r="D5" s="122"/>
      <c r="E5" s="122"/>
      <c r="F5" s="122"/>
      <c r="G5" s="122" t="s">
        <v>8</v>
      </c>
      <c r="H5" s="122"/>
      <c r="I5" s="122"/>
      <c r="J5" s="122"/>
      <c r="K5" s="122"/>
      <c r="L5" s="122" t="s">
        <v>9</v>
      </c>
      <c r="M5" s="122"/>
      <c r="N5" s="122"/>
      <c r="O5" s="122"/>
      <c r="P5" s="122"/>
      <c r="Q5" s="122" t="s">
        <v>10</v>
      </c>
      <c r="R5" s="122"/>
      <c r="S5" s="122"/>
      <c r="T5" s="122"/>
      <c r="U5" s="122"/>
      <c r="V5" s="18"/>
      <c r="W5" s="121" t="s">
        <v>7</v>
      </c>
      <c r="X5" s="121"/>
      <c r="Y5" s="121"/>
      <c r="Z5" s="121"/>
      <c r="AA5" s="121"/>
      <c r="AB5" s="121" t="s">
        <v>8</v>
      </c>
      <c r="AC5" s="121"/>
      <c r="AD5" s="121"/>
      <c r="AE5" s="121"/>
      <c r="AF5" s="121"/>
      <c r="AG5" s="121" t="s">
        <v>9</v>
      </c>
      <c r="AH5" s="121"/>
      <c r="AI5" s="121"/>
      <c r="AJ5" s="121"/>
      <c r="AK5" s="121"/>
      <c r="AL5" s="121" t="s">
        <v>10</v>
      </c>
      <c r="AM5" s="121"/>
      <c r="AN5" s="121"/>
      <c r="AO5" s="121"/>
      <c r="AP5" s="121"/>
    </row>
    <row r="6" spans="1:42" x14ac:dyDescent="0.25">
      <c r="A6" s="10" t="s">
        <v>11</v>
      </c>
      <c r="B6" s="11" t="s">
        <v>12</v>
      </c>
      <c r="C6" s="11" t="s">
        <v>13</v>
      </c>
      <c r="D6" s="11" t="s">
        <v>14</v>
      </c>
      <c r="E6" s="11" t="s">
        <v>15</v>
      </c>
      <c r="F6" s="11" t="s">
        <v>203</v>
      </c>
      <c r="G6" s="11" t="s">
        <v>12</v>
      </c>
      <c r="H6" s="11" t="s">
        <v>13</v>
      </c>
      <c r="I6" s="11" t="s">
        <v>14</v>
      </c>
      <c r="J6" s="11" t="s">
        <v>15</v>
      </c>
      <c r="K6" s="11" t="s">
        <v>203</v>
      </c>
      <c r="L6" s="11" t="s">
        <v>12</v>
      </c>
      <c r="M6" s="11" t="s">
        <v>13</v>
      </c>
      <c r="N6" s="11" t="s">
        <v>14</v>
      </c>
      <c r="O6" s="11" t="s">
        <v>15</v>
      </c>
      <c r="P6" s="11" t="s">
        <v>16</v>
      </c>
      <c r="Q6" s="11" t="s">
        <v>12</v>
      </c>
      <c r="R6" s="11" t="s">
        <v>13</v>
      </c>
      <c r="S6" s="11" t="s">
        <v>14</v>
      </c>
      <c r="T6" s="11" t="s">
        <v>15</v>
      </c>
      <c r="U6" s="11" t="s">
        <v>16</v>
      </c>
      <c r="V6" s="11"/>
      <c r="W6" s="14" t="s">
        <v>17</v>
      </c>
      <c r="X6" s="14" t="s">
        <v>18</v>
      </c>
      <c r="Y6" s="14" t="s">
        <v>19</v>
      </c>
      <c r="Z6" s="14" t="s">
        <v>20</v>
      </c>
      <c r="AA6" s="14" t="s">
        <v>21</v>
      </c>
      <c r="AB6" s="19" t="s">
        <v>17</v>
      </c>
      <c r="AC6" s="19" t="s">
        <v>18</v>
      </c>
      <c r="AD6" s="19" t="s">
        <v>19</v>
      </c>
      <c r="AE6" s="19" t="s">
        <v>20</v>
      </c>
      <c r="AF6" s="19" t="s">
        <v>21</v>
      </c>
      <c r="AG6" s="14" t="s">
        <v>17</v>
      </c>
      <c r="AH6" s="14" t="s">
        <v>18</v>
      </c>
      <c r="AI6" s="14" t="s">
        <v>19</v>
      </c>
      <c r="AJ6" s="14" t="s">
        <v>20</v>
      </c>
      <c r="AK6" s="14" t="s">
        <v>21</v>
      </c>
      <c r="AL6" s="14" t="s">
        <v>17</v>
      </c>
      <c r="AM6" s="14" t="s">
        <v>18</v>
      </c>
      <c r="AN6" s="14" t="s">
        <v>19</v>
      </c>
      <c r="AO6" s="14" t="s">
        <v>20</v>
      </c>
      <c r="AP6" s="14" t="s">
        <v>21</v>
      </c>
    </row>
    <row r="7" spans="1:42" x14ac:dyDescent="0.25">
      <c r="A7" s="20" t="s">
        <v>23</v>
      </c>
      <c r="B7" s="21">
        <v>128259</v>
      </c>
      <c r="C7" s="21">
        <v>128194</v>
      </c>
      <c r="D7" s="21">
        <v>126658</v>
      </c>
      <c r="E7" s="21">
        <v>124261</v>
      </c>
      <c r="F7" s="21">
        <v>123137</v>
      </c>
      <c r="G7" s="22">
        <v>6.2079840931872819E-2</v>
      </c>
      <c r="H7" s="22">
        <v>6.1573768539038731E-2</v>
      </c>
      <c r="I7" s="22">
        <v>6.0345891378538991E-2</v>
      </c>
      <c r="J7" s="22">
        <v>5.8790661321014487E-2</v>
      </c>
      <c r="K7" s="22">
        <v>5.7442572355426762E-2</v>
      </c>
      <c r="L7" s="21">
        <v>39396</v>
      </c>
      <c r="M7" s="21">
        <v>46824</v>
      </c>
      <c r="N7" s="21">
        <v>55326</v>
      </c>
      <c r="O7" s="21">
        <v>56667</v>
      </c>
      <c r="P7" s="21">
        <v>45674</v>
      </c>
      <c r="Q7" s="22">
        <v>0.30715973148083175</v>
      </c>
      <c r="R7" s="22">
        <v>0.36525890447290826</v>
      </c>
      <c r="S7" s="22">
        <v>0.43681409780669206</v>
      </c>
      <c r="T7" s="22">
        <v>0.45603206154787101</v>
      </c>
      <c r="U7" s="22">
        <v>0.37092019458002062</v>
      </c>
      <c r="V7" s="21"/>
      <c r="W7" s="21">
        <v>131312</v>
      </c>
      <c r="X7" s="21">
        <v>132217</v>
      </c>
      <c r="Y7" s="21">
        <v>130437</v>
      </c>
      <c r="Z7" s="21">
        <v>127603</v>
      </c>
      <c r="AA7" s="21">
        <v>128194</v>
      </c>
      <c r="AB7" s="22">
        <v>7.6255428274763906E-2</v>
      </c>
      <c r="AC7" s="22">
        <v>7.5670877440386794E-2</v>
      </c>
      <c r="AD7" s="22">
        <v>6.6313703978049476E-2</v>
      </c>
      <c r="AE7" s="22">
        <v>6.3204940172184837E-2</v>
      </c>
      <c r="AF7" s="22">
        <v>6.1573768539038731E-2</v>
      </c>
      <c r="AG7" s="21">
        <v>26321</v>
      </c>
      <c r="AH7" s="21">
        <v>33062</v>
      </c>
      <c r="AI7" s="21">
        <v>30160</v>
      </c>
      <c r="AJ7" s="21">
        <v>21775</v>
      </c>
      <c r="AK7" s="21">
        <v>46824</v>
      </c>
      <c r="AL7" s="22">
        <v>0.20044626538320945</v>
      </c>
      <c r="AM7" s="22">
        <v>0.25005861576045441</v>
      </c>
      <c r="AN7" s="22">
        <v>0.23122273588015671</v>
      </c>
      <c r="AO7" s="22">
        <v>0.17064645815537252</v>
      </c>
      <c r="AP7" s="22">
        <v>0.36525890447290826</v>
      </c>
    </row>
    <row r="8" spans="1:42" x14ac:dyDescent="0.25">
      <c r="A8" s="20" t="s">
        <v>24</v>
      </c>
      <c r="B8" s="21">
        <v>832934</v>
      </c>
      <c r="C8" s="21">
        <v>826589</v>
      </c>
      <c r="D8" s="21">
        <v>822446</v>
      </c>
      <c r="E8" s="21">
        <v>817586</v>
      </c>
      <c r="F8" s="21">
        <v>828162</v>
      </c>
      <c r="G8" s="22">
        <v>0.40315619353611487</v>
      </c>
      <c r="H8" s="22">
        <v>0.39702481990510857</v>
      </c>
      <c r="I8" s="22">
        <v>0.3918523660622612</v>
      </c>
      <c r="J8" s="22">
        <v>0.38681824246387003</v>
      </c>
      <c r="K8" s="22">
        <v>0.38633193603072136</v>
      </c>
      <c r="L8" s="21">
        <v>679025</v>
      </c>
      <c r="M8" s="21">
        <v>679741</v>
      </c>
      <c r="N8" s="21">
        <v>681369</v>
      </c>
      <c r="O8" s="21">
        <v>679172</v>
      </c>
      <c r="P8" s="21">
        <v>683885</v>
      </c>
      <c r="Q8" s="22">
        <v>0.81522065373727093</v>
      </c>
      <c r="R8" s="22">
        <v>0.82234459931114501</v>
      </c>
      <c r="S8" s="22">
        <v>0.82846654977956002</v>
      </c>
      <c r="T8" s="22">
        <v>0.83070404825914335</v>
      </c>
      <c r="U8" s="22">
        <v>0.82578650070879855</v>
      </c>
      <c r="V8" s="21"/>
      <c r="W8" s="21">
        <v>804380</v>
      </c>
      <c r="X8" s="21">
        <v>787421</v>
      </c>
      <c r="Y8" s="21">
        <v>852939</v>
      </c>
      <c r="Z8" s="21">
        <v>840132</v>
      </c>
      <c r="AA8" s="21">
        <v>826589</v>
      </c>
      <c r="AB8" s="22">
        <v>0.46711908580826272</v>
      </c>
      <c r="AC8" s="22">
        <v>0.45065943097322442</v>
      </c>
      <c r="AD8" s="22">
        <v>0.43363113501026196</v>
      </c>
      <c r="AE8" s="22">
        <v>0.41613827885502686</v>
      </c>
      <c r="AF8" s="22">
        <v>0.39702481990510857</v>
      </c>
      <c r="AG8" s="21">
        <v>583648</v>
      </c>
      <c r="AH8" s="21">
        <v>580752</v>
      </c>
      <c r="AI8" s="21">
        <v>645068</v>
      </c>
      <c r="AJ8" s="21">
        <v>663291</v>
      </c>
      <c r="AK8" s="21">
        <v>679741</v>
      </c>
      <c r="AL8" s="22">
        <v>0.72558740893607498</v>
      </c>
      <c r="AM8" s="22">
        <v>0.73753684496603467</v>
      </c>
      <c r="AN8" s="22">
        <v>0.7562885505294048</v>
      </c>
      <c r="AO8" s="22">
        <v>0.78950807730213823</v>
      </c>
      <c r="AP8" s="22">
        <v>0.82234459931114501</v>
      </c>
    </row>
    <row r="9" spans="1:42" x14ac:dyDescent="0.25">
      <c r="A9" s="20" t="s">
        <v>25</v>
      </c>
      <c r="B9" s="21">
        <v>31496</v>
      </c>
      <c r="C9" s="21">
        <v>38489</v>
      </c>
      <c r="D9" s="21">
        <v>41586</v>
      </c>
      <c r="E9" s="21">
        <v>44630</v>
      </c>
      <c r="F9" s="21">
        <v>45237</v>
      </c>
      <c r="G9" s="22">
        <v>1.5244674213819431E-2</v>
      </c>
      <c r="H9" s="22">
        <v>1.8486924327964348E-2</v>
      </c>
      <c r="I9" s="22">
        <v>1.9813547023227292E-2</v>
      </c>
      <c r="J9" s="22">
        <v>2.1115452271886406E-2</v>
      </c>
      <c r="K9" s="22">
        <v>2.1102752589736963E-2</v>
      </c>
      <c r="L9" s="21">
        <v>30689</v>
      </c>
      <c r="M9" s="21">
        <v>37434</v>
      </c>
      <c r="N9" s="21">
        <v>40566</v>
      </c>
      <c r="O9" s="21">
        <v>43450</v>
      </c>
      <c r="P9" s="21">
        <v>43284</v>
      </c>
      <c r="Q9" s="22">
        <v>0.97437769875539748</v>
      </c>
      <c r="R9" s="22">
        <v>0.97258957104627297</v>
      </c>
      <c r="S9" s="22">
        <v>0.97547251478863084</v>
      </c>
      <c r="T9" s="22">
        <v>0.97356038539099266</v>
      </c>
      <c r="U9" s="22">
        <v>0.95682737582067778</v>
      </c>
      <c r="V9" s="21"/>
      <c r="W9" s="21">
        <v>10066</v>
      </c>
      <c r="X9" s="21">
        <v>14627</v>
      </c>
      <c r="Y9" s="21">
        <v>17287</v>
      </c>
      <c r="Z9" s="21">
        <v>17356</v>
      </c>
      <c r="AA9" s="21">
        <v>38489</v>
      </c>
      <c r="AB9" s="22">
        <v>5.8455216660607831E-3</v>
      </c>
      <c r="AC9" s="22">
        <v>8.3713737592029588E-3</v>
      </c>
      <c r="AD9" s="22">
        <v>8.788648931426982E-3</v>
      </c>
      <c r="AE9" s="22">
        <v>8.5968585505704406E-3</v>
      </c>
      <c r="AF9" s="22">
        <v>1.8486924327964348E-2</v>
      </c>
      <c r="AG9" s="21">
        <v>9870</v>
      </c>
      <c r="AH9" s="21">
        <v>14058</v>
      </c>
      <c r="AI9" s="21">
        <v>16521</v>
      </c>
      <c r="AJ9" s="21">
        <v>17181</v>
      </c>
      <c r="AK9" s="21">
        <v>37434</v>
      </c>
      <c r="AL9" s="22">
        <v>0.98052851182197498</v>
      </c>
      <c r="AM9" s="22">
        <v>0.96109933684282489</v>
      </c>
      <c r="AN9" s="22">
        <v>0.95568924625441087</v>
      </c>
      <c r="AO9" s="22">
        <v>0.98991703157409539</v>
      </c>
      <c r="AP9" s="22">
        <v>0.97258957104627297</v>
      </c>
    </row>
    <row r="10" spans="1:42" x14ac:dyDescent="0.25">
      <c r="A10" s="20" t="s">
        <v>26</v>
      </c>
      <c r="B10" s="21">
        <v>11207</v>
      </c>
      <c r="C10" s="21">
        <v>14103</v>
      </c>
      <c r="D10" s="21">
        <v>16497</v>
      </c>
      <c r="E10" s="21">
        <v>17665</v>
      </c>
      <c r="F10" s="21">
        <v>19549</v>
      </c>
      <c r="G10" s="22">
        <v>5.4244051280884671E-3</v>
      </c>
      <c r="H10" s="22">
        <v>6.7739118656572322E-3</v>
      </c>
      <c r="I10" s="22">
        <v>7.8599549185346188E-3</v>
      </c>
      <c r="J10" s="22">
        <v>8.3577070217986417E-3</v>
      </c>
      <c r="K10" s="22">
        <v>9.1194754377338875E-3</v>
      </c>
      <c r="L10" s="21">
        <v>10992</v>
      </c>
      <c r="M10" s="21">
        <v>13790</v>
      </c>
      <c r="N10" s="21">
        <v>16099</v>
      </c>
      <c r="O10" s="21">
        <v>17150</v>
      </c>
      <c r="P10" s="21">
        <v>18591</v>
      </c>
      <c r="Q10" s="22">
        <v>0.98081556170250739</v>
      </c>
      <c r="R10" s="22">
        <v>0.97780614053747428</v>
      </c>
      <c r="S10" s="22">
        <v>0.97587440140631632</v>
      </c>
      <c r="T10" s="22">
        <v>0.9708463062553071</v>
      </c>
      <c r="U10" s="22">
        <v>0.95099493580234284</v>
      </c>
      <c r="V10" s="21"/>
      <c r="W10" s="21">
        <v>0</v>
      </c>
      <c r="X10" s="21">
        <v>0</v>
      </c>
      <c r="Y10" s="21">
        <v>0</v>
      </c>
      <c r="Z10" s="21">
        <v>3687</v>
      </c>
      <c r="AA10" s="21">
        <v>14103</v>
      </c>
      <c r="AB10" s="22">
        <v>0</v>
      </c>
      <c r="AC10" s="22">
        <v>0</v>
      </c>
      <c r="AD10" s="22">
        <v>0</v>
      </c>
      <c r="AE10" s="22">
        <v>1.8262628183886389E-3</v>
      </c>
      <c r="AF10" s="22">
        <v>6.7739118656572322E-3</v>
      </c>
      <c r="AG10" s="21">
        <v>0</v>
      </c>
      <c r="AH10" s="21">
        <v>0</v>
      </c>
      <c r="AI10" s="21">
        <v>0</v>
      </c>
      <c r="AJ10" s="21">
        <v>3667</v>
      </c>
      <c r="AK10" s="21">
        <v>13790</v>
      </c>
      <c r="AL10" s="22">
        <v>0</v>
      </c>
      <c r="AM10" s="22">
        <v>0</v>
      </c>
      <c r="AN10" s="22">
        <v>0</v>
      </c>
      <c r="AO10" s="22">
        <v>0.99457553566585299</v>
      </c>
      <c r="AP10" s="22">
        <v>0.97780614053747428</v>
      </c>
    </row>
    <row r="11" spans="1:42" x14ac:dyDescent="0.25">
      <c r="A11" s="20" t="s">
        <v>28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1"/>
      <c r="W11" s="21">
        <v>23588</v>
      </c>
      <c r="X11" s="21">
        <v>0</v>
      </c>
      <c r="Y11" s="21">
        <v>0</v>
      </c>
      <c r="Z11" s="21">
        <v>0</v>
      </c>
      <c r="AA11" s="21">
        <v>0</v>
      </c>
      <c r="AB11" s="22">
        <v>1.3698009642265224E-2</v>
      </c>
      <c r="AC11" s="22">
        <v>0</v>
      </c>
      <c r="AD11" s="22">
        <v>0</v>
      </c>
      <c r="AE11" s="22">
        <v>0</v>
      </c>
      <c r="AF11" s="22">
        <v>0</v>
      </c>
      <c r="AG11" s="21">
        <v>22446</v>
      </c>
      <c r="AH11" s="21">
        <v>0</v>
      </c>
      <c r="AI11" s="21">
        <v>0</v>
      </c>
      <c r="AJ11" s="21">
        <v>0</v>
      </c>
      <c r="AK11" s="21">
        <v>0</v>
      </c>
      <c r="AL11" s="22">
        <v>0.95158555197558081</v>
      </c>
      <c r="AM11" s="22">
        <v>0</v>
      </c>
      <c r="AN11" s="22">
        <v>0</v>
      </c>
      <c r="AO11" s="22">
        <v>0</v>
      </c>
      <c r="AP11" s="22">
        <v>0</v>
      </c>
    </row>
    <row r="12" spans="1:42" x14ac:dyDescent="0.25">
      <c r="A12" s="20" t="s">
        <v>30</v>
      </c>
      <c r="B12" s="21">
        <v>1898</v>
      </c>
      <c r="C12" s="21">
        <v>1998</v>
      </c>
      <c r="D12" s="21">
        <v>2019</v>
      </c>
      <c r="E12" s="21">
        <v>2889</v>
      </c>
      <c r="F12" s="21">
        <v>2198</v>
      </c>
      <c r="G12" s="22">
        <v>9.1866877247362454E-4</v>
      </c>
      <c r="H12" s="22">
        <v>9.596735380829008E-4</v>
      </c>
      <c r="I12" s="22">
        <v>9.6194756504342578E-4</v>
      </c>
      <c r="J12" s="22">
        <v>1.3668505851104598E-3</v>
      </c>
      <c r="K12" s="22">
        <v>1.0253520390883977E-3</v>
      </c>
      <c r="L12" s="21">
        <v>1832</v>
      </c>
      <c r="M12" s="21">
        <v>1927</v>
      </c>
      <c r="N12" s="21">
        <v>1922</v>
      </c>
      <c r="O12" s="21">
        <v>2732</v>
      </c>
      <c r="P12" s="21">
        <v>2085</v>
      </c>
      <c r="Q12" s="22">
        <v>0.96522655426765014</v>
      </c>
      <c r="R12" s="22">
        <v>0.96446446446446443</v>
      </c>
      <c r="S12" s="22">
        <v>0.95195641406636944</v>
      </c>
      <c r="T12" s="22">
        <v>0.94565593631014189</v>
      </c>
      <c r="U12" s="22">
        <v>0.94858962693357596</v>
      </c>
      <c r="V12" s="21"/>
      <c r="W12" s="21">
        <v>0</v>
      </c>
      <c r="X12" s="21">
        <v>1028</v>
      </c>
      <c r="Y12" s="21">
        <v>1881</v>
      </c>
      <c r="Z12" s="21">
        <v>1694</v>
      </c>
      <c r="AA12" s="21">
        <v>1998</v>
      </c>
      <c r="AB12" s="22">
        <v>0</v>
      </c>
      <c r="AC12" s="22">
        <v>5.8834841214607523E-4</v>
      </c>
      <c r="AD12" s="22">
        <v>9.5629366807509426E-4</v>
      </c>
      <c r="AE12" s="22">
        <v>8.3908034020893792E-4</v>
      </c>
      <c r="AF12" s="22">
        <v>9.596735380829008E-4</v>
      </c>
      <c r="AG12" s="21">
        <v>0</v>
      </c>
      <c r="AH12" s="21">
        <v>1028</v>
      </c>
      <c r="AI12" s="21">
        <v>1835</v>
      </c>
      <c r="AJ12" s="21">
        <v>1645</v>
      </c>
      <c r="AK12" s="21">
        <v>1927</v>
      </c>
      <c r="AL12" s="22">
        <v>0</v>
      </c>
      <c r="AM12" s="22">
        <v>1</v>
      </c>
      <c r="AN12" s="22">
        <v>0.97554492291334394</v>
      </c>
      <c r="AO12" s="22">
        <v>0.97107438016528924</v>
      </c>
      <c r="AP12" s="22">
        <v>0.96446446446446443</v>
      </c>
    </row>
    <row r="13" spans="1:42" x14ac:dyDescent="0.25">
      <c r="A13" s="20" t="s">
        <v>33</v>
      </c>
      <c r="B13" s="21">
        <v>10417</v>
      </c>
      <c r="C13" s="21">
        <v>10512</v>
      </c>
      <c r="D13" s="21">
        <v>10542</v>
      </c>
      <c r="E13" s="21">
        <v>10798</v>
      </c>
      <c r="F13" s="21">
        <v>11451</v>
      </c>
      <c r="G13" s="22">
        <v>5.0420298223697296E-3</v>
      </c>
      <c r="H13" s="22">
        <v>5.0490932093730997E-3</v>
      </c>
      <c r="I13" s="22">
        <v>5.022709871564039E-3</v>
      </c>
      <c r="J13" s="22">
        <v>5.1087755687167693E-3</v>
      </c>
      <c r="K13" s="22">
        <v>5.3418135575983815E-3</v>
      </c>
      <c r="L13" s="21">
        <v>10025</v>
      </c>
      <c r="M13" s="21">
        <v>10085</v>
      </c>
      <c r="N13" s="21">
        <v>10003</v>
      </c>
      <c r="O13" s="21">
        <v>10355</v>
      </c>
      <c r="P13" s="21">
        <v>10963</v>
      </c>
      <c r="Q13" s="22">
        <v>0.96236920418546612</v>
      </c>
      <c r="R13" s="22">
        <v>0.95937975646879758</v>
      </c>
      <c r="S13" s="22">
        <v>0.94887118193891107</v>
      </c>
      <c r="T13" s="22">
        <v>0.95897388405260231</v>
      </c>
      <c r="U13" s="22">
        <v>0.95738363461706399</v>
      </c>
      <c r="V13" s="21"/>
      <c r="W13" s="21">
        <v>0</v>
      </c>
      <c r="X13" s="21">
        <v>5</v>
      </c>
      <c r="Y13" s="21">
        <v>4499</v>
      </c>
      <c r="Z13" s="21">
        <v>9313</v>
      </c>
      <c r="AA13" s="21">
        <v>10512</v>
      </c>
      <c r="AB13" s="22">
        <v>0</v>
      </c>
      <c r="AC13" s="22">
        <v>2.861616790593751E-6</v>
      </c>
      <c r="AD13" s="22">
        <v>2.2872754984954008E-3</v>
      </c>
      <c r="AE13" s="22">
        <v>4.6129605716445331E-3</v>
      </c>
      <c r="AF13" s="22">
        <v>5.0490932093730997E-3</v>
      </c>
      <c r="AG13" s="21">
        <v>0</v>
      </c>
      <c r="AH13" s="21">
        <v>5</v>
      </c>
      <c r="AI13" s="21">
        <v>4477</v>
      </c>
      <c r="AJ13" s="21">
        <v>9013</v>
      </c>
      <c r="AK13" s="21">
        <v>10085</v>
      </c>
      <c r="AL13" s="22">
        <v>0</v>
      </c>
      <c r="AM13" s="22">
        <v>1</v>
      </c>
      <c r="AN13" s="22">
        <v>0.99511002444987773</v>
      </c>
      <c r="AO13" s="22">
        <v>0.96778696445828416</v>
      </c>
      <c r="AP13" s="22">
        <v>0.95937975646879758</v>
      </c>
    </row>
    <row r="14" spans="1:42" x14ac:dyDescent="0.25">
      <c r="A14" s="20" t="s">
        <v>35</v>
      </c>
      <c r="B14" s="21">
        <v>400426</v>
      </c>
      <c r="C14" s="21">
        <v>400342</v>
      </c>
      <c r="D14" s="21">
        <v>408111</v>
      </c>
      <c r="E14" s="21">
        <v>415840</v>
      </c>
      <c r="F14" s="21">
        <v>412954</v>
      </c>
      <c r="G14" s="22">
        <v>0.19381394198446975</v>
      </c>
      <c r="H14" s="22">
        <v>0.19229110289448684</v>
      </c>
      <c r="I14" s="22">
        <v>0.19444347831472886</v>
      </c>
      <c r="J14" s="22">
        <v>0.19674321471524184</v>
      </c>
      <c r="K14" s="22">
        <v>0.19264023018640136</v>
      </c>
      <c r="L14" s="21">
        <v>377429</v>
      </c>
      <c r="M14" s="21">
        <v>378260</v>
      </c>
      <c r="N14" s="21">
        <v>386229</v>
      </c>
      <c r="O14" s="21">
        <v>395237</v>
      </c>
      <c r="P14" s="21">
        <v>393557</v>
      </c>
      <c r="Q14" s="22">
        <v>0.94256866437244335</v>
      </c>
      <c r="R14" s="22">
        <v>0.94484215995323995</v>
      </c>
      <c r="S14" s="22">
        <v>0.94638223424509504</v>
      </c>
      <c r="T14" s="22">
        <v>0.9504545017314352</v>
      </c>
      <c r="U14" s="22">
        <v>0.95302866663115016</v>
      </c>
      <c r="V14" s="21"/>
      <c r="W14" s="21">
        <v>309947</v>
      </c>
      <c r="X14" s="21">
        <v>336204</v>
      </c>
      <c r="Y14" s="21">
        <v>362616</v>
      </c>
      <c r="Z14" s="21">
        <v>392698</v>
      </c>
      <c r="AA14" s="21">
        <v>400342</v>
      </c>
      <c r="AB14" s="22">
        <v>0.17999224158856958</v>
      </c>
      <c r="AC14" s="22">
        <v>0.19241740229295631</v>
      </c>
      <c r="AD14" s="22">
        <v>0.18435267663089758</v>
      </c>
      <c r="AE14" s="22">
        <v>0.19451308821686511</v>
      </c>
      <c r="AF14" s="22">
        <v>0.19229110289448684</v>
      </c>
      <c r="AG14" s="21">
        <v>242847</v>
      </c>
      <c r="AH14" s="21">
        <v>300097</v>
      </c>
      <c r="AI14" s="21">
        <v>335103</v>
      </c>
      <c r="AJ14" s="21">
        <v>367036</v>
      </c>
      <c r="AK14" s="21">
        <v>378260</v>
      </c>
      <c r="AL14" s="22">
        <v>0.78351137452532205</v>
      </c>
      <c r="AM14" s="22">
        <v>0.89260389525407191</v>
      </c>
      <c r="AN14" s="22">
        <v>0.92412634853398634</v>
      </c>
      <c r="AO14" s="22">
        <v>0.93465207360363434</v>
      </c>
      <c r="AP14" s="22">
        <v>0.94484215995323995</v>
      </c>
    </row>
    <row r="15" spans="1:42" x14ac:dyDescent="0.25">
      <c r="A15" s="20" t="s">
        <v>42</v>
      </c>
      <c r="B15" s="21">
        <v>200</v>
      </c>
      <c r="C15" s="21">
        <v>695</v>
      </c>
      <c r="D15" s="21">
        <v>2460</v>
      </c>
      <c r="E15" s="21">
        <v>4990</v>
      </c>
      <c r="F15" s="21">
        <v>6676</v>
      </c>
      <c r="G15" s="22">
        <v>9.6803874865503123E-5</v>
      </c>
      <c r="H15" s="22">
        <v>3.338203748586667E-4</v>
      </c>
      <c r="I15" s="22">
        <v>1.1720609262044714E-3</v>
      </c>
      <c r="J15" s="22">
        <v>2.3608807267916907E-3</v>
      </c>
      <c r="K15" s="22">
        <v>3.1143085591238137E-3</v>
      </c>
      <c r="L15" s="21">
        <v>193</v>
      </c>
      <c r="M15" s="21">
        <v>672</v>
      </c>
      <c r="N15" s="21">
        <v>2436</v>
      </c>
      <c r="O15" s="21">
        <v>4977</v>
      </c>
      <c r="P15" s="21">
        <v>6664</v>
      </c>
      <c r="Q15" s="22">
        <v>0.96499999999999997</v>
      </c>
      <c r="R15" s="22">
        <v>0.96690647482014391</v>
      </c>
      <c r="S15" s="22">
        <v>0.99024390243902438</v>
      </c>
      <c r="T15" s="22">
        <v>0.99739478957915828</v>
      </c>
      <c r="U15" s="22">
        <v>0.99820251647693226</v>
      </c>
      <c r="V15" s="21"/>
      <c r="W15" s="21">
        <v>13659</v>
      </c>
      <c r="X15" s="21">
        <v>18150</v>
      </c>
      <c r="Y15" s="21">
        <v>13575</v>
      </c>
      <c r="Z15" s="21">
        <v>944</v>
      </c>
      <c r="AA15" s="21">
        <v>695</v>
      </c>
      <c r="AB15" s="22">
        <v>7.9320465365313158E-3</v>
      </c>
      <c r="AC15" s="22">
        <v>1.0387668949855317E-2</v>
      </c>
      <c r="AD15" s="22">
        <v>6.9014814163314217E-3</v>
      </c>
      <c r="AE15" s="22">
        <v>4.6758668309163955E-4</v>
      </c>
      <c r="AF15" s="22">
        <v>3.338203748586667E-4</v>
      </c>
      <c r="AG15" s="21">
        <v>13283</v>
      </c>
      <c r="AH15" s="21">
        <v>16867</v>
      </c>
      <c r="AI15" s="21">
        <v>12229</v>
      </c>
      <c r="AJ15" s="21">
        <v>868</v>
      </c>
      <c r="AK15" s="21">
        <v>672</v>
      </c>
      <c r="AL15" s="22">
        <v>0.97247236254484226</v>
      </c>
      <c r="AM15" s="22">
        <v>0.92931129476584018</v>
      </c>
      <c r="AN15" s="22">
        <v>0.90084714548802947</v>
      </c>
      <c r="AO15" s="22">
        <v>0.91949152542372881</v>
      </c>
      <c r="AP15" s="22">
        <v>0.96690647482014391</v>
      </c>
    </row>
    <row r="16" spans="1:42" x14ac:dyDescent="0.25">
      <c r="A16" s="20" t="s">
        <v>43</v>
      </c>
      <c r="B16" s="21">
        <v>8326</v>
      </c>
      <c r="C16" s="21">
        <v>8476</v>
      </c>
      <c r="D16" s="21">
        <v>8747</v>
      </c>
      <c r="E16" s="21">
        <v>8764</v>
      </c>
      <c r="F16" s="21">
        <v>10136</v>
      </c>
      <c r="G16" s="22">
        <v>4.0299453106508948E-3</v>
      </c>
      <c r="H16" s="22">
        <v>4.0711676220173514E-3</v>
      </c>
      <c r="I16" s="22">
        <v>4.1674865534595566E-3</v>
      </c>
      <c r="J16" s="22">
        <v>4.1464446271748251E-3</v>
      </c>
      <c r="K16" s="22">
        <v>4.728375008280254E-3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1"/>
      <c r="W16" s="21">
        <v>0</v>
      </c>
      <c r="X16" s="21">
        <v>0</v>
      </c>
      <c r="Y16" s="21">
        <v>5599</v>
      </c>
      <c r="Z16" s="21">
        <v>8139</v>
      </c>
      <c r="AA16" s="21">
        <v>8476</v>
      </c>
      <c r="AB16" s="22">
        <v>0</v>
      </c>
      <c r="AC16" s="22">
        <v>0</v>
      </c>
      <c r="AD16" s="22">
        <v>2.8465115616972104E-3</v>
      </c>
      <c r="AE16" s="22">
        <v>4.0314491670369219E-3</v>
      </c>
      <c r="AF16" s="22">
        <v>4.0711676220173514E-3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</row>
    <row r="17" spans="1:42" x14ac:dyDescent="0.25">
      <c r="A17" s="20" t="s">
        <v>48</v>
      </c>
      <c r="B17" s="21">
        <v>557366</v>
      </c>
      <c r="C17" s="21">
        <v>565486</v>
      </c>
      <c r="D17" s="21">
        <v>567501</v>
      </c>
      <c r="E17" s="21">
        <v>569150</v>
      </c>
      <c r="F17" s="21">
        <v>581722</v>
      </c>
      <c r="G17" s="22">
        <v>0.26977594259143006</v>
      </c>
      <c r="H17" s="22">
        <v>0.27161258776593955</v>
      </c>
      <c r="I17" s="22">
        <v>0.27038445027722102</v>
      </c>
      <c r="J17" s="22">
        <v>0.26927760834739295</v>
      </c>
      <c r="K17" s="22">
        <v>0.27136935344976382</v>
      </c>
      <c r="L17" s="21">
        <v>467318</v>
      </c>
      <c r="M17" s="21">
        <v>479420</v>
      </c>
      <c r="N17" s="21">
        <v>483936</v>
      </c>
      <c r="O17" s="21">
        <v>487344</v>
      </c>
      <c r="P17" s="21">
        <v>491071</v>
      </c>
      <c r="Q17" s="22">
        <v>0.83844009143004772</v>
      </c>
      <c r="R17" s="22">
        <v>0.84780171392395209</v>
      </c>
      <c r="S17" s="22">
        <v>0.85274915815126318</v>
      </c>
      <c r="T17" s="22">
        <v>0.85626636211894935</v>
      </c>
      <c r="U17" s="22">
        <v>0.84416783274485063</v>
      </c>
      <c r="V17" s="21"/>
      <c r="W17" s="21">
        <v>396986</v>
      </c>
      <c r="X17" s="21">
        <v>423959</v>
      </c>
      <c r="Y17" s="21">
        <v>534102</v>
      </c>
      <c r="Z17" s="21">
        <v>547775</v>
      </c>
      <c r="AA17" s="21">
        <v>565486</v>
      </c>
      <c r="AB17" s="22">
        <v>0.23053747905054697</v>
      </c>
      <c r="AC17" s="22">
        <v>0.24264163858466722</v>
      </c>
      <c r="AD17" s="22">
        <v>0.27153554529837531</v>
      </c>
      <c r="AE17" s="22">
        <v>0.27132658403657084</v>
      </c>
      <c r="AF17" s="22">
        <v>0.27161258776593955</v>
      </c>
      <c r="AG17" s="21">
        <v>298455</v>
      </c>
      <c r="AH17" s="21">
        <v>330601</v>
      </c>
      <c r="AI17" s="21">
        <v>421355</v>
      </c>
      <c r="AJ17" s="21">
        <v>446462</v>
      </c>
      <c r="AK17" s="21">
        <v>479420</v>
      </c>
      <c r="AL17" s="22">
        <v>0.75180233056077539</v>
      </c>
      <c r="AM17" s="22">
        <v>0.7797947443031048</v>
      </c>
      <c r="AN17" s="22">
        <v>0.788903617661046</v>
      </c>
      <c r="AO17" s="22">
        <v>0.81504632376431929</v>
      </c>
      <c r="AP17" s="22">
        <v>0.84780171392395209</v>
      </c>
    </row>
    <row r="18" spans="1:42" x14ac:dyDescent="0.25">
      <c r="A18" s="20" t="s">
        <v>55</v>
      </c>
      <c r="B18" s="21">
        <v>0</v>
      </c>
      <c r="C18" s="21">
        <v>0</v>
      </c>
      <c r="D18" s="21">
        <v>0</v>
      </c>
      <c r="E18" s="21">
        <v>166</v>
      </c>
      <c r="F18" s="21">
        <v>234</v>
      </c>
      <c r="G18" s="22">
        <v>0</v>
      </c>
      <c r="H18" s="22">
        <v>0</v>
      </c>
      <c r="I18" s="22">
        <v>0</v>
      </c>
      <c r="J18" s="22">
        <v>7.8538316763010162E-5</v>
      </c>
      <c r="K18" s="22">
        <v>1.0915940725508875E-4</v>
      </c>
      <c r="L18" s="21">
        <v>0</v>
      </c>
      <c r="M18" s="21">
        <v>0</v>
      </c>
      <c r="N18" s="21">
        <v>0</v>
      </c>
      <c r="O18" s="21">
        <v>166</v>
      </c>
      <c r="P18" s="21">
        <v>210</v>
      </c>
      <c r="Q18" s="22">
        <v>0</v>
      </c>
      <c r="R18" s="22">
        <v>0</v>
      </c>
      <c r="S18" s="22">
        <v>0</v>
      </c>
      <c r="T18" s="22">
        <v>1</v>
      </c>
      <c r="U18" s="22">
        <v>0.89743589743589747</v>
      </c>
      <c r="V18" s="21"/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</row>
    <row r="19" spans="1:42" x14ac:dyDescent="0.25">
      <c r="A19" s="20" t="s">
        <v>57</v>
      </c>
      <c r="B19" s="21">
        <v>40177</v>
      </c>
      <c r="C19" s="21">
        <v>42969</v>
      </c>
      <c r="D19" s="21">
        <v>47168</v>
      </c>
      <c r="E19" s="21">
        <v>50517</v>
      </c>
      <c r="F19" s="21">
        <v>54121</v>
      </c>
      <c r="G19" s="22">
        <v>1.9446446402356595E-2</v>
      </c>
      <c r="H19" s="22">
        <v>2.0638744873815899E-2</v>
      </c>
      <c r="I19" s="22">
        <v>2.2473077141143293E-2</v>
      </c>
      <c r="J19" s="22">
        <v>2.3900723782632433E-2</v>
      </c>
      <c r="K19" s="22">
        <v>2.5247078119883151E-2</v>
      </c>
      <c r="L19" s="21">
        <v>40094</v>
      </c>
      <c r="M19" s="21">
        <v>42894</v>
      </c>
      <c r="N19" s="21">
        <v>47098</v>
      </c>
      <c r="O19" s="21">
        <v>50441</v>
      </c>
      <c r="P19" s="21">
        <v>54050</v>
      </c>
      <c r="Q19" s="22">
        <v>0.9979341414241979</v>
      </c>
      <c r="R19" s="22">
        <v>0.99825455560985832</v>
      </c>
      <c r="S19" s="22">
        <v>0.99851594301221169</v>
      </c>
      <c r="T19" s="22">
        <v>0.99849555595146189</v>
      </c>
      <c r="U19" s="22">
        <v>0.99868812475748781</v>
      </c>
      <c r="V19" s="21"/>
      <c r="W19" s="21">
        <v>0</v>
      </c>
      <c r="X19" s="21">
        <v>0</v>
      </c>
      <c r="Y19" s="21">
        <v>9077</v>
      </c>
      <c r="Z19" s="21">
        <v>31563</v>
      </c>
      <c r="AA19" s="21">
        <v>42969</v>
      </c>
      <c r="AB19" s="22">
        <v>0</v>
      </c>
      <c r="AC19" s="22">
        <v>0</v>
      </c>
      <c r="AD19" s="22">
        <v>4.6147143142571132E-3</v>
      </c>
      <c r="AE19" s="22">
        <v>1.5633939066124387E-2</v>
      </c>
      <c r="AF19" s="22">
        <v>2.0638744873815899E-2</v>
      </c>
      <c r="AG19" s="21">
        <v>0</v>
      </c>
      <c r="AH19" s="21">
        <v>0</v>
      </c>
      <c r="AI19" s="21">
        <v>9069</v>
      </c>
      <c r="AJ19" s="21">
        <v>31442</v>
      </c>
      <c r="AK19" s="21">
        <v>42894</v>
      </c>
      <c r="AL19" s="22">
        <v>0</v>
      </c>
      <c r="AM19" s="22">
        <v>0</v>
      </c>
      <c r="AN19" s="22">
        <v>0.99911865153685142</v>
      </c>
      <c r="AO19" s="22">
        <v>0.99616639736400214</v>
      </c>
      <c r="AP19" s="22">
        <v>0.99825455560985832</v>
      </c>
    </row>
    <row r="20" spans="1:42" x14ac:dyDescent="0.25">
      <c r="A20" s="20" t="s">
        <v>59</v>
      </c>
      <c r="B20" s="21">
        <v>659</v>
      </c>
      <c r="C20" s="21">
        <v>676</v>
      </c>
      <c r="D20" s="21">
        <v>756</v>
      </c>
      <c r="E20" s="21">
        <v>878</v>
      </c>
      <c r="F20" s="21">
        <v>1051</v>
      </c>
      <c r="G20" s="22">
        <v>3.1896876768183275E-4</v>
      </c>
      <c r="H20" s="22">
        <v>3.2469435022224269E-4</v>
      </c>
      <c r="I20" s="22">
        <v>3.6019433341893508E-4</v>
      </c>
      <c r="J20" s="22">
        <v>4.1540145854170431E-4</v>
      </c>
      <c r="K20" s="22">
        <v>4.9028434626110368E-4</v>
      </c>
      <c r="L20" s="21">
        <v>659</v>
      </c>
      <c r="M20" s="21">
        <v>676</v>
      </c>
      <c r="N20" s="21">
        <v>756</v>
      </c>
      <c r="O20" s="21">
        <v>878</v>
      </c>
      <c r="P20" s="21">
        <v>1012</v>
      </c>
      <c r="Q20" s="22">
        <v>1</v>
      </c>
      <c r="R20" s="22">
        <v>1</v>
      </c>
      <c r="S20" s="22">
        <v>1</v>
      </c>
      <c r="T20" s="22">
        <v>1</v>
      </c>
      <c r="U20" s="22">
        <v>0.9628924833491912</v>
      </c>
      <c r="V20" s="21"/>
      <c r="W20" s="21">
        <v>0</v>
      </c>
      <c r="X20" s="21">
        <v>0</v>
      </c>
      <c r="Y20" s="21">
        <v>183</v>
      </c>
      <c r="Z20" s="21">
        <v>185</v>
      </c>
      <c r="AA20" s="21">
        <v>676</v>
      </c>
      <c r="AB20" s="22">
        <v>0</v>
      </c>
      <c r="AC20" s="22">
        <v>0</v>
      </c>
      <c r="AD20" s="22">
        <v>9.3036545059937392E-5</v>
      </c>
      <c r="AE20" s="22">
        <v>9.1635102088933606E-5</v>
      </c>
      <c r="AF20" s="22">
        <v>3.2469435022224269E-4</v>
      </c>
      <c r="AG20" s="21">
        <v>0</v>
      </c>
      <c r="AH20" s="21">
        <v>0</v>
      </c>
      <c r="AI20" s="21">
        <v>183</v>
      </c>
      <c r="AJ20" s="21">
        <v>0</v>
      </c>
      <c r="AK20" s="21">
        <v>676</v>
      </c>
      <c r="AL20" s="22">
        <v>0</v>
      </c>
      <c r="AM20" s="22">
        <v>0</v>
      </c>
      <c r="AN20" s="22">
        <v>1</v>
      </c>
      <c r="AO20" s="22">
        <v>0</v>
      </c>
      <c r="AP20" s="22">
        <v>1</v>
      </c>
    </row>
    <row r="21" spans="1:42" x14ac:dyDescent="0.25">
      <c r="A21" s="20" t="s">
        <v>60</v>
      </c>
      <c r="B21" s="21">
        <v>42668</v>
      </c>
      <c r="C21" s="21">
        <v>43429</v>
      </c>
      <c r="D21" s="21">
        <v>44376</v>
      </c>
      <c r="E21" s="21">
        <v>45484</v>
      </c>
      <c r="F21" s="21">
        <v>47026</v>
      </c>
      <c r="G21" s="22">
        <v>2.0652138663806434E-2</v>
      </c>
      <c r="H21" s="22">
        <v>2.0859690733434584E-2</v>
      </c>
      <c r="I21" s="22">
        <v>2.1142835634654317E-2</v>
      </c>
      <c r="J21" s="22">
        <v>2.1519498793064782E-2</v>
      </c>
      <c r="K21" s="22">
        <v>2.1937308912725655E-2</v>
      </c>
      <c r="L21" s="21">
        <v>42264</v>
      </c>
      <c r="M21" s="21">
        <v>43065</v>
      </c>
      <c r="N21" s="21">
        <v>44043</v>
      </c>
      <c r="O21" s="21">
        <v>45171</v>
      </c>
      <c r="P21" s="21">
        <v>46650</v>
      </c>
      <c r="Q21" s="22">
        <v>0.99053154588919101</v>
      </c>
      <c r="R21" s="22">
        <v>0.99161850376476546</v>
      </c>
      <c r="S21" s="22">
        <v>0.99249594375338024</v>
      </c>
      <c r="T21" s="22">
        <v>0.99311845923841346</v>
      </c>
      <c r="U21" s="22">
        <v>0.99200442308510184</v>
      </c>
      <c r="V21" s="21"/>
      <c r="W21" s="21">
        <v>32064</v>
      </c>
      <c r="X21" s="21">
        <v>33653</v>
      </c>
      <c r="Y21" s="21">
        <v>34774</v>
      </c>
      <c r="Z21" s="21">
        <v>37788</v>
      </c>
      <c r="AA21" s="21">
        <v>43429</v>
      </c>
      <c r="AB21" s="22">
        <v>1.8620187432999497E-2</v>
      </c>
      <c r="AC21" s="22">
        <v>1.9260397970770303E-2</v>
      </c>
      <c r="AD21" s="22">
        <v>1.7678977147072474E-2</v>
      </c>
      <c r="AE21" s="22">
        <v>1.8717336420197961E-2</v>
      </c>
      <c r="AF21" s="22">
        <v>2.0859690733434584E-2</v>
      </c>
      <c r="AG21" s="21">
        <v>31361</v>
      </c>
      <c r="AH21" s="21">
        <v>33141</v>
      </c>
      <c r="AI21" s="21">
        <v>34340</v>
      </c>
      <c r="AJ21" s="21">
        <v>37350</v>
      </c>
      <c r="AK21" s="21">
        <v>43065</v>
      </c>
      <c r="AL21" s="22">
        <v>0.97807509980039919</v>
      </c>
      <c r="AM21" s="22">
        <v>0.98478590318842307</v>
      </c>
      <c r="AN21" s="22">
        <v>0.98751941105423591</v>
      </c>
      <c r="AO21" s="22">
        <v>0.98840901873610665</v>
      </c>
      <c r="AP21" s="22">
        <v>0.99161850376476546</v>
      </c>
    </row>
    <row r="22" spans="1:42" x14ac:dyDescent="0.25">
      <c r="A22" s="1" t="s">
        <v>67</v>
      </c>
      <c r="B22" s="23">
        <v>2066033</v>
      </c>
      <c r="C22" s="23">
        <v>2081958</v>
      </c>
      <c r="D22" s="23">
        <v>2098867</v>
      </c>
      <c r="E22" s="23">
        <v>2113618</v>
      </c>
      <c r="F22" s="23">
        <v>2143654</v>
      </c>
      <c r="G22" s="24">
        <v>1</v>
      </c>
      <c r="H22" s="24">
        <v>1</v>
      </c>
      <c r="I22" s="24">
        <v>1</v>
      </c>
      <c r="J22" s="24">
        <v>1</v>
      </c>
      <c r="K22" s="24">
        <v>1</v>
      </c>
      <c r="L22" s="23">
        <v>1699916</v>
      </c>
      <c r="M22" s="23">
        <v>1734788</v>
      </c>
      <c r="N22" s="23">
        <v>1769783</v>
      </c>
      <c r="O22" s="23">
        <v>1793740</v>
      </c>
      <c r="P22" s="23">
        <v>1797696</v>
      </c>
      <c r="Q22" s="24">
        <v>0.82279227872933303</v>
      </c>
      <c r="R22" s="24">
        <v>0.83324831720908876</v>
      </c>
      <c r="S22" s="24">
        <v>0.8432087407158243</v>
      </c>
      <c r="T22" s="24">
        <v>0.84865855608723995</v>
      </c>
      <c r="U22" s="24">
        <v>0.83861294779847873</v>
      </c>
      <c r="V22" s="23"/>
      <c r="W22" s="23">
        <v>1722002</v>
      </c>
      <c r="X22" s="23">
        <v>1747264</v>
      </c>
      <c r="Y22" s="23">
        <v>1966969</v>
      </c>
      <c r="Z22" s="23">
        <v>2018877</v>
      </c>
      <c r="AA22" s="23">
        <v>2081958</v>
      </c>
      <c r="AB22" s="24">
        <v>1</v>
      </c>
      <c r="AC22" s="24">
        <v>1</v>
      </c>
      <c r="AD22" s="24">
        <v>1</v>
      </c>
      <c r="AE22" s="24">
        <v>1</v>
      </c>
      <c r="AF22" s="24">
        <v>1</v>
      </c>
      <c r="AG22" s="23">
        <v>1228231</v>
      </c>
      <c r="AH22" s="23">
        <v>1309611</v>
      </c>
      <c r="AI22" s="23">
        <v>1510340</v>
      </c>
      <c r="AJ22" s="23">
        <v>1599730</v>
      </c>
      <c r="AK22" s="23">
        <v>1734788</v>
      </c>
      <c r="AL22" s="24">
        <v>0.71325759203531702</v>
      </c>
      <c r="AM22" s="24">
        <v>0.74952096534925461</v>
      </c>
      <c r="AN22" s="24">
        <v>0.76785145063292815</v>
      </c>
      <c r="AO22" s="24">
        <v>0.79238606413367429</v>
      </c>
      <c r="AP22" s="24">
        <v>0.83324831720908876</v>
      </c>
    </row>
    <row r="23" spans="1:42" x14ac:dyDescent="0.25">
      <c r="A23" s="25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</row>
    <row r="24" spans="1:42" x14ac:dyDescent="0.25">
      <c r="A24" s="1" t="s">
        <v>68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</row>
    <row r="25" spans="1:42" x14ac:dyDescent="0.25">
      <c r="A25" s="26" t="s">
        <v>69</v>
      </c>
      <c r="B25" s="27" t="s">
        <v>12</v>
      </c>
      <c r="C25" s="27" t="s">
        <v>13</v>
      </c>
      <c r="D25" s="27" t="s">
        <v>14</v>
      </c>
      <c r="E25" s="27" t="s">
        <v>15</v>
      </c>
      <c r="F25" s="27" t="s">
        <v>16</v>
      </c>
      <c r="G25" s="27" t="s">
        <v>12</v>
      </c>
      <c r="H25" s="27" t="s">
        <v>13</v>
      </c>
      <c r="I25" s="27" t="s">
        <v>14</v>
      </c>
      <c r="J25" s="27" t="s">
        <v>15</v>
      </c>
      <c r="K25" s="27" t="s">
        <v>16</v>
      </c>
      <c r="L25" s="27" t="s">
        <v>12</v>
      </c>
      <c r="M25" s="27" t="s">
        <v>13</v>
      </c>
      <c r="N25" s="27" t="s">
        <v>14</v>
      </c>
      <c r="O25" s="27" t="s">
        <v>15</v>
      </c>
      <c r="P25" s="27" t="s">
        <v>16</v>
      </c>
      <c r="Q25" s="27" t="s">
        <v>12</v>
      </c>
      <c r="R25" s="27" t="s">
        <v>13</v>
      </c>
      <c r="S25" s="27" t="s">
        <v>14</v>
      </c>
      <c r="T25" s="27" t="s">
        <v>15</v>
      </c>
      <c r="U25" s="27" t="s">
        <v>16</v>
      </c>
      <c r="V25" s="27"/>
      <c r="W25" s="27" t="s">
        <v>17</v>
      </c>
      <c r="X25" s="27" t="s">
        <v>18</v>
      </c>
      <c r="Y25" s="27" t="s">
        <v>19</v>
      </c>
      <c r="Z25" s="27" t="s">
        <v>20</v>
      </c>
      <c r="AA25" s="27" t="s">
        <v>21</v>
      </c>
      <c r="AB25" s="27" t="s">
        <v>17</v>
      </c>
      <c r="AC25" s="27" t="s">
        <v>18</v>
      </c>
      <c r="AD25" s="27" t="s">
        <v>19</v>
      </c>
      <c r="AE25" s="27" t="s">
        <v>20</v>
      </c>
      <c r="AF25" s="27" t="s">
        <v>21</v>
      </c>
      <c r="AG25" s="27" t="s">
        <v>17</v>
      </c>
      <c r="AH25" s="27" t="s">
        <v>18</v>
      </c>
      <c r="AI25" s="27" t="s">
        <v>19</v>
      </c>
      <c r="AJ25" s="27" t="s">
        <v>20</v>
      </c>
      <c r="AK25" s="27" t="s">
        <v>21</v>
      </c>
      <c r="AL25" s="27" t="s">
        <v>17</v>
      </c>
      <c r="AM25" s="27" t="s">
        <v>18</v>
      </c>
      <c r="AN25" s="27" t="s">
        <v>19</v>
      </c>
      <c r="AO25" s="27" t="s">
        <v>20</v>
      </c>
      <c r="AP25" s="27" t="s">
        <v>21</v>
      </c>
    </row>
    <row r="26" spans="1:42" x14ac:dyDescent="0.25">
      <c r="A26" s="20" t="s">
        <v>23</v>
      </c>
      <c r="B26" s="21">
        <v>108401</v>
      </c>
      <c r="C26" s="21">
        <v>108488</v>
      </c>
      <c r="D26" s="21">
        <v>107062</v>
      </c>
      <c r="E26" s="21">
        <v>105122</v>
      </c>
      <c r="F26" s="21">
        <v>104009</v>
      </c>
      <c r="G26" s="22">
        <v>0.89858664566668045</v>
      </c>
      <c r="H26" s="22">
        <v>0.89256742303325487</v>
      </c>
      <c r="I26" s="22">
        <v>0.87605659157672511</v>
      </c>
      <c r="J26" s="22">
        <v>0.85755773639085353</v>
      </c>
      <c r="K26" s="22">
        <v>0.8415512330895204</v>
      </c>
      <c r="L26" s="21">
        <v>29141</v>
      </c>
      <c r="M26" s="21">
        <v>36134</v>
      </c>
      <c r="N26" s="21">
        <v>44357</v>
      </c>
      <c r="O26" s="21">
        <v>45538</v>
      </c>
      <c r="P26" s="21">
        <v>37383</v>
      </c>
      <c r="Q26" s="22">
        <v>0.26882593334009836</v>
      </c>
      <c r="R26" s="22">
        <v>0.33306909519946909</v>
      </c>
      <c r="S26" s="22">
        <v>0.41431133361977174</v>
      </c>
      <c r="T26" s="22">
        <v>0.43319191035178173</v>
      </c>
      <c r="U26" s="22">
        <v>0.35942081935217146</v>
      </c>
      <c r="V26" s="21"/>
      <c r="W26" s="21">
        <v>108997</v>
      </c>
      <c r="X26" s="21">
        <v>110268</v>
      </c>
      <c r="Y26" s="21">
        <v>109282</v>
      </c>
      <c r="Z26" s="21">
        <v>107016</v>
      </c>
      <c r="AA26" s="21">
        <v>108488</v>
      </c>
      <c r="AB26" s="22">
        <v>0.96026676768833641</v>
      </c>
      <c r="AC26" s="22">
        <v>0.94621404544518428</v>
      </c>
      <c r="AD26" s="22">
        <v>0.92725020363833832</v>
      </c>
      <c r="AE26" s="22">
        <v>0.91076671687900523</v>
      </c>
      <c r="AF26" s="22">
        <v>0.89256742303325487</v>
      </c>
      <c r="AG26" s="21">
        <v>19519</v>
      </c>
      <c r="AH26" s="21">
        <v>25744</v>
      </c>
      <c r="AI26" s="21">
        <v>22957</v>
      </c>
      <c r="AJ26" s="21">
        <v>15511</v>
      </c>
      <c r="AK26" s="21">
        <v>36134</v>
      </c>
      <c r="AL26" s="22">
        <v>0.17907832325660339</v>
      </c>
      <c r="AM26" s="22">
        <v>0.23346755178292886</v>
      </c>
      <c r="AN26" s="22">
        <v>0.21007119196207977</v>
      </c>
      <c r="AO26" s="22">
        <v>0.14494094341033117</v>
      </c>
      <c r="AP26" s="22">
        <v>0.33306909519946909</v>
      </c>
    </row>
    <row r="27" spans="1:42" x14ac:dyDescent="0.25">
      <c r="A27" s="20" t="s">
        <v>35</v>
      </c>
      <c r="B27" s="21">
        <v>4704</v>
      </c>
      <c r="C27" s="21">
        <v>4917</v>
      </c>
      <c r="D27" s="21">
        <v>5005</v>
      </c>
      <c r="E27" s="21">
        <v>5124</v>
      </c>
      <c r="F27" s="21">
        <v>5100</v>
      </c>
      <c r="G27" s="22">
        <v>3.8993658556803583E-2</v>
      </c>
      <c r="H27" s="22">
        <v>4.0453819952939625E-2</v>
      </c>
      <c r="I27" s="22">
        <v>4.0954430524756766E-2</v>
      </c>
      <c r="J27" s="22">
        <v>4.1800249626783484E-2</v>
      </c>
      <c r="K27" s="22">
        <v>4.1264806783610587E-2</v>
      </c>
      <c r="L27" s="21">
        <v>4444</v>
      </c>
      <c r="M27" s="21">
        <v>4664</v>
      </c>
      <c r="N27" s="21">
        <v>4775</v>
      </c>
      <c r="O27" s="21">
        <v>4897</v>
      </c>
      <c r="P27" s="21">
        <v>4873</v>
      </c>
      <c r="Q27" s="22">
        <v>0.94472789115646261</v>
      </c>
      <c r="R27" s="22">
        <v>0.94854586129753915</v>
      </c>
      <c r="S27" s="22">
        <v>0.95404595404595405</v>
      </c>
      <c r="T27" s="22">
        <v>0.95569867291178767</v>
      </c>
      <c r="U27" s="22">
        <v>0.95549019607843133</v>
      </c>
      <c r="V27" s="21"/>
      <c r="W27" s="21">
        <v>4498</v>
      </c>
      <c r="X27" s="21">
        <v>4187</v>
      </c>
      <c r="Y27" s="21">
        <v>4181</v>
      </c>
      <c r="Z27" s="21">
        <v>4324</v>
      </c>
      <c r="AA27" s="21">
        <v>4917</v>
      </c>
      <c r="AB27" s="22">
        <v>3.9627511959614822E-2</v>
      </c>
      <c r="AC27" s="22">
        <v>3.592881169767282E-2</v>
      </c>
      <c r="AD27" s="22">
        <v>3.547549551995656E-2</v>
      </c>
      <c r="AE27" s="22">
        <v>3.6799686811176076E-2</v>
      </c>
      <c r="AF27" s="22">
        <v>4.0453819952939625E-2</v>
      </c>
      <c r="AG27" s="21">
        <v>4066</v>
      </c>
      <c r="AH27" s="21">
        <v>3784</v>
      </c>
      <c r="AI27" s="21">
        <v>3846</v>
      </c>
      <c r="AJ27" s="21">
        <v>4038</v>
      </c>
      <c r="AK27" s="21">
        <v>4664</v>
      </c>
      <c r="AL27" s="22">
        <v>0.9039573143619386</v>
      </c>
      <c r="AM27" s="22">
        <v>0.90374970145689038</v>
      </c>
      <c r="AN27" s="22">
        <v>0.91987562784022958</v>
      </c>
      <c r="AO27" s="22">
        <v>0.93385753931544868</v>
      </c>
      <c r="AP27" s="22">
        <v>0.94854586129753915</v>
      </c>
    </row>
    <row r="28" spans="1:42" x14ac:dyDescent="0.25">
      <c r="A28" s="20" t="s">
        <v>48</v>
      </c>
      <c r="B28" s="21">
        <v>7530</v>
      </c>
      <c r="C28" s="21">
        <v>8141</v>
      </c>
      <c r="D28" s="21">
        <v>10142</v>
      </c>
      <c r="E28" s="21">
        <v>12337</v>
      </c>
      <c r="F28" s="21">
        <v>14483</v>
      </c>
      <c r="G28" s="22">
        <v>6.2419695776515939E-2</v>
      </c>
      <c r="H28" s="22">
        <v>6.6978757013805471E-2</v>
      </c>
      <c r="I28" s="22">
        <v>8.2988977898518113E-2</v>
      </c>
      <c r="J28" s="22">
        <v>0.10064201398236297</v>
      </c>
      <c r="K28" s="22">
        <v>0.11718396012686905</v>
      </c>
      <c r="L28" s="21">
        <v>7256</v>
      </c>
      <c r="M28" s="21">
        <v>7862</v>
      </c>
      <c r="N28" s="21">
        <v>9863</v>
      </c>
      <c r="O28" s="21">
        <v>12042</v>
      </c>
      <c r="P28" s="21">
        <v>13960</v>
      </c>
      <c r="Q28" s="22">
        <v>0.96361221779548478</v>
      </c>
      <c r="R28" s="22">
        <v>0.96572902591819187</v>
      </c>
      <c r="S28" s="22">
        <v>0.97249063301124039</v>
      </c>
      <c r="T28" s="22">
        <v>0.9760881899975683</v>
      </c>
      <c r="U28" s="22">
        <v>0.96388869709314373</v>
      </c>
      <c r="V28" s="21"/>
      <c r="W28" s="21">
        <v>12</v>
      </c>
      <c r="X28" s="21">
        <v>2081</v>
      </c>
      <c r="Y28" s="21">
        <v>4393</v>
      </c>
      <c r="Z28" s="21">
        <v>6161</v>
      </c>
      <c r="AA28" s="21">
        <v>8141</v>
      </c>
      <c r="AB28" s="22">
        <v>1.0572035204877232E-4</v>
      </c>
      <c r="AC28" s="22">
        <v>1.7857142857142856E-2</v>
      </c>
      <c r="AD28" s="22">
        <v>3.7274300841705132E-2</v>
      </c>
      <c r="AE28" s="22">
        <v>5.2433596309818642E-2</v>
      </c>
      <c r="AF28" s="22">
        <v>6.6978757013805471E-2</v>
      </c>
      <c r="AG28" s="21">
        <v>0</v>
      </c>
      <c r="AH28" s="21">
        <v>2057</v>
      </c>
      <c r="AI28" s="21">
        <v>4329</v>
      </c>
      <c r="AJ28" s="21">
        <v>5984</v>
      </c>
      <c r="AK28" s="21">
        <v>7862</v>
      </c>
      <c r="AL28" s="22">
        <v>0</v>
      </c>
      <c r="AM28" s="22">
        <v>0.98846708313310905</v>
      </c>
      <c r="AN28" s="22">
        <v>0.98543136808559073</v>
      </c>
      <c r="AO28" s="22">
        <v>0.97127089758156149</v>
      </c>
      <c r="AP28" s="22">
        <v>0.96572902591819187</v>
      </c>
    </row>
    <row r="29" spans="1:42" x14ac:dyDescent="0.25">
      <c r="A29" s="28" t="s">
        <v>70</v>
      </c>
      <c r="B29" s="29">
        <v>120635</v>
      </c>
      <c r="C29" s="29">
        <v>121546</v>
      </c>
      <c r="D29" s="29">
        <v>122209</v>
      </c>
      <c r="E29" s="29">
        <v>122583</v>
      </c>
      <c r="F29" s="29">
        <v>123592</v>
      </c>
      <c r="G29" s="24">
        <v>1</v>
      </c>
      <c r="H29" s="24">
        <v>1</v>
      </c>
      <c r="I29" s="24">
        <v>1</v>
      </c>
      <c r="J29" s="24">
        <v>1</v>
      </c>
      <c r="K29" s="24">
        <v>1</v>
      </c>
      <c r="L29" s="29">
        <v>40841</v>
      </c>
      <c r="M29" s="29">
        <v>48660</v>
      </c>
      <c r="N29" s="29">
        <v>58995</v>
      </c>
      <c r="O29" s="29">
        <v>62477</v>
      </c>
      <c r="P29" s="29">
        <v>56216</v>
      </c>
      <c r="Q29" s="24">
        <v>0.33855017200646581</v>
      </c>
      <c r="R29" s="24">
        <v>0.40034225725239825</v>
      </c>
      <c r="S29" s="24">
        <v>0.48273858717443069</v>
      </c>
      <c r="T29" s="24">
        <v>0.50967099842555652</v>
      </c>
      <c r="U29" s="24">
        <v>0.45485144669557898</v>
      </c>
      <c r="V29" s="29"/>
      <c r="W29" s="29">
        <v>113507</v>
      </c>
      <c r="X29" s="29">
        <v>116536</v>
      </c>
      <c r="Y29" s="29">
        <v>117856</v>
      </c>
      <c r="Z29" s="29">
        <v>117501</v>
      </c>
      <c r="AA29" s="29">
        <v>121546</v>
      </c>
      <c r="AB29" s="24">
        <v>1</v>
      </c>
      <c r="AC29" s="24">
        <v>1</v>
      </c>
      <c r="AD29" s="24">
        <v>1</v>
      </c>
      <c r="AE29" s="24">
        <v>1</v>
      </c>
      <c r="AF29" s="24">
        <v>1</v>
      </c>
      <c r="AG29" s="29">
        <v>23585</v>
      </c>
      <c r="AH29" s="29">
        <v>31585</v>
      </c>
      <c r="AI29" s="29">
        <v>31132</v>
      </c>
      <c r="AJ29" s="29">
        <v>25533</v>
      </c>
      <c r="AK29" s="29">
        <v>48660</v>
      </c>
      <c r="AL29" s="24">
        <v>0.2077845419225246</v>
      </c>
      <c r="AM29" s="24">
        <v>0.27103212741127203</v>
      </c>
      <c r="AN29" s="24">
        <v>0.2641528645126256</v>
      </c>
      <c r="AO29" s="24">
        <v>0.21730027829550386</v>
      </c>
      <c r="AP29" s="24">
        <v>0.40034225725239825</v>
      </c>
    </row>
    <row r="30" spans="1:42" x14ac:dyDescent="0.25">
      <c r="A30" s="20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2"/>
      <c r="AC30" s="22"/>
      <c r="AD30" s="22"/>
      <c r="AE30" s="22"/>
      <c r="AF30" s="22"/>
      <c r="AG30" s="21"/>
      <c r="AH30" s="21"/>
      <c r="AI30" s="21"/>
      <c r="AJ30" s="21"/>
      <c r="AK30" s="21"/>
      <c r="AL30" s="22"/>
      <c r="AM30" s="22"/>
      <c r="AN30" s="22"/>
      <c r="AO30" s="22"/>
      <c r="AP30" s="22"/>
    </row>
    <row r="31" spans="1:42" x14ac:dyDescent="0.25">
      <c r="A31" s="30" t="s">
        <v>71</v>
      </c>
      <c r="B31" s="27" t="s">
        <v>12</v>
      </c>
      <c r="C31" s="27" t="s">
        <v>13</v>
      </c>
      <c r="D31" s="27" t="s">
        <v>14</v>
      </c>
      <c r="E31" s="27" t="s">
        <v>15</v>
      </c>
      <c r="F31" s="27" t="s">
        <v>16</v>
      </c>
      <c r="G31" s="27" t="s">
        <v>12</v>
      </c>
      <c r="H31" s="27" t="s">
        <v>13</v>
      </c>
      <c r="I31" s="27" t="s">
        <v>14</v>
      </c>
      <c r="J31" s="27" t="s">
        <v>15</v>
      </c>
      <c r="K31" s="27" t="s">
        <v>16</v>
      </c>
      <c r="L31" s="27" t="s">
        <v>12</v>
      </c>
      <c r="M31" s="27" t="s">
        <v>13</v>
      </c>
      <c r="N31" s="27" t="s">
        <v>14</v>
      </c>
      <c r="O31" s="27" t="s">
        <v>15</v>
      </c>
      <c r="P31" s="27" t="s">
        <v>16</v>
      </c>
      <c r="Q31" s="27" t="s">
        <v>12</v>
      </c>
      <c r="R31" s="27" t="s">
        <v>13</v>
      </c>
      <c r="S31" s="27" t="s">
        <v>14</v>
      </c>
      <c r="T31" s="27" t="s">
        <v>15</v>
      </c>
      <c r="U31" s="27" t="s">
        <v>16</v>
      </c>
      <c r="V31" s="27"/>
      <c r="W31" s="27" t="s">
        <v>17</v>
      </c>
      <c r="X31" s="27" t="s">
        <v>18</v>
      </c>
      <c r="Y31" s="27" t="s">
        <v>19</v>
      </c>
      <c r="Z31" s="27" t="s">
        <v>20</v>
      </c>
      <c r="AA31" s="27" t="s">
        <v>21</v>
      </c>
      <c r="AB31" s="27" t="s">
        <v>17</v>
      </c>
      <c r="AC31" s="27" t="s">
        <v>18</v>
      </c>
      <c r="AD31" s="27" t="s">
        <v>19</v>
      </c>
      <c r="AE31" s="27" t="s">
        <v>20</v>
      </c>
      <c r="AF31" s="27" t="s">
        <v>21</v>
      </c>
      <c r="AG31" s="27" t="s">
        <v>17</v>
      </c>
      <c r="AH31" s="27" t="s">
        <v>18</v>
      </c>
      <c r="AI31" s="27" t="s">
        <v>19</v>
      </c>
      <c r="AJ31" s="27" t="s">
        <v>20</v>
      </c>
      <c r="AK31" s="27" t="s">
        <v>21</v>
      </c>
      <c r="AL31" s="27" t="s">
        <v>17</v>
      </c>
      <c r="AM31" s="27" t="s">
        <v>18</v>
      </c>
      <c r="AN31" s="27" t="s">
        <v>19</v>
      </c>
      <c r="AO31" s="27" t="s">
        <v>20</v>
      </c>
      <c r="AP31" s="27" t="s">
        <v>21</v>
      </c>
    </row>
    <row r="32" spans="1:42" x14ac:dyDescent="0.25">
      <c r="A32" s="20" t="s">
        <v>23</v>
      </c>
      <c r="B32" s="21">
        <v>19858</v>
      </c>
      <c r="C32" s="21">
        <v>19706</v>
      </c>
      <c r="D32" s="21">
        <v>19596</v>
      </c>
      <c r="E32" s="21">
        <v>19139</v>
      </c>
      <c r="F32" s="21">
        <v>19128</v>
      </c>
      <c r="G32" s="22">
        <v>1.4886079289474196E-2</v>
      </c>
      <c r="H32" s="22">
        <v>1.4645573552647811E-2</v>
      </c>
      <c r="I32" s="22">
        <v>1.4419372997156007E-2</v>
      </c>
      <c r="J32" s="22">
        <v>1.396433436478294E-2</v>
      </c>
      <c r="K32" s="22">
        <v>1.3755955484439331E-2</v>
      </c>
      <c r="L32" s="21">
        <v>10255</v>
      </c>
      <c r="M32" s="21">
        <v>10690</v>
      </c>
      <c r="N32" s="21">
        <v>10969</v>
      </c>
      <c r="O32" s="21">
        <v>11129</v>
      </c>
      <c r="P32" s="21">
        <v>8291</v>
      </c>
      <c r="Q32" s="22">
        <v>0.51641655755866656</v>
      </c>
      <c r="R32" s="22">
        <v>0.54247437328732362</v>
      </c>
      <c r="S32" s="22">
        <v>0.55975709328434375</v>
      </c>
      <c r="T32" s="22">
        <v>0.58148283609383977</v>
      </c>
      <c r="U32" s="22">
        <v>0.43344834797156001</v>
      </c>
      <c r="V32" s="21"/>
      <c r="W32" s="21">
        <v>22315</v>
      </c>
      <c r="X32" s="21">
        <v>21949</v>
      </c>
      <c r="Y32" s="21">
        <v>21155</v>
      </c>
      <c r="Z32" s="21">
        <v>20587</v>
      </c>
      <c r="AA32" s="21">
        <v>19706</v>
      </c>
      <c r="AB32" s="22">
        <v>1.8458044034614932E-2</v>
      </c>
      <c r="AC32" s="22">
        <v>1.7946397106859923E-2</v>
      </c>
      <c r="AD32" s="22">
        <v>1.682715634977577E-2</v>
      </c>
      <c r="AE32" s="22">
        <v>1.5878329131146035E-2</v>
      </c>
      <c r="AF32" s="22">
        <v>1.4645573552647811E-2</v>
      </c>
      <c r="AG32" s="21">
        <v>6802</v>
      </c>
      <c r="AH32" s="21">
        <v>7318</v>
      </c>
      <c r="AI32" s="21">
        <v>7203</v>
      </c>
      <c r="AJ32" s="21">
        <v>6264</v>
      </c>
      <c r="AK32" s="21">
        <v>10690</v>
      </c>
      <c r="AL32" s="22">
        <v>0.30481738740757336</v>
      </c>
      <c r="AM32" s="22">
        <v>0.3334092669369903</v>
      </c>
      <c r="AN32" s="22">
        <v>0.34048688253367998</v>
      </c>
      <c r="AO32" s="22">
        <v>0.3042696847525137</v>
      </c>
      <c r="AP32" s="22">
        <v>0.54247437328732362</v>
      </c>
    </row>
    <row r="33" spans="1:42" x14ac:dyDescent="0.25">
      <c r="A33" s="20" t="s">
        <v>24</v>
      </c>
      <c r="B33" s="21">
        <v>627336</v>
      </c>
      <c r="C33" s="21">
        <v>621820</v>
      </c>
      <c r="D33" s="21">
        <v>617877</v>
      </c>
      <c r="E33" s="21">
        <v>612891</v>
      </c>
      <c r="F33" s="21">
        <v>621721</v>
      </c>
      <c r="G33" s="22">
        <v>0.47026757161554966</v>
      </c>
      <c r="H33" s="22">
        <v>0.46213897018712385</v>
      </c>
      <c r="I33" s="22">
        <v>0.45465395638720973</v>
      </c>
      <c r="J33" s="22">
        <v>0.44718192450839545</v>
      </c>
      <c r="K33" s="22">
        <v>0.44711242156739361</v>
      </c>
      <c r="L33" s="21">
        <v>497060</v>
      </c>
      <c r="M33" s="21">
        <v>497241</v>
      </c>
      <c r="N33" s="21">
        <v>498552</v>
      </c>
      <c r="O33" s="21">
        <v>496318</v>
      </c>
      <c r="P33" s="21">
        <v>499866</v>
      </c>
      <c r="Q33" s="22">
        <v>0.79233457031000931</v>
      </c>
      <c r="R33" s="22">
        <v>0.7996542407770737</v>
      </c>
      <c r="S33" s="22">
        <v>0.80687903903204039</v>
      </c>
      <c r="T33" s="22">
        <v>0.80979815334211136</v>
      </c>
      <c r="U33" s="22">
        <v>0.80400372514359331</v>
      </c>
      <c r="V33" s="21"/>
      <c r="W33" s="21">
        <v>678552</v>
      </c>
      <c r="X33" s="21">
        <v>659869</v>
      </c>
      <c r="Y33" s="21">
        <v>649432</v>
      </c>
      <c r="Z33" s="21">
        <v>634247</v>
      </c>
      <c r="AA33" s="21">
        <v>621820</v>
      </c>
      <c r="AB33" s="22">
        <v>0.56127011856491293</v>
      </c>
      <c r="AC33" s="22">
        <v>0.53953579263322027</v>
      </c>
      <c r="AD33" s="22">
        <v>0.516572621250181</v>
      </c>
      <c r="AE33" s="22">
        <v>0.48918164941186087</v>
      </c>
      <c r="AF33" s="22">
        <v>0.46213897018712385</v>
      </c>
      <c r="AG33" s="21">
        <v>462514</v>
      </c>
      <c r="AH33" s="21">
        <v>461027</v>
      </c>
      <c r="AI33" s="21">
        <v>470557</v>
      </c>
      <c r="AJ33" s="21">
        <v>484914</v>
      </c>
      <c r="AK33" s="21">
        <v>497241</v>
      </c>
      <c r="AL33" s="22">
        <v>0.68161909477829263</v>
      </c>
      <c r="AM33" s="22">
        <v>0.69866443187966099</v>
      </c>
      <c r="AN33" s="22">
        <v>0.72456700624545756</v>
      </c>
      <c r="AO33" s="22">
        <v>0.76455071919930251</v>
      </c>
      <c r="AP33" s="22">
        <v>0.7996542407770737</v>
      </c>
    </row>
    <row r="34" spans="1:42" x14ac:dyDescent="0.25">
      <c r="A34" s="20" t="s">
        <v>25</v>
      </c>
      <c r="B34" s="21">
        <v>10762</v>
      </c>
      <c r="C34" s="21">
        <v>15330</v>
      </c>
      <c r="D34" s="21">
        <v>18045</v>
      </c>
      <c r="E34" s="21">
        <v>20858</v>
      </c>
      <c r="F34" s="21">
        <v>21781</v>
      </c>
      <c r="G34" s="22">
        <v>8.0674783620365252E-3</v>
      </c>
      <c r="H34" s="22">
        <v>1.1393313841575711E-2</v>
      </c>
      <c r="I34" s="22">
        <v>1.3278096842910807E-2</v>
      </c>
      <c r="J34" s="22">
        <v>1.5218563466254378E-2</v>
      </c>
      <c r="K34" s="22">
        <v>1.5663867963538951E-2</v>
      </c>
      <c r="L34" s="21">
        <v>10613</v>
      </c>
      <c r="M34" s="21">
        <v>14934</v>
      </c>
      <c r="N34" s="21">
        <v>17596</v>
      </c>
      <c r="O34" s="21">
        <v>20338</v>
      </c>
      <c r="P34" s="21">
        <v>20817</v>
      </c>
      <c r="Q34" s="22">
        <v>0.98615498977885152</v>
      </c>
      <c r="R34" s="22">
        <v>0.97416829745596867</v>
      </c>
      <c r="S34" s="22">
        <v>0.9751177611526739</v>
      </c>
      <c r="T34" s="22">
        <v>0.97506951769105377</v>
      </c>
      <c r="U34" s="22">
        <v>0.95574124236720082</v>
      </c>
      <c r="V34" s="21"/>
      <c r="W34" s="21">
        <v>0</v>
      </c>
      <c r="X34" s="21">
        <v>0</v>
      </c>
      <c r="Y34" s="21">
        <v>0</v>
      </c>
      <c r="Z34" s="21">
        <v>295</v>
      </c>
      <c r="AA34" s="21">
        <v>15330</v>
      </c>
      <c r="AB34" s="22">
        <v>0</v>
      </c>
      <c r="AC34" s="22">
        <v>0</v>
      </c>
      <c r="AD34" s="22">
        <v>0</v>
      </c>
      <c r="AE34" s="22">
        <v>2.2752742476747853E-4</v>
      </c>
      <c r="AF34" s="22">
        <v>1.1393313841575711E-2</v>
      </c>
      <c r="AG34" s="21">
        <v>0</v>
      </c>
      <c r="AH34" s="21">
        <v>0</v>
      </c>
      <c r="AI34" s="21">
        <v>0</v>
      </c>
      <c r="AJ34" s="21">
        <v>295</v>
      </c>
      <c r="AK34" s="21">
        <v>14934</v>
      </c>
      <c r="AL34" s="22">
        <v>0</v>
      </c>
      <c r="AM34" s="22">
        <v>0</v>
      </c>
      <c r="AN34" s="22">
        <v>0</v>
      </c>
      <c r="AO34" s="22">
        <v>1</v>
      </c>
      <c r="AP34" s="22">
        <v>0.97416829745596867</v>
      </c>
    </row>
    <row r="35" spans="1:42" x14ac:dyDescent="0.25">
      <c r="A35" s="20" t="s">
        <v>26</v>
      </c>
      <c r="B35" s="21">
        <v>11207</v>
      </c>
      <c r="C35" s="21">
        <v>14103</v>
      </c>
      <c r="D35" s="21">
        <v>16497</v>
      </c>
      <c r="E35" s="21">
        <v>17665</v>
      </c>
      <c r="F35" s="21">
        <v>19549</v>
      </c>
      <c r="G35" s="22">
        <v>8.4010620705578277E-3</v>
      </c>
      <c r="H35" s="22">
        <v>1.0481402811985795E-2</v>
      </c>
      <c r="I35" s="22">
        <v>1.2139028186062597E-2</v>
      </c>
      <c r="J35" s="22">
        <v>1.2888863919425812E-2</v>
      </c>
      <c r="K35" s="22">
        <v>1.4058718829219179E-2</v>
      </c>
      <c r="L35" s="21">
        <v>10992</v>
      </c>
      <c r="M35" s="21">
        <v>13790</v>
      </c>
      <c r="N35" s="21">
        <v>16099</v>
      </c>
      <c r="O35" s="21">
        <v>17150</v>
      </c>
      <c r="P35" s="21">
        <v>18591</v>
      </c>
      <c r="Q35" s="22">
        <v>0.98081556170250739</v>
      </c>
      <c r="R35" s="22">
        <v>0.97780614053747428</v>
      </c>
      <c r="S35" s="22">
        <v>0.97587440140631632</v>
      </c>
      <c r="T35" s="22">
        <v>0.9708463062553071</v>
      </c>
      <c r="U35" s="22">
        <v>0.95099493580234284</v>
      </c>
      <c r="V35" s="21"/>
      <c r="W35" s="21">
        <v>0</v>
      </c>
      <c r="X35" s="21">
        <v>0</v>
      </c>
      <c r="Y35" s="21">
        <v>0</v>
      </c>
      <c r="Z35" s="21">
        <v>3687</v>
      </c>
      <c r="AA35" s="21">
        <v>14103</v>
      </c>
      <c r="AB35" s="22">
        <v>0</v>
      </c>
      <c r="AC35" s="22">
        <v>0</v>
      </c>
      <c r="AD35" s="22">
        <v>0</v>
      </c>
      <c r="AE35" s="22">
        <v>2.8437071698904862E-3</v>
      </c>
      <c r="AF35" s="22">
        <v>1.0481402811985795E-2</v>
      </c>
      <c r="AG35" s="21">
        <v>0</v>
      </c>
      <c r="AH35" s="21">
        <v>0</v>
      </c>
      <c r="AI35" s="21">
        <v>0</v>
      </c>
      <c r="AJ35" s="21">
        <v>3667</v>
      </c>
      <c r="AK35" s="21">
        <v>13790</v>
      </c>
      <c r="AL35" s="22">
        <v>0</v>
      </c>
      <c r="AM35" s="22">
        <v>0</v>
      </c>
      <c r="AN35" s="22">
        <v>0</v>
      </c>
      <c r="AO35" s="22">
        <v>0.99457553566585299</v>
      </c>
      <c r="AP35" s="22">
        <v>0.97780614053747428</v>
      </c>
    </row>
    <row r="36" spans="1:42" x14ac:dyDescent="0.25">
      <c r="A36" s="20" t="s">
        <v>28</v>
      </c>
      <c r="B36" s="21">
        <v>0</v>
      </c>
      <c r="C36" s="21">
        <v>0</v>
      </c>
      <c r="D36" s="21">
        <v>0</v>
      </c>
      <c r="E36" s="21">
        <v>0</v>
      </c>
      <c r="F36" s="21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1"/>
      <c r="W36" s="21">
        <v>23588</v>
      </c>
      <c r="X36" s="21">
        <v>0</v>
      </c>
      <c r="Y36" s="21">
        <v>0</v>
      </c>
      <c r="Z36" s="21">
        <v>0</v>
      </c>
      <c r="AA36" s="21">
        <v>0</v>
      </c>
      <c r="AB36" s="22">
        <v>1.9511016925319161E-2</v>
      </c>
      <c r="AC36" s="22">
        <v>0</v>
      </c>
      <c r="AD36" s="22">
        <v>0</v>
      </c>
      <c r="AE36" s="22">
        <v>0</v>
      </c>
      <c r="AF36" s="22">
        <v>0</v>
      </c>
      <c r="AG36" s="21">
        <v>22446</v>
      </c>
      <c r="AH36" s="21">
        <v>0</v>
      </c>
      <c r="AI36" s="21">
        <v>0</v>
      </c>
      <c r="AJ36" s="21">
        <v>0</v>
      </c>
      <c r="AK36" s="21">
        <v>0</v>
      </c>
      <c r="AL36" s="22">
        <v>0.95158555197558081</v>
      </c>
      <c r="AM36" s="22">
        <v>0</v>
      </c>
      <c r="AN36" s="22">
        <v>0</v>
      </c>
      <c r="AO36" s="22">
        <v>0</v>
      </c>
      <c r="AP36" s="22">
        <v>0</v>
      </c>
    </row>
    <row r="37" spans="1:42" x14ac:dyDescent="0.25">
      <c r="A37" s="20" t="s">
        <v>30</v>
      </c>
      <c r="B37" s="21">
        <v>1898</v>
      </c>
      <c r="C37" s="21">
        <v>1998</v>
      </c>
      <c r="D37" s="21">
        <v>2019</v>
      </c>
      <c r="E37" s="21">
        <v>2889</v>
      </c>
      <c r="F37" s="21">
        <v>2198</v>
      </c>
      <c r="G37" s="22">
        <v>1.4227907388166998E-3</v>
      </c>
      <c r="H37" s="22">
        <v>1.4849211386476367E-3</v>
      </c>
      <c r="I37" s="22">
        <v>1.4856457481760552E-3</v>
      </c>
      <c r="J37" s="22">
        <v>2.1078928878132562E-3</v>
      </c>
      <c r="K37" s="22">
        <v>1.5806979378292371E-3</v>
      </c>
      <c r="L37" s="21">
        <v>1832</v>
      </c>
      <c r="M37" s="21">
        <v>1927</v>
      </c>
      <c r="N37" s="21">
        <v>1922</v>
      </c>
      <c r="O37" s="21">
        <v>2732</v>
      </c>
      <c r="P37" s="21">
        <v>2085</v>
      </c>
      <c r="Q37" s="22">
        <v>0.96522655426765014</v>
      </c>
      <c r="R37" s="22">
        <v>0.96446446446446443</v>
      </c>
      <c r="S37" s="22">
        <v>0.95195641406636944</v>
      </c>
      <c r="T37" s="22">
        <v>0.94565593631014189</v>
      </c>
      <c r="U37" s="22">
        <v>0.94858962693357596</v>
      </c>
      <c r="V37" s="21"/>
      <c r="W37" s="21">
        <v>0</v>
      </c>
      <c r="X37" s="21">
        <v>1028</v>
      </c>
      <c r="Y37" s="21">
        <v>1881</v>
      </c>
      <c r="Z37" s="21">
        <v>1694</v>
      </c>
      <c r="AA37" s="21">
        <v>1998</v>
      </c>
      <c r="AB37" s="22">
        <v>0</v>
      </c>
      <c r="AC37" s="22">
        <v>8.4053470435336468E-4</v>
      </c>
      <c r="AD37" s="22">
        <v>1.496189132305754E-3</v>
      </c>
      <c r="AE37" s="22">
        <v>1.3065473137495209E-3</v>
      </c>
      <c r="AF37" s="22">
        <v>1.4849211386476367E-3</v>
      </c>
      <c r="AG37" s="21">
        <v>0</v>
      </c>
      <c r="AH37" s="21">
        <v>1028</v>
      </c>
      <c r="AI37" s="21">
        <v>1835</v>
      </c>
      <c r="AJ37" s="21">
        <v>1645</v>
      </c>
      <c r="AK37" s="21">
        <v>1927</v>
      </c>
      <c r="AL37" s="22">
        <v>0</v>
      </c>
      <c r="AM37" s="22">
        <v>1</v>
      </c>
      <c r="AN37" s="22">
        <v>0.97554492291334394</v>
      </c>
      <c r="AO37" s="22">
        <v>0.97107438016528924</v>
      </c>
      <c r="AP37" s="22">
        <v>0.96446446446446443</v>
      </c>
    </row>
    <row r="38" spans="1:42" x14ac:dyDescent="0.25">
      <c r="A38" s="20" t="s">
        <v>33</v>
      </c>
      <c r="B38" s="21">
        <v>10417</v>
      </c>
      <c r="C38" s="21">
        <v>10512</v>
      </c>
      <c r="D38" s="21">
        <v>10542</v>
      </c>
      <c r="E38" s="21">
        <v>10798</v>
      </c>
      <c r="F38" s="21">
        <v>11451</v>
      </c>
      <c r="G38" s="22">
        <v>7.8088572846436053E-3</v>
      </c>
      <c r="H38" s="22">
        <v>7.8125580627947736E-3</v>
      </c>
      <c r="I38" s="22">
        <v>7.7571458530321814E-3</v>
      </c>
      <c r="J38" s="22">
        <v>7.878514158050378E-3</v>
      </c>
      <c r="K38" s="22">
        <v>8.2350191474443099E-3</v>
      </c>
      <c r="L38" s="21">
        <v>10025</v>
      </c>
      <c r="M38" s="21">
        <v>10085</v>
      </c>
      <c r="N38" s="21">
        <v>10003</v>
      </c>
      <c r="O38" s="21">
        <v>10355</v>
      </c>
      <c r="P38" s="21">
        <v>10963</v>
      </c>
      <c r="Q38" s="22">
        <v>0.96236920418546612</v>
      </c>
      <c r="R38" s="22">
        <v>0.95937975646879758</v>
      </c>
      <c r="S38" s="22">
        <v>0.94887118193891107</v>
      </c>
      <c r="T38" s="22">
        <v>0.95897388405260231</v>
      </c>
      <c r="U38" s="22">
        <v>0.95738363461706399</v>
      </c>
      <c r="V38" s="21"/>
      <c r="W38" s="21">
        <v>0</v>
      </c>
      <c r="X38" s="21">
        <v>5</v>
      </c>
      <c r="Y38" s="21">
        <v>4499</v>
      </c>
      <c r="Z38" s="21">
        <v>9313</v>
      </c>
      <c r="AA38" s="21">
        <v>10512</v>
      </c>
      <c r="AB38" s="22">
        <v>0</v>
      </c>
      <c r="AC38" s="22">
        <v>4.0882038149482718E-6</v>
      </c>
      <c r="AD38" s="22">
        <v>3.5786044158658092E-3</v>
      </c>
      <c r="AE38" s="22">
        <v>7.182925107998399E-3</v>
      </c>
      <c r="AF38" s="22">
        <v>7.8125580627947736E-3</v>
      </c>
      <c r="AG38" s="21">
        <v>0</v>
      </c>
      <c r="AH38" s="21">
        <v>5</v>
      </c>
      <c r="AI38" s="21">
        <v>4477</v>
      </c>
      <c r="AJ38" s="21">
        <v>9013</v>
      </c>
      <c r="AK38" s="21">
        <v>10085</v>
      </c>
      <c r="AL38" s="22">
        <v>0</v>
      </c>
      <c r="AM38" s="22">
        <v>1</v>
      </c>
      <c r="AN38" s="22">
        <v>0.99511002444987773</v>
      </c>
      <c r="AO38" s="22">
        <v>0.96778696445828416</v>
      </c>
      <c r="AP38" s="22">
        <v>0.95937975646879758</v>
      </c>
    </row>
    <row r="39" spans="1:42" x14ac:dyDescent="0.25">
      <c r="A39" s="20" t="s">
        <v>35</v>
      </c>
      <c r="B39" s="21">
        <v>343582</v>
      </c>
      <c r="C39" s="21">
        <v>345017</v>
      </c>
      <c r="D39" s="21">
        <v>354560</v>
      </c>
      <c r="E39" s="21">
        <v>363255</v>
      </c>
      <c r="F39" s="21">
        <v>361193</v>
      </c>
      <c r="G39" s="22">
        <v>0.25755810728351919</v>
      </c>
      <c r="H39" s="22">
        <v>0.25641793618257841</v>
      </c>
      <c r="I39" s="22">
        <v>0.26089675902590498</v>
      </c>
      <c r="J39" s="22">
        <v>0.26504071684409986</v>
      </c>
      <c r="K39" s="22">
        <v>0.25975297100016181</v>
      </c>
      <c r="L39" s="21">
        <v>321623</v>
      </c>
      <c r="M39" s="21">
        <v>323883</v>
      </c>
      <c r="N39" s="21">
        <v>333615</v>
      </c>
      <c r="O39" s="21">
        <v>343604</v>
      </c>
      <c r="P39" s="21">
        <v>342687</v>
      </c>
      <c r="Q39" s="22">
        <v>0.93608803720800271</v>
      </c>
      <c r="R39" s="22">
        <v>0.93874504734549313</v>
      </c>
      <c r="S39" s="22">
        <v>0.94092678249097472</v>
      </c>
      <c r="T39" s="22">
        <v>0.94590301578780744</v>
      </c>
      <c r="U39" s="22">
        <v>0.94876423407984101</v>
      </c>
      <c r="V39" s="21"/>
      <c r="W39" s="21">
        <v>252709</v>
      </c>
      <c r="X39" s="21">
        <v>278434</v>
      </c>
      <c r="Y39" s="21">
        <v>303541</v>
      </c>
      <c r="Z39" s="21">
        <v>333394</v>
      </c>
      <c r="AA39" s="21">
        <v>345017</v>
      </c>
      <c r="AB39" s="22">
        <v>0.20903042123878579</v>
      </c>
      <c r="AC39" s="22">
        <v>0.22765898820226144</v>
      </c>
      <c r="AD39" s="22">
        <v>0.24144324583159002</v>
      </c>
      <c r="AE39" s="22">
        <v>0.25713992628111437</v>
      </c>
      <c r="AF39" s="22">
        <v>0.25641793618257841</v>
      </c>
      <c r="AG39" s="21">
        <v>186729</v>
      </c>
      <c r="AH39" s="21">
        <v>243544</v>
      </c>
      <c r="AI39" s="21">
        <v>277137</v>
      </c>
      <c r="AJ39" s="21">
        <v>308810</v>
      </c>
      <c r="AK39" s="21">
        <v>323883</v>
      </c>
      <c r="AL39" s="22">
        <v>0.73890918012417439</v>
      </c>
      <c r="AM39" s="22">
        <v>0.87469202755410613</v>
      </c>
      <c r="AN39" s="22">
        <v>0.91301339851947516</v>
      </c>
      <c r="AO39" s="22">
        <v>0.92626142042148329</v>
      </c>
      <c r="AP39" s="22">
        <v>0.93874504734549313</v>
      </c>
    </row>
    <row r="40" spans="1:42" x14ac:dyDescent="0.25">
      <c r="A40" s="20" t="s">
        <v>42</v>
      </c>
      <c r="B40" s="21">
        <v>199</v>
      </c>
      <c r="C40" s="21">
        <v>180</v>
      </c>
      <c r="D40" s="21">
        <v>154</v>
      </c>
      <c r="E40" s="21">
        <v>103</v>
      </c>
      <c r="F40" s="21">
        <v>31</v>
      </c>
      <c r="G40" s="22">
        <v>1.4917563594548118E-4</v>
      </c>
      <c r="H40" s="22">
        <v>1.3377667915744475E-4</v>
      </c>
      <c r="I40" s="22">
        <v>1.133181997122895E-4</v>
      </c>
      <c r="J40" s="22">
        <v>7.5151598284792448E-5</v>
      </c>
      <c r="K40" s="22">
        <v>2.229373797666349E-5</v>
      </c>
      <c r="L40" s="21">
        <v>192</v>
      </c>
      <c r="M40" s="21">
        <v>157</v>
      </c>
      <c r="N40" s="21">
        <v>130</v>
      </c>
      <c r="O40" s="21">
        <v>90</v>
      </c>
      <c r="P40" s="21">
        <v>19</v>
      </c>
      <c r="Q40" s="22">
        <v>0.96482412060301503</v>
      </c>
      <c r="R40" s="22">
        <v>0.87222222222222223</v>
      </c>
      <c r="S40" s="22">
        <v>0.8441558441558441</v>
      </c>
      <c r="T40" s="22">
        <v>0.87378640776699024</v>
      </c>
      <c r="U40" s="22">
        <v>0.61290322580645162</v>
      </c>
      <c r="V40" s="21"/>
      <c r="W40" s="21">
        <v>13659</v>
      </c>
      <c r="X40" s="21">
        <v>18150</v>
      </c>
      <c r="Y40" s="21">
        <v>13575</v>
      </c>
      <c r="Z40" s="21">
        <v>944</v>
      </c>
      <c r="AA40" s="21">
        <v>180</v>
      </c>
      <c r="AB40" s="22">
        <v>1.1298159241263964E-2</v>
      </c>
      <c r="AC40" s="22">
        <v>1.4840179848262228E-2</v>
      </c>
      <c r="AD40" s="22">
        <v>1.0797856178123663E-2</v>
      </c>
      <c r="AE40" s="22">
        <v>7.2808775925593133E-4</v>
      </c>
      <c r="AF40" s="22">
        <v>1.3377667915744475E-4</v>
      </c>
      <c r="AG40" s="21">
        <v>13283</v>
      </c>
      <c r="AH40" s="21">
        <v>16867</v>
      </c>
      <c r="AI40" s="21">
        <v>12229</v>
      </c>
      <c r="AJ40" s="21">
        <v>868</v>
      </c>
      <c r="AK40" s="21">
        <v>157</v>
      </c>
      <c r="AL40" s="22">
        <v>0.97247236254484226</v>
      </c>
      <c r="AM40" s="22">
        <v>0.92931129476584018</v>
      </c>
      <c r="AN40" s="22">
        <v>0.90084714548802947</v>
      </c>
      <c r="AO40" s="22">
        <v>0.91949152542372881</v>
      </c>
      <c r="AP40" s="22">
        <v>0.87222222222222223</v>
      </c>
    </row>
    <row r="41" spans="1:42" x14ac:dyDescent="0.25">
      <c r="A41" s="20" t="s">
        <v>48</v>
      </c>
      <c r="B41" s="21">
        <v>266540</v>
      </c>
      <c r="C41" s="21">
        <v>271960</v>
      </c>
      <c r="D41" s="21">
        <v>271002</v>
      </c>
      <c r="E41" s="21">
        <v>270994</v>
      </c>
      <c r="F41" s="21">
        <v>277944</v>
      </c>
      <c r="G41" s="22">
        <v>0.19980539700959071</v>
      </c>
      <c r="H41" s="22">
        <v>0.20212169813143707</v>
      </c>
      <c r="I41" s="22">
        <v>0.19941206985993429</v>
      </c>
      <c r="J41" s="22">
        <v>0.19772458471445675</v>
      </c>
      <c r="K41" s="22">
        <v>0.19988421639308895</v>
      </c>
      <c r="L41" s="21">
        <v>241885</v>
      </c>
      <c r="M41" s="21">
        <v>248399</v>
      </c>
      <c r="N41" s="21">
        <v>247908</v>
      </c>
      <c r="O41" s="21">
        <v>248281</v>
      </c>
      <c r="P41" s="21">
        <v>249334</v>
      </c>
      <c r="Q41" s="22">
        <v>0.90749981241089517</v>
      </c>
      <c r="R41" s="22">
        <v>0.91336593616708339</v>
      </c>
      <c r="S41" s="22">
        <v>0.91478291673124179</v>
      </c>
      <c r="T41" s="22">
        <v>0.91618633622884638</v>
      </c>
      <c r="U41" s="22">
        <v>0.89706559594738511</v>
      </c>
      <c r="V41" s="21"/>
      <c r="W41" s="21">
        <v>218135</v>
      </c>
      <c r="X41" s="21">
        <v>243596</v>
      </c>
      <c r="Y41" s="21">
        <v>254034</v>
      </c>
      <c r="Z41" s="21">
        <v>260017</v>
      </c>
      <c r="AA41" s="21">
        <v>271960</v>
      </c>
      <c r="AB41" s="22">
        <v>0.18043223999510322</v>
      </c>
      <c r="AC41" s="22">
        <v>0.19917401930122786</v>
      </c>
      <c r="AD41" s="22">
        <v>0.20206427965771392</v>
      </c>
      <c r="AE41" s="22">
        <v>0.20054575730767954</v>
      </c>
      <c r="AF41" s="22">
        <v>0.20212169813143707</v>
      </c>
      <c r="AG41" s="21">
        <v>179301</v>
      </c>
      <c r="AH41" s="21">
        <v>206591</v>
      </c>
      <c r="AI41" s="21">
        <v>221620</v>
      </c>
      <c r="AJ41" s="21">
        <v>231896</v>
      </c>
      <c r="AK41" s="21">
        <v>248399</v>
      </c>
      <c r="AL41" s="22">
        <v>0.82197263162720335</v>
      </c>
      <c r="AM41" s="22">
        <v>0.84808863856549366</v>
      </c>
      <c r="AN41" s="22">
        <v>0.87240290669752862</v>
      </c>
      <c r="AO41" s="22">
        <v>0.89184937907906026</v>
      </c>
      <c r="AP41" s="22">
        <v>0.91336593616708339</v>
      </c>
    </row>
    <row r="42" spans="1:42" x14ac:dyDescent="0.25">
      <c r="A42" s="20" t="s">
        <v>55</v>
      </c>
      <c r="B42" s="21">
        <v>0</v>
      </c>
      <c r="C42" s="21">
        <v>0</v>
      </c>
      <c r="D42" s="21">
        <v>0</v>
      </c>
      <c r="E42" s="21">
        <v>166</v>
      </c>
      <c r="F42" s="21">
        <v>234</v>
      </c>
      <c r="G42" s="22">
        <v>0</v>
      </c>
      <c r="H42" s="22">
        <v>0</v>
      </c>
      <c r="I42" s="22">
        <v>0</v>
      </c>
      <c r="J42" s="22">
        <v>1.2111810985704414E-4</v>
      </c>
      <c r="K42" s="22">
        <v>1.6828176408191151E-4</v>
      </c>
      <c r="L42" s="21">
        <v>0</v>
      </c>
      <c r="M42" s="21">
        <v>0</v>
      </c>
      <c r="N42" s="21">
        <v>0</v>
      </c>
      <c r="O42" s="21">
        <v>166</v>
      </c>
      <c r="P42" s="21">
        <v>210</v>
      </c>
      <c r="Q42" s="22">
        <v>0</v>
      </c>
      <c r="R42" s="22">
        <v>0</v>
      </c>
      <c r="S42" s="22">
        <v>0</v>
      </c>
      <c r="T42" s="22">
        <v>1</v>
      </c>
      <c r="U42" s="22">
        <v>0.89743589743589747</v>
      </c>
      <c r="V42" s="21"/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</row>
    <row r="43" spans="1:42" x14ac:dyDescent="0.25">
      <c r="A43" s="20" t="s">
        <v>57</v>
      </c>
      <c r="B43" s="21">
        <v>38813</v>
      </c>
      <c r="C43" s="21">
        <v>41116</v>
      </c>
      <c r="D43" s="21">
        <v>44534</v>
      </c>
      <c r="E43" s="21">
        <v>47188</v>
      </c>
      <c r="F43" s="21">
        <v>50099</v>
      </c>
      <c r="G43" s="22">
        <v>2.9095246019859099E-2</v>
      </c>
      <c r="H43" s="22">
        <v>3.0557566334652769E-2</v>
      </c>
      <c r="I43" s="22">
        <v>3.2769563025890264E-2</v>
      </c>
      <c r="J43" s="22">
        <v>3.442964679478433E-2</v>
      </c>
      <c r="K43" s="22">
        <v>3.6028838028802072E-2</v>
      </c>
      <c r="L43" s="21">
        <v>38730</v>
      </c>
      <c r="M43" s="21">
        <v>41041</v>
      </c>
      <c r="N43" s="21">
        <v>44464</v>
      </c>
      <c r="O43" s="21">
        <v>47112</v>
      </c>
      <c r="P43" s="21">
        <v>50028</v>
      </c>
      <c r="Q43" s="22">
        <v>0.99786154123618376</v>
      </c>
      <c r="R43" s="22">
        <v>0.99817589259655604</v>
      </c>
      <c r="S43" s="22">
        <v>0.99842816724300532</v>
      </c>
      <c r="T43" s="22">
        <v>0.99838942103924722</v>
      </c>
      <c r="U43" s="22">
        <v>0.99858280604403282</v>
      </c>
      <c r="V43" s="21"/>
      <c r="W43" s="21">
        <v>0</v>
      </c>
      <c r="X43" s="21">
        <v>0</v>
      </c>
      <c r="Y43" s="21">
        <v>9077</v>
      </c>
      <c r="Z43" s="21">
        <v>31563</v>
      </c>
      <c r="AA43" s="21">
        <v>41116</v>
      </c>
      <c r="AB43" s="22">
        <v>0</v>
      </c>
      <c r="AC43" s="22">
        <v>0</v>
      </c>
      <c r="AD43" s="22">
        <v>7.220047184444087E-3</v>
      </c>
      <c r="AE43" s="22">
        <v>2.4343891891308221E-2</v>
      </c>
      <c r="AF43" s="22">
        <v>3.0557566334652769E-2</v>
      </c>
      <c r="AG43" s="21">
        <v>0</v>
      </c>
      <c r="AH43" s="21">
        <v>0</v>
      </c>
      <c r="AI43" s="21">
        <v>9069</v>
      </c>
      <c r="AJ43" s="21">
        <v>31442</v>
      </c>
      <c r="AK43" s="21">
        <v>41041</v>
      </c>
      <c r="AL43" s="22">
        <v>0</v>
      </c>
      <c r="AM43" s="22">
        <v>0</v>
      </c>
      <c r="AN43" s="22">
        <v>0.99911865153685142</v>
      </c>
      <c r="AO43" s="22">
        <v>0.99616639736400214</v>
      </c>
      <c r="AP43" s="22">
        <v>0.99817589259655604</v>
      </c>
    </row>
    <row r="44" spans="1:42" x14ac:dyDescent="0.25">
      <c r="A44" s="20" t="s">
        <v>60</v>
      </c>
      <c r="B44" s="21">
        <v>3386</v>
      </c>
      <c r="C44" s="21">
        <v>3784</v>
      </c>
      <c r="D44" s="21">
        <v>4179</v>
      </c>
      <c r="E44" s="21">
        <v>4617</v>
      </c>
      <c r="F44" s="21">
        <v>5196</v>
      </c>
      <c r="G44" s="22">
        <v>2.5382346900070314E-3</v>
      </c>
      <c r="H44" s="22">
        <v>2.8122830773987272E-3</v>
      </c>
      <c r="I44" s="22">
        <v>3.0750438740107652E-3</v>
      </c>
      <c r="J44" s="22">
        <v>3.3686886337950172E-3</v>
      </c>
      <c r="K44" s="22">
        <v>3.7367181460239837E-3</v>
      </c>
      <c r="L44" s="21">
        <v>3380</v>
      </c>
      <c r="M44" s="21">
        <v>3780</v>
      </c>
      <c r="N44" s="21">
        <v>4176</v>
      </c>
      <c r="O44" s="21">
        <v>4614</v>
      </c>
      <c r="P44" s="21">
        <v>5155</v>
      </c>
      <c r="Q44" s="22">
        <v>0.99822799763733017</v>
      </c>
      <c r="R44" s="22">
        <v>0.9989429175475687</v>
      </c>
      <c r="S44" s="22">
        <v>0.99928212491026558</v>
      </c>
      <c r="T44" s="22">
        <v>0.9993502274204028</v>
      </c>
      <c r="U44" s="22">
        <v>0.9921093148575828</v>
      </c>
      <c r="V44" s="21"/>
      <c r="W44" s="21">
        <v>0</v>
      </c>
      <c r="X44" s="21">
        <v>0</v>
      </c>
      <c r="Y44" s="21">
        <v>0</v>
      </c>
      <c r="Z44" s="21">
        <v>806</v>
      </c>
      <c r="AA44" s="21">
        <v>3784</v>
      </c>
      <c r="AB44" s="22">
        <v>0</v>
      </c>
      <c r="AC44" s="22">
        <v>0</v>
      </c>
      <c r="AD44" s="22">
        <v>0</v>
      </c>
      <c r="AE44" s="22">
        <v>6.2165120122911082E-4</v>
      </c>
      <c r="AF44" s="22">
        <v>2.8122830773987272E-3</v>
      </c>
      <c r="AG44" s="21">
        <v>0</v>
      </c>
      <c r="AH44" s="21">
        <v>0</v>
      </c>
      <c r="AI44" s="21">
        <v>0</v>
      </c>
      <c r="AJ44" s="21">
        <v>805</v>
      </c>
      <c r="AK44" s="21">
        <v>3780</v>
      </c>
      <c r="AL44" s="22">
        <v>0</v>
      </c>
      <c r="AM44" s="22">
        <v>0</v>
      </c>
      <c r="AN44" s="22">
        <v>0</v>
      </c>
      <c r="AO44" s="22">
        <v>0.99875930521091816</v>
      </c>
      <c r="AP44" s="22">
        <v>0.9989429175475687</v>
      </c>
    </row>
    <row r="45" spans="1:42" x14ac:dyDescent="0.25">
      <c r="A45" s="31" t="s">
        <v>72</v>
      </c>
      <c r="B45" s="29">
        <v>1333998</v>
      </c>
      <c r="C45" s="29">
        <v>1345526</v>
      </c>
      <c r="D45" s="29">
        <v>1359005</v>
      </c>
      <c r="E45" s="29">
        <v>1370563</v>
      </c>
      <c r="F45" s="29">
        <v>1390525</v>
      </c>
      <c r="G45" s="24">
        <v>1</v>
      </c>
      <c r="H45" s="24">
        <v>1</v>
      </c>
      <c r="I45" s="24">
        <v>1</v>
      </c>
      <c r="J45" s="24">
        <v>1</v>
      </c>
      <c r="K45" s="24">
        <v>1</v>
      </c>
      <c r="L45" s="29">
        <v>1146587</v>
      </c>
      <c r="M45" s="29">
        <v>1165927</v>
      </c>
      <c r="N45" s="29">
        <v>1185434</v>
      </c>
      <c r="O45" s="29">
        <v>1201889</v>
      </c>
      <c r="P45" s="29">
        <v>1208046</v>
      </c>
      <c r="Q45" s="24">
        <v>0.8595117833759871</v>
      </c>
      <c r="R45" s="24">
        <v>0.86652134555556715</v>
      </c>
      <c r="S45" s="24">
        <v>0.87228082310219612</v>
      </c>
      <c r="T45" s="24">
        <v>0.87693086709622248</v>
      </c>
      <c r="U45" s="24">
        <v>0.86876970928246522</v>
      </c>
      <c r="V45" s="23"/>
      <c r="W45" s="29">
        <v>1208958</v>
      </c>
      <c r="X45" s="29">
        <v>1223031</v>
      </c>
      <c r="Y45" s="29">
        <v>1257194</v>
      </c>
      <c r="Z45" s="29">
        <v>1296547</v>
      </c>
      <c r="AA45" s="29">
        <v>1345526</v>
      </c>
      <c r="AB45" s="24">
        <v>1</v>
      </c>
      <c r="AC45" s="24">
        <v>1</v>
      </c>
      <c r="AD45" s="24">
        <v>1</v>
      </c>
      <c r="AE45" s="24">
        <v>1</v>
      </c>
      <c r="AF45" s="24">
        <v>1</v>
      </c>
      <c r="AG45" s="29">
        <v>871075</v>
      </c>
      <c r="AH45" s="29">
        <v>936380</v>
      </c>
      <c r="AI45" s="29">
        <v>1004127</v>
      </c>
      <c r="AJ45" s="29">
        <v>1079619</v>
      </c>
      <c r="AK45" s="29">
        <v>1165927</v>
      </c>
      <c r="AL45" s="24">
        <v>0.72051717263957893</v>
      </c>
      <c r="AM45" s="24">
        <v>0.76562245764825254</v>
      </c>
      <c r="AN45" s="24">
        <v>0.7987048935963742</v>
      </c>
      <c r="AO45" s="24">
        <v>0.83268790101708612</v>
      </c>
      <c r="AP45" s="24">
        <v>0.86652134555556715</v>
      </c>
    </row>
    <row r="46" spans="1:42" x14ac:dyDescent="0.25">
      <c r="A46" s="20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</row>
    <row r="47" spans="1:42" x14ac:dyDescent="0.25">
      <c r="A47" s="30" t="s">
        <v>73</v>
      </c>
      <c r="B47" s="27" t="s">
        <v>12</v>
      </c>
      <c r="C47" s="27" t="s">
        <v>13</v>
      </c>
      <c r="D47" s="27" t="s">
        <v>14</v>
      </c>
      <c r="E47" s="27" t="s">
        <v>15</v>
      </c>
      <c r="F47" s="27" t="s">
        <v>16</v>
      </c>
      <c r="G47" s="27" t="s">
        <v>12</v>
      </c>
      <c r="H47" s="27" t="s">
        <v>13</v>
      </c>
      <c r="I47" s="27" t="s">
        <v>14</v>
      </c>
      <c r="J47" s="27" t="s">
        <v>15</v>
      </c>
      <c r="K47" s="27" t="s">
        <v>16</v>
      </c>
      <c r="L47" s="27" t="s">
        <v>12</v>
      </c>
      <c r="M47" s="27" t="s">
        <v>13</v>
      </c>
      <c r="N47" s="27" t="s">
        <v>14</v>
      </c>
      <c r="O47" s="27" t="s">
        <v>15</v>
      </c>
      <c r="P47" s="27" t="s">
        <v>16</v>
      </c>
      <c r="Q47" s="27" t="s">
        <v>12</v>
      </c>
      <c r="R47" s="27" t="s">
        <v>13</v>
      </c>
      <c r="S47" s="27" t="s">
        <v>14</v>
      </c>
      <c r="T47" s="27" t="s">
        <v>15</v>
      </c>
      <c r="U47" s="27" t="s">
        <v>16</v>
      </c>
      <c r="V47" s="27"/>
      <c r="W47" s="27" t="s">
        <v>17</v>
      </c>
      <c r="X47" s="27" t="s">
        <v>18</v>
      </c>
      <c r="Y47" s="27" t="s">
        <v>19</v>
      </c>
      <c r="Z47" s="27" t="s">
        <v>20</v>
      </c>
      <c r="AA47" s="27" t="s">
        <v>21</v>
      </c>
      <c r="AB47" s="27" t="s">
        <v>17</v>
      </c>
      <c r="AC47" s="27" t="s">
        <v>18</v>
      </c>
      <c r="AD47" s="27" t="s">
        <v>19</v>
      </c>
      <c r="AE47" s="27" t="s">
        <v>20</v>
      </c>
      <c r="AF47" s="27" t="s">
        <v>21</v>
      </c>
      <c r="AG47" s="27" t="s">
        <v>17</v>
      </c>
      <c r="AH47" s="27" t="s">
        <v>18</v>
      </c>
      <c r="AI47" s="27" t="s">
        <v>19</v>
      </c>
      <c r="AJ47" s="27" t="s">
        <v>20</v>
      </c>
      <c r="AK47" s="27" t="s">
        <v>21</v>
      </c>
      <c r="AL47" s="27" t="s">
        <v>17</v>
      </c>
      <c r="AM47" s="27" t="s">
        <v>18</v>
      </c>
      <c r="AN47" s="27" t="s">
        <v>19</v>
      </c>
      <c r="AO47" s="27" t="s">
        <v>20</v>
      </c>
      <c r="AP47" s="27" t="s">
        <v>21</v>
      </c>
    </row>
    <row r="48" spans="1:42" x14ac:dyDescent="0.25">
      <c r="A48" s="20" t="s">
        <v>24</v>
      </c>
      <c r="B48" s="21">
        <v>77810</v>
      </c>
      <c r="C48" s="21">
        <v>78024</v>
      </c>
      <c r="D48" s="21">
        <v>78431</v>
      </c>
      <c r="E48" s="21">
        <v>78873</v>
      </c>
      <c r="F48" s="21">
        <v>79879</v>
      </c>
      <c r="G48" s="22">
        <v>0.41220128518226173</v>
      </c>
      <c r="H48" s="22">
        <v>0.41147124278828406</v>
      </c>
      <c r="I48" s="22">
        <v>0.41138520123156974</v>
      </c>
      <c r="J48" s="22">
        <v>0.41138180850897371</v>
      </c>
      <c r="K48" s="22">
        <v>0.40596142606662772</v>
      </c>
      <c r="L48" s="21">
        <v>63097</v>
      </c>
      <c r="M48" s="21">
        <v>64434</v>
      </c>
      <c r="N48" s="21">
        <v>65392</v>
      </c>
      <c r="O48" s="21">
        <v>66087</v>
      </c>
      <c r="P48" s="21">
        <v>66948</v>
      </c>
      <c r="Q48" s="22">
        <v>0.81091119393394162</v>
      </c>
      <c r="R48" s="22">
        <v>0.82582282374653948</v>
      </c>
      <c r="S48" s="22">
        <v>0.83375196032181154</v>
      </c>
      <c r="T48" s="22">
        <v>0.83789129359856984</v>
      </c>
      <c r="U48" s="22">
        <v>0.838117652950087</v>
      </c>
      <c r="V48" s="21"/>
      <c r="W48" s="21">
        <v>0</v>
      </c>
      <c r="X48" s="21">
        <v>0</v>
      </c>
      <c r="Y48" s="21">
        <v>74648</v>
      </c>
      <c r="Z48" s="21">
        <v>77559</v>
      </c>
      <c r="AA48" s="21">
        <v>78024</v>
      </c>
      <c r="AB48" s="22">
        <v>0</v>
      </c>
      <c r="AC48" s="22">
        <v>0</v>
      </c>
      <c r="AD48" s="22">
        <v>0.41759717156347198</v>
      </c>
      <c r="AE48" s="22">
        <v>0.41570769304983091</v>
      </c>
      <c r="AF48" s="22">
        <v>0.41147124278828406</v>
      </c>
      <c r="AG48" s="21">
        <v>0</v>
      </c>
      <c r="AH48" s="21">
        <v>0</v>
      </c>
      <c r="AI48" s="21">
        <v>54459</v>
      </c>
      <c r="AJ48" s="21">
        <v>58913</v>
      </c>
      <c r="AK48" s="21">
        <v>64434</v>
      </c>
      <c r="AL48" s="22">
        <v>0</v>
      </c>
      <c r="AM48" s="22">
        <v>0</v>
      </c>
      <c r="AN48" s="22">
        <v>0.72954399314114238</v>
      </c>
      <c r="AO48" s="22">
        <v>0.75958947381993058</v>
      </c>
      <c r="AP48" s="22">
        <v>0.82582282374653948</v>
      </c>
    </row>
    <row r="49" spans="1:42" x14ac:dyDescent="0.25">
      <c r="A49" s="20" t="s">
        <v>43</v>
      </c>
      <c r="B49" s="21">
        <v>8326</v>
      </c>
      <c r="C49" s="21">
        <v>8476</v>
      </c>
      <c r="D49" s="21">
        <v>8747</v>
      </c>
      <c r="E49" s="21">
        <v>8764</v>
      </c>
      <c r="F49" s="21">
        <v>10136</v>
      </c>
      <c r="G49" s="22">
        <v>4.4107285701420272E-2</v>
      </c>
      <c r="H49" s="22">
        <v>4.469945470462288E-2</v>
      </c>
      <c r="I49" s="22">
        <v>4.5879643956758684E-2</v>
      </c>
      <c r="J49" s="22">
        <v>4.5710828417489448E-2</v>
      </c>
      <c r="K49" s="22">
        <v>5.1513226437628644E-2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1"/>
      <c r="W49" s="21">
        <v>0</v>
      </c>
      <c r="X49" s="21">
        <v>0</v>
      </c>
      <c r="Y49" s="21">
        <v>5599</v>
      </c>
      <c r="Z49" s="21">
        <v>8139</v>
      </c>
      <c r="AA49" s="21">
        <v>8476</v>
      </c>
      <c r="AB49" s="22">
        <v>0</v>
      </c>
      <c r="AC49" s="22">
        <v>0</v>
      </c>
      <c r="AD49" s="22">
        <v>3.1322025554386984E-2</v>
      </c>
      <c r="AE49" s="22">
        <v>4.3624143087618118E-2</v>
      </c>
      <c r="AF49" s="22">
        <v>4.469945470462288E-2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</row>
    <row r="50" spans="1:42" x14ac:dyDescent="0.25">
      <c r="A50" s="20" t="s">
        <v>48</v>
      </c>
      <c r="B50" s="21">
        <v>102631</v>
      </c>
      <c r="C50" s="21">
        <v>103122</v>
      </c>
      <c r="D50" s="21">
        <v>102969</v>
      </c>
      <c r="E50" s="21">
        <v>102987</v>
      </c>
      <c r="F50" s="21">
        <v>104970</v>
      </c>
      <c r="G50" s="22">
        <v>0.54369142911631796</v>
      </c>
      <c r="H50" s="22">
        <v>0.54382930250709305</v>
      </c>
      <c r="I50" s="22">
        <v>0.54009158095158172</v>
      </c>
      <c r="J50" s="22">
        <v>0.53715439140027221</v>
      </c>
      <c r="K50" s="22">
        <v>0.5334790232002643</v>
      </c>
      <c r="L50" s="21">
        <v>76948</v>
      </c>
      <c r="M50" s="21">
        <v>78310</v>
      </c>
      <c r="N50" s="21">
        <v>78745</v>
      </c>
      <c r="O50" s="21">
        <v>79239</v>
      </c>
      <c r="P50" s="21">
        <v>79346</v>
      </c>
      <c r="Q50" s="22">
        <v>0.74975397297112956</v>
      </c>
      <c r="R50" s="22">
        <v>0.75939178836717669</v>
      </c>
      <c r="S50" s="22">
        <v>0.76474472899610557</v>
      </c>
      <c r="T50" s="22">
        <v>0.76940778933263421</v>
      </c>
      <c r="U50" s="22">
        <v>0.75589215966466605</v>
      </c>
      <c r="V50" s="21"/>
      <c r="W50" s="21">
        <v>0</v>
      </c>
      <c r="X50" s="21">
        <v>0</v>
      </c>
      <c r="Y50" s="21">
        <v>98509</v>
      </c>
      <c r="Z50" s="21">
        <v>100873</v>
      </c>
      <c r="AA50" s="21">
        <v>103122</v>
      </c>
      <c r="AB50" s="22">
        <v>0</v>
      </c>
      <c r="AC50" s="22">
        <v>0</v>
      </c>
      <c r="AD50" s="22">
        <v>0.55108080288214101</v>
      </c>
      <c r="AE50" s="22">
        <v>0.54066816386255101</v>
      </c>
      <c r="AF50" s="22">
        <v>0.54382930250709305</v>
      </c>
      <c r="AG50" s="21">
        <v>0</v>
      </c>
      <c r="AH50" s="21">
        <v>0</v>
      </c>
      <c r="AI50" s="21">
        <v>67587</v>
      </c>
      <c r="AJ50" s="21">
        <v>72109</v>
      </c>
      <c r="AK50" s="21">
        <v>78310</v>
      </c>
      <c r="AL50" s="22">
        <v>0</v>
      </c>
      <c r="AM50" s="22">
        <v>0</v>
      </c>
      <c r="AN50" s="22">
        <v>0.68609974723121747</v>
      </c>
      <c r="AO50" s="22">
        <v>0.71484936504317309</v>
      </c>
      <c r="AP50" s="22">
        <v>0.75939178836717669</v>
      </c>
    </row>
    <row r="51" spans="1:42" x14ac:dyDescent="0.25">
      <c r="A51" s="20" t="s">
        <v>57</v>
      </c>
      <c r="B51" s="21">
        <v>0</v>
      </c>
      <c r="C51" s="21">
        <v>0</v>
      </c>
      <c r="D51" s="21">
        <v>414</v>
      </c>
      <c r="E51" s="21">
        <v>1013</v>
      </c>
      <c r="F51" s="21">
        <v>1686</v>
      </c>
      <c r="G51" s="22">
        <v>0</v>
      </c>
      <c r="H51" s="22">
        <v>0</v>
      </c>
      <c r="I51" s="22">
        <v>2.1715070993595627E-3</v>
      </c>
      <c r="J51" s="22">
        <v>5.2835542203236892E-3</v>
      </c>
      <c r="K51" s="22">
        <v>8.5685970574035011E-3</v>
      </c>
      <c r="L51" s="21">
        <v>0</v>
      </c>
      <c r="M51" s="21">
        <v>0</v>
      </c>
      <c r="N51" s="21">
        <v>414</v>
      </c>
      <c r="O51" s="21">
        <v>1013</v>
      </c>
      <c r="P51" s="21">
        <v>1686</v>
      </c>
      <c r="Q51" s="22">
        <v>0</v>
      </c>
      <c r="R51" s="22">
        <v>0</v>
      </c>
      <c r="S51" s="22">
        <v>1</v>
      </c>
      <c r="T51" s="22">
        <v>1</v>
      </c>
      <c r="U51" s="22">
        <v>1</v>
      </c>
      <c r="V51" s="21"/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</row>
    <row r="52" spans="1:42" x14ac:dyDescent="0.25">
      <c r="A52" s="20" t="s">
        <v>59</v>
      </c>
      <c r="B52" s="21">
        <v>0</v>
      </c>
      <c r="C52" s="21">
        <v>0</v>
      </c>
      <c r="D52" s="21">
        <v>90</v>
      </c>
      <c r="E52" s="21">
        <v>90</v>
      </c>
      <c r="F52" s="21">
        <v>94</v>
      </c>
      <c r="G52" s="22">
        <v>0</v>
      </c>
      <c r="H52" s="22">
        <v>0</v>
      </c>
      <c r="I52" s="22">
        <v>4.7206676073033971E-4</v>
      </c>
      <c r="J52" s="22">
        <v>4.6941745294090036E-4</v>
      </c>
      <c r="K52" s="22">
        <v>4.7772723807587732E-4</v>
      </c>
      <c r="L52" s="21">
        <v>0</v>
      </c>
      <c r="M52" s="21">
        <v>0</v>
      </c>
      <c r="N52" s="21">
        <v>90</v>
      </c>
      <c r="O52" s="21">
        <v>90</v>
      </c>
      <c r="P52" s="21">
        <v>89</v>
      </c>
      <c r="Q52" s="22">
        <v>0</v>
      </c>
      <c r="R52" s="22">
        <v>0</v>
      </c>
      <c r="S52" s="22">
        <v>1</v>
      </c>
      <c r="T52" s="22">
        <v>1</v>
      </c>
      <c r="U52" s="22">
        <v>0.94680851063829785</v>
      </c>
      <c r="V52" s="21"/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</row>
    <row r="53" spans="1:42" x14ac:dyDescent="0.25">
      <c r="A53" s="31" t="s">
        <v>74</v>
      </c>
      <c r="B53" s="29">
        <v>188767</v>
      </c>
      <c r="C53" s="29">
        <v>189622</v>
      </c>
      <c r="D53" s="29">
        <v>190651</v>
      </c>
      <c r="E53" s="29">
        <v>191727</v>
      </c>
      <c r="F53" s="29">
        <v>196765</v>
      </c>
      <c r="G53" s="24">
        <v>1</v>
      </c>
      <c r="H53" s="24">
        <v>1</v>
      </c>
      <c r="I53" s="24">
        <v>1</v>
      </c>
      <c r="J53" s="24">
        <v>1</v>
      </c>
      <c r="K53" s="24">
        <v>1</v>
      </c>
      <c r="L53" s="29">
        <v>140045</v>
      </c>
      <c r="M53" s="29">
        <v>142744</v>
      </c>
      <c r="N53" s="29">
        <v>144641</v>
      </c>
      <c r="O53" s="29">
        <v>146429</v>
      </c>
      <c r="P53" s="29">
        <v>148069</v>
      </c>
      <c r="Q53" s="24">
        <v>0.74189344535856372</v>
      </c>
      <c r="R53" s="24">
        <v>0.75278185020725441</v>
      </c>
      <c r="S53" s="24">
        <v>0.75866898154218965</v>
      </c>
      <c r="T53" s="24">
        <v>0.76373698018536773</v>
      </c>
      <c r="U53" s="24">
        <v>0.75251696185805406</v>
      </c>
      <c r="V53" s="23"/>
      <c r="W53" s="29">
        <v>0</v>
      </c>
      <c r="X53" s="29">
        <v>0</v>
      </c>
      <c r="Y53" s="29">
        <v>178756</v>
      </c>
      <c r="Z53" s="29">
        <v>186571</v>
      </c>
      <c r="AA53" s="29">
        <v>189622</v>
      </c>
      <c r="AB53" s="24">
        <v>0</v>
      </c>
      <c r="AC53" s="24">
        <v>0</v>
      </c>
      <c r="AD53" s="24">
        <v>1</v>
      </c>
      <c r="AE53" s="24">
        <v>1</v>
      </c>
      <c r="AF53" s="24">
        <v>1</v>
      </c>
      <c r="AG53" s="29">
        <v>0</v>
      </c>
      <c r="AH53" s="29">
        <v>0</v>
      </c>
      <c r="AI53" s="29">
        <v>122046</v>
      </c>
      <c r="AJ53" s="29">
        <v>131022</v>
      </c>
      <c r="AK53" s="29">
        <v>142744</v>
      </c>
      <c r="AL53" s="24">
        <v>0</v>
      </c>
      <c r="AM53" s="24">
        <v>0</v>
      </c>
      <c r="AN53" s="24">
        <v>0.68275190762827542</v>
      </c>
      <c r="AO53" s="24">
        <v>0.70226348146282114</v>
      </c>
      <c r="AP53" s="24">
        <v>0.75278185020725441</v>
      </c>
    </row>
    <row r="54" spans="1:42" x14ac:dyDescent="0.25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</row>
    <row r="55" spans="1:42" x14ac:dyDescent="0.25">
      <c r="A55" s="30" t="s">
        <v>75</v>
      </c>
      <c r="B55" s="27" t="s">
        <v>12</v>
      </c>
      <c r="C55" s="27" t="s">
        <v>13</v>
      </c>
      <c r="D55" s="27" t="s">
        <v>14</v>
      </c>
      <c r="E55" s="27" t="s">
        <v>15</v>
      </c>
      <c r="F55" s="27" t="s">
        <v>16</v>
      </c>
      <c r="G55" s="27" t="s">
        <v>12</v>
      </c>
      <c r="H55" s="27" t="s">
        <v>13</v>
      </c>
      <c r="I55" s="27" t="s">
        <v>14</v>
      </c>
      <c r="J55" s="27" t="s">
        <v>15</v>
      </c>
      <c r="K55" s="27" t="s">
        <v>16</v>
      </c>
      <c r="L55" s="27" t="s">
        <v>12</v>
      </c>
      <c r="M55" s="27" t="s">
        <v>13</v>
      </c>
      <c r="N55" s="27" t="s">
        <v>14</v>
      </c>
      <c r="O55" s="27" t="s">
        <v>15</v>
      </c>
      <c r="P55" s="27" t="s">
        <v>16</v>
      </c>
      <c r="Q55" s="27" t="s">
        <v>12</v>
      </c>
      <c r="R55" s="27" t="s">
        <v>13</v>
      </c>
      <c r="S55" s="27" t="s">
        <v>14</v>
      </c>
      <c r="T55" s="27" t="s">
        <v>15</v>
      </c>
      <c r="U55" s="27" t="s">
        <v>16</v>
      </c>
      <c r="V55" s="27"/>
      <c r="W55" s="27" t="s">
        <v>17</v>
      </c>
      <c r="X55" s="27" t="s">
        <v>18</v>
      </c>
      <c r="Y55" s="27" t="s">
        <v>19</v>
      </c>
      <c r="Z55" s="27" t="s">
        <v>20</v>
      </c>
      <c r="AA55" s="27" t="s">
        <v>21</v>
      </c>
      <c r="AB55" s="27" t="s">
        <v>17</v>
      </c>
      <c r="AC55" s="27" t="s">
        <v>18</v>
      </c>
      <c r="AD55" s="27" t="s">
        <v>19</v>
      </c>
      <c r="AE55" s="27" t="s">
        <v>20</v>
      </c>
      <c r="AF55" s="27" t="s">
        <v>21</v>
      </c>
      <c r="AG55" s="27" t="s">
        <v>17</v>
      </c>
      <c r="AH55" s="27" t="s">
        <v>18</v>
      </c>
      <c r="AI55" s="27" t="s">
        <v>19</v>
      </c>
      <c r="AJ55" s="27" t="s">
        <v>20</v>
      </c>
      <c r="AK55" s="27" t="s">
        <v>21</v>
      </c>
      <c r="AL55" s="27" t="s">
        <v>17</v>
      </c>
      <c r="AM55" s="27" t="s">
        <v>18</v>
      </c>
      <c r="AN55" s="27" t="s">
        <v>19</v>
      </c>
      <c r="AO55" s="27" t="s">
        <v>20</v>
      </c>
      <c r="AP55" s="27" t="s">
        <v>21</v>
      </c>
    </row>
    <row r="56" spans="1:42" x14ac:dyDescent="0.25">
      <c r="A56" s="20" t="s">
        <v>24</v>
      </c>
      <c r="B56" s="21">
        <v>127788</v>
      </c>
      <c r="C56" s="21">
        <v>126745</v>
      </c>
      <c r="D56" s="21">
        <v>126138</v>
      </c>
      <c r="E56" s="21">
        <v>125822</v>
      </c>
      <c r="F56" s="21">
        <v>126562</v>
      </c>
      <c r="G56" s="22">
        <v>0.30236162344161482</v>
      </c>
      <c r="H56" s="22">
        <v>0.29803839497347528</v>
      </c>
      <c r="I56" s="22">
        <v>0.29540376860061546</v>
      </c>
      <c r="J56" s="22">
        <v>0.29346581301239666</v>
      </c>
      <c r="K56" s="22">
        <v>0.29244498257743107</v>
      </c>
      <c r="L56" s="21">
        <v>118868</v>
      </c>
      <c r="M56" s="21">
        <v>118066</v>
      </c>
      <c r="N56" s="21">
        <v>117425</v>
      </c>
      <c r="O56" s="21">
        <v>116767</v>
      </c>
      <c r="P56" s="21">
        <v>117071</v>
      </c>
      <c r="Q56" s="22">
        <v>0.93019688859673832</v>
      </c>
      <c r="R56" s="22">
        <v>0.93152392599313583</v>
      </c>
      <c r="S56" s="22">
        <v>0.93092486007388731</v>
      </c>
      <c r="T56" s="22">
        <v>0.92803325332612741</v>
      </c>
      <c r="U56" s="22">
        <v>0.92500908645565016</v>
      </c>
      <c r="V56" s="21"/>
      <c r="W56" s="21">
        <v>125828</v>
      </c>
      <c r="X56" s="21">
        <v>127552</v>
      </c>
      <c r="Y56" s="21">
        <v>128859</v>
      </c>
      <c r="Z56" s="21">
        <v>128326</v>
      </c>
      <c r="AA56" s="21">
        <v>126745</v>
      </c>
      <c r="AB56" s="22">
        <v>0.31493453672626065</v>
      </c>
      <c r="AC56" s="22">
        <v>0.31285979538726066</v>
      </c>
      <c r="AD56" s="22">
        <v>0.31188417162233789</v>
      </c>
      <c r="AE56" s="22">
        <v>0.30681062884631016</v>
      </c>
      <c r="AF56" s="22">
        <v>0.29803839497347528</v>
      </c>
      <c r="AG56" s="21">
        <v>121134</v>
      </c>
      <c r="AH56" s="21">
        <v>119725</v>
      </c>
      <c r="AI56" s="21">
        <v>120052</v>
      </c>
      <c r="AJ56" s="21">
        <v>119464</v>
      </c>
      <c r="AK56" s="21">
        <v>118066</v>
      </c>
      <c r="AL56" s="22">
        <v>0.96269510760720989</v>
      </c>
      <c r="AM56" s="22">
        <v>0.9386367912694431</v>
      </c>
      <c r="AN56" s="22">
        <v>0.93165397837946906</v>
      </c>
      <c r="AO56" s="22">
        <v>0.93094150834593148</v>
      </c>
      <c r="AP56" s="22">
        <v>0.93152392599313583</v>
      </c>
    </row>
    <row r="57" spans="1:42" x14ac:dyDescent="0.25">
      <c r="A57" s="20" t="s">
        <v>25</v>
      </c>
      <c r="B57" s="21">
        <v>20734</v>
      </c>
      <c r="C57" s="21">
        <v>23159</v>
      </c>
      <c r="D57" s="21">
        <v>23541</v>
      </c>
      <c r="E57" s="21">
        <v>23772</v>
      </c>
      <c r="F57" s="21">
        <v>23456</v>
      </c>
      <c r="G57" s="22">
        <v>4.9059112752671941E-2</v>
      </c>
      <c r="H57" s="22">
        <v>5.4457936716956999E-2</v>
      </c>
      <c r="I57" s="22">
        <v>5.5130889316677673E-2</v>
      </c>
      <c r="J57" s="22">
        <v>5.5445544554455446E-2</v>
      </c>
      <c r="K57" s="22">
        <v>5.4199439889826513E-2</v>
      </c>
      <c r="L57" s="21">
        <v>20076</v>
      </c>
      <c r="M57" s="21">
        <v>22500</v>
      </c>
      <c r="N57" s="21">
        <v>22970</v>
      </c>
      <c r="O57" s="21">
        <v>23112</v>
      </c>
      <c r="P57" s="21">
        <v>22467</v>
      </c>
      <c r="Q57" s="22">
        <v>0.96826468602295745</v>
      </c>
      <c r="R57" s="22">
        <v>0.9715445399196857</v>
      </c>
      <c r="S57" s="22">
        <v>0.97574444586041376</v>
      </c>
      <c r="T57" s="22">
        <v>0.97223624432104994</v>
      </c>
      <c r="U57" s="22">
        <v>0.95783594815825379</v>
      </c>
      <c r="V57" s="21"/>
      <c r="W57" s="21">
        <v>10066</v>
      </c>
      <c r="X57" s="21">
        <v>14627</v>
      </c>
      <c r="Y57" s="21">
        <v>17287</v>
      </c>
      <c r="Z57" s="21">
        <v>17061</v>
      </c>
      <c r="AA57" s="21">
        <v>23159</v>
      </c>
      <c r="AB57" s="22">
        <v>2.5194162242796036E-2</v>
      </c>
      <c r="AC57" s="22">
        <v>3.5877134244303978E-2</v>
      </c>
      <c r="AD57" s="22">
        <v>4.1840629485215275E-2</v>
      </c>
      <c r="AE57" s="22">
        <v>4.0790612492767622E-2</v>
      </c>
      <c r="AF57" s="22">
        <v>5.4457936716956999E-2</v>
      </c>
      <c r="AG57" s="21">
        <v>9870</v>
      </c>
      <c r="AH57" s="21">
        <v>14058</v>
      </c>
      <c r="AI57" s="21">
        <v>16521</v>
      </c>
      <c r="AJ57" s="21">
        <v>16886</v>
      </c>
      <c r="AK57" s="21">
        <v>22500</v>
      </c>
      <c r="AL57" s="22">
        <v>0.98052851182197498</v>
      </c>
      <c r="AM57" s="22">
        <v>0.96109933684282489</v>
      </c>
      <c r="AN57" s="22">
        <v>0.95568924625441087</v>
      </c>
      <c r="AO57" s="22">
        <v>0.98974268800187559</v>
      </c>
      <c r="AP57" s="22">
        <v>0.9715445399196857</v>
      </c>
    </row>
    <row r="58" spans="1:42" x14ac:dyDescent="0.25">
      <c r="A58" s="20" t="s">
        <v>35</v>
      </c>
      <c r="B58" s="21">
        <v>52140</v>
      </c>
      <c r="C58" s="21">
        <v>50408</v>
      </c>
      <c r="D58" s="21">
        <v>48546</v>
      </c>
      <c r="E58" s="21">
        <v>47461</v>
      </c>
      <c r="F58" s="21">
        <v>46661</v>
      </c>
      <c r="G58" s="22">
        <v>0.12336944819737219</v>
      </c>
      <c r="H58" s="22">
        <v>0.11853342864667595</v>
      </c>
      <c r="I58" s="22">
        <v>0.11369033400311943</v>
      </c>
      <c r="J58" s="22">
        <v>0.1106975008454909</v>
      </c>
      <c r="K58" s="22">
        <v>0.10781889771057278</v>
      </c>
      <c r="L58" s="21">
        <v>51362</v>
      </c>
      <c r="M58" s="21">
        <v>49713</v>
      </c>
      <c r="N58" s="21">
        <v>47839</v>
      </c>
      <c r="O58" s="21">
        <v>46736</v>
      </c>
      <c r="P58" s="21">
        <v>45997</v>
      </c>
      <c r="Q58" s="22">
        <v>0.98507863444572308</v>
      </c>
      <c r="R58" s="22">
        <v>0.98621250595143628</v>
      </c>
      <c r="S58" s="22">
        <v>0.98543649322292259</v>
      </c>
      <c r="T58" s="22">
        <v>0.98472429995153921</v>
      </c>
      <c r="U58" s="22">
        <v>0.98576970060650226</v>
      </c>
      <c r="V58" s="21"/>
      <c r="W58" s="21">
        <v>52740</v>
      </c>
      <c r="X58" s="21">
        <v>53583</v>
      </c>
      <c r="Y58" s="21">
        <v>54894</v>
      </c>
      <c r="Z58" s="21">
        <v>54980</v>
      </c>
      <c r="AA58" s="21">
        <v>50408</v>
      </c>
      <c r="AB58" s="22">
        <v>0.13200279323316738</v>
      </c>
      <c r="AC58" s="22">
        <v>0.13142848733250428</v>
      </c>
      <c r="AD58" s="22">
        <v>0.13286281685436499</v>
      </c>
      <c r="AE58" s="22">
        <v>0.13144996628875</v>
      </c>
      <c r="AF58" s="22">
        <v>0.11853342864667595</v>
      </c>
      <c r="AG58" s="21">
        <v>52052</v>
      </c>
      <c r="AH58" s="21">
        <v>52769</v>
      </c>
      <c r="AI58" s="21">
        <v>54120</v>
      </c>
      <c r="AJ58" s="21">
        <v>54188</v>
      </c>
      <c r="AK58" s="21">
        <v>49713</v>
      </c>
      <c r="AL58" s="22">
        <v>0.98695487296169893</v>
      </c>
      <c r="AM58" s="22">
        <v>0.98480861467256409</v>
      </c>
      <c r="AN58" s="22">
        <v>0.98590009837140669</v>
      </c>
      <c r="AO58" s="22">
        <v>0.9855947617315387</v>
      </c>
      <c r="AP58" s="22">
        <v>0.98621250595143628</v>
      </c>
    </row>
    <row r="59" spans="1:42" x14ac:dyDescent="0.25">
      <c r="A59" s="20" t="s">
        <v>42</v>
      </c>
      <c r="B59" s="21">
        <v>1</v>
      </c>
      <c r="C59" s="21">
        <v>515</v>
      </c>
      <c r="D59" s="21">
        <v>2306</v>
      </c>
      <c r="E59" s="21">
        <v>4887</v>
      </c>
      <c r="F59" s="21">
        <v>6645</v>
      </c>
      <c r="G59" s="22">
        <v>2.366119067843732E-6</v>
      </c>
      <c r="H59" s="22">
        <v>1.2110124534406863E-3</v>
      </c>
      <c r="I59" s="22">
        <v>5.4004430892595351E-3</v>
      </c>
      <c r="J59" s="22">
        <v>1.1398383654619879E-2</v>
      </c>
      <c r="K59" s="22">
        <v>1.5354505374654553E-2</v>
      </c>
      <c r="L59" s="21">
        <v>1</v>
      </c>
      <c r="M59" s="21">
        <v>515</v>
      </c>
      <c r="N59" s="21">
        <v>2306</v>
      </c>
      <c r="O59" s="21">
        <v>4887</v>
      </c>
      <c r="P59" s="21">
        <v>6645</v>
      </c>
      <c r="Q59" s="22">
        <v>1</v>
      </c>
      <c r="R59" s="22">
        <v>1</v>
      </c>
      <c r="S59" s="22">
        <v>1</v>
      </c>
      <c r="T59" s="22">
        <v>1</v>
      </c>
      <c r="U59" s="22">
        <v>1</v>
      </c>
      <c r="V59" s="21"/>
      <c r="W59" s="21">
        <v>0</v>
      </c>
      <c r="X59" s="21">
        <v>0</v>
      </c>
      <c r="Y59" s="21">
        <v>0</v>
      </c>
      <c r="Z59" s="21">
        <v>0</v>
      </c>
      <c r="AA59" s="21">
        <v>515</v>
      </c>
      <c r="AB59" s="22">
        <v>0</v>
      </c>
      <c r="AC59" s="22">
        <v>0</v>
      </c>
      <c r="AD59" s="22">
        <v>0</v>
      </c>
      <c r="AE59" s="22">
        <v>0</v>
      </c>
      <c r="AF59" s="22">
        <v>1.2110124534406863E-3</v>
      </c>
      <c r="AG59" s="21">
        <v>0</v>
      </c>
      <c r="AH59" s="21">
        <v>0</v>
      </c>
      <c r="AI59" s="21">
        <v>0</v>
      </c>
      <c r="AJ59" s="21">
        <v>0</v>
      </c>
      <c r="AK59" s="21">
        <v>515</v>
      </c>
      <c r="AL59" s="22">
        <v>0</v>
      </c>
      <c r="AM59" s="22">
        <v>0</v>
      </c>
      <c r="AN59" s="22">
        <v>0</v>
      </c>
      <c r="AO59" s="22">
        <v>0</v>
      </c>
      <c r="AP59" s="22">
        <v>1</v>
      </c>
    </row>
    <row r="60" spans="1:42" x14ac:dyDescent="0.25">
      <c r="A60" s="20" t="s">
        <v>48</v>
      </c>
      <c r="B60" s="21">
        <v>180665</v>
      </c>
      <c r="C60" s="21">
        <v>182263</v>
      </c>
      <c r="D60" s="21">
        <v>183388</v>
      </c>
      <c r="E60" s="21">
        <v>182832</v>
      </c>
      <c r="F60" s="21">
        <v>184325</v>
      </c>
      <c r="G60" s="22">
        <v>0.42747490139198785</v>
      </c>
      <c r="H60" s="22">
        <v>0.42858788893487337</v>
      </c>
      <c r="I60" s="22">
        <v>0.4294780820698732</v>
      </c>
      <c r="J60" s="22">
        <v>0.42643529370604905</v>
      </c>
      <c r="K60" s="22">
        <v>0.42591711108851776</v>
      </c>
      <c r="L60" s="21">
        <v>141229</v>
      </c>
      <c r="M60" s="21">
        <v>144849</v>
      </c>
      <c r="N60" s="21">
        <v>147420</v>
      </c>
      <c r="O60" s="21">
        <v>147782</v>
      </c>
      <c r="P60" s="21">
        <v>148431</v>
      </c>
      <c r="Q60" s="22">
        <v>0.78171754351977418</v>
      </c>
      <c r="R60" s="22">
        <v>0.79472520478648989</v>
      </c>
      <c r="S60" s="22">
        <v>0.80386939167230131</v>
      </c>
      <c r="T60" s="22">
        <v>0.80829395291852635</v>
      </c>
      <c r="U60" s="22">
        <v>0.80526786925267868</v>
      </c>
      <c r="V60" s="21"/>
      <c r="W60" s="21">
        <v>178839</v>
      </c>
      <c r="X60" s="21">
        <v>178282</v>
      </c>
      <c r="Y60" s="21">
        <v>177166</v>
      </c>
      <c r="Z60" s="21">
        <v>180724</v>
      </c>
      <c r="AA60" s="21">
        <v>182263</v>
      </c>
      <c r="AB60" s="22">
        <v>0.44761561507444869</v>
      </c>
      <c r="AC60" s="22">
        <v>0.4372904387326863</v>
      </c>
      <c r="AD60" s="22">
        <v>0.42880412815281138</v>
      </c>
      <c r="AE60" s="22">
        <v>0.43208737190920438</v>
      </c>
      <c r="AF60" s="22">
        <v>0.42858788893487337</v>
      </c>
      <c r="AG60" s="21">
        <v>119154</v>
      </c>
      <c r="AH60" s="21">
        <v>121953</v>
      </c>
      <c r="AI60" s="21">
        <v>127819</v>
      </c>
      <c r="AJ60" s="21">
        <v>136473</v>
      </c>
      <c r="AK60" s="21">
        <v>144849</v>
      </c>
      <c r="AL60" s="22">
        <v>0.66626406991763543</v>
      </c>
      <c r="AM60" s="22">
        <v>0.68404550094793637</v>
      </c>
      <c r="AN60" s="22">
        <v>0.7214646151067361</v>
      </c>
      <c r="AO60" s="22">
        <v>0.75514596843806026</v>
      </c>
      <c r="AP60" s="22">
        <v>0.79472520478648989</v>
      </c>
    </row>
    <row r="61" spans="1:42" x14ac:dyDescent="0.25">
      <c r="A61" s="20" t="s">
        <v>57</v>
      </c>
      <c r="B61" s="21">
        <v>1364</v>
      </c>
      <c r="C61" s="21">
        <v>1853</v>
      </c>
      <c r="D61" s="21">
        <v>2220</v>
      </c>
      <c r="E61" s="21">
        <v>2316</v>
      </c>
      <c r="F61" s="21">
        <v>2336</v>
      </c>
      <c r="G61" s="22">
        <v>3.2273864085388504E-3</v>
      </c>
      <c r="H61" s="22">
        <v>4.357293351894353E-3</v>
      </c>
      <c r="I61" s="22">
        <v>5.1990388803799517E-3</v>
      </c>
      <c r="J61" s="22">
        <v>5.4018122660322567E-3</v>
      </c>
      <c r="K61" s="22">
        <v>5.397761407854482E-3</v>
      </c>
      <c r="L61" s="21">
        <v>1364</v>
      </c>
      <c r="M61" s="21">
        <v>1853</v>
      </c>
      <c r="N61" s="21">
        <v>2220</v>
      </c>
      <c r="O61" s="21">
        <v>2316</v>
      </c>
      <c r="P61" s="21">
        <v>2336</v>
      </c>
      <c r="Q61" s="22">
        <v>1</v>
      </c>
      <c r="R61" s="22">
        <v>1</v>
      </c>
      <c r="S61" s="22">
        <v>1</v>
      </c>
      <c r="T61" s="22">
        <v>1</v>
      </c>
      <c r="U61" s="22">
        <v>1</v>
      </c>
      <c r="V61" s="21"/>
      <c r="W61" s="21">
        <v>0</v>
      </c>
      <c r="X61" s="21">
        <v>0</v>
      </c>
      <c r="Y61" s="21">
        <v>0</v>
      </c>
      <c r="Z61" s="21">
        <v>0</v>
      </c>
      <c r="AA61" s="21">
        <v>1853</v>
      </c>
      <c r="AB61" s="22">
        <v>0</v>
      </c>
      <c r="AC61" s="22">
        <v>0</v>
      </c>
      <c r="AD61" s="22">
        <v>0</v>
      </c>
      <c r="AE61" s="22">
        <v>0</v>
      </c>
      <c r="AF61" s="22">
        <v>4.357293351894353E-3</v>
      </c>
      <c r="AG61" s="21">
        <v>0</v>
      </c>
      <c r="AH61" s="21">
        <v>0</v>
      </c>
      <c r="AI61" s="21">
        <v>0</v>
      </c>
      <c r="AJ61" s="21">
        <v>0</v>
      </c>
      <c r="AK61" s="21">
        <v>1853</v>
      </c>
      <c r="AL61" s="22">
        <v>0</v>
      </c>
      <c r="AM61" s="22">
        <v>0</v>
      </c>
      <c r="AN61" s="22">
        <v>0</v>
      </c>
      <c r="AO61" s="22">
        <v>0</v>
      </c>
      <c r="AP61" s="22">
        <v>1</v>
      </c>
    </row>
    <row r="62" spans="1:42" x14ac:dyDescent="0.25">
      <c r="A62" s="20" t="s">
        <v>59</v>
      </c>
      <c r="B62" s="21">
        <v>659</v>
      </c>
      <c r="C62" s="21">
        <v>676</v>
      </c>
      <c r="D62" s="21">
        <v>666</v>
      </c>
      <c r="E62" s="21">
        <v>788</v>
      </c>
      <c r="F62" s="21">
        <v>957</v>
      </c>
      <c r="G62" s="22">
        <v>1.5592724657090193E-3</v>
      </c>
      <c r="H62" s="22">
        <v>1.5896008126716581E-3</v>
      </c>
      <c r="I62" s="22">
        <v>1.5597116641139855E-3</v>
      </c>
      <c r="J62" s="22">
        <v>1.8379223081318732E-3</v>
      </c>
      <c r="K62" s="22">
        <v>2.2113260562143578E-3</v>
      </c>
      <c r="L62" s="21">
        <v>659</v>
      </c>
      <c r="M62" s="21">
        <v>676</v>
      </c>
      <c r="N62" s="21">
        <v>666</v>
      </c>
      <c r="O62" s="21">
        <v>788</v>
      </c>
      <c r="P62" s="21">
        <v>923</v>
      </c>
      <c r="Q62" s="22">
        <v>1</v>
      </c>
      <c r="R62" s="22">
        <v>1</v>
      </c>
      <c r="S62" s="22">
        <v>1</v>
      </c>
      <c r="T62" s="22">
        <v>1</v>
      </c>
      <c r="U62" s="22">
        <v>0.96447230929989547</v>
      </c>
      <c r="V62" s="21"/>
      <c r="W62" s="21">
        <v>0</v>
      </c>
      <c r="X62" s="21">
        <v>0</v>
      </c>
      <c r="Y62" s="21">
        <v>183</v>
      </c>
      <c r="Z62" s="21">
        <v>185</v>
      </c>
      <c r="AA62" s="21">
        <v>676</v>
      </c>
      <c r="AB62" s="22">
        <v>0</v>
      </c>
      <c r="AC62" s="22">
        <v>0</v>
      </c>
      <c r="AD62" s="22">
        <v>4.4292446322637797E-4</v>
      </c>
      <c r="AE62" s="22">
        <v>4.4231072687193071E-4</v>
      </c>
      <c r="AF62" s="22">
        <v>1.5896008126716581E-3</v>
      </c>
      <c r="AG62" s="21">
        <v>0</v>
      </c>
      <c r="AH62" s="21">
        <v>0</v>
      </c>
      <c r="AI62" s="21">
        <v>183</v>
      </c>
      <c r="AJ62" s="21">
        <v>0</v>
      </c>
      <c r="AK62" s="21">
        <v>676</v>
      </c>
      <c r="AL62" s="22">
        <v>0</v>
      </c>
      <c r="AM62" s="22">
        <v>0</v>
      </c>
      <c r="AN62" s="22">
        <v>1</v>
      </c>
      <c r="AO62" s="22">
        <v>0</v>
      </c>
      <c r="AP62" s="22">
        <v>1</v>
      </c>
    </row>
    <row r="63" spans="1:42" x14ac:dyDescent="0.25">
      <c r="A63" s="20" t="s">
        <v>60</v>
      </c>
      <c r="B63" s="21">
        <v>39282</v>
      </c>
      <c r="C63" s="21">
        <v>39645</v>
      </c>
      <c r="D63" s="21">
        <v>40197</v>
      </c>
      <c r="E63" s="21">
        <v>40867</v>
      </c>
      <c r="F63" s="21">
        <v>41830</v>
      </c>
      <c r="G63" s="22">
        <v>9.2945889223037481E-2</v>
      </c>
      <c r="H63" s="22">
        <v>9.322444411001167E-2</v>
      </c>
      <c r="I63" s="22">
        <v>9.4137732375960764E-2</v>
      </c>
      <c r="J63" s="22">
        <v>9.5317729652823938E-2</v>
      </c>
      <c r="K63" s="22">
        <v>9.6655975894928511E-2</v>
      </c>
      <c r="L63" s="21">
        <v>38884</v>
      </c>
      <c r="M63" s="21">
        <v>39285</v>
      </c>
      <c r="N63" s="21">
        <v>39867</v>
      </c>
      <c r="O63" s="21">
        <v>40557</v>
      </c>
      <c r="P63" s="21">
        <v>41495</v>
      </c>
      <c r="Q63" s="22">
        <v>0.98986813298711873</v>
      </c>
      <c r="R63" s="22">
        <v>0.99091940976163451</v>
      </c>
      <c r="S63" s="22">
        <v>0.99179043212180018</v>
      </c>
      <c r="T63" s="22">
        <v>0.99241441750067294</v>
      </c>
      <c r="U63" s="22">
        <v>0.99199139373655276</v>
      </c>
      <c r="V63" s="21"/>
      <c r="W63" s="21">
        <v>32064</v>
      </c>
      <c r="X63" s="21">
        <v>33653</v>
      </c>
      <c r="Y63" s="21">
        <v>34774</v>
      </c>
      <c r="Z63" s="21">
        <v>36982</v>
      </c>
      <c r="AA63" s="21">
        <v>39645</v>
      </c>
      <c r="AB63" s="22">
        <v>8.0252892723327252E-2</v>
      </c>
      <c r="AC63" s="22">
        <v>8.2544144303244818E-2</v>
      </c>
      <c r="AD63" s="22">
        <v>8.4165329422044091E-2</v>
      </c>
      <c r="AE63" s="22">
        <v>8.8419109736095902E-2</v>
      </c>
      <c r="AF63" s="22">
        <v>9.322444411001167E-2</v>
      </c>
      <c r="AG63" s="21">
        <v>31361</v>
      </c>
      <c r="AH63" s="21">
        <v>33141</v>
      </c>
      <c r="AI63" s="21">
        <v>34340</v>
      </c>
      <c r="AJ63" s="21">
        <v>36545</v>
      </c>
      <c r="AK63" s="21">
        <v>39285</v>
      </c>
      <c r="AL63" s="22">
        <v>0.97807509980039919</v>
      </c>
      <c r="AM63" s="22">
        <v>0.98478590318842307</v>
      </c>
      <c r="AN63" s="22">
        <v>0.98751941105423591</v>
      </c>
      <c r="AO63" s="22">
        <v>0.98818344059272079</v>
      </c>
      <c r="AP63" s="22">
        <v>0.99091940976163451</v>
      </c>
    </row>
    <row r="64" spans="1:42" x14ac:dyDescent="0.25">
      <c r="A64" s="31" t="s">
        <v>76</v>
      </c>
      <c r="B64" s="29">
        <v>422633</v>
      </c>
      <c r="C64" s="29">
        <v>425264</v>
      </c>
      <c r="D64" s="29">
        <v>427002</v>
      </c>
      <c r="E64" s="29">
        <v>428745</v>
      </c>
      <c r="F64" s="29">
        <v>432772</v>
      </c>
      <c r="G64" s="24">
        <v>1</v>
      </c>
      <c r="H64" s="24">
        <v>1</v>
      </c>
      <c r="I64" s="24">
        <v>1</v>
      </c>
      <c r="J64" s="24">
        <v>1</v>
      </c>
      <c r="K64" s="24">
        <v>1</v>
      </c>
      <c r="L64" s="29">
        <v>372443</v>
      </c>
      <c r="M64" s="29">
        <v>377457</v>
      </c>
      <c r="N64" s="29">
        <v>380713</v>
      </c>
      <c r="O64" s="29">
        <v>382945</v>
      </c>
      <c r="P64" s="29">
        <v>385365</v>
      </c>
      <c r="Q64" s="24">
        <v>0.88124448398492305</v>
      </c>
      <c r="R64" s="24">
        <v>0.88758277211332259</v>
      </c>
      <c r="S64" s="24">
        <v>0.89159535552526681</v>
      </c>
      <c r="T64" s="24">
        <v>0.89317659681162465</v>
      </c>
      <c r="U64" s="24">
        <v>0.89045733088092571</v>
      </c>
      <c r="V64" s="23"/>
      <c r="W64" s="29">
        <v>399537</v>
      </c>
      <c r="X64" s="29">
        <v>407697</v>
      </c>
      <c r="Y64" s="29">
        <v>413163</v>
      </c>
      <c r="Z64" s="29">
        <v>418258</v>
      </c>
      <c r="AA64" s="29">
        <v>425264</v>
      </c>
      <c r="AB64" s="24">
        <v>1</v>
      </c>
      <c r="AC64" s="24">
        <v>1</v>
      </c>
      <c r="AD64" s="24">
        <v>1</v>
      </c>
      <c r="AE64" s="24">
        <v>1</v>
      </c>
      <c r="AF64" s="24">
        <v>1</v>
      </c>
      <c r="AG64" s="29">
        <v>333571</v>
      </c>
      <c r="AH64" s="29">
        <v>341646</v>
      </c>
      <c r="AI64" s="29">
        <v>353035</v>
      </c>
      <c r="AJ64" s="29">
        <v>363556</v>
      </c>
      <c r="AK64" s="29">
        <v>377457</v>
      </c>
      <c r="AL64" s="24">
        <v>0.83489388967730149</v>
      </c>
      <c r="AM64" s="24">
        <v>0.83798997785119833</v>
      </c>
      <c r="AN64" s="24">
        <v>0.85446905942690898</v>
      </c>
      <c r="AO64" s="24">
        <v>0.86921469523595485</v>
      </c>
      <c r="AP64" s="24">
        <v>0.88758277211332259</v>
      </c>
    </row>
    <row r="65" spans="1:55" x14ac:dyDescent="0.25">
      <c r="A65" s="20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2"/>
      <c r="AC65" s="22"/>
      <c r="AD65" s="22"/>
      <c r="AE65" s="22"/>
      <c r="AF65" s="22"/>
      <c r="AG65" s="21"/>
      <c r="AH65" s="21"/>
      <c r="AI65" s="21"/>
      <c r="AJ65" s="21"/>
      <c r="AK65" s="21"/>
      <c r="AL65" s="22"/>
      <c r="AM65" s="22"/>
      <c r="AN65" s="22"/>
      <c r="AO65" s="22"/>
      <c r="AP65" s="22"/>
    </row>
    <row r="66" spans="1:55" x14ac:dyDescent="0.25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2"/>
      <c r="AC66" s="22"/>
      <c r="AD66" s="22"/>
      <c r="AE66" s="22"/>
      <c r="AF66" s="22"/>
      <c r="AG66" s="21"/>
      <c r="AH66" s="21"/>
      <c r="AI66" s="21"/>
      <c r="AJ66" s="21"/>
      <c r="AK66" s="21"/>
      <c r="AL66" s="22"/>
      <c r="AM66" s="22"/>
      <c r="AN66" s="22"/>
      <c r="AO66" s="22"/>
      <c r="AP66" s="22"/>
    </row>
    <row r="67" spans="1:55" s="21" customFormat="1" ht="12.75" x14ac:dyDescent="0.2">
      <c r="A67" s="2" t="s">
        <v>79</v>
      </c>
      <c r="AB67" s="22"/>
      <c r="AC67" s="22"/>
      <c r="AD67" s="22"/>
      <c r="AE67" s="22"/>
      <c r="AF67" s="22"/>
      <c r="AL67" s="22"/>
      <c r="AM67" s="22"/>
      <c r="AN67" s="22"/>
      <c r="AO67" s="22"/>
      <c r="AP67" s="22"/>
      <c r="AQ67" s="39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</row>
    <row r="68" spans="1:55" s="23" customFormat="1" ht="12.75" x14ac:dyDescent="0.2">
      <c r="A68" s="1" t="s">
        <v>80</v>
      </c>
      <c r="AB68" s="24"/>
      <c r="AC68" s="24"/>
      <c r="AD68" s="24"/>
      <c r="AE68" s="24"/>
      <c r="AF68" s="24"/>
      <c r="AL68" s="24"/>
      <c r="AM68" s="24"/>
      <c r="AN68" s="24"/>
      <c r="AO68" s="24"/>
      <c r="AP68" s="24"/>
      <c r="AQ68" s="40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</row>
    <row r="69" spans="1:55" s="21" customFormat="1" ht="12.75" x14ac:dyDescent="0.2">
      <c r="A69" s="10" t="s">
        <v>11</v>
      </c>
      <c r="B69" s="10" t="s">
        <v>12</v>
      </c>
      <c r="C69" s="10" t="s">
        <v>13</v>
      </c>
      <c r="D69" s="10" t="s">
        <v>14</v>
      </c>
      <c r="E69" s="10" t="s">
        <v>15</v>
      </c>
      <c r="F69" s="10" t="s">
        <v>16</v>
      </c>
      <c r="G69" s="10" t="s">
        <v>12</v>
      </c>
      <c r="H69" s="10" t="s">
        <v>13</v>
      </c>
      <c r="I69" s="10" t="s">
        <v>14</v>
      </c>
      <c r="J69" s="10" t="s">
        <v>15</v>
      </c>
      <c r="K69" s="10" t="s">
        <v>16</v>
      </c>
      <c r="L69" s="10" t="s">
        <v>12</v>
      </c>
      <c r="M69" s="10" t="s">
        <v>13</v>
      </c>
      <c r="N69" s="10" t="s">
        <v>14</v>
      </c>
      <c r="O69" s="10" t="s">
        <v>15</v>
      </c>
      <c r="P69" s="10" t="s">
        <v>16</v>
      </c>
      <c r="Q69" s="10" t="s">
        <v>12</v>
      </c>
      <c r="R69" s="10" t="s">
        <v>13</v>
      </c>
      <c r="S69" s="10" t="s">
        <v>14</v>
      </c>
      <c r="T69" s="10" t="s">
        <v>15</v>
      </c>
      <c r="U69" s="10" t="s">
        <v>16</v>
      </c>
      <c r="V69" s="10"/>
      <c r="W69" s="10" t="s">
        <v>17</v>
      </c>
      <c r="X69" s="10" t="s">
        <v>18</v>
      </c>
      <c r="Y69" s="10" t="s">
        <v>19</v>
      </c>
      <c r="Z69" s="10" t="s">
        <v>20</v>
      </c>
      <c r="AA69" s="10" t="s">
        <v>21</v>
      </c>
      <c r="AB69" s="10" t="s">
        <v>17</v>
      </c>
      <c r="AC69" s="10" t="s">
        <v>18</v>
      </c>
      <c r="AD69" s="10" t="s">
        <v>19</v>
      </c>
      <c r="AE69" s="10" t="s">
        <v>20</v>
      </c>
      <c r="AF69" s="10" t="s">
        <v>21</v>
      </c>
      <c r="AG69" s="10" t="s">
        <v>17</v>
      </c>
      <c r="AH69" s="10" t="s">
        <v>18</v>
      </c>
      <c r="AI69" s="10" t="s">
        <v>19</v>
      </c>
      <c r="AJ69" s="10" t="s">
        <v>20</v>
      </c>
      <c r="AK69" s="10" t="s">
        <v>21</v>
      </c>
      <c r="AL69" s="10" t="s">
        <v>17</v>
      </c>
      <c r="AM69" s="10" t="s">
        <v>18</v>
      </c>
      <c r="AN69" s="10" t="s">
        <v>19</v>
      </c>
      <c r="AO69" s="10" t="s">
        <v>20</v>
      </c>
      <c r="AP69" s="10" t="s">
        <v>21</v>
      </c>
      <c r="AQ69" s="39"/>
    </row>
    <row r="70" spans="1:55" s="21" customFormat="1" ht="12.75" x14ac:dyDescent="0.2">
      <c r="A70" s="20" t="s">
        <v>24</v>
      </c>
      <c r="B70" s="21">
        <v>832934</v>
      </c>
      <c r="C70" s="21">
        <v>826589</v>
      </c>
      <c r="D70" s="21">
        <v>822446</v>
      </c>
      <c r="E70" s="21">
        <v>817586</v>
      </c>
      <c r="F70" s="21">
        <v>828162</v>
      </c>
      <c r="G70" s="22">
        <v>0.40315619353611487</v>
      </c>
      <c r="H70" s="22">
        <v>0.39702481990510857</v>
      </c>
      <c r="I70" s="22">
        <v>0.3918523660622612</v>
      </c>
      <c r="J70" s="22">
        <v>0.38681824246387003</v>
      </c>
      <c r="K70" s="22">
        <v>0.38633193603072136</v>
      </c>
      <c r="L70" s="21">
        <v>679025</v>
      </c>
      <c r="M70" s="21">
        <v>679741</v>
      </c>
      <c r="N70" s="21">
        <v>681369</v>
      </c>
      <c r="O70" s="21">
        <v>679172</v>
      </c>
      <c r="P70" s="21">
        <v>683885</v>
      </c>
      <c r="Q70" s="22">
        <v>0.81522065373727093</v>
      </c>
      <c r="R70" s="22">
        <v>0.82234459931114501</v>
      </c>
      <c r="S70" s="22">
        <v>0.82846654977956002</v>
      </c>
      <c r="T70" s="22">
        <v>0.83070404825914335</v>
      </c>
      <c r="U70" s="22">
        <v>0.82578650070879855</v>
      </c>
      <c r="W70" s="21">
        <v>804380</v>
      </c>
      <c r="X70" s="21">
        <v>787421</v>
      </c>
      <c r="Y70" s="21">
        <v>852939</v>
      </c>
      <c r="Z70" s="21">
        <v>840132</v>
      </c>
      <c r="AA70" s="21">
        <v>826589</v>
      </c>
      <c r="AB70" s="22">
        <v>0.46711908580826272</v>
      </c>
      <c r="AC70" s="22">
        <v>0.45065943097322442</v>
      </c>
      <c r="AD70" s="22">
        <v>0.43363113501026196</v>
      </c>
      <c r="AE70" s="22">
        <v>0.41613827885502686</v>
      </c>
      <c r="AF70" s="22">
        <v>0.39702481990510857</v>
      </c>
      <c r="AG70" s="21">
        <v>583648</v>
      </c>
      <c r="AH70" s="21">
        <v>580752</v>
      </c>
      <c r="AI70" s="21">
        <v>645068</v>
      </c>
      <c r="AJ70" s="21">
        <v>663291</v>
      </c>
      <c r="AK70" s="21">
        <v>679741</v>
      </c>
      <c r="AL70" s="22">
        <v>0.72558740893607498</v>
      </c>
      <c r="AM70" s="22">
        <v>0.73753684496603467</v>
      </c>
      <c r="AN70" s="22">
        <v>0.7562885505294048</v>
      </c>
      <c r="AO70" s="22">
        <v>0.78950807730213823</v>
      </c>
      <c r="AP70" s="22">
        <v>0.82234459931114501</v>
      </c>
      <c r="AQ70" s="39"/>
    </row>
    <row r="71" spans="1:55" s="21" customFormat="1" ht="12.75" x14ac:dyDescent="0.2">
      <c r="A71" s="20" t="s">
        <v>48</v>
      </c>
      <c r="B71" s="21">
        <v>557366</v>
      </c>
      <c r="C71" s="21">
        <v>565486</v>
      </c>
      <c r="D71" s="21">
        <v>567501</v>
      </c>
      <c r="E71" s="21">
        <v>569150</v>
      </c>
      <c r="F71" s="21">
        <v>581722</v>
      </c>
      <c r="G71" s="22">
        <v>0.26977594259143006</v>
      </c>
      <c r="H71" s="22">
        <v>0.27161258776593955</v>
      </c>
      <c r="I71" s="22">
        <v>0.27038445027722102</v>
      </c>
      <c r="J71" s="22">
        <v>0.26927760834739295</v>
      </c>
      <c r="K71" s="22">
        <v>0.27136935344976382</v>
      </c>
      <c r="L71" s="21">
        <v>467318</v>
      </c>
      <c r="M71" s="21">
        <v>479420</v>
      </c>
      <c r="N71" s="21">
        <v>483936</v>
      </c>
      <c r="O71" s="21">
        <v>487344</v>
      </c>
      <c r="P71" s="21">
        <v>491071</v>
      </c>
      <c r="Q71" s="22">
        <v>0.83844009143004772</v>
      </c>
      <c r="R71" s="22">
        <v>0.84780171392395209</v>
      </c>
      <c r="S71" s="22">
        <v>0.85274915815126318</v>
      </c>
      <c r="T71" s="22">
        <v>0.85626636211894935</v>
      </c>
      <c r="U71" s="22">
        <v>0.84416783274485063</v>
      </c>
      <c r="W71" s="21">
        <v>396986</v>
      </c>
      <c r="X71" s="21">
        <v>423959</v>
      </c>
      <c r="Y71" s="21">
        <v>534102</v>
      </c>
      <c r="Z71" s="21">
        <v>547775</v>
      </c>
      <c r="AA71" s="21">
        <v>565486</v>
      </c>
      <c r="AB71" s="22">
        <v>0.23053747905054697</v>
      </c>
      <c r="AC71" s="22">
        <v>0.24264163858466722</v>
      </c>
      <c r="AD71" s="22">
        <v>0.27153554529837531</v>
      </c>
      <c r="AE71" s="22">
        <v>0.27132658403657084</v>
      </c>
      <c r="AF71" s="22">
        <v>0.27161258776593955</v>
      </c>
      <c r="AG71" s="21">
        <v>298455</v>
      </c>
      <c r="AH71" s="21">
        <v>330601</v>
      </c>
      <c r="AI71" s="21">
        <v>421355</v>
      </c>
      <c r="AJ71" s="21">
        <v>446462</v>
      </c>
      <c r="AK71" s="21">
        <v>479420</v>
      </c>
      <c r="AL71" s="22">
        <v>0.75180233056077539</v>
      </c>
      <c r="AM71" s="22">
        <v>0.7797947443031048</v>
      </c>
      <c r="AN71" s="22">
        <v>0.788903617661046</v>
      </c>
      <c r="AO71" s="22">
        <v>0.81504632376431929</v>
      </c>
      <c r="AP71" s="22">
        <v>0.84780171392395209</v>
      </c>
      <c r="AQ71" s="39"/>
    </row>
    <row r="72" spans="1:55" s="21" customFormat="1" ht="12.75" x14ac:dyDescent="0.2">
      <c r="A72" s="20" t="s">
        <v>35</v>
      </c>
      <c r="B72" s="21">
        <v>400426</v>
      </c>
      <c r="C72" s="21">
        <v>400342</v>
      </c>
      <c r="D72" s="21">
        <v>408111</v>
      </c>
      <c r="E72" s="21">
        <v>415840</v>
      </c>
      <c r="F72" s="21">
        <v>412954</v>
      </c>
      <c r="G72" s="22">
        <v>0.19381394198446975</v>
      </c>
      <c r="H72" s="22">
        <v>0.19229110289448684</v>
      </c>
      <c r="I72" s="22">
        <v>0.19444347831472886</v>
      </c>
      <c r="J72" s="22">
        <v>0.19674321471524184</v>
      </c>
      <c r="K72" s="22">
        <v>0.19264023018640136</v>
      </c>
      <c r="L72" s="21">
        <v>377429</v>
      </c>
      <c r="M72" s="21">
        <v>378260</v>
      </c>
      <c r="N72" s="21">
        <v>386229</v>
      </c>
      <c r="O72" s="21">
        <v>395237</v>
      </c>
      <c r="P72" s="21">
        <v>393557</v>
      </c>
      <c r="Q72" s="22">
        <v>0.94256866437244335</v>
      </c>
      <c r="R72" s="22">
        <v>0.94484215995323995</v>
      </c>
      <c r="S72" s="22">
        <v>0.94638223424509504</v>
      </c>
      <c r="T72" s="22">
        <v>0.9504545017314352</v>
      </c>
      <c r="U72" s="22">
        <v>0.95302866663115016</v>
      </c>
      <c r="W72" s="21">
        <v>309947</v>
      </c>
      <c r="X72" s="21">
        <v>336204</v>
      </c>
      <c r="Y72" s="21">
        <v>362616</v>
      </c>
      <c r="Z72" s="21">
        <v>392698</v>
      </c>
      <c r="AA72" s="21">
        <v>400342</v>
      </c>
      <c r="AB72" s="22">
        <v>0.17999224158856958</v>
      </c>
      <c r="AC72" s="22">
        <v>0.19241740229295631</v>
      </c>
      <c r="AD72" s="22">
        <v>0.18435267663089758</v>
      </c>
      <c r="AE72" s="22">
        <v>0.19451308821686511</v>
      </c>
      <c r="AF72" s="22">
        <v>0.19229110289448684</v>
      </c>
      <c r="AG72" s="21">
        <v>242847</v>
      </c>
      <c r="AH72" s="21">
        <v>300097</v>
      </c>
      <c r="AI72" s="21">
        <v>335103</v>
      </c>
      <c r="AJ72" s="21">
        <v>367036</v>
      </c>
      <c r="AK72" s="21">
        <v>378260</v>
      </c>
      <c r="AL72" s="22">
        <v>0.78351137452532205</v>
      </c>
      <c r="AM72" s="22">
        <v>0.89260389525407191</v>
      </c>
      <c r="AN72" s="22">
        <v>0.92412634853398634</v>
      </c>
      <c r="AO72" s="22">
        <v>0.93465207360363434</v>
      </c>
      <c r="AP72" s="22">
        <v>0.94484215995323995</v>
      </c>
      <c r="AQ72" s="39"/>
    </row>
    <row r="73" spans="1:55" s="21" customFormat="1" ht="12.75" x14ac:dyDescent="0.2">
      <c r="A73" s="20" t="s">
        <v>81</v>
      </c>
      <c r="B73" s="21">
        <v>275307</v>
      </c>
      <c r="C73" s="21">
        <v>289541</v>
      </c>
      <c r="D73" s="21">
        <v>300809</v>
      </c>
      <c r="E73" s="21">
        <v>311042</v>
      </c>
      <c r="F73" s="21">
        <v>320816</v>
      </c>
      <c r="G73" s="22">
        <v>0.13325392188798532</v>
      </c>
      <c r="H73" s="22">
        <v>0.13907148943446507</v>
      </c>
      <c r="I73" s="22">
        <v>0.14331970534578894</v>
      </c>
      <c r="J73" s="22">
        <v>0.14716093447349521</v>
      </c>
      <c r="K73" s="22">
        <v>0.14965848033311346</v>
      </c>
      <c r="L73" s="21">
        <v>176144</v>
      </c>
      <c r="M73" s="21">
        <v>197367</v>
      </c>
      <c r="N73" s="21">
        <v>218249</v>
      </c>
      <c r="O73" s="21">
        <v>231987</v>
      </c>
      <c r="P73" s="21">
        <v>229183</v>
      </c>
      <c r="Q73" s="22">
        <v>0.63980937644157254</v>
      </c>
      <c r="R73" s="22">
        <v>0.68165475701196032</v>
      </c>
      <c r="S73" s="22">
        <v>0.7255401267914191</v>
      </c>
      <c r="T73" s="22">
        <v>0.74583818262485457</v>
      </c>
      <c r="U73" s="22">
        <v>0.71437521819360628</v>
      </c>
      <c r="W73" s="21">
        <v>210689</v>
      </c>
      <c r="X73" s="21">
        <v>199680</v>
      </c>
      <c r="Y73" s="21">
        <v>217312</v>
      </c>
      <c r="Z73" s="21">
        <v>238272</v>
      </c>
      <c r="AA73" s="21">
        <v>289541</v>
      </c>
      <c r="AB73" s="22">
        <v>0.12235119355262072</v>
      </c>
      <c r="AC73" s="22">
        <v>0.11428152814915205</v>
      </c>
      <c r="AD73" s="22">
        <v>0.11048064306046511</v>
      </c>
      <c r="AE73" s="22">
        <v>0.11802204889153722</v>
      </c>
      <c r="AF73" s="22">
        <v>0.13907148943446507</v>
      </c>
      <c r="AG73" s="21">
        <v>103281</v>
      </c>
      <c r="AH73" s="21">
        <v>98161</v>
      </c>
      <c r="AI73" s="21">
        <v>108814</v>
      </c>
      <c r="AJ73" s="21">
        <v>122941</v>
      </c>
      <c r="AK73" s="21">
        <v>197367</v>
      </c>
      <c r="AL73" s="22">
        <v>0.49020594335727069</v>
      </c>
      <c r="AM73" s="22">
        <v>0.49159154647435899</v>
      </c>
      <c r="AN73" s="22">
        <v>0.50072706523339716</v>
      </c>
      <c r="AO73" s="22">
        <v>0.51596914450711795</v>
      </c>
      <c r="AP73" s="22">
        <v>0.68165475701196032</v>
      </c>
      <c r="AQ73" s="39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</row>
    <row r="74" spans="1:55" s="23" customFormat="1" ht="12.75" x14ac:dyDescent="0.2">
      <c r="A74" s="31" t="s">
        <v>82</v>
      </c>
      <c r="B74" s="23">
        <v>2066033</v>
      </c>
      <c r="C74" s="23">
        <v>2081958</v>
      </c>
      <c r="D74" s="23">
        <v>2098867</v>
      </c>
      <c r="E74" s="23">
        <v>2113618</v>
      </c>
      <c r="F74" s="23">
        <v>2143654</v>
      </c>
      <c r="G74" s="24">
        <v>1</v>
      </c>
      <c r="H74" s="24">
        <v>1</v>
      </c>
      <c r="I74" s="24">
        <v>1</v>
      </c>
      <c r="J74" s="24">
        <v>1</v>
      </c>
      <c r="K74" s="24">
        <v>1</v>
      </c>
      <c r="L74" s="23">
        <v>1699916</v>
      </c>
      <c r="M74" s="23">
        <v>1734788</v>
      </c>
      <c r="N74" s="23">
        <v>1769783</v>
      </c>
      <c r="O74" s="23">
        <v>1793740</v>
      </c>
      <c r="P74" s="23">
        <v>1797696</v>
      </c>
      <c r="Q74" s="24">
        <v>0.82279227872933303</v>
      </c>
      <c r="R74" s="24">
        <v>0.83324831720908876</v>
      </c>
      <c r="S74" s="24">
        <v>0.8432087407158243</v>
      </c>
      <c r="T74" s="24">
        <v>0.84865855608723995</v>
      </c>
      <c r="U74" s="24">
        <v>0.83861294779847873</v>
      </c>
      <c r="W74" s="23">
        <v>1722002</v>
      </c>
      <c r="X74" s="23">
        <v>1747264</v>
      </c>
      <c r="Y74" s="23">
        <v>1966969</v>
      </c>
      <c r="Z74" s="23">
        <v>2018877</v>
      </c>
      <c r="AA74" s="23">
        <v>2081958</v>
      </c>
      <c r="AB74" s="24">
        <v>1</v>
      </c>
      <c r="AC74" s="24">
        <v>1</v>
      </c>
      <c r="AD74" s="24">
        <v>1</v>
      </c>
      <c r="AE74" s="24">
        <v>1</v>
      </c>
      <c r="AF74" s="24">
        <v>1</v>
      </c>
      <c r="AG74" s="23">
        <v>1228231</v>
      </c>
      <c r="AH74" s="23">
        <v>1309611</v>
      </c>
      <c r="AI74" s="23">
        <v>1510340</v>
      </c>
      <c r="AJ74" s="23">
        <v>1599730</v>
      </c>
      <c r="AK74" s="23">
        <v>1734788</v>
      </c>
      <c r="AL74" s="24">
        <v>0.71325759203531702</v>
      </c>
      <c r="AM74" s="24">
        <v>0.74952096534925461</v>
      </c>
      <c r="AN74" s="24">
        <v>0.76785145063292815</v>
      </c>
      <c r="AO74" s="24">
        <v>0.79238606413367429</v>
      </c>
      <c r="AP74" s="24">
        <v>0.83324831720908876</v>
      </c>
      <c r="AQ74" s="39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</row>
    <row r="75" spans="1:55" s="21" customFormat="1" ht="12.75" x14ac:dyDescent="0.2">
      <c r="A75" s="20"/>
      <c r="AB75" s="22"/>
      <c r="AC75" s="22"/>
      <c r="AD75" s="22"/>
      <c r="AE75" s="22"/>
      <c r="AF75" s="22"/>
      <c r="AL75" s="22"/>
      <c r="AM75" s="22"/>
      <c r="AN75" s="22"/>
      <c r="AO75" s="22"/>
      <c r="AP75" s="22"/>
      <c r="AQ75" s="39"/>
    </row>
    <row r="76" spans="1:55" s="21" customFormat="1" ht="12.75" x14ac:dyDescent="0.2">
      <c r="A76" s="10" t="s">
        <v>69</v>
      </c>
      <c r="B76" s="10" t="s">
        <v>12</v>
      </c>
      <c r="C76" s="10" t="s">
        <v>13</v>
      </c>
      <c r="D76" s="10" t="s">
        <v>14</v>
      </c>
      <c r="E76" s="10" t="s">
        <v>15</v>
      </c>
      <c r="F76" s="10" t="s">
        <v>16</v>
      </c>
      <c r="G76" s="10" t="s">
        <v>12</v>
      </c>
      <c r="H76" s="10" t="s">
        <v>13</v>
      </c>
      <c r="I76" s="10" t="s">
        <v>14</v>
      </c>
      <c r="J76" s="10" t="s">
        <v>15</v>
      </c>
      <c r="K76" s="10" t="s">
        <v>16</v>
      </c>
      <c r="L76" s="10" t="s">
        <v>12</v>
      </c>
      <c r="M76" s="10" t="s">
        <v>13</v>
      </c>
      <c r="N76" s="10" t="s">
        <v>14</v>
      </c>
      <c r="O76" s="10" t="s">
        <v>15</v>
      </c>
      <c r="P76" s="10" t="s">
        <v>16</v>
      </c>
      <c r="Q76" s="10" t="s">
        <v>12</v>
      </c>
      <c r="R76" s="10" t="s">
        <v>13</v>
      </c>
      <c r="S76" s="10" t="s">
        <v>14</v>
      </c>
      <c r="T76" s="10" t="s">
        <v>15</v>
      </c>
      <c r="U76" s="10" t="s">
        <v>16</v>
      </c>
      <c r="V76" s="10"/>
      <c r="W76" s="10" t="s">
        <v>17</v>
      </c>
      <c r="X76" s="10" t="s">
        <v>18</v>
      </c>
      <c r="Y76" s="10" t="s">
        <v>19</v>
      </c>
      <c r="Z76" s="10" t="s">
        <v>20</v>
      </c>
      <c r="AA76" s="10" t="s">
        <v>21</v>
      </c>
      <c r="AB76" s="10" t="s">
        <v>17</v>
      </c>
      <c r="AC76" s="10" t="s">
        <v>18</v>
      </c>
      <c r="AD76" s="10" t="s">
        <v>19</v>
      </c>
      <c r="AE76" s="10" t="s">
        <v>20</v>
      </c>
      <c r="AF76" s="10" t="s">
        <v>21</v>
      </c>
      <c r="AG76" s="10" t="s">
        <v>17</v>
      </c>
      <c r="AH76" s="10" t="s">
        <v>18</v>
      </c>
      <c r="AI76" s="10" t="s">
        <v>19</v>
      </c>
      <c r="AJ76" s="10" t="s">
        <v>20</v>
      </c>
      <c r="AK76" s="10" t="s">
        <v>21</v>
      </c>
      <c r="AL76" s="10" t="s">
        <v>17</v>
      </c>
      <c r="AM76" s="10" t="s">
        <v>18</v>
      </c>
      <c r="AN76" s="10" t="s">
        <v>19</v>
      </c>
      <c r="AO76" s="10" t="s">
        <v>20</v>
      </c>
      <c r="AP76" s="10" t="s">
        <v>21</v>
      </c>
      <c r="AQ76" s="39"/>
    </row>
    <row r="77" spans="1:55" s="21" customFormat="1" ht="12.75" x14ac:dyDescent="0.2">
      <c r="A77" s="20" t="s">
        <v>23</v>
      </c>
      <c r="B77" s="21">
        <v>108401</v>
      </c>
      <c r="C77" s="21">
        <v>108488</v>
      </c>
      <c r="D77" s="21">
        <v>107062</v>
      </c>
      <c r="E77" s="21">
        <v>105122</v>
      </c>
      <c r="F77" s="21">
        <v>104009</v>
      </c>
      <c r="G77" s="22">
        <v>0.89858664566668045</v>
      </c>
      <c r="H77" s="22">
        <v>0.89256742303325487</v>
      </c>
      <c r="I77" s="22">
        <v>0.87605659157672511</v>
      </c>
      <c r="J77" s="22">
        <v>0.85755773639085353</v>
      </c>
      <c r="K77" s="22">
        <v>0.8415512330895204</v>
      </c>
      <c r="L77" s="21">
        <v>29141</v>
      </c>
      <c r="M77" s="21">
        <v>36134</v>
      </c>
      <c r="N77" s="21">
        <v>44357</v>
      </c>
      <c r="O77" s="21">
        <v>45538</v>
      </c>
      <c r="P77" s="21">
        <v>37383</v>
      </c>
      <c r="Q77" s="22">
        <v>0.26882593334009836</v>
      </c>
      <c r="R77" s="22">
        <v>0.33306909519946909</v>
      </c>
      <c r="S77" s="22">
        <v>0.41431133361977174</v>
      </c>
      <c r="T77" s="22">
        <v>0.43319191035178173</v>
      </c>
      <c r="U77" s="22">
        <v>0.35942081935217146</v>
      </c>
      <c r="W77" s="21">
        <v>108997</v>
      </c>
      <c r="X77" s="21">
        <v>110268</v>
      </c>
      <c r="Y77" s="21">
        <v>109282</v>
      </c>
      <c r="Z77" s="21">
        <v>107016</v>
      </c>
      <c r="AA77" s="21">
        <v>108488</v>
      </c>
      <c r="AB77" s="22">
        <v>0.96026676768833641</v>
      </c>
      <c r="AC77" s="22">
        <v>0.94621404544518428</v>
      </c>
      <c r="AD77" s="22">
        <v>0.92725020363833832</v>
      </c>
      <c r="AE77" s="22">
        <v>0.91076671687900523</v>
      </c>
      <c r="AF77" s="22">
        <v>0.89256742303325487</v>
      </c>
      <c r="AG77" s="21">
        <v>19519</v>
      </c>
      <c r="AH77" s="21">
        <v>25744</v>
      </c>
      <c r="AI77" s="21">
        <v>22957</v>
      </c>
      <c r="AJ77" s="21">
        <v>15511</v>
      </c>
      <c r="AK77" s="21">
        <v>36134</v>
      </c>
      <c r="AL77" s="22">
        <v>0.17907832325660339</v>
      </c>
      <c r="AM77" s="22">
        <v>0.23346755178292886</v>
      </c>
      <c r="AN77" s="22">
        <v>0.21007119196207977</v>
      </c>
      <c r="AO77" s="22">
        <v>0.14494094341033117</v>
      </c>
      <c r="AP77" s="22">
        <v>0.33306909519946909</v>
      </c>
      <c r="AQ77" s="39"/>
    </row>
    <row r="78" spans="1:55" s="21" customFormat="1" ht="12.75" x14ac:dyDescent="0.2">
      <c r="A78" s="20" t="s">
        <v>48</v>
      </c>
      <c r="B78" s="21">
        <v>7530</v>
      </c>
      <c r="C78" s="21">
        <v>8141</v>
      </c>
      <c r="D78" s="21">
        <v>10142</v>
      </c>
      <c r="E78" s="21">
        <v>12337</v>
      </c>
      <c r="F78" s="21">
        <v>14483</v>
      </c>
      <c r="G78" s="22">
        <v>6.2419695776515939E-2</v>
      </c>
      <c r="H78" s="22">
        <v>6.6978757013805471E-2</v>
      </c>
      <c r="I78" s="22">
        <v>8.2988977898518113E-2</v>
      </c>
      <c r="J78" s="22">
        <v>0.10064201398236297</v>
      </c>
      <c r="K78" s="22">
        <v>0.11718396012686905</v>
      </c>
      <c r="L78" s="21">
        <v>7256</v>
      </c>
      <c r="M78" s="21">
        <v>7862</v>
      </c>
      <c r="N78" s="21">
        <v>9863</v>
      </c>
      <c r="O78" s="21">
        <v>12042</v>
      </c>
      <c r="P78" s="21">
        <v>13960</v>
      </c>
      <c r="Q78" s="22">
        <v>0.96361221779548478</v>
      </c>
      <c r="R78" s="22">
        <v>0.96572902591819187</v>
      </c>
      <c r="S78" s="22">
        <v>0.97249063301124039</v>
      </c>
      <c r="T78" s="22">
        <v>0.9760881899975683</v>
      </c>
      <c r="U78" s="22">
        <v>0.96388869709314373</v>
      </c>
      <c r="W78" s="21">
        <v>12</v>
      </c>
      <c r="X78" s="21">
        <v>2081</v>
      </c>
      <c r="Y78" s="21">
        <v>4393</v>
      </c>
      <c r="Z78" s="21">
        <v>6161</v>
      </c>
      <c r="AA78" s="21">
        <v>8141</v>
      </c>
      <c r="AB78" s="22">
        <v>1.0572035204877232E-4</v>
      </c>
      <c r="AC78" s="22">
        <v>1.7857142857142856E-2</v>
      </c>
      <c r="AD78" s="22">
        <v>3.7274300841705132E-2</v>
      </c>
      <c r="AE78" s="22">
        <v>5.2433596309818642E-2</v>
      </c>
      <c r="AF78" s="22">
        <v>6.6978757013805471E-2</v>
      </c>
      <c r="AG78" s="21">
        <v>0</v>
      </c>
      <c r="AH78" s="21">
        <v>2057</v>
      </c>
      <c r="AI78" s="21">
        <v>4329</v>
      </c>
      <c r="AJ78" s="21">
        <v>5984</v>
      </c>
      <c r="AK78" s="21">
        <v>7862</v>
      </c>
      <c r="AL78" s="22">
        <v>0</v>
      </c>
      <c r="AM78" s="22">
        <v>0.98846708313310905</v>
      </c>
      <c r="AN78" s="22">
        <v>0.98543136808559073</v>
      </c>
      <c r="AO78" s="22">
        <v>0.97127089758156149</v>
      </c>
      <c r="AP78" s="22">
        <v>0.96572902591819187</v>
      </c>
      <c r="AQ78" s="39"/>
    </row>
    <row r="79" spans="1:55" s="21" customFormat="1" ht="12.75" x14ac:dyDescent="0.2">
      <c r="A79" s="20" t="s">
        <v>35</v>
      </c>
      <c r="B79" s="21">
        <v>4704</v>
      </c>
      <c r="C79" s="21">
        <v>4917</v>
      </c>
      <c r="D79" s="21">
        <v>5005</v>
      </c>
      <c r="E79" s="21">
        <v>5124</v>
      </c>
      <c r="F79" s="21">
        <v>5100</v>
      </c>
      <c r="G79" s="22">
        <v>3.8993658556803583E-2</v>
      </c>
      <c r="H79" s="22">
        <v>4.0453819952939625E-2</v>
      </c>
      <c r="I79" s="22">
        <v>4.0954430524756766E-2</v>
      </c>
      <c r="J79" s="22">
        <v>4.1800249626783484E-2</v>
      </c>
      <c r="K79" s="22">
        <v>4.1264806783610587E-2</v>
      </c>
      <c r="L79" s="21">
        <v>4444</v>
      </c>
      <c r="M79" s="21">
        <v>4664</v>
      </c>
      <c r="N79" s="21">
        <v>4775</v>
      </c>
      <c r="O79" s="21">
        <v>4897</v>
      </c>
      <c r="P79" s="21">
        <v>4873</v>
      </c>
      <c r="Q79" s="22">
        <v>0.94472789115646261</v>
      </c>
      <c r="R79" s="22">
        <v>0.94854586129753915</v>
      </c>
      <c r="S79" s="22">
        <v>0.95404595404595405</v>
      </c>
      <c r="T79" s="22">
        <v>0.95569867291178767</v>
      </c>
      <c r="U79" s="22">
        <v>0.95549019607843133</v>
      </c>
      <c r="W79" s="21">
        <v>4498</v>
      </c>
      <c r="X79" s="21">
        <v>4187</v>
      </c>
      <c r="Y79" s="21">
        <v>4181</v>
      </c>
      <c r="Z79" s="21">
        <v>4324</v>
      </c>
      <c r="AA79" s="21">
        <v>4917</v>
      </c>
      <c r="AB79" s="22">
        <v>3.9627511959614822E-2</v>
      </c>
      <c r="AC79" s="22">
        <v>3.592881169767282E-2</v>
      </c>
      <c r="AD79" s="22">
        <v>3.547549551995656E-2</v>
      </c>
      <c r="AE79" s="22">
        <v>3.6799686811176076E-2</v>
      </c>
      <c r="AF79" s="22">
        <v>4.0453819952939625E-2</v>
      </c>
      <c r="AG79" s="21">
        <v>4066</v>
      </c>
      <c r="AH79" s="21">
        <v>3784</v>
      </c>
      <c r="AI79" s="21">
        <v>3846</v>
      </c>
      <c r="AJ79" s="21">
        <v>4038</v>
      </c>
      <c r="AK79" s="21">
        <v>4664</v>
      </c>
      <c r="AL79" s="22">
        <v>0.9039573143619386</v>
      </c>
      <c r="AM79" s="22">
        <v>0.90374970145689038</v>
      </c>
      <c r="AN79" s="22">
        <v>0.91987562784022958</v>
      </c>
      <c r="AO79" s="22">
        <v>0.93385753931544868</v>
      </c>
      <c r="AP79" s="22">
        <v>0.94854586129753915</v>
      </c>
      <c r="AQ79" s="39"/>
    </row>
    <row r="80" spans="1:55" s="23" customFormat="1" ht="12.75" x14ac:dyDescent="0.2">
      <c r="A80" s="31" t="s">
        <v>82</v>
      </c>
      <c r="B80" s="23">
        <v>120635</v>
      </c>
      <c r="C80" s="23">
        <v>121546</v>
      </c>
      <c r="D80" s="23">
        <v>122209</v>
      </c>
      <c r="E80" s="23">
        <v>122583</v>
      </c>
      <c r="F80" s="23">
        <v>123592</v>
      </c>
      <c r="G80" s="24">
        <v>1</v>
      </c>
      <c r="H80" s="24">
        <v>1</v>
      </c>
      <c r="I80" s="24">
        <v>1</v>
      </c>
      <c r="J80" s="24">
        <v>1</v>
      </c>
      <c r="K80" s="24">
        <v>1</v>
      </c>
      <c r="L80" s="23">
        <v>40841</v>
      </c>
      <c r="M80" s="23">
        <v>48660</v>
      </c>
      <c r="N80" s="23">
        <v>58995</v>
      </c>
      <c r="O80" s="23">
        <v>62477</v>
      </c>
      <c r="P80" s="23">
        <v>56216</v>
      </c>
      <c r="Q80" s="24">
        <v>0.33855017200646581</v>
      </c>
      <c r="R80" s="24">
        <v>0.40034225725239825</v>
      </c>
      <c r="S80" s="24">
        <v>0.48273858717443069</v>
      </c>
      <c r="T80" s="24">
        <v>0.50967099842555652</v>
      </c>
      <c r="U80" s="24">
        <v>0.45485144669557898</v>
      </c>
      <c r="W80" s="23">
        <v>113507</v>
      </c>
      <c r="X80" s="23">
        <v>116536</v>
      </c>
      <c r="Y80" s="23">
        <v>117856</v>
      </c>
      <c r="Z80" s="23">
        <v>117501</v>
      </c>
      <c r="AA80" s="23">
        <v>121546</v>
      </c>
      <c r="AB80" s="24">
        <v>1</v>
      </c>
      <c r="AC80" s="24">
        <v>1</v>
      </c>
      <c r="AD80" s="24">
        <v>1</v>
      </c>
      <c r="AE80" s="24">
        <v>1</v>
      </c>
      <c r="AF80" s="24">
        <v>1</v>
      </c>
      <c r="AG80" s="23">
        <v>23585</v>
      </c>
      <c r="AH80" s="23">
        <v>31585</v>
      </c>
      <c r="AI80" s="23">
        <v>31132</v>
      </c>
      <c r="AJ80" s="23">
        <v>25533</v>
      </c>
      <c r="AK80" s="23">
        <v>48660</v>
      </c>
      <c r="AL80" s="24">
        <v>0.2077845419225246</v>
      </c>
      <c r="AM80" s="24">
        <v>0.27103212741127203</v>
      </c>
      <c r="AN80" s="24">
        <v>0.2641528645126256</v>
      </c>
      <c r="AO80" s="24">
        <v>0.21730027829550386</v>
      </c>
      <c r="AP80" s="24">
        <v>0.40034225725239825</v>
      </c>
      <c r="AQ80" s="39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</row>
    <row r="81" spans="1:55" s="21" customFormat="1" ht="12.75" x14ac:dyDescent="0.2">
      <c r="A81" s="20"/>
      <c r="AB81" s="22"/>
      <c r="AC81" s="22"/>
      <c r="AD81" s="22"/>
      <c r="AE81" s="22"/>
      <c r="AF81" s="22"/>
      <c r="AL81" s="22"/>
      <c r="AM81" s="22"/>
      <c r="AN81" s="22"/>
      <c r="AO81" s="22"/>
      <c r="AP81" s="22"/>
      <c r="AQ81" s="39"/>
    </row>
    <row r="82" spans="1:55" s="21" customFormat="1" ht="12.75" x14ac:dyDescent="0.2">
      <c r="A82" s="10" t="s">
        <v>71</v>
      </c>
      <c r="B82" s="10" t="s">
        <v>12</v>
      </c>
      <c r="C82" s="10" t="s">
        <v>13</v>
      </c>
      <c r="D82" s="10" t="s">
        <v>14</v>
      </c>
      <c r="E82" s="10" t="s">
        <v>15</v>
      </c>
      <c r="F82" s="10" t="s">
        <v>16</v>
      </c>
      <c r="G82" s="10" t="s">
        <v>12</v>
      </c>
      <c r="H82" s="10" t="s">
        <v>13</v>
      </c>
      <c r="I82" s="10" t="s">
        <v>14</v>
      </c>
      <c r="J82" s="10" t="s">
        <v>15</v>
      </c>
      <c r="K82" s="10" t="s">
        <v>16</v>
      </c>
      <c r="L82" s="10" t="s">
        <v>12</v>
      </c>
      <c r="M82" s="10" t="s">
        <v>13</v>
      </c>
      <c r="N82" s="10" t="s">
        <v>14</v>
      </c>
      <c r="O82" s="10" t="s">
        <v>15</v>
      </c>
      <c r="P82" s="10" t="s">
        <v>16</v>
      </c>
      <c r="Q82" s="10" t="s">
        <v>12</v>
      </c>
      <c r="R82" s="10" t="s">
        <v>13</v>
      </c>
      <c r="S82" s="10" t="s">
        <v>14</v>
      </c>
      <c r="T82" s="10" t="s">
        <v>15</v>
      </c>
      <c r="U82" s="10" t="s">
        <v>16</v>
      </c>
      <c r="V82" s="10"/>
      <c r="W82" s="10" t="s">
        <v>17</v>
      </c>
      <c r="X82" s="10" t="s">
        <v>18</v>
      </c>
      <c r="Y82" s="10" t="s">
        <v>19</v>
      </c>
      <c r="Z82" s="10" t="s">
        <v>20</v>
      </c>
      <c r="AA82" s="10" t="s">
        <v>21</v>
      </c>
      <c r="AB82" s="10" t="s">
        <v>17</v>
      </c>
      <c r="AC82" s="10" t="s">
        <v>18</v>
      </c>
      <c r="AD82" s="10" t="s">
        <v>19</v>
      </c>
      <c r="AE82" s="10" t="s">
        <v>20</v>
      </c>
      <c r="AF82" s="10" t="s">
        <v>21</v>
      </c>
      <c r="AG82" s="10" t="s">
        <v>17</v>
      </c>
      <c r="AH82" s="10" t="s">
        <v>18</v>
      </c>
      <c r="AI82" s="10" t="s">
        <v>19</v>
      </c>
      <c r="AJ82" s="10" t="s">
        <v>20</v>
      </c>
      <c r="AK82" s="10" t="s">
        <v>21</v>
      </c>
      <c r="AL82" s="10" t="s">
        <v>17</v>
      </c>
      <c r="AM82" s="10" t="s">
        <v>18</v>
      </c>
      <c r="AN82" s="10" t="s">
        <v>19</v>
      </c>
      <c r="AO82" s="10" t="s">
        <v>20</v>
      </c>
      <c r="AP82" s="10" t="s">
        <v>21</v>
      </c>
      <c r="AQ82" s="39"/>
    </row>
    <row r="83" spans="1:55" s="21" customFormat="1" ht="12.75" x14ac:dyDescent="0.2">
      <c r="A83" s="20" t="s">
        <v>48</v>
      </c>
      <c r="B83" s="21">
        <v>266540</v>
      </c>
      <c r="C83" s="21">
        <v>271960</v>
      </c>
      <c r="D83" s="21">
        <v>271002</v>
      </c>
      <c r="E83" s="21">
        <v>270994</v>
      </c>
      <c r="F83" s="21">
        <v>277944</v>
      </c>
      <c r="G83" s="22">
        <v>0.19980539700959071</v>
      </c>
      <c r="H83" s="22">
        <v>0.20212169813143707</v>
      </c>
      <c r="I83" s="22">
        <v>0.19941206985993429</v>
      </c>
      <c r="J83" s="22">
        <v>0.19772458471445675</v>
      </c>
      <c r="K83" s="22">
        <v>0.19988421639308895</v>
      </c>
      <c r="L83" s="21">
        <v>241885</v>
      </c>
      <c r="M83" s="21">
        <v>248399</v>
      </c>
      <c r="N83" s="21">
        <v>247908</v>
      </c>
      <c r="O83" s="21">
        <v>248281</v>
      </c>
      <c r="P83" s="21">
        <v>249334</v>
      </c>
      <c r="Q83" s="22">
        <v>0.90749981241089517</v>
      </c>
      <c r="R83" s="22">
        <v>0.91336593616708339</v>
      </c>
      <c r="S83" s="22">
        <v>0.91478291673124179</v>
      </c>
      <c r="T83" s="22">
        <v>0.91618633622884638</v>
      </c>
      <c r="U83" s="22">
        <v>0.89706559594738511</v>
      </c>
      <c r="W83" s="21">
        <v>218135</v>
      </c>
      <c r="X83" s="21">
        <v>243596</v>
      </c>
      <c r="Y83" s="21">
        <v>254034</v>
      </c>
      <c r="Z83" s="21">
        <v>260017</v>
      </c>
      <c r="AA83" s="21">
        <v>271960</v>
      </c>
      <c r="AB83" s="22">
        <v>0.18043223999510322</v>
      </c>
      <c r="AC83" s="22">
        <v>0.19917401930122786</v>
      </c>
      <c r="AD83" s="22">
        <v>0.20206427965771392</v>
      </c>
      <c r="AE83" s="22">
        <v>0.20054575730767954</v>
      </c>
      <c r="AF83" s="22">
        <v>0.20212169813143707</v>
      </c>
      <c r="AG83" s="21">
        <v>179301</v>
      </c>
      <c r="AH83" s="21">
        <v>206591</v>
      </c>
      <c r="AI83" s="21">
        <v>221620</v>
      </c>
      <c r="AJ83" s="21">
        <v>231896</v>
      </c>
      <c r="AK83" s="21">
        <v>248399</v>
      </c>
      <c r="AL83" s="22">
        <v>0.82197263162720335</v>
      </c>
      <c r="AM83" s="22">
        <v>0.84808863856549366</v>
      </c>
      <c r="AN83" s="22">
        <v>0.87240290669752862</v>
      </c>
      <c r="AO83" s="22">
        <v>0.89184937907906026</v>
      </c>
      <c r="AP83" s="22">
        <v>0.91336593616708339</v>
      </c>
      <c r="AQ83" s="39"/>
    </row>
    <row r="84" spans="1:55" s="21" customFormat="1" ht="12.75" x14ac:dyDescent="0.2">
      <c r="A84" s="20" t="s">
        <v>24</v>
      </c>
      <c r="B84" s="21">
        <v>627336</v>
      </c>
      <c r="C84" s="21">
        <v>621820</v>
      </c>
      <c r="D84" s="21">
        <v>617877</v>
      </c>
      <c r="E84" s="21">
        <v>612891</v>
      </c>
      <c r="F84" s="21">
        <v>621721</v>
      </c>
      <c r="G84" s="22">
        <v>0.47026757161554966</v>
      </c>
      <c r="H84" s="22">
        <v>0.46213897018712385</v>
      </c>
      <c r="I84" s="22">
        <v>0.45465395638720973</v>
      </c>
      <c r="J84" s="22">
        <v>0.44718192450839545</v>
      </c>
      <c r="K84" s="22">
        <v>0.44711242156739361</v>
      </c>
      <c r="L84" s="21">
        <v>497060</v>
      </c>
      <c r="M84" s="21">
        <v>497241</v>
      </c>
      <c r="N84" s="21">
        <v>498552</v>
      </c>
      <c r="O84" s="21">
        <v>496318</v>
      </c>
      <c r="P84" s="21">
        <v>499866</v>
      </c>
      <c r="Q84" s="22">
        <v>0.79233457031000931</v>
      </c>
      <c r="R84" s="22">
        <v>0.7996542407770737</v>
      </c>
      <c r="S84" s="22">
        <v>0.80687903903204039</v>
      </c>
      <c r="T84" s="22">
        <v>0.80979815334211136</v>
      </c>
      <c r="U84" s="22">
        <v>0.80400372514359331</v>
      </c>
      <c r="W84" s="21">
        <v>678552</v>
      </c>
      <c r="X84" s="21">
        <v>659869</v>
      </c>
      <c r="Y84" s="21">
        <v>649432</v>
      </c>
      <c r="Z84" s="21">
        <v>634247</v>
      </c>
      <c r="AA84" s="21">
        <v>621820</v>
      </c>
      <c r="AB84" s="22">
        <v>0.56127011856491293</v>
      </c>
      <c r="AC84" s="22">
        <v>0.53953579263322027</v>
      </c>
      <c r="AD84" s="22">
        <v>0.516572621250181</v>
      </c>
      <c r="AE84" s="22">
        <v>0.48918164941186087</v>
      </c>
      <c r="AF84" s="22">
        <v>0.46213897018712385</v>
      </c>
      <c r="AG84" s="21">
        <v>462514</v>
      </c>
      <c r="AH84" s="21">
        <v>461027</v>
      </c>
      <c r="AI84" s="21">
        <v>470557</v>
      </c>
      <c r="AJ84" s="21">
        <v>484914</v>
      </c>
      <c r="AK84" s="21">
        <v>497241</v>
      </c>
      <c r="AL84" s="22">
        <v>0.68161909477829263</v>
      </c>
      <c r="AM84" s="22">
        <v>0.69866443187966099</v>
      </c>
      <c r="AN84" s="22">
        <v>0.72456700624545756</v>
      </c>
      <c r="AO84" s="22">
        <v>0.76455071919930251</v>
      </c>
      <c r="AP84" s="22">
        <v>0.7996542407770737</v>
      </c>
      <c r="AQ84" s="39"/>
    </row>
    <row r="85" spans="1:55" s="21" customFormat="1" ht="12.75" x14ac:dyDescent="0.2">
      <c r="A85" s="20" t="s">
        <v>35</v>
      </c>
      <c r="B85" s="21">
        <v>343582</v>
      </c>
      <c r="C85" s="21">
        <v>345017</v>
      </c>
      <c r="D85" s="21">
        <v>354560</v>
      </c>
      <c r="E85" s="21">
        <v>363255</v>
      </c>
      <c r="F85" s="21">
        <v>361193</v>
      </c>
      <c r="G85" s="22">
        <v>0.25755810728351919</v>
      </c>
      <c r="H85" s="22">
        <v>0.25641793618257841</v>
      </c>
      <c r="I85" s="22">
        <v>0.26089675902590498</v>
      </c>
      <c r="J85" s="22">
        <v>0.26504071684409986</v>
      </c>
      <c r="K85" s="22">
        <v>0.25975297100016181</v>
      </c>
      <c r="L85" s="21">
        <v>321623</v>
      </c>
      <c r="M85" s="21">
        <v>323883</v>
      </c>
      <c r="N85" s="21">
        <v>333615</v>
      </c>
      <c r="O85" s="21">
        <v>343604</v>
      </c>
      <c r="P85" s="21">
        <v>342687</v>
      </c>
      <c r="Q85" s="22">
        <v>0.93608803720800271</v>
      </c>
      <c r="R85" s="22">
        <v>0.93874504734549313</v>
      </c>
      <c r="S85" s="22">
        <v>0.94092678249097472</v>
      </c>
      <c r="T85" s="22">
        <v>0.94590301578780744</v>
      </c>
      <c r="U85" s="22">
        <v>0.94876423407984101</v>
      </c>
      <c r="W85" s="21">
        <v>252709</v>
      </c>
      <c r="X85" s="21">
        <v>278434</v>
      </c>
      <c r="Y85" s="21">
        <v>303541</v>
      </c>
      <c r="Z85" s="21">
        <v>333394</v>
      </c>
      <c r="AA85" s="21">
        <v>345017</v>
      </c>
      <c r="AB85" s="22">
        <v>0.20903042123878579</v>
      </c>
      <c r="AC85" s="22">
        <v>0.22765898820226144</v>
      </c>
      <c r="AD85" s="22">
        <v>0.24144324583159002</v>
      </c>
      <c r="AE85" s="22">
        <v>0.25713992628111437</v>
      </c>
      <c r="AF85" s="22">
        <v>0.25641793618257841</v>
      </c>
      <c r="AG85" s="21">
        <v>186729</v>
      </c>
      <c r="AH85" s="21">
        <v>243544</v>
      </c>
      <c r="AI85" s="21">
        <v>277137</v>
      </c>
      <c r="AJ85" s="21">
        <v>308810</v>
      </c>
      <c r="AK85" s="21">
        <v>323883</v>
      </c>
      <c r="AL85" s="22">
        <v>0.73890918012417439</v>
      </c>
      <c r="AM85" s="22">
        <v>0.87469202755410613</v>
      </c>
      <c r="AN85" s="22">
        <v>0.91301339851947516</v>
      </c>
      <c r="AO85" s="22">
        <v>0.92626142042148329</v>
      </c>
      <c r="AP85" s="22">
        <v>0.93874504734549313</v>
      </c>
      <c r="AQ85" s="39"/>
    </row>
    <row r="86" spans="1:55" s="21" customFormat="1" ht="12.75" x14ac:dyDescent="0.2">
      <c r="A86" s="20" t="s">
        <v>81</v>
      </c>
      <c r="B86" s="21">
        <v>96540</v>
      </c>
      <c r="C86" s="21">
        <v>106729</v>
      </c>
      <c r="D86" s="21">
        <v>115566</v>
      </c>
      <c r="E86" s="21">
        <v>123423</v>
      </c>
      <c r="F86" s="21">
        <v>129667</v>
      </c>
      <c r="G86" s="22">
        <v>7.2368924091340464E-2</v>
      </c>
      <c r="H86" s="22">
        <v>7.9321395498860664E-2</v>
      </c>
      <c r="I86" s="22">
        <v>8.5037214726950971E-2</v>
      </c>
      <c r="J86" s="22">
        <v>9.0052773933047947E-2</v>
      </c>
      <c r="K86" s="22">
        <v>9.3250391039355646E-2</v>
      </c>
      <c r="L86" s="21">
        <v>86019</v>
      </c>
      <c r="M86" s="21">
        <v>96404</v>
      </c>
      <c r="N86" s="21">
        <v>105359</v>
      </c>
      <c r="O86" s="21">
        <v>113686</v>
      </c>
      <c r="P86" s="21">
        <v>116159</v>
      </c>
      <c r="Q86" s="22">
        <v>0.89101926662523312</v>
      </c>
      <c r="R86" s="22">
        <v>0.90325965763756799</v>
      </c>
      <c r="S86" s="22">
        <v>0.91167817524185313</v>
      </c>
      <c r="T86" s="22">
        <v>0.92110870745322992</v>
      </c>
      <c r="U86" s="22">
        <v>0.895825460602929</v>
      </c>
      <c r="W86" s="21">
        <v>59562</v>
      </c>
      <c r="X86" s="21">
        <v>41132</v>
      </c>
      <c r="Y86" s="21">
        <v>50187</v>
      </c>
      <c r="Z86" s="21">
        <v>68889</v>
      </c>
      <c r="AA86" s="21">
        <v>106729</v>
      </c>
      <c r="AB86" s="22">
        <v>4.9267220201198059E-2</v>
      </c>
      <c r="AC86" s="22">
        <v>3.3631199863290467E-2</v>
      </c>
      <c r="AD86" s="22">
        <v>3.9919853260515087E-2</v>
      </c>
      <c r="AE86" s="22">
        <v>5.3132666999345185E-2</v>
      </c>
      <c r="AF86" s="22">
        <v>7.9321395498860664E-2</v>
      </c>
      <c r="AG86" s="21">
        <v>42531</v>
      </c>
      <c r="AH86" s="21">
        <v>25218</v>
      </c>
      <c r="AI86" s="21">
        <v>34813</v>
      </c>
      <c r="AJ86" s="21">
        <v>53999</v>
      </c>
      <c r="AK86" s="21">
        <v>96404</v>
      </c>
      <c r="AL86" s="22">
        <v>0.71406265739901276</v>
      </c>
      <c r="AM86" s="22">
        <v>0.61309929009044051</v>
      </c>
      <c r="AN86" s="22">
        <v>0.6936656903182099</v>
      </c>
      <c r="AO86" s="22">
        <v>0.78385518733034298</v>
      </c>
      <c r="AP86" s="22">
        <v>0.90325965763756799</v>
      </c>
      <c r="AQ86" s="39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</row>
    <row r="87" spans="1:55" s="23" customFormat="1" ht="12.75" x14ac:dyDescent="0.2">
      <c r="A87" s="31" t="s">
        <v>82</v>
      </c>
      <c r="B87" s="23">
        <v>1333998</v>
      </c>
      <c r="C87" s="23">
        <v>1345526</v>
      </c>
      <c r="D87" s="23">
        <v>1359005</v>
      </c>
      <c r="E87" s="23">
        <v>1370563</v>
      </c>
      <c r="F87" s="23">
        <v>1390525</v>
      </c>
      <c r="G87" s="24">
        <v>1</v>
      </c>
      <c r="H87" s="24">
        <v>1</v>
      </c>
      <c r="I87" s="24">
        <v>1</v>
      </c>
      <c r="J87" s="24">
        <v>1</v>
      </c>
      <c r="K87" s="24">
        <v>1</v>
      </c>
      <c r="L87" s="23">
        <v>1146587</v>
      </c>
      <c r="M87" s="23">
        <v>1165927</v>
      </c>
      <c r="N87" s="23">
        <v>1185434</v>
      </c>
      <c r="O87" s="23">
        <v>1201889</v>
      </c>
      <c r="P87" s="23">
        <v>1208046</v>
      </c>
      <c r="Q87" s="24">
        <v>0.8595117833759871</v>
      </c>
      <c r="R87" s="24">
        <v>0.86652134555556715</v>
      </c>
      <c r="S87" s="24">
        <v>0.87228082310219612</v>
      </c>
      <c r="T87" s="24">
        <v>0.87693086709622248</v>
      </c>
      <c r="U87" s="24">
        <v>0.86876970928246522</v>
      </c>
      <c r="W87" s="23">
        <v>1208958</v>
      </c>
      <c r="X87" s="23">
        <v>1223031</v>
      </c>
      <c r="Y87" s="23">
        <v>1257194</v>
      </c>
      <c r="Z87" s="23">
        <v>1296547</v>
      </c>
      <c r="AA87" s="23">
        <v>1345526</v>
      </c>
      <c r="AB87" s="24">
        <v>1</v>
      </c>
      <c r="AC87" s="24">
        <v>1</v>
      </c>
      <c r="AD87" s="24">
        <v>1</v>
      </c>
      <c r="AE87" s="24">
        <v>1</v>
      </c>
      <c r="AF87" s="24">
        <v>1</v>
      </c>
      <c r="AG87" s="23">
        <v>871075</v>
      </c>
      <c r="AH87" s="23">
        <v>936380</v>
      </c>
      <c r="AI87" s="23">
        <v>1004127</v>
      </c>
      <c r="AJ87" s="23">
        <v>1079619</v>
      </c>
      <c r="AK87" s="23">
        <v>1165927</v>
      </c>
      <c r="AL87" s="24">
        <v>0.72051717263957893</v>
      </c>
      <c r="AM87" s="24">
        <v>0.76562245764825254</v>
      </c>
      <c r="AN87" s="24">
        <v>0.7987048935963742</v>
      </c>
      <c r="AO87" s="24">
        <v>0.83268790101708612</v>
      </c>
      <c r="AP87" s="24">
        <v>0.86652134555556715</v>
      </c>
      <c r="AQ87" s="39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</row>
    <row r="88" spans="1:55" s="21" customFormat="1" ht="12.75" x14ac:dyDescent="0.2">
      <c r="A88" s="20"/>
      <c r="AB88" s="22"/>
      <c r="AC88" s="22"/>
      <c r="AD88" s="22"/>
      <c r="AE88" s="22"/>
      <c r="AF88" s="22"/>
      <c r="AL88" s="22"/>
      <c r="AM88" s="22"/>
      <c r="AN88" s="22"/>
      <c r="AO88" s="22"/>
      <c r="AP88" s="22"/>
      <c r="AQ88" s="39"/>
    </row>
    <row r="89" spans="1:55" s="21" customFormat="1" ht="12.75" x14ac:dyDescent="0.2">
      <c r="A89" s="10" t="s">
        <v>73</v>
      </c>
      <c r="B89" s="10" t="s">
        <v>12</v>
      </c>
      <c r="C89" s="10" t="s">
        <v>13</v>
      </c>
      <c r="D89" s="10" t="s">
        <v>14</v>
      </c>
      <c r="E89" s="10" t="s">
        <v>15</v>
      </c>
      <c r="F89" s="10" t="s">
        <v>16</v>
      </c>
      <c r="G89" s="10" t="s">
        <v>12</v>
      </c>
      <c r="H89" s="10" t="s">
        <v>13</v>
      </c>
      <c r="I89" s="10" t="s">
        <v>14</v>
      </c>
      <c r="J89" s="10" t="s">
        <v>15</v>
      </c>
      <c r="K89" s="10" t="s">
        <v>16</v>
      </c>
      <c r="L89" s="10" t="s">
        <v>12</v>
      </c>
      <c r="M89" s="10" t="s">
        <v>13</v>
      </c>
      <c r="N89" s="10" t="s">
        <v>14</v>
      </c>
      <c r="O89" s="10" t="s">
        <v>15</v>
      </c>
      <c r="P89" s="10" t="s">
        <v>16</v>
      </c>
      <c r="Q89" s="10" t="s">
        <v>12</v>
      </c>
      <c r="R89" s="10" t="s">
        <v>13</v>
      </c>
      <c r="S89" s="10" t="s">
        <v>14</v>
      </c>
      <c r="T89" s="10" t="s">
        <v>15</v>
      </c>
      <c r="U89" s="10" t="s">
        <v>16</v>
      </c>
      <c r="V89" s="10"/>
      <c r="W89" s="10" t="s">
        <v>17</v>
      </c>
      <c r="X89" s="10" t="s">
        <v>18</v>
      </c>
      <c r="Y89" s="10" t="s">
        <v>19</v>
      </c>
      <c r="Z89" s="10" t="s">
        <v>20</v>
      </c>
      <c r="AA89" s="10" t="s">
        <v>21</v>
      </c>
      <c r="AB89" s="10" t="s">
        <v>17</v>
      </c>
      <c r="AC89" s="10" t="s">
        <v>18</v>
      </c>
      <c r="AD89" s="10" t="s">
        <v>19</v>
      </c>
      <c r="AE89" s="10" t="s">
        <v>20</v>
      </c>
      <c r="AF89" s="10" t="s">
        <v>21</v>
      </c>
      <c r="AG89" s="10" t="s">
        <v>17</v>
      </c>
      <c r="AH89" s="10" t="s">
        <v>18</v>
      </c>
      <c r="AI89" s="10" t="s">
        <v>19</v>
      </c>
      <c r="AJ89" s="10" t="s">
        <v>20</v>
      </c>
      <c r="AK89" s="10" t="s">
        <v>21</v>
      </c>
      <c r="AL89" s="10" t="s">
        <v>17</v>
      </c>
      <c r="AM89" s="10" t="s">
        <v>18</v>
      </c>
      <c r="AN89" s="10" t="s">
        <v>19</v>
      </c>
      <c r="AO89" s="10" t="s">
        <v>20</v>
      </c>
      <c r="AP89" s="10" t="s">
        <v>21</v>
      </c>
      <c r="AQ89" s="39"/>
    </row>
    <row r="90" spans="1:55" s="21" customFormat="1" ht="12.75" x14ac:dyDescent="0.2">
      <c r="A90" s="20" t="s">
        <v>48</v>
      </c>
      <c r="B90" s="21">
        <v>102631</v>
      </c>
      <c r="C90" s="21">
        <v>103122</v>
      </c>
      <c r="D90" s="21">
        <v>102969</v>
      </c>
      <c r="E90" s="21">
        <v>102987</v>
      </c>
      <c r="F90" s="21">
        <v>104970</v>
      </c>
      <c r="G90" s="22">
        <v>0.54369142911631796</v>
      </c>
      <c r="H90" s="22">
        <v>0.54382930250709305</v>
      </c>
      <c r="I90" s="22">
        <v>0.54009158095158172</v>
      </c>
      <c r="J90" s="22">
        <v>0.53715439140027221</v>
      </c>
      <c r="K90" s="22">
        <v>0.5334790232002643</v>
      </c>
      <c r="L90" s="21">
        <v>76948</v>
      </c>
      <c r="M90" s="21">
        <v>78310</v>
      </c>
      <c r="N90" s="21">
        <v>78745</v>
      </c>
      <c r="O90" s="21">
        <v>79239</v>
      </c>
      <c r="P90" s="21">
        <v>79346</v>
      </c>
      <c r="Q90" s="22">
        <v>0.74975397297112956</v>
      </c>
      <c r="R90" s="22">
        <v>0.75939178836717669</v>
      </c>
      <c r="S90" s="22">
        <v>0.76474472899610557</v>
      </c>
      <c r="T90" s="22">
        <v>0.76940778933263421</v>
      </c>
      <c r="U90" s="22">
        <v>0.75589215966466605</v>
      </c>
      <c r="W90" s="21">
        <v>0</v>
      </c>
      <c r="X90" s="21">
        <v>0</v>
      </c>
      <c r="Y90" s="21">
        <v>98509</v>
      </c>
      <c r="Z90" s="21">
        <v>100873</v>
      </c>
      <c r="AA90" s="21">
        <v>103122</v>
      </c>
      <c r="AB90" s="22">
        <v>0</v>
      </c>
      <c r="AC90" s="22">
        <v>0</v>
      </c>
      <c r="AD90" s="22">
        <v>0.55108080288214101</v>
      </c>
      <c r="AE90" s="22">
        <v>0.54066816386255101</v>
      </c>
      <c r="AF90" s="22">
        <v>0.54382930250709305</v>
      </c>
      <c r="AG90" s="21">
        <v>0</v>
      </c>
      <c r="AH90" s="21">
        <v>0</v>
      </c>
      <c r="AI90" s="21">
        <v>67587</v>
      </c>
      <c r="AJ90" s="21">
        <v>72109</v>
      </c>
      <c r="AK90" s="21">
        <v>78310</v>
      </c>
      <c r="AL90" s="22">
        <v>0</v>
      </c>
      <c r="AM90" s="22">
        <v>0</v>
      </c>
      <c r="AN90" s="22">
        <v>0.68609974723121747</v>
      </c>
      <c r="AO90" s="22">
        <v>0.71484936504317309</v>
      </c>
      <c r="AP90" s="22">
        <v>0.75939178836717669</v>
      </c>
      <c r="AQ90" s="39"/>
    </row>
    <row r="91" spans="1:55" s="21" customFormat="1" ht="12.75" x14ac:dyDescent="0.2">
      <c r="A91" s="20" t="s">
        <v>24</v>
      </c>
      <c r="B91" s="21">
        <v>77810</v>
      </c>
      <c r="C91" s="21">
        <v>78024</v>
      </c>
      <c r="D91" s="21">
        <v>78431</v>
      </c>
      <c r="E91" s="21">
        <v>78873</v>
      </c>
      <c r="F91" s="21">
        <v>79879</v>
      </c>
      <c r="G91" s="22">
        <v>0.41220128518226173</v>
      </c>
      <c r="H91" s="22">
        <v>0.41147124278828406</v>
      </c>
      <c r="I91" s="22">
        <v>0.41138520123156974</v>
      </c>
      <c r="J91" s="22">
        <v>0.41138180850897371</v>
      </c>
      <c r="K91" s="22">
        <v>0.40596142606662772</v>
      </c>
      <c r="L91" s="21">
        <v>63097</v>
      </c>
      <c r="M91" s="21">
        <v>64434</v>
      </c>
      <c r="N91" s="21">
        <v>65392</v>
      </c>
      <c r="O91" s="21">
        <v>66087</v>
      </c>
      <c r="P91" s="21">
        <v>66948</v>
      </c>
      <c r="Q91" s="22">
        <v>0.81091119393394162</v>
      </c>
      <c r="R91" s="22">
        <v>0.82582282374653948</v>
      </c>
      <c r="S91" s="22">
        <v>0.83375196032181154</v>
      </c>
      <c r="T91" s="22">
        <v>0.83789129359856984</v>
      </c>
      <c r="U91" s="22">
        <v>0.838117652950087</v>
      </c>
      <c r="W91" s="21">
        <v>0</v>
      </c>
      <c r="X91" s="21">
        <v>0</v>
      </c>
      <c r="Y91" s="21">
        <v>74648</v>
      </c>
      <c r="Z91" s="21">
        <v>77559</v>
      </c>
      <c r="AA91" s="21">
        <v>78024</v>
      </c>
      <c r="AB91" s="22">
        <v>0</v>
      </c>
      <c r="AC91" s="22">
        <v>0</v>
      </c>
      <c r="AD91" s="22">
        <v>0.41759717156347198</v>
      </c>
      <c r="AE91" s="22">
        <v>0.41570769304983091</v>
      </c>
      <c r="AF91" s="22">
        <v>0.41147124278828406</v>
      </c>
      <c r="AG91" s="21">
        <v>0</v>
      </c>
      <c r="AH91" s="21">
        <v>0</v>
      </c>
      <c r="AI91" s="21">
        <v>54459</v>
      </c>
      <c r="AJ91" s="21">
        <v>58913</v>
      </c>
      <c r="AK91" s="21">
        <v>64434</v>
      </c>
      <c r="AL91" s="22">
        <v>0</v>
      </c>
      <c r="AM91" s="22">
        <v>0</v>
      </c>
      <c r="AN91" s="22">
        <v>0.72954399314114238</v>
      </c>
      <c r="AO91" s="22">
        <v>0.75958947381993058</v>
      </c>
      <c r="AP91" s="22">
        <v>0.82582282374653948</v>
      </c>
      <c r="AQ91" s="39"/>
    </row>
    <row r="92" spans="1:55" s="21" customFormat="1" ht="12.75" x14ac:dyDescent="0.2">
      <c r="A92" s="20" t="s">
        <v>81</v>
      </c>
      <c r="B92" s="21">
        <v>8326</v>
      </c>
      <c r="C92" s="21">
        <v>8476</v>
      </c>
      <c r="D92" s="21">
        <v>9251</v>
      </c>
      <c r="E92" s="21">
        <v>9867</v>
      </c>
      <c r="F92" s="21">
        <v>11916</v>
      </c>
      <c r="G92" s="22">
        <v>4.4107285701420272E-2</v>
      </c>
      <c r="H92" s="22">
        <v>4.469945470462288E-2</v>
      </c>
      <c r="I92" s="22">
        <v>4.8523217816848589E-2</v>
      </c>
      <c r="J92" s="22">
        <v>5.146380009075404E-2</v>
      </c>
      <c r="K92" s="22">
        <v>6.0559550733108022E-2</v>
      </c>
      <c r="L92" s="21">
        <v>0</v>
      </c>
      <c r="M92" s="21">
        <v>0</v>
      </c>
      <c r="N92" s="21">
        <v>504</v>
      </c>
      <c r="O92" s="21">
        <v>1103</v>
      </c>
      <c r="P92" s="21">
        <v>1775</v>
      </c>
      <c r="Q92" s="22">
        <v>0</v>
      </c>
      <c r="R92" s="22">
        <v>0</v>
      </c>
      <c r="S92" s="22">
        <v>5.4480596692249486E-2</v>
      </c>
      <c r="T92" s="22">
        <v>0.11178676396067701</v>
      </c>
      <c r="U92" s="22">
        <v>0.14895938234306813</v>
      </c>
      <c r="W92" s="21">
        <v>0</v>
      </c>
      <c r="X92" s="21">
        <v>0</v>
      </c>
      <c r="Y92" s="21">
        <v>5599</v>
      </c>
      <c r="Z92" s="21">
        <v>8139</v>
      </c>
      <c r="AA92" s="21">
        <v>8476</v>
      </c>
      <c r="AB92" s="22">
        <v>0</v>
      </c>
      <c r="AC92" s="22">
        <v>0</v>
      </c>
      <c r="AD92" s="22">
        <v>3.1322025554386984E-2</v>
      </c>
      <c r="AE92" s="22">
        <v>4.3624143087618118E-2</v>
      </c>
      <c r="AF92" s="22">
        <v>4.469945470462288E-2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39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</row>
    <row r="93" spans="1:55" s="23" customFormat="1" ht="12.75" x14ac:dyDescent="0.2">
      <c r="A93" s="31" t="s">
        <v>82</v>
      </c>
      <c r="B93" s="23">
        <v>188767</v>
      </c>
      <c r="C93" s="23">
        <v>189622</v>
      </c>
      <c r="D93" s="23">
        <v>190651</v>
      </c>
      <c r="E93" s="23">
        <v>191727</v>
      </c>
      <c r="F93" s="23">
        <v>196765</v>
      </c>
      <c r="G93" s="24">
        <v>1</v>
      </c>
      <c r="H93" s="24">
        <v>1</v>
      </c>
      <c r="I93" s="24">
        <v>1</v>
      </c>
      <c r="J93" s="24">
        <v>1</v>
      </c>
      <c r="K93" s="24">
        <v>1</v>
      </c>
      <c r="L93" s="23">
        <v>140045</v>
      </c>
      <c r="M93" s="23">
        <v>142744</v>
      </c>
      <c r="N93" s="23">
        <v>144641</v>
      </c>
      <c r="O93" s="23">
        <v>146429</v>
      </c>
      <c r="P93" s="23">
        <v>148069</v>
      </c>
      <c r="Q93" s="24">
        <v>0.74189344535856372</v>
      </c>
      <c r="R93" s="24">
        <v>0.75278185020725441</v>
      </c>
      <c r="S93" s="24">
        <v>0.75866898154218965</v>
      </c>
      <c r="T93" s="24">
        <v>0.76373698018536773</v>
      </c>
      <c r="U93" s="24">
        <v>0.75251696185805406</v>
      </c>
      <c r="W93" s="23">
        <v>0</v>
      </c>
      <c r="X93" s="23">
        <v>0</v>
      </c>
      <c r="Y93" s="23">
        <v>178756</v>
      </c>
      <c r="Z93" s="23">
        <v>186571</v>
      </c>
      <c r="AA93" s="23">
        <v>189622</v>
      </c>
      <c r="AB93" s="24">
        <v>0</v>
      </c>
      <c r="AC93" s="24">
        <v>0</v>
      </c>
      <c r="AD93" s="24">
        <v>1</v>
      </c>
      <c r="AE93" s="24">
        <v>1</v>
      </c>
      <c r="AF93" s="24">
        <v>1</v>
      </c>
      <c r="AG93" s="23">
        <v>0</v>
      </c>
      <c r="AH93" s="23">
        <v>0</v>
      </c>
      <c r="AI93" s="23">
        <v>122046</v>
      </c>
      <c r="AJ93" s="23">
        <v>131022</v>
      </c>
      <c r="AK93" s="23">
        <v>142744</v>
      </c>
      <c r="AL93" s="24">
        <v>0</v>
      </c>
      <c r="AM93" s="24">
        <v>0</v>
      </c>
      <c r="AN93" s="24">
        <v>0.68275190762827542</v>
      </c>
      <c r="AO93" s="24">
        <v>0.70226348146282114</v>
      </c>
      <c r="AP93" s="24">
        <v>0.75278185020725441</v>
      </c>
      <c r="AQ93" s="39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</row>
    <row r="94" spans="1:55" s="21" customFormat="1" ht="12.75" x14ac:dyDescent="0.2">
      <c r="A94" s="20"/>
      <c r="AB94" s="22"/>
      <c r="AC94" s="22"/>
      <c r="AD94" s="22"/>
      <c r="AE94" s="22"/>
      <c r="AF94" s="22"/>
      <c r="AL94" s="22"/>
      <c r="AM94" s="22"/>
      <c r="AN94" s="22"/>
      <c r="AO94" s="22"/>
      <c r="AP94" s="22"/>
      <c r="AQ94" s="39"/>
    </row>
    <row r="95" spans="1:55" s="21" customFormat="1" ht="12.75" x14ac:dyDescent="0.2">
      <c r="A95" s="10" t="s">
        <v>75</v>
      </c>
      <c r="B95" s="10" t="s">
        <v>12</v>
      </c>
      <c r="C95" s="10" t="s">
        <v>13</v>
      </c>
      <c r="D95" s="10" t="s">
        <v>14</v>
      </c>
      <c r="E95" s="10" t="s">
        <v>15</v>
      </c>
      <c r="F95" s="10" t="s">
        <v>16</v>
      </c>
      <c r="G95" s="10" t="s">
        <v>12</v>
      </c>
      <c r="H95" s="10" t="s">
        <v>13</v>
      </c>
      <c r="I95" s="10" t="s">
        <v>14</v>
      </c>
      <c r="J95" s="10" t="s">
        <v>15</v>
      </c>
      <c r="K95" s="10" t="s">
        <v>16</v>
      </c>
      <c r="L95" s="10" t="s">
        <v>12</v>
      </c>
      <c r="M95" s="10" t="s">
        <v>13</v>
      </c>
      <c r="N95" s="10" t="s">
        <v>14</v>
      </c>
      <c r="O95" s="10" t="s">
        <v>15</v>
      </c>
      <c r="P95" s="10" t="s">
        <v>16</v>
      </c>
      <c r="Q95" s="10" t="s">
        <v>12</v>
      </c>
      <c r="R95" s="10" t="s">
        <v>13</v>
      </c>
      <c r="S95" s="10" t="s">
        <v>14</v>
      </c>
      <c r="T95" s="10" t="s">
        <v>15</v>
      </c>
      <c r="U95" s="10" t="s">
        <v>16</v>
      </c>
      <c r="V95" s="10"/>
      <c r="W95" s="10" t="s">
        <v>17</v>
      </c>
      <c r="X95" s="10" t="s">
        <v>18</v>
      </c>
      <c r="Y95" s="10" t="s">
        <v>19</v>
      </c>
      <c r="Z95" s="10" t="s">
        <v>20</v>
      </c>
      <c r="AA95" s="10" t="s">
        <v>21</v>
      </c>
      <c r="AB95" s="10" t="s">
        <v>17</v>
      </c>
      <c r="AC95" s="10" t="s">
        <v>18</v>
      </c>
      <c r="AD95" s="10" t="s">
        <v>19</v>
      </c>
      <c r="AE95" s="10" t="s">
        <v>20</v>
      </c>
      <c r="AF95" s="10" t="s">
        <v>21</v>
      </c>
      <c r="AG95" s="10" t="s">
        <v>17</v>
      </c>
      <c r="AH95" s="10" t="s">
        <v>18</v>
      </c>
      <c r="AI95" s="10" t="s">
        <v>19</v>
      </c>
      <c r="AJ95" s="10" t="s">
        <v>20</v>
      </c>
      <c r="AK95" s="10" t="s">
        <v>21</v>
      </c>
      <c r="AL95" s="10" t="s">
        <v>17</v>
      </c>
      <c r="AM95" s="10" t="s">
        <v>18</v>
      </c>
      <c r="AN95" s="10" t="s">
        <v>19</v>
      </c>
      <c r="AO95" s="10" t="s">
        <v>20</v>
      </c>
      <c r="AP95" s="10" t="s">
        <v>21</v>
      </c>
      <c r="AQ95" s="39"/>
    </row>
    <row r="96" spans="1:55" s="21" customFormat="1" ht="12.75" x14ac:dyDescent="0.2">
      <c r="A96" s="20" t="s">
        <v>24</v>
      </c>
      <c r="B96" s="21">
        <v>127788</v>
      </c>
      <c r="C96" s="21">
        <v>126745</v>
      </c>
      <c r="D96" s="21">
        <v>126138</v>
      </c>
      <c r="E96" s="21">
        <v>125822</v>
      </c>
      <c r="F96" s="21">
        <v>126562</v>
      </c>
      <c r="G96" s="22">
        <v>0.30236162344161482</v>
      </c>
      <c r="H96" s="22">
        <v>0.29803839497347528</v>
      </c>
      <c r="I96" s="22">
        <v>0.29540376860061546</v>
      </c>
      <c r="J96" s="22">
        <v>0.29346581301239666</v>
      </c>
      <c r="K96" s="22">
        <v>0.29244498257743107</v>
      </c>
      <c r="L96" s="21">
        <v>118868</v>
      </c>
      <c r="M96" s="21">
        <v>118066</v>
      </c>
      <c r="N96" s="21">
        <v>117425</v>
      </c>
      <c r="O96" s="21">
        <v>116767</v>
      </c>
      <c r="P96" s="21">
        <v>117071</v>
      </c>
      <c r="Q96" s="22">
        <v>0.93019688859673832</v>
      </c>
      <c r="R96" s="22">
        <v>0.93152392599313583</v>
      </c>
      <c r="S96" s="22">
        <v>0.93092486007388731</v>
      </c>
      <c r="T96" s="22">
        <v>0.92803325332612741</v>
      </c>
      <c r="U96" s="22">
        <v>0.92500908645565016</v>
      </c>
      <c r="W96" s="21">
        <v>125828</v>
      </c>
      <c r="X96" s="21">
        <v>127552</v>
      </c>
      <c r="Y96" s="21">
        <v>128859</v>
      </c>
      <c r="Z96" s="21">
        <v>128326</v>
      </c>
      <c r="AA96" s="21">
        <v>126745</v>
      </c>
      <c r="AB96" s="22">
        <v>0.31493453672626065</v>
      </c>
      <c r="AC96" s="22">
        <v>0.31285979538726066</v>
      </c>
      <c r="AD96" s="22">
        <v>0.31188417162233789</v>
      </c>
      <c r="AE96" s="22">
        <v>0.30681062884631016</v>
      </c>
      <c r="AF96" s="22">
        <v>0.29803839497347528</v>
      </c>
      <c r="AG96" s="21">
        <v>121134</v>
      </c>
      <c r="AH96" s="21">
        <v>119725</v>
      </c>
      <c r="AI96" s="21">
        <v>120052</v>
      </c>
      <c r="AJ96" s="21">
        <v>119464</v>
      </c>
      <c r="AK96" s="21">
        <v>118066</v>
      </c>
      <c r="AL96" s="22">
        <v>0.96269510760720989</v>
      </c>
      <c r="AM96" s="22">
        <v>0.9386367912694431</v>
      </c>
      <c r="AN96" s="22">
        <v>0.93165397837946906</v>
      </c>
      <c r="AO96" s="22">
        <v>0.93094150834593148</v>
      </c>
      <c r="AP96" s="22">
        <v>0.93152392599313583</v>
      </c>
      <c r="AQ96" s="39"/>
    </row>
    <row r="97" spans="1:55" s="21" customFormat="1" ht="12.75" x14ac:dyDescent="0.2">
      <c r="A97" s="20" t="s">
        <v>48</v>
      </c>
      <c r="B97" s="21">
        <v>180665</v>
      </c>
      <c r="C97" s="21">
        <v>182263</v>
      </c>
      <c r="D97" s="21">
        <v>183388</v>
      </c>
      <c r="E97" s="21">
        <v>182832</v>
      </c>
      <c r="F97" s="21">
        <v>184325</v>
      </c>
      <c r="G97" s="22">
        <v>0.42747490139198785</v>
      </c>
      <c r="H97" s="22">
        <v>0.42858788893487337</v>
      </c>
      <c r="I97" s="22">
        <v>0.4294780820698732</v>
      </c>
      <c r="J97" s="22">
        <v>0.42643529370604905</v>
      </c>
      <c r="K97" s="22">
        <v>0.42591711108851776</v>
      </c>
      <c r="L97" s="21">
        <v>141229</v>
      </c>
      <c r="M97" s="21">
        <v>144849</v>
      </c>
      <c r="N97" s="21">
        <v>147420</v>
      </c>
      <c r="O97" s="21">
        <v>147782</v>
      </c>
      <c r="P97" s="21">
        <v>148431</v>
      </c>
      <c r="Q97" s="22">
        <v>0.78171754351977418</v>
      </c>
      <c r="R97" s="22">
        <v>0.79472520478648989</v>
      </c>
      <c r="S97" s="22">
        <v>0.80386939167230131</v>
      </c>
      <c r="T97" s="22">
        <v>0.80829395291852635</v>
      </c>
      <c r="U97" s="22">
        <v>0.80526786925267868</v>
      </c>
      <c r="W97" s="21">
        <v>178839</v>
      </c>
      <c r="X97" s="21">
        <v>178282</v>
      </c>
      <c r="Y97" s="21">
        <v>177166</v>
      </c>
      <c r="Z97" s="21">
        <v>180724</v>
      </c>
      <c r="AA97" s="21">
        <v>182263</v>
      </c>
      <c r="AB97" s="22">
        <v>0.44761561507444869</v>
      </c>
      <c r="AC97" s="22">
        <v>0.4372904387326863</v>
      </c>
      <c r="AD97" s="22">
        <v>0.42880412815281138</v>
      </c>
      <c r="AE97" s="22">
        <v>0.43208737190920438</v>
      </c>
      <c r="AF97" s="22">
        <v>0.42858788893487337</v>
      </c>
      <c r="AG97" s="21">
        <v>119154</v>
      </c>
      <c r="AH97" s="21">
        <v>121953</v>
      </c>
      <c r="AI97" s="21">
        <v>127819</v>
      </c>
      <c r="AJ97" s="21">
        <v>136473</v>
      </c>
      <c r="AK97" s="21">
        <v>144849</v>
      </c>
      <c r="AL97" s="22">
        <v>0.66626406991763543</v>
      </c>
      <c r="AM97" s="22">
        <v>0.68404550094793637</v>
      </c>
      <c r="AN97" s="22">
        <v>0.7214646151067361</v>
      </c>
      <c r="AO97" s="22">
        <v>0.75514596843806026</v>
      </c>
      <c r="AP97" s="22">
        <v>0.79472520478648989</v>
      </c>
      <c r="AQ97" s="39"/>
    </row>
    <row r="98" spans="1:55" s="21" customFormat="1" ht="12.75" x14ac:dyDescent="0.2">
      <c r="A98" s="20" t="s">
        <v>60</v>
      </c>
      <c r="B98" s="21">
        <v>39282</v>
      </c>
      <c r="C98" s="21">
        <v>39645</v>
      </c>
      <c r="D98" s="21">
        <v>40197</v>
      </c>
      <c r="E98" s="21">
        <v>40867</v>
      </c>
      <c r="F98" s="21">
        <v>41830</v>
      </c>
      <c r="G98" s="22">
        <v>9.2945889223037481E-2</v>
      </c>
      <c r="H98" s="22">
        <v>9.322444411001167E-2</v>
      </c>
      <c r="I98" s="22">
        <v>9.4137732375960764E-2</v>
      </c>
      <c r="J98" s="22">
        <v>9.5317729652823938E-2</v>
      </c>
      <c r="K98" s="22">
        <v>9.6655975894928511E-2</v>
      </c>
      <c r="L98" s="21">
        <v>38884</v>
      </c>
      <c r="M98" s="21">
        <v>39285</v>
      </c>
      <c r="N98" s="21">
        <v>39867</v>
      </c>
      <c r="O98" s="21">
        <v>40557</v>
      </c>
      <c r="P98" s="21">
        <v>41495</v>
      </c>
      <c r="Q98" s="22">
        <v>0.98986813298711873</v>
      </c>
      <c r="R98" s="22">
        <v>0.99091940976163451</v>
      </c>
      <c r="S98" s="22">
        <v>0.99179043212180018</v>
      </c>
      <c r="T98" s="22">
        <v>0.99241441750067294</v>
      </c>
      <c r="U98" s="22">
        <v>0.99199139373655276</v>
      </c>
      <c r="W98" s="21">
        <v>32064</v>
      </c>
      <c r="X98" s="21">
        <v>33653</v>
      </c>
      <c r="Y98" s="21">
        <v>34774</v>
      </c>
      <c r="Z98" s="21">
        <v>36982</v>
      </c>
      <c r="AA98" s="21">
        <v>39645</v>
      </c>
      <c r="AB98" s="22">
        <v>8.0252892723327252E-2</v>
      </c>
      <c r="AC98" s="22">
        <v>8.2544144303244818E-2</v>
      </c>
      <c r="AD98" s="22">
        <v>8.4165329422044091E-2</v>
      </c>
      <c r="AE98" s="22">
        <v>8.8419109736095902E-2</v>
      </c>
      <c r="AF98" s="22">
        <v>9.322444411001167E-2</v>
      </c>
      <c r="AG98" s="21">
        <v>31361</v>
      </c>
      <c r="AH98" s="21">
        <v>33141</v>
      </c>
      <c r="AI98" s="21">
        <v>34340</v>
      </c>
      <c r="AJ98" s="21">
        <v>36545</v>
      </c>
      <c r="AK98" s="21">
        <v>39285</v>
      </c>
      <c r="AL98" s="22">
        <v>0.97807509980039919</v>
      </c>
      <c r="AM98" s="22">
        <v>0.98478590318842307</v>
      </c>
      <c r="AN98" s="22">
        <v>0.98751941105423591</v>
      </c>
      <c r="AO98" s="22">
        <v>0.98818344059272079</v>
      </c>
      <c r="AP98" s="22">
        <v>0.99091940976163451</v>
      </c>
      <c r="AQ98" s="39"/>
    </row>
    <row r="99" spans="1:55" s="21" customFormat="1" ht="12.75" x14ac:dyDescent="0.2">
      <c r="A99" s="20" t="s">
        <v>81</v>
      </c>
      <c r="B99" s="21">
        <v>74898</v>
      </c>
      <c r="C99" s="21">
        <v>76611</v>
      </c>
      <c r="D99" s="21">
        <v>77279</v>
      </c>
      <c r="E99" s="21">
        <v>79224</v>
      </c>
      <c r="F99" s="21">
        <v>80055</v>
      </c>
      <c r="G99" s="22">
        <v>0.17721758594335985</v>
      </c>
      <c r="H99" s="22">
        <v>0.18014927198163963</v>
      </c>
      <c r="I99" s="22">
        <v>0.18098041695355058</v>
      </c>
      <c r="J99" s="22">
        <v>0.18478116362873037</v>
      </c>
      <c r="K99" s="22">
        <v>0.18498193043912267</v>
      </c>
      <c r="L99" s="21">
        <v>73462</v>
      </c>
      <c r="M99" s="21">
        <v>75257</v>
      </c>
      <c r="N99" s="21">
        <v>76001</v>
      </c>
      <c r="O99" s="21">
        <v>77839</v>
      </c>
      <c r="P99" s="21">
        <v>78368</v>
      </c>
      <c r="Q99" s="22">
        <v>0.98082725840476381</v>
      </c>
      <c r="R99" s="22">
        <v>0.98232629779013458</v>
      </c>
      <c r="S99" s="22">
        <v>0.9834625189249343</v>
      </c>
      <c r="T99" s="22">
        <v>0.98251792386145609</v>
      </c>
      <c r="U99" s="22">
        <v>0.97892698769595898</v>
      </c>
      <c r="W99" s="21">
        <v>62806</v>
      </c>
      <c r="X99" s="21">
        <v>68210</v>
      </c>
      <c r="Y99" s="21">
        <v>72364</v>
      </c>
      <c r="Z99" s="21">
        <v>72226</v>
      </c>
      <c r="AA99" s="21">
        <v>76611</v>
      </c>
      <c r="AB99" s="22">
        <v>0.15719695547596343</v>
      </c>
      <c r="AC99" s="22">
        <v>0.16730562157680826</v>
      </c>
      <c r="AD99" s="22">
        <v>0.17514637080280665</v>
      </c>
      <c r="AE99" s="22">
        <v>0.17268288950838956</v>
      </c>
      <c r="AF99" s="22">
        <v>0.18014927198163963</v>
      </c>
      <c r="AG99" s="21">
        <v>61922</v>
      </c>
      <c r="AH99" s="21">
        <v>66827</v>
      </c>
      <c r="AI99" s="21">
        <v>70824</v>
      </c>
      <c r="AJ99" s="21">
        <v>71074</v>
      </c>
      <c r="AK99" s="21">
        <v>75257</v>
      </c>
      <c r="AL99" s="22">
        <v>0.98592491163264662</v>
      </c>
      <c r="AM99" s="22">
        <v>0.9797243805893564</v>
      </c>
      <c r="AN99" s="22">
        <v>0.97871869990603066</v>
      </c>
      <c r="AO99" s="22">
        <v>0.98405006507351922</v>
      </c>
      <c r="AP99" s="22">
        <v>0.98232629779013458</v>
      </c>
      <c r="AQ99" s="39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</row>
    <row r="100" spans="1:55" s="23" customFormat="1" ht="12.75" x14ac:dyDescent="0.2">
      <c r="A100" s="31" t="s">
        <v>82</v>
      </c>
      <c r="B100" s="23">
        <v>422633</v>
      </c>
      <c r="C100" s="23">
        <v>425264</v>
      </c>
      <c r="D100" s="23">
        <v>427002</v>
      </c>
      <c r="E100" s="23">
        <v>428745</v>
      </c>
      <c r="F100" s="23">
        <v>432772</v>
      </c>
      <c r="G100" s="24">
        <v>1</v>
      </c>
      <c r="H100" s="24">
        <v>1</v>
      </c>
      <c r="I100" s="24">
        <v>1</v>
      </c>
      <c r="J100" s="24">
        <v>1</v>
      </c>
      <c r="K100" s="24">
        <v>1</v>
      </c>
      <c r="L100" s="23">
        <v>372443</v>
      </c>
      <c r="M100" s="23">
        <v>377457</v>
      </c>
      <c r="N100" s="23">
        <v>380713</v>
      </c>
      <c r="O100" s="23">
        <v>382945</v>
      </c>
      <c r="P100" s="23">
        <v>385365</v>
      </c>
      <c r="Q100" s="24">
        <v>0.88124448398492305</v>
      </c>
      <c r="R100" s="24">
        <v>0.88758277211332259</v>
      </c>
      <c r="S100" s="24">
        <v>0.89159535552526681</v>
      </c>
      <c r="T100" s="24">
        <v>0.89317659681162465</v>
      </c>
      <c r="U100" s="24">
        <v>0.89045733088092571</v>
      </c>
      <c r="W100" s="23">
        <v>399537</v>
      </c>
      <c r="X100" s="23">
        <v>407697</v>
      </c>
      <c r="Y100" s="23">
        <v>413163</v>
      </c>
      <c r="Z100" s="23">
        <v>418258</v>
      </c>
      <c r="AA100" s="23">
        <v>425264</v>
      </c>
      <c r="AB100" s="24">
        <v>1</v>
      </c>
      <c r="AC100" s="24">
        <v>1</v>
      </c>
      <c r="AD100" s="24">
        <v>1</v>
      </c>
      <c r="AE100" s="24">
        <v>1</v>
      </c>
      <c r="AF100" s="24">
        <v>1</v>
      </c>
      <c r="AG100" s="23">
        <v>333571</v>
      </c>
      <c r="AH100" s="23">
        <v>341646</v>
      </c>
      <c r="AI100" s="23">
        <v>353035</v>
      </c>
      <c r="AJ100" s="23">
        <v>363556</v>
      </c>
      <c r="AK100" s="23">
        <v>377457</v>
      </c>
      <c r="AL100" s="24">
        <v>0.83489388967730149</v>
      </c>
      <c r="AM100" s="24">
        <v>0.83798997785119833</v>
      </c>
      <c r="AN100" s="24">
        <v>0.85446905942690898</v>
      </c>
      <c r="AO100" s="24">
        <v>0.86921469523595485</v>
      </c>
      <c r="AP100" s="24">
        <v>0.88758277211332259</v>
      </c>
      <c r="AQ100" s="39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</row>
    <row r="101" spans="1:55" s="21" customFormat="1" ht="12.75" x14ac:dyDescent="0.2">
      <c r="A101" s="20"/>
      <c r="G101" s="22"/>
      <c r="H101" s="22"/>
      <c r="I101" s="22"/>
      <c r="J101" s="22"/>
      <c r="K101" s="22"/>
      <c r="Q101" s="22"/>
      <c r="R101" s="22"/>
      <c r="S101" s="22"/>
      <c r="T101" s="22"/>
      <c r="U101" s="22"/>
      <c r="AB101" s="22"/>
      <c r="AC101" s="22"/>
      <c r="AD101" s="22"/>
      <c r="AE101" s="22"/>
      <c r="AF101" s="22"/>
      <c r="AL101" s="22"/>
      <c r="AM101" s="22"/>
      <c r="AN101" s="22"/>
      <c r="AO101" s="22"/>
      <c r="AP101" s="22"/>
      <c r="AQ101" s="39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</row>
    <row r="102" spans="1:55" s="23" customFormat="1" ht="12.75" x14ac:dyDescent="0.2">
      <c r="A102" s="31"/>
      <c r="G102" s="24"/>
      <c r="H102" s="24"/>
      <c r="I102" s="24"/>
      <c r="J102" s="24"/>
      <c r="K102" s="24"/>
      <c r="Q102" s="24"/>
      <c r="R102" s="24"/>
      <c r="S102" s="24"/>
      <c r="T102" s="24"/>
      <c r="U102" s="24"/>
      <c r="AB102" s="24"/>
      <c r="AC102" s="24"/>
      <c r="AD102" s="24"/>
      <c r="AE102" s="24"/>
      <c r="AF102" s="24"/>
      <c r="AL102" s="24"/>
      <c r="AM102" s="24"/>
      <c r="AN102" s="24"/>
      <c r="AO102" s="24"/>
      <c r="AP102" s="24"/>
      <c r="AQ102" s="39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</row>
  </sheetData>
  <mergeCells count="8">
    <mergeCell ref="AG5:AK5"/>
    <mergeCell ref="AL5:AP5"/>
    <mergeCell ref="B5:F5"/>
    <mergeCell ref="G5:K5"/>
    <mergeCell ref="L5:P5"/>
    <mergeCell ref="Q5:U5"/>
    <mergeCell ref="W5:AA5"/>
    <mergeCell ref="AB5:AF5"/>
  </mergeCells>
  <conditionalFormatting sqref="A6">
    <cfRule type="duplicateValues" dxfId="11" priority="1"/>
  </conditionalFormatting>
  <hyperlinks>
    <hyperlink ref="AA1" location="Contents!A1" display="Back to Contents"/>
    <hyperlink ref="B1" location="Contents!A1" display="Back to Content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C91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A3" sqref="A3"/>
    </sheetView>
  </sheetViews>
  <sheetFormatPr defaultRowHeight="15" x14ac:dyDescent="0.25"/>
  <cols>
    <col min="1" max="1" width="25.42578125" customWidth="1"/>
    <col min="2" max="42" width="12.5703125" customWidth="1"/>
  </cols>
  <sheetData>
    <row r="1" spans="1:42" x14ac:dyDescent="0.25">
      <c r="A1" s="1" t="s">
        <v>0</v>
      </c>
      <c r="B1" s="87" t="s">
        <v>189</v>
      </c>
      <c r="C1" s="2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5" t="s">
        <v>1</v>
      </c>
      <c r="X1" s="6"/>
      <c r="Y1" s="6"/>
      <c r="Z1" s="6"/>
      <c r="AA1" s="7"/>
      <c r="AB1" s="7"/>
      <c r="AC1" s="7"/>
      <c r="AD1" s="7"/>
      <c r="AE1" s="6"/>
      <c r="AF1" s="6"/>
      <c r="AG1" s="6"/>
      <c r="AH1" s="3"/>
      <c r="AI1" s="8"/>
      <c r="AJ1" s="8"/>
      <c r="AK1" s="8"/>
      <c r="AL1" s="8"/>
      <c r="AM1" s="9"/>
      <c r="AN1" s="9"/>
      <c r="AO1" s="9"/>
      <c r="AP1" s="9"/>
    </row>
    <row r="2" spans="1:42" ht="16.5" customHeight="1" x14ac:dyDescent="0.25">
      <c r="A2" s="1" t="s">
        <v>156</v>
      </c>
      <c r="B2" s="2"/>
      <c r="C2" s="2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5"/>
      <c r="X2" s="6"/>
      <c r="Y2" s="6"/>
      <c r="Z2" s="6"/>
      <c r="AA2" s="7"/>
      <c r="AB2" s="7"/>
      <c r="AC2" s="7"/>
      <c r="AD2" s="7"/>
      <c r="AE2" s="6"/>
      <c r="AF2" s="6"/>
      <c r="AG2" s="6"/>
      <c r="AH2" s="3"/>
      <c r="AI2" s="8"/>
      <c r="AJ2" s="8"/>
      <c r="AK2" s="8"/>
      <c r="AL2" s="8"/>
      <c r="AM2" s="9"/>
      <c r="AN2" s="9"/>
      <c r="AO2" s="9"/>
      <c r="AP2" s="9"/>
    </row>
    <row r="3" spans="1:42" ht="16.5" customHeight="1" x14ac:dyDescent="0.25">
      <c r="A3" s="1" t="s">
        <v>204</v>
      </c>
      <c r="B3" s="2"/>
      <c r="C3" s="2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3"/>
      <c r="P3" s="3"/>
      <c r="Q3" s="3"/>
      <c r="R3" s="3"/>
      <c r="S3" s="3"/>
      <c r="T3" s="3"/>
      <c r="U3" s="3"/>
      <c r="V3" s="3"/>
      <c r="W3" s="5"/>
      <c r="X3" s="6"/>
      <c r="Y3" s="6"/>
      <c r="Z3" s="6"/>
      <c r="AA3" s="7"/>
      <c r="AB3" s="7"/>
      <c r="AC3" s="7"/>
      <c r="AD3" s="7"/>
      <c r="AE3" s="6"/>
      <c r="AF3" s="6"/>
      <c r="AG3" s="6"/>
      <c r="AH3" s="3"/>
      <c r="AI3" s="8"/>
      <c r="AJ3" s="8"/>
      <c r="AK3" s="8"/>
      <c r="AL3" s="8"/>
      <c r="AM3" s="9"/>
      <c r="AN3" s="9"/>
      <c r="AO3" s="9"/>
      <c r="AP3" s="9"/>
    </row>
    <row r="4" spans="1:42" x14ac:dyDescent="0.25">
      <c r="A4" s="10" t="s">
        <v>2</v>
      </c>
      <c r="B4" s="11" t="s">
        <v>97</v>
      </c>
      <c r="C4" s="11" t="s">
        <v>83</v>
      </c>
      <c r="D4" s="4"/>
      <c r="E4" s="12"/>
      <c r="F4" s="13"/>
      <c r="G4" s="13"/>
      <c r="H4" s="4"/>
      <c r="I4" s="4"/>
      <c r="J4" s="4"/>
      <c r="K4" s="4"/>
      <c r="L4" s="4"/>
      <c r="M4" s="4"/>
      <c r="N4" s="4"/>
      <c r="O4" s="13"/>
      <c r="P4" s="13"/>
      <c r="Q4" s="13"/>
      <c r="R4" s="13"/>
      <c r="S4" s="13"/>
      <c r="T4" s="13"/>
      <c r="U4" s="13"/>
      <c r="V4" s="13"/>
      <c r="W4" s="14" t="s">
        <v>5</v>
      </c>
      <c r="X4" s="14"/>
      <c r="Y4" s="14" t="s">
        <v>97</v>
      </c>
      <c r="Z4" s="14" t="s">
        <v>83</v>
      </c>
      <c r="AA4" s="15"/>
      <c r="AB4" s="15"/>
      <c r="AC4" s="15"/>
      <c r="AD4" s="15"/>
      <c r="AE4" s="16"/>
      <c r="AF4" s="16"/>
      <c r="AG4" s="16"/>
      <c r="AH4" s="13"/>
      <c r="AI4" s="17"/>
      <c r="AJ4" s="17"/>
      <c r="AK4" s="17"/>
      <c r="AL4" s="17"/>
      <c r="AM4" s="9"/>
      <c r="AN4" s="9"/>
      <c r="AO4" s="9"/>
      <c r="AP4" s="9"/>
    </row>
    <row r="5" spans="1:42" x14ac:dyDescent="0.25">
      <c r="A5" s="1" t="s">
        <v>6</v>
      </c>
      <c r="B5" s="122" t="s">
        <v>7</v>
      </c>
      <c r="C5" s="122"/>
      <c r="D5" s="122"/>
      <c r="E5" s="122"/>
      <c r="F5" s="122"/>
      <c r="G5" s="122" t="s">
        <v>8</v>
      </c>
      <c r="H5" s="122"/>
      <c r="I5" s="122"/>
      <c r="J5" s="122"/>
      <c r="K5" s="122"/>
      <c r="L5" s="122" t="s">
        <v>9</v>
      </c>
      <c r="M5" s="122"/>
      <c r="N5" s="122"/>
      <c r="O5" s="122"/>
      <c r="P5" s="122"/>
      <c r="Q5" s="122" t="s">
        <v>10</v>
      </c>
      <c r="R5" s="122"/>
      <c r="S5" s="122"/>
      <c r="T5" s="122"/>
      <c r="U5" s="122"/>
      <c r="V5" s="18"/>
      <c r="W5" s="121" t="s">
        <v>7</v>
      </c>
      <c r="X5" s="121"/>
      <c r="Y5" s="121"/>
      <c r="Z5" s="121"/>
      <c r="AA5" s="121"/>
      <c r="AB5" s="121" t="s">
        <v>8</v>
      </c>
      <c r="AC5" s="121"/>
      <c r="AD5" s="121"/>
      <c r="AE5" s="121"/>
      <c r="AF5" s="121"/>
      <c r="AG5" s="121" t="s">
        <v>9</v>
      </c>
      <c r="AH5" s="121"/>
      <c r="AI5" s="121"/>
      <c r="AJ5" s="121"/>
      <c r="AK5" s="121"/>
      <c r="AL5" s="121" t="s">
        <v>10</v>
      </c>
      <c r="AM5" s="121"/>
      <c r="AN5" s="121"/>
      <c r="AO5" s="121"/>
      <c r="AP5" s="121"/>
    </row>
    <row r="6" spans="1:42" x14ac:dyDescent="0.25">
      <c r="A6" s="10" t="s">
        <v>11</v>
      </c>
      <c r="B6" s="11" t="s">
        <v>12</v>
      </c>
      <c r="C6" s="11" t="s">
        <v>13</v>
      </c>
      <c r="D6" s="11" t="s">
        <v>14</v>
      </c>
      <c r="E6" s="11" t="s">
        <v>15</v>
      </c>
      <c r="F6" s="11" t="s">
        <v>203</v>
      </c>
      <c r="G6" s="11" t="s">
        <v>12</v>
      </c>
      <c r="H6" s="11" t="s">
        <v>13</v>
      </c>
      <c r="I6" s="11" t="s">
        <v>14</v>
      </c>
      <c r="J6" s="11" t="s">
        <v>15</v>
      </c>
      <c r="K6" s="11" t="s">
        <v>203</v>
      </c>
      <c r="L6" s="11" t="s">
        <v>12</v>
      </c>
      <c r="M6" s="11" t="s">
        <v>13</v>
      </c>
      <c r="N6" s="11" t="s">
        <v>14</v>
      </c>
      <c r="O6" s="11" t="s">
        <v>15</v>
      </c>
      <c r="P6" s="11" t="s">
        <v>16</v>
      </c>
      <c r="Q6" s="11" t="s">
        <v>12</v>
      </c>
      <c r="R6" s="11" t="s">
        <v>13</v>
      </c>
      <c r="S6" s="11" t="s">
        <v>14</v>
      </c>
      <c r="T6" s="11" t="s">
        <v>15</v>
      </c>
      <c r="U6" s="11" t="s">
        <v>16</v>
      </c>
      <c r="V6" s="11"/>
      <c r="W6" s="14" t="s">
        <v>17</v>
      </c>
      <c r="X6" s="14" t="s">
        <v>18</v>
      </c>
      <c r="Y6" s="14" t="s">
        <v>19</v>
      </c>
      <c r="Z6" s="14" t="s">
        <v>20</v>
      </c>
      <c r="AA6" s="14" t="s">
        <v>21</v>
      </c>
      <c r="AB6" s="19" t="s">
        <v>17</v>
      </c>
      <c r="AC6" s="19" t="s">
        <v>18</v>
      </c>
      <c r="AD6" s="19" t="s">
        <v>19</v>
      </c>
      <c r="AE6" s="19" t="s">
        <v>20</v>
      </c>
      <c r="AF6" s="19" t="s">
        <v>21</v>
      </c>
      <c r="AG6" s="14" t="s">
        <v>17</v>
      </c>
      <c r="AH6" s="14" t="s">
        <v>18</v>
      </c>
      <c r="AI6" s="14" t="s">
        <v>19</v>
      </c>
      <c r="AJ6" s="14" t="s">
        <v>20</v>
      </c>
      <c r="AK6" s="14" t="s">
        <v>21</v>
      </c>
      <c r="AL6" s="14" t="s">
        <v>17</v>
      </c>
      <c r="AM6" s="14" t="s">
        <v>18</v>
      </c>
      <c r="AN6" s="14" t="s">
        <v>19</v>
      </c>
      <c r="AO6" s="14" t="s">
        <v>20</v>
      </c>
      <c r="AP6" s="14" t="s">
        <v>21</v>
      </c>
    </row>
    <row r="7" spans="1:42" x14ac:dyDescent="0.25">
      <c r="A7" s="20" t="s">
        <v>23</v>
      </c>
      <c r="B7" s="21">
        <v>2430</v>
      </c>
      <c r="C7" s="21">
        <v>2446</v>
      </c>
      <c r="D7" s="21">
        <v>2229</v>
      </c>
      <c r="E7" s="21">
        <v>2425</v>
      </c>
      <c r="F7" s="21">
        <v>2407</v>
      </c>
      <c r="G7" s="22">
        <v>3.3663037154018784E-2</v>
      </c>
      <c r="H7" s="22">
        <v>3.3320619006102878E-2</v>
      </c>
      <c r="I7" s="22">
        <v>2.9879356568364612E-2</v>
      </c>
      <c r="J7" s="22">
        <v>3.1507418860275964E-2</v>
      </c>
      <c r="K7" s="22">
        <v>3.0628865192273431E-2</v>
      </c>
      <c r="L7" s="21">
        <v>362</v>
      </c>
      <c r="M7" s="21">
        <v>393</v>
      </c>
      <c r="N7" s="21">
        <v>399</v>
      </c>
      <c r="O7" s="21">
        <v>431</v>
      </c>
      <c r="P7" s="21">
        <v>366</v>
      </c>
      <c r="Q7" s="22">
        <v>0.14897119341563786</v>
      </c>
      <c r="R7" s="22">
        <v>0.16067048242027801</v>
      </c>
      <c r="S7" s="22">
        <v>0.17900403768506057</v>
      </c>
      <c r="T7" s="22">
        <v>0.17773195876288661</v>
      </c>
      <c r="U7" s="22">
        <v>0.15205650186954717</v>
      </c>
      <c r="V7" s="21"/>
      <c r="W7" s="21">
        <v>2767</v>
      </c>
      <c r="X7" s="21">
        <v>2838</v>
      </c>
      <c r="Y7" s="21">
        <v>2659</v>
      </c>
      <c r="Z7" s="21">
        <v>2590</v>
      </c>
      <c r="AA7" s="21">
        <v>2446</v>
      </c>
      <c r="AB7" s="22">
        <v>5.6253557778319918E-2</v>
      </c>
      <c r="AC7" s="22">
        <v>5.6050401911796652E-2</v>
      </c>
      <c r="AD7" s="22">
        <v>4.1388434897657408E-2</v>
      </c>
      <c r="AE7" s="22">
        <v>3.8104485736564123E-2</v>
      </c>
      <c r="AF7" s="22">
        <v>3.3320619006102878E-2</v>
      </c>
      <c r="AG7" s="21">
        <v>518</v>
      </c>
      <c r="AH7" s="21">
        <v>821</v>
      </c>
      <c r="AI7" s="21">
        <v>846</v>
      </c>
      <c r="AJ7" s="21">
        <v>154</v>
      </c>
      <c r="AK7" s="21">
        <v>393</v>
      </c>
      <c r="AL7" s="22">
        <v>0.18720636067943622</v>
      </c>
      <c r="AM7" s="22">
        <v>0.28928823114869628</v>
      </c>
      <c r="AN7" s="22">
        <v>0.31816472358029335</v>
      </c>
      <c r="AO7" s="22">
        <v>5.9459459459459463E-2</v>
      </c>
      <c r="AP7" s="22">
        <v>0.16067048242027801</v>
      </c>
    </row>
    <row r="8" spans="1:42" x14ac:dyDescent="0.25">
      <c r="A8" s="20" t="s">
        <v>24</v>
      </c>
      <c r="B8" s="21">
        <v>23571</v>
      </c>
      <c r="C8" s="21">
        <v>23099</v>
      </c>
      <c r="D8" s="21">
        <v>23054</v>
      </c>
      <c r="E8" s="21">
        <v>22935</v>
      </c>
      <c r="F8" s="21">
        <v>23424</v>
      </c>
      <c r="G8" s="22">
        <v>0.32653146039398223</v>
      </c>
      <c r="H8" s="22">
        <v>0.31466597646033129</v>
      </c>
      <c r="I8" s="22">
        <v>0.30903485254691687</v>
      </c>
      <c r="J8" s="22">
        <v>0.29798872229296053</v>
      </c>
      <c r="K8" s="22">
        <v>0.2980683582317461</v>
      </c>
      <c r="L8" s="21">
        <v>17118</v>
      </c>
      <c r="M8" s="21">
        <v>17021</v>
      </c>
      <c r="N8" s="21">
        <v>17179</v>
      </c>
      <c r="O8" s="21">
        <v>17252</v>
      </c>
      <c r="P8" s="21">
        <v>17280</v>
      </c>
      <c r="Q8" s="22">
        <v>0.72623138602520043</v>
      </c>
      <c r="R8" s="22">
        <v>0.73687172604874673</v>
      </c>
      <c r="S8" s="22">
        <v>0.74516352910557826</v>
      </c>
      <c r="T8" s="22">
        <v>0.75221277523435792</v>
      </c>
      <c r="U8" s="22">
        <v>0.73770491803278693</v>
      </c>
      <c r="V8" s="21"/>
      <c r="W8" s="21">
        <v>23073</v>
      </c>
      <c r="X8" s="21">
        <v>23434</v>
      </c>
      <c r="Y8" s="21">
        <v>26403</v>
      </c>
      <c r="Z8" s="21">
        <v>23974</v>
      </c>
      <c r="AA8" s="21">
        <v>23099</v>
      </c>
      <c r="AB8" s="22">
        <v>0.46907782385947794</v>
      </c>
      <c r="AC8" s="22">
        <v>0.46282069006379239</v>
      </c>
      <c r="AD8" s="22">
        <v>0.41097361662386178</v>
      </c>
      <c r="AE8" s="22">
        <v>0.35270924364802636</v>
      </c>
      <c r="AF8" s="22">
        <v>0.31466597646033129</v>
      </c>
      <c r="AG8" s="21">
        <v>15826</v>
      </c>
      <c r="AH8" s="21">
        <v>16820</v>
      </c>
      <c r="AI8" s="21">
        <v>18189</v>
      </c>
      <c r="AJ8" s="21">
        <v>16865</v>
      </c>
      <c r="AK8" s="21">
        <v>17021</v>
      </c>
      <c r="AL8" s="22">
        <v>0.68590993802279721</v>
      </c>
      <c r="AM8" s="22">
        <v>0.71776051890415637</v>
      </c>
      <c r="AN8" s="22">
        <v>0.68889898875127831</v>
      </c>
      <c r="AO8" s="22">
        <v>0.70347042629515311</v>
      </c>
      <c r="AP8" s="22">
        <v>0.73687172604874673</v>
      </c>
    </row>
    <row r="9" spans="1:42" x14ac:dyDescent="0.25">
      <c r="A9" s="20" t="s">
        <v>25</v>
      </c>
      <c r="B9" s="21">
        <v>23</v>
      </c>
      <c r="C9" s="21">
        <v>41</v>
      </c>
      <c r="D9" s="21">
        <v>68</v>
      </c>
      <c r="E9" s="21">
        <v>83</v>
      </c>
      <c r="F9" s="21">
        <v>108</v>
      </c>
      <c r="G9" s="22">
        <v>3.1862133931787328E-4</v>
      </c>
      <c r="H9" s="22">
        <v>5.5852223190932864E-4</v>
      </c>
      <c r="I9" s="22">
        <v>9.1152815013404831E-4</v>
      </c>
      <c r="J9" s="22">
        <v>1.0783982537743938E-3</v>
      </c>
      <c r="K9" s="22">
        <v>1.3742905861094852E-3</v>
      </c>
      <c r="L9" s="21">
        <v>5</v>
      </c>
      <c r="M9" s="21">
        <v>15</v>
      </c>
      <c r="N9" s="21">
        <v>44</v>
      </c>
      <c r="O9" s="21">
        <v>59</v>
      </c>
      <c r="P9" s="21">
        <v>63</v>
      </c>
      <c r="Q9" s="22">
        <v>0.21739130434782608</v>
      </c>
      <c r="R9" s="22">
        <v>0.36585365853658536</v>
      </c>
      <c r="S9" s="22">
        <v>0.6470588235294118</v>
      </c>
      <c r="T9" s="22">
        <v>0.71084337349397586</v>
      </c>
      <c r="U9" s="22">
        <v>0.58333333333333337</v>
      </c>
      <c r="V9" s="21"/>
      <c r="W9" s="21">
        <v>0</v>
      </c>
      <c r="X9" s="21">
        <v>0</v>
      </c>
      <c r="Y9" s="21">
        <v>0</v>
      </c>
      <c r="Z9" s="21">
        <v>2</v>
      </c>
      <c r="AA9" s="21">
        <v>41</v>
      </c>
      <c r="AB9" s="22">
        <v>0</v>
      </c>
      <c r="AC9" s="22">
        <v>0</v>
      </c>
      <c r="AD9" s="22">
        <v>0</v>
      </c>
      <c r="AE9" s="22">
        <v>2.9424313310088124E-5</v>
      </c>
      <c r="AF9" s="22">
        <v>5.5852223190932864E-4</v>
      </c>
      <c r="AG9" s="21">
        <v>0</v>
      </c>
      <c r="AH9" s="21">
        <v>0</v>
      </c>
      <c r="AI9" s="21">
        <v>0</v>
      </c>
      <c r="AJ9" s="21">
        <v>2</v>
      </c>
      <c r="AK9" s="21">
        <v>15</v>
      </c>
      <c r="AL9" s="22">
        <v>0</v>
      </c>
      <c r="AM9" s="22">
        <v>0</v>
      </c>
      <c r="AN9" s="22">
        <v>0</v>
      </c>
      <c r="AO9" s="22">
        <v>1</v>
      </c>
      <c r="AP9" s="22">
        <v>0.36585365853658536</v>
      </c>
    </row>
    <row r="10" spans="1:42" x14ac:dyDescent="0.25">
      <c r="A10" s="20" t="s">
        <v>26</v>
      </c>
      <c r="B10" s="21">
        <v>201</v>
      </c>
      <c r="C10" s="21">
        <v>166</v>
      </c>
      <c r="D10" s="21">
        <v>241</v>
      </c>
      <c r="E10" s="21">
        <v>278</v>
      </c>
      <c r="F10" s="21">
        <v>343</v>
      </c>
      <c r="G10" s="22">
        <v>2.7844734436040229E-3</v>
      </c>
      <c r="H10" s="22">
        <v>2.2613339145597208E-3</v>
      </c>
      <c r="I10" s="22">
        <v>3.2305630026809654E-3</v>
      </c>
      <c r="J10" s="22">
        <v>3.6119845126419458E-3</v>
      </c>
      <c r="K10" s="22">
        <v>4.3646451021810504E-3</v>
      </c>
      <c r="L10" s="21">
        <v>198</v>
      </c>
      <c r="M10" s="21">
        <v>164</v>
      </c>
      <c r="N10" s="21">
        <v>235</v>
      </c>
      <c r="O10" s="21">
        <v>248</v>
      </c>
      <c r="P10" s="21">
        <v>282</v>
      </c>
      <c r="Q10" s="22">
        <v>0.9850746268656716</v>
      </c>
      <c r="R10" s="22">
        <v>0.98795180722891562</v>
      </c>
      <c r="S10" s="22">
        <v>0.975103734439834</v>
      </c>
      <c r="T10" s="22">
        <v>0.8920863309352518</v>
      </c>
      <c r="U10" s="22">
        <v>0.82215743440233235</v>
      </c>
      <c r="V10" s="21"/>
      <c r="W10" s="21">
        <v>0</v>
      </c>
      <c r="X10" s="21">
        <v>0</v>
      </c>
      <c r="Y10" s="21">
        <v>0</v>
      </c>
      <c r="Z10" s="21">
        <v>115</v>
      </c>
      <c r="AA10" s="21">
        <v>166</v>
      </c>
      <c r="AB10" s="22">
        <v>0</v>
      </c>
      <c r="AC10" s="22">
        <v>0</v>
      </c>
      <c r="AD10" s="22">
        <v>0</v>
      </c>
      <c r="AE10" s="22">
        <v>1.6918980153300671E-3</v>
      </c>
      <c r="AF10" s="22">
        <v>2.2613339145597208E-3</v>
      </c>
      <c r="AG10" s="21">
        <v>0</v>
      </c>
      <c r="AH10" s="21">
        <v>0</v>
      </c>
      <c r="AI10" s="21">
        <v>0</v>
      </c>
      <c r="AJ10" s="21">
        <v>114</v>
      </c>
      <c r="AK10" s="21">
        <v>164</v>
      </c>
      <c r="AL10" s="22">
        <v>0</v>
      </c>
      <c r="AM10" s="22">
        <v>0</v>
      </c>
      <c r="AN10" s="22">
        <v>0</v>
      </c>
      <c r="AO10" s="22">
        <v>0.99130434782608701</v>
      </c>
      <c r="AP10" s="22">
        <v>0.98795180722891562</v>
      </c>
    </row>
    <row r="11" spans="1:42" x14ac:dyDescent="0.25">
      <c r="A11" s="20" t="s">
        <v>30</v>
      </c>
      <c r="B11" s="21">
        <v>1981</v>
      </c>
      <c r="C11" s="21">
        <v>2165</v>
      </c>
      <c r="D11" s="21">
        <v>2212</v>
      </c>
      <c r="E11" s="21">
        <v>3152</v>
      </c>
      <c r="F11" s="21">
        <v>2487</v>
      </c>
      <c r="G11" s="22">
        <v>2.7442994486465519E-2</v>
      </c>
      <c r="H11" s="22">
        <v>2.9492698343504795E-2</v>
      </c>
      <c r="I11" s="22">
        <v>2.9651474530831098E-2</v>
      </c>
      <c r="J11" s="22">
        <v>4.0953148143336018E-2</v>
      </c>
      <c r="K11" s="22">
        <v>3.1646858219021197E-2</v>
      </c>
      <c r="L11" s="21">
        <v>1885</v>
      </c>
      <c r="M11" s="21">
        <v>2067</v>
      </c>
      <c r="N11" s="21">
        <v>2100</v>
      </c>
      <c r="O11" s="21">
        <v>2946</v>
      </c>
      <c r="P11" s="21">
        <v>2274</v>
      </c>
      <c r="Q11" s="22">
        <v>0.9515396264512872</v>
      </c>
      <c r="R11" s="22">
        <v>0.95473441108545032</v>
      </c>
      <c r="S11" s="22">
        <v>0.94936708860759489</v>
      </c>
      <c r="T11" s="22">
        <v>0.93464467005076146</v>
      </c>
      <c r="U11" s="22">
        <v>0.91435464414957779</v>
      </c>
      <c r="V11" s="21"/>
      <c r="W11" s="21">
        <v>0</v>
      </c>
      <c r="X11" s="21">
        <v>642</v>
      </c>
      <c r="Y11" s="21">
        <v>968</v>
      </c>
      <c r="Z11" s="21">
        <v>1697</v>
      </c>
      <c r="AA11" s="21">
        <v>2165</v>
      </c>
      <c r="AB11" s="22">
        <v>0</v>
      </c>
      <c r="AC11" s="22">
        <v>1.2679477810913831E-2</v>
      </c>
      <c r="AD11" s="22">
        <v>1.5067320414040002E-2</v>
      </c>
      <c r="AE11" s="22">
        <v>2.4966529843609774E-2</v>
      </c>
      <c r="AF11" s="22">
        <v>2.9492698343504795E-2</v>
      </c>
      <c r="AG11" s="21">
        <v>0</v>
      </c>
      <c r="AH11" s="21">
        <v>642</v>
      </c>
      <c r="AI11" s="21">
        <v>934</v>
      </c>
      <c r="AJ11" s="21">
        <v>1630</v>
      </c>
      <c r="AK11" s="21">
        <v>2067</v>
      </c>
      <c r="AL11" s="22">
        <v>0</v>
      </c>
      <c r="AM11" s="22">
        <v>1</v>
      </c>
      <c r="AN11" s="22">
        <v>0.96487603305785119</v>
      </c>
      <c r="AO11" s="22">
        <v>0.96051856216853271</v>
      </c>
      <c r="AP11" s="22">
        <v>0.95473441108545032</v>
      </c>
    </row>
    <row r="12" spans="1:42" x14ac:dyDescent="0.25">
      <c r="A12" s="20" t="s">
        <v>35</v>
      </c>
      <c r="B12" s="21">
        <v>6419</v>
      </c>
      <c r="C12" s="21">
        <v>6175</v>
      </c>
      <c r="D12" s="21">
        <v>6646</v>
      </c>
      <c r="E12" s="21">
        <v>7333</v>
      </c>
      <c r="F12" s="21">
        <v>6964</v>
      </c>
      <c r="G12" s="22">
        <v>8.8923059873105587E-2</v>
      </c>
      <c r="H12" s="22">
        <v>8.4118897122929387E-2</v>
      </c>
      <c r="I12" s="22">
        <v>8.9088471849865958E-2</v>
      </c>
      <c r="J12" s="22">
        <v>9.5275836083465432E-2</v>
      </c>
      <c r="K12" s="22">
        <v>8.8616292978393102E-2</v>
      </c>
      <c r="L12" s="21">
        <v>4988</v>
      </c>
      <c r="M12" s="21">
        <v>4925</v>
      </c>
      <c r="N12" s="21">
        <v>5293</v>
      </c>
      <c r="O12" s="21">
        <v>5406</v>
      </c>
      <c r="P12" s="21">
        <v>5410</v>
      </c>
      <c r="Q12" s="22">
        <v>0.77706807914005294</v>
      </c>
      <c r="R12" s="22">
        <v>0.79757085020242913</v>
      </c>
      <c r="S12" s="22">
        <v>0.79641889858561543</v>
      </c>
      <c r="T12" s="22">
        <v>0.7372153279694531</v>
      </c>
      <c r="U12" s="22">
        <v>0.77685238368753595</v>
      </c>
      <c r="V12" s="21"/>
      <c r="W12" s="21">
        <v>5646</v>
      </c>
      <c r="X12" s="21">
        <v>5092</v>
      </c>
      <c r="Y12" s="21">
        <v>5115</v>
      </c>
      <c r="Z12" s="21">
        <v>6036</v>
      </c>
      <c r="AA12" s="21">
        <v>6175</v>
      </c>
      <c r="AB12" s="22">
        <v>0.1147840936813857</v>
      </c>
      <c r="AC12" s="22">
        <v>0.10056682400805798</v>
      </c>
      <c r="AD12" s="22">
        <v>7.9617090824188649E-2</v>
      </c>
      <c r="AE12" s="22">
        <v>8.880257756984597E-2</v>
      </c>
      <c r="AF12" s="22">
        <v>8.4118897122929387E-2</v>
      </c>
      <c r="AG12" s="21">
        <v>3405</v>
      </c>
      <c r="AH12" s="21">
        <v>3671</v>
      </c>
      <c r="AI12" s="21">
        <v>3916</v>
      </c>
      <c r="AJ12" s="21">
        <v>4776</v>
      </c>
      <c r="AK12" s="21">
        <v>4925</v>
      </c>
      <c r="AL12" s="22">
        <v>0.60308182784272046</v>
      </c>
      <c r="AM12" s="22">
        <v>0.72093479968578167</v>
      </c>
      <c r="AN12" s="22">
        <v>0.7655913978494624</v>
      </c>
      <c r="AO12" s="22">
        <v>0.79125248508946322</v>
      </c>
      <c r="AP12" s="22">
        <v>0.79757085020242913</v>
      </c>
    </row>
    <row r="13" spans="1:42" x14ac:dyDescent="0.25">
      <c r="A13" s="20" t="s">
        <v>42</v>
      </c>
      <c r="B13" s="21">
        <v>6</v>
      </c>
      <c r="C13" s="21">
        <v>5</v>
      </c>
      <c r="D13" s="21">
        <v>9</v>
      </c>
      <c r="E13" s="21">
        <v>15</v>
      </c>
      <c r="F13" s="21">
        <v>34</v>
      </c>
      <c r="G13" s="22">
        <v>8.3118610256836505E-5</v>
      </c>
      <c r="H13" s="22">
        <v>6.8112467306015689E-5</v>
      </c>
      <c r="I13" s="22">
        <v>1.2064343163538874E-4</v>
      </c>
      <c r="J13" s="22">
        <v>1.9489125068211936E-4</v>
      </c>
      <c r="K13" s="22">
        <v>4.3264703636780089E-4</v>
      </c>
      <c r="L13" s="21">
        <v>3</v>
      </c>
      <c r="M13" s="21">
        <v>2</v>
      </c>
      <c r="N13" s="21">
        <v>6</v>
      </c>
      <c r="O13" s="21">
        <v>12</v>
      </c>
      <c r="P13" s="21">
        <v>31</v>
      </c>
      <c r="Q13" s="22">
        <v>0.5</v>
      </c>
      <c r="R13" s="22">
        <v>0.4</v>
      </c>
      <c r="S13" s="22">
        <v>0.66666666666666663</v>
      </c>
      <c r="T13" s="22">
        <v>0.8</v>
      </c>
      <c r="U13" s="22">
        <v>0.91176470588235292</v>
      </c>
      <c r="V13" s="21"/>
      <c r="W13" s="21">
        <v>13</v>
      </c>
      <c r="X13" s="21">
        <v>19</v>
      </c>
      <c r="Y13" s="21">
        <v>11</v>
      </c>
      <c r="Z13" s="21">
        <v>7</v>
      </c>
      <c r="AA13" s="21">
        <v>5</v>
      </c>
      <c r="AB13" s="22">
        <v>2.6429210376514595E-4</v>
      </c>
      <c r="AC13" s="22">
        <v>3.7524934331364918E-4</v>
      </c>
      <c r="AD13" s="22">
        <v>1.7121955015954549E-4</v>
      </c>
      <c r="AE13" s="22">
        <v>1.0298509658530844E-4</v>
      </c>
      <c r="AF13" s="22">
        <v>6.8112467306015689E-5</v>
      </c>
      <c r="AG13" s="21">
        <v>12</v>
      </c>
      <c r="AH13" s="21">
        <v>13</v>
      </c>
      <c r="AI13" s="21">
        <v>7</v>
      </c>
      <c r="AJ13" s="21">
        <v>4</v>
      </c>
      <c r="AK13" s="21">
        <v>2</v>
      </c>
      <c r="AL13" s="22">
        <v>0.92307692307692313</v>
      </c>
      <c r="AM13" s="22">
        <v>0.68421052631578949</v>
      </c>
      <c r="AN13" s="22">
        <v>0.63636363636363635</v>
      </c>
      <c r="AO13" s="22">
        <v>0.5714285714285714</v>
      </c>
      <c r="AP13" s="22">
        <v>0.4</v>
      </c>
    </row>
    <row r="14" spans="1:42" x14ac:dyDescent="0.25">
      <c r="A14" s="20" t="s">
        <v>48</v>
      </c>
      <c r="B14" s="21">
        <v>37186</v>
      </c>
      <c r="C14" s="21">
        <v>38950</v>
      </c>
      <c r="D14" s="21">
        <v>39805</v>
      </c>
      <c r="E14" s="21">
        <v>40409</v>
      </c>
      <c r="F14" s="21">
        <v>42481</v>
      </c>
      <c r="G14" s="22">
        <v>0.51514144016845376</v>
      </c>
      <c r="H14" s="22">
        <v>0.53059612031386227</v>
      </c>
      <c r="I14" s="22">
        <v>0.53357908847184987</v>
      </c>
      <c r="J14" s="22">
        <v>0.52502403658758412</v>
      </c>
      <c r="K14" s="22">
        <v>0.54056702211589847</v>
      </c>
      <c r="L14" s="21">
        <v>28950</v>
      </c>
      <c r="M14" s="21">
        <v>30632</v>
      </c>
      <c r="N14" s="21">
        <v>31191</v>
      </c>
      <c r="O14" s="21">
        <v>31573</v>
      </c>
      <c r="P14" s="21">
        <v>32267</v>
      </c>
      <c r="Q14" s="22">
        <v>0.7785187973968698</v>
      </c>
      <c r="R14" s="22">
        <v>0.78644415917843391</v>
      </c>
      <c r="S14" s="22">
        <v>0.78359502575053386</v>
      </c>
      <c r="T14" s="22">
        <v>0.78133584102551412</v>
      </c>
      <c r="U14" s="22">
        <v>0.75956309879710926</v>
      </c>
      <c r="V14" s="21"/>
      <c r="W14" s="21">
        <v>17579</v>
      </c>
      <c r="X14" s="21">
        <v>18515</v>
      </c>
      <c r="Y14" s="21">
        <v>28984</v>
      </c>
      <c r="Z14" s="21">
        <v>33239</v>
      </c>
      <c r="AA14" s="21">
        <v>38950</v>
      </c>
      <c r="AB14" s="22">
        <v>0.3573839147759616</v>
      </c>
      <c r="AC14" s="22">
        <v>0.36567061007643237</v>
      </c>
      <c r="AD14" s="22">
        <v>0.4511479492567515</v>
      </c>
      <c r="AE14" s="22">
        <v>0.4890173750570096</v>
      </c>
      <c r="AF14" s="22">
        <v>0.53059612031386227</v>
      </c>
      <c r="AG14" s="21">
        <v>11535</v>
      </c>
      <c r="AH14" s="21">
        <v>13070</v>
      </c>
      <c r="AI14" s="21">
        <v>20384</v>
      </c>
      <c r="AJ14" s="21">
        <v>24774</v>
      </c>
      <c r="AK14" s="21">
        <v>30632</v>
      </c>
      <c r="AL14" s="22">
        <v>0.65618067011775416</v>
      </c>
      <c r="AM14" s="22">
        <v>0.70591412368349982</v>
      </c>
      <c r="AN14" s="22">
        <v>0.70328457079768147</v>
      </c>
      <c r="AO14" s="22">
        <v>0.74532928186768554</v>
      </c>
      <c r="AP14" s="22">
        <v>0.78644415917843391</v>
      </c>
    </row>
    <row r="15" spans="1:42" x14ac:dyDescent="0.25">
      <c r="A15" s="20" t="s">
        <v>57</v>
      </c>
      <c r="B15" s="21">
        <v>27</v>
      </c>
      <c r="C15" s="21">
        <v>30</v>
      </c>
      <c r="D15" s="21">
        <v>30</v>
      </c>
      <c r="E15" s="21">
        <v>33</v>
      </c>
      <c r="F15" s="21">
        <v>44</v>
      </c>
      <c r="G15" s="22">
        <v>3.7403374615576425E-4</v>
      </c>
      <c r="H15" s="22">
        <v>4.0867480383609413E-4</v>
      </c>
      <c r="I15" s="22">
        <v>4.0214477211796245E-4</v>
      </c>
      <c r="J15" s="22">
        <v>4.2876075150066262E-4</v>
      </c>
      <c r="K15" s="22">
        <v>5.5989616471127169E-4</v>
      </c>
      <c r="L15" s="21">
        <v>27</v>
      </c>
      <c r="M15" s="21">
        <v>29</v>
      </c>
      <c r="N15" s="21">
        <v>29</v>
      </c>
      <c r="O15" s="21">
        <v>32</v>
      </c>
      <c r="P15" s="21">
        <v>43</v>
      </c>
      <c r="Q15" s="22">
        <v>1</v>
      </c>
      <c r="R15" s="22">
        <v>0.96666666666666667</v>
      </c>
      <c r="S15" s="22">
        <v>0.96666666666666667</v>
      </c>
      <c r="T15" s="22">
        <v>0.96969696969696972</v>
      </c>
      <c r="U15" s="22">
        <v>0.97727272727272729</v>
      </c>
      <c r="V15" s="21"/>
      <c r="W15" s="21">
        <v>0</v>
      </c>
      <c r="X15" s="21">
        <v>0</v>
      </c>
      <c r="Y15" s="21">
        <v>4</v>
      </c>
      <c r="Z15" s="21">
        <v>14</v>
      </c>
      <c r="AA15" s="21">
        <v>30</v>
      </c>
      <c r="AB15" s="22">
        <v>0</v>
      </c>
      <c r="AC15" s="22">
        <v>0</v>
      </c>
      <c r="AD15" s="22">
        <v>6.2261654603471084E-5</v>
      </c>
      <c r="AE15" s="22">
        <v>2.0597019317061688E-4</v>
      </c>
      <c r="AF15" s="22">
        <v>4.0867480383609413E-4</v>
      </c>
      <c r="AG15" s="21">
        <v>0</v>
      </c>
      <c r="AH15" s="21">
        <v>0</v>
      </c>
      <c r="AI15" s="21">
        <v>4</v>
      </c>
      <c r="AJ15" s="21">
        <v>14</v>
      </c>
      <c r="AK15" s="21">
        <v>29</v>
      </c>
      <c r="AL15" s="22">
        <v>0</v>
      </c>
      <c r="AM15" s="22">
        <v>0</v>
      </c>
      <c r="AN15" s="22">
        <v>1</v>
      </c>
      <c r="AO15" s="22">
        <v>1</v>
      </c>
      <c r="AP15" s="22">
        <v>0.96666666666666667</v>
      </c>
    </row>
    <row r="16" spans="1:42" x14ac:dyDescent="0.25">
      <c r="A16" s="20" t="s">
        <v>59</v>
      </c>
      <c r="B16" s="21">
        <v>3</v>
      </c>
      <c r="C16" s="21">
        <v>3</v>
      </c>
      <c r="D16" s="21">
        <v>4</v>
      </c>
      <c r="E16" s="21">
        <v>8</v>
      </c>
      <c r="F16" s="21">
        <v>6</v>
      </c>
      <c r="G16" s="22">
        <v>4.1559305128418252E-5</v>
      </c>
      <c r="H16" s="22">
        <v>4.0867480383609417E-5</v>
      </c>
      <c r="I16" s="22">
        <v>5.3619302949061659E-5</v>
      </c>
      <c r="J16" s="22">
        <v>1.0394200036379701E-4</v>
      </c>
      <c r="K16" s="22">
        <v>7.6349477006082512E-5</v>
      </c>
      <c r="L16" s="21">
        <v>3</v>
      </c>
      <c r="M16" s="21">
        <v>3</v>
      </c>
      <c r="N16" s="21">
        <v>4</v>
      </c>
      <c r="O16" s="21">
        <v>8</v>
      </c>
      <c r="P16" s="21">
        <v>6</v>
      </c>
      <c r="Q16" s="22">
        <v>1</v>
      </c>
      <c r="R16" s="22">
        <v>1</v>
      </c>
      <c r="S16" s="22">
        <v>1</v>
      </c>
      <c r="T16" s="22">
        <v>1</v>
      </c>
      <c r="U16" s="22">
        <v>1</v>
      </c>
      <c r="V16" s="21"/>
      <c r="W16" s="21">
        <v>0</v>
      </c>
      <c r="X16" s="21">
        <v>0</v>
      </c>
      <c r="Y16" s="21">
        <v>3</v>
      </c>
      <c r="Z16" s="21">
        <v>3</v>
      </c>
      <c r="AA16" s="21">
        <v>3</v>
      </c>
      <c r="AB16" s="22">
        <v>0</v>
      </c>
      <c r="AC16" s="22">
        <v>0</v>
      </c>
      <c r="AD16" s="22">
        <v>4.6696240952603317E-5</v>
      </c>
      <c r="AE16" s="22">
        <v>4.4136469965132192E-5</v>
      </c>
      <c r="AF16" s="22">
        <v>4.0867480383609417E-5</v>
      </c>
      <c r="AG16" s="21">
        <v>0</v>
      </c>
      <c r="AH16" s="21">
        <v>0</v>
      </c>
      <c r="AI16" s="21">
        <v>3</v>
      </c>
      <c r="AJ16" s="21">
        <v>0</v>
      </c>
      <c r="AK16" s="21">
        <v>3</v>
      </c>
      <c r="AL16" s="22">
        <v>0</v>
      </c>
      <c r="AM16" s="22">
        <v>0</v>
      </c>
      <c r="AN16" s="22">
        <v>1</v>
      </c>
      <c r="AO16" s="22">
        <v>0</v>
      </c>
      <c r="AP16" s="22">
        <v>1</v>
      </c>
    </row>
    <row r="17" spans="1:42" x14ac:dyDescent="0.25">
      <c r="A17" s="20" t="s">
        <v>60</v>
      </c>
      <c r="B17" s="21">
        <v>339</v>
      </c>
      <c r="C17" s="21">
        <v>328</v>
      </c>
      <c r="D17" s="21">
        <v>301</v>
      </c>
      <c r="E17" s="21">
        <v>293</v>
      </c>
      <c r="F17" s="21">
        <v>286</v>
      </c>
      <c r="G17" s="22">
        <v>4.6962014795112628E-3</v>
      </c>
      <c r="H17" s="22">
        <v>4.4681778552746292E-3</v>
      </c>
      <c r="I17" s="22">
        <v>4.0348525469168905E-3</v>
      </c>
      <c r="J17" s="22">
        <v>3.8068757633240653E-3</v>
      </c>
      <c r="K17" s="22">
        <v>3.639325070623266E-3</v>
      </c>
      <c r="L17" s="21">
        <v>335</v>
      </c>
      <c r="M17" s="21">
        <v>324</v>
      </c>
      <c r="N17" s="21">
        <v>297</v>
      </c>
      <c r="O17" s="21">
        <v>289</v>
      </c>
      <c r="P17" s="21">
        <v>281</v>
      </c>
      <c r="Q17" s="22">
        <v>0.98820058997050142</v>
      </c>
      <c r="R17" s="22">
        <v>0.98780487804878048</v>
      </c>
      <c r="S17" s="22">
        <v>0.98671096345514953</v>
      </c>
      <c r="T17" s="22">
        <v>0.98634812286689422</v>
      </c>
      <c r="U17" s="22">
        <v>0.9825174825174825</v>
      </c>
      <c r="V17" s="21"/>
      <c r="W17" s="21">
        <v>110</v>
      </c>
      <c r="X17" s="21">
        <v>93</v>
      </c>
      <c r="Y17" s="21">
        <v>98</v>
      </c>
      <c r="Z17" s="21">
        <v>293</v>
      </c>
      <c r="AA17" s="21">
        <v>328</v>
      </c>
      <c r="AB17" s="22">
        <v>2.2363178010896966E-3</v>
      </c>
      <c r="AC17" s="22">
        <v>1.8367467856931251E-3</v>
      </c>
      <c r="AD17" s="22">
        <v>1.5254105377850416E-3</v>
      </c>
      <c r="AE17" s="22">
        <v>4.3106618999279103E-3</v>
      </c>
      <c r="AF17" s="22">
        <v>4.4681778552746292E-3</v>
      </c>
      <c r="AG17" s="21">
        <v>107</v>
      </c>
      <c r="AH17" s="21">
        <v>89</v>
      </c>
      <c r="AI17" s="21">
        <v>92</v>
      </c>
      <c r="AJ17" s="21">
        <v>288</v>
      </c>
      <c r="AK17" s="21">
        <v>324</v>
      </c>
      <c r="AL17" s="22">
        <v>0.97272727272727277</v>
      </c>
      <c r="AM17" s="22">
        <v>0.956989247311828</v>
      </c>
      <c r="AN17" s="22">
        <v>0.93877551020408168</v>
      </c>
      <c r="AO17" s="22">
        <v>0.98293515358361772</v>
      </c>
      <c r="AP17" s="22">
        <v>0.98780487804878048</v>
      </c>
    </row>
    <row r="18" spans="1:42" x14ac:dyDescent="0.25">
      <c r="A18" s="20" t="s">
        <v>66</v>
      </c>
      <c r="B18" s="21">
        <v>0</v>
      </c>
      <c r="C18" s="21">
        <v>0</v>
      </c>
      <c r="D18" s="21">
        <v>1</v>
      </c>
      <c r="E18" s="21">
        <v>2</v>
      </c>
      <c r="F18" s="21">
        <v>2</v>
      </c>
      <c r="G18" s="22">
        <v>0</v>
      </c>
      <c r="H18" s="22">
        <v>0</v>
      </c>
      <c r="I18" s="22">
        <v>1.3404825737265415E-5</v>
      </c>
      <c r="J18" s="22">
        <v>2.5985500090949252E-5</v>
      </c>
      <c r="K18" s="22">
        <v>2.5449825668694168E-5</v>
      </c>
      <c r="L18" s="21">
        <v>0</v>
      </c>
      <c r="M18" s="21">
        <v>0</v>
      </c>
      <c r="N18" s="21">
        <v>0</v>
      </c>
      <c r="O18" s="21">
        <v>2</v>
      </c>
      <c r="P18" s="21">
        <v>2</v>
      </c>
      <c r="Q18" s="22">
        <v>0</v>
      </c>
      <c r="R18" s="22">
        <v>0</v>
      </c>
      <c r="S18" s="22">
        <v>0</v>
      </c>
      <c r="T18" s="22">
        <v>1</v>
      </c>
      <c r="U18" s="22">
        <v>1</v>
      </c>
      <c r="V18" s="21"/>
      <c r="W18" s="21">
        <v>0</v>
      </c>
      <c r="X18" s="21">
        <v>0</v>
      </c>
      <c r="Y18" s="21">
        <v>0</v>
      </c>
      <c r="Z18" s="21">
        <v>1</v>
      </c>
      <c r="AA18" s="21">
        <v>0</v>
      </c>
      <c r="AB18" s="22">
        <v>0</v>
      </c>
      <c r="AC18" s="22">
        <v>0</v>
      </c>
      <c r="AD18" s="22">
        <v>0</v>
      </c>
      <c r="AE18" s="22">
        <v>1.4712156655044062E-5</v>
      </c>
      <c r="AF18" s="22">
        <v>0</v>
      </c>
      <c r="AG18" s="21">
        <v>0</v>
      </c>
      <c r="AH18" s="21">
        <v>0</v>
      </c>
      <c r="AI18" s="21">
        <v>0</v>
      </c>
      <c r="AJ18" s="21">
        <v>1</v>
      </c>
      <c r="AK18" s="21">
        <v>0</v>
      </c>
      <c r="AL18" s="22">
        <v>0</v>
      </c>
      <c r="AM18" s="22">
        <v>0</v>
      </c>
      <c r="AN18" s="22">
        <v>0</v>
      </c>
      <c r="AO18" s="22">
        <v>1</v>
      </c>
      <c r="AP18" s="22">
        <v>0</v>
      </c>
    </row>
    <row r="19" spans="1:42" x14ac:dyDescent="0.25">
      <c r="A19" s="1" t="s">
        <v>67</v>
      </c>
      <c r="B19" s="23">
        <v>72186</v>
      </c>
      <c r="C19" s="23">
        <v>73408</v>
      </c>
      <c r="D19" s="23">
        <v>74600</v>
      </c>
      <c r="E19" s="23">
        <v>76966</v>
      </c>
      <c r="F19" s="23">
        <v>78586</v>
      </c>
      <c r="G19" s="24">
        <v>1</v>
      </c>
      <c r="H19" s="24">
        <v>1</v>
      </c>
      <c r="I19" s="24">
        <v>1</v>
      </c>
      <c r="J19" s="24">
        <v>1</v>
      </c>
      <c r="K19" s="24">
        <v>1</v>
      </c>
      <c r="L19" s="23">
        <v>53874</v>
      </c>
      <c r="M19" s="23">
        <v>55575</v>
      </c>
      <c r="N19" s="23">
        <v>56777</v>
      </c>
      <c r="O19" s="23">
        <v>58258</v>
      </c>
      <c r="P19" s="23">
        <v>58305</v>
      </c>
      <c r="Q19" s="24">
        <v>0.74632200149613503</v>
      </c>
      <c r="R19" s="24">
        <v>0.7570700741063644</v>
      </c>
      <c r="S19" s="24">
        <v>0.7610857908847185</v>
      </c>
      <c r="T19" s="24">
        <v>0.75693163214926074</v>
      </c>
      <c r="U19" s="24">
        <v>0.74192604280660679</v>
      </c>
      <c r="V19" s="23"/>
      <c r="W19" s="23">
        <v>49188</v>
      </c>
      <c r="X19" s="23">
        <v>50633</v>
      </c>
      <c r="Y19" s="23">
        <v>64245</v>
      </c>
      <c r="Z19" s="23">
        <v>67971</v>
      </c>
      <c r="AA19" s="23">
        <v>73408</v>
      </c>
      <c r="AB19" s="24">
        <v>1</v>
      </c>
      <c r="AC19" s="24">
        <v>1</v>
      </c>
      <c r="AD19" s="24">
        <v>1</v>
      </c>
      <c r="AE19" s="24">
        <v>1</v>
      </c>
      <c r="AF19" s="24">
        <v>1</v>
      </c>
      <c r="AG19" s="23">
        <v>31403</v>
      </c>
      <c r="AH19" s="23">
        <v>35126</v>
      </c>
      <c r="AI19" s="23">
        <v>44375</v>
      </c>
      <c r="AJ19" s="23">
        <v>48622</v>
      </c>
      <c r="AK19" s="23">
        <v>55575</v>
      </c>
      <c r="AL19" s="24">
        <v>0.63842807188745221</v>
      </c>
      <c r="AM19" s="24">
        <v>0.69373728595974959</v>
      </c>
      <c r="AN19" s="24">
        <v>0.69071523075725738</v>
      </c>
      <c r="AO19" s="24">
        <v>0.71533448088155238</v>
      </c>
      <c r="AP19" s="24">
        <v>0.7570700741063644</v>
      </c>
    </row>
    <row r="20" spans="1:42" x14ac:dyDescent="0.25">
      <c r="A20" s="25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</row>
    <row r="21" spans="1:42" x14ac:dyDescent="0.25">
      <c r="A21" s="1" t="s">
        <v>68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</row>
    <row r="22" spans="1:42" x14ac:dyDescent="0.25">
      <c r="A22" s="26" t="s">
        <v>69</v>
      </c>
      <c r="B22" s="27" t="s">
        <v>12</v>
      </c>
      <c r="C22" s="27" t="s">
        <v>13</v>
      </c>
      <c r="D22" s="27" t="s">
        <v>14</v>
      </c>
      <c r="E22" s="27" t="s">
        <v>15</v>
      </c>
      <c r="F22" s="27" t="s">
        <v>16</v>
      </c>
      <c r="G22" s="27" t="s">
        <v>12</v>
      </c>
      <c r="H22" s="27" t="s">
        <v>13</v>
      </c>
      <c r="I22" s="27" t="s">
        <v>14</v>
      </c>
      <c r="J22" s="27" t="s">
        <v>15</v>
      </c>
      <c r="K22" s="27" t="s">
        <v>16</v>
      </c>
      <c r="L22" s="27" t="s">
        <v>12</v>
      </c>
      <c r="M22" s="27" t="s">
        <v>13</v>
      </c>
      <c r="N22" s="27" t="s">
        <v>14</v>
      </c>
      <c r="O22" s="27" t="s">
        <v>15</v>
      </c>
      <c r="P22" s="27" t="s">
        <v>16</v>
      </c>
      <c r="Q22" s="27" t="s">
        <v>12</v>
      </c>
      <c r="R22" s="27" t="s">
        <v>13</v>
      </c>
      <c r="S22" s="27" t="s">
        <v>14</v>
      </c>
      <c r="T22" s="27" t="s">
        <v>15</v>
      </c>
      <c r="U22" s="27" t="s">
        <v>16</v>
      </c>
      <c r="V22" s="27"/>
      <c r="W22" s="27" t="s">
        <v>17</v>
      </c>
      <c r="X22" s="27" t="s">
        <v>18</v>
      </c>
      <c r="Y22" s="27" t="s">
        <v>19</v>
      </c>
      <c r="Z22" s="27" t="s">
        <v>20</v>
      </c>
      <c r="AA22" s="27" t="s">
        <v>21</v>
      </c>
      <c r="AB22" s="27" t="s">
        <v>17</v>
      </c>
      <c r="AC22" s="27" t="s">
        <v>18</v>
      </c>
      <c r="AD22" s="27" t="s">
        <v>19</v>
      </c>
      <c r="AE22" s="27" t="s">
        <v>20</v>
      </c>
      <c r="AF22" s="27" t="s">
        <v>21</v>
      </c>
      <c r="AG22" s="27" t="s">
        <v>17</v>
      </c>
      <c r="AH22" s="27" t="s">
        <v>18</v>
      </c>
      <c r="AI22" s="27" t="s">
        <v>19</v>
      </c>
      <c r="AJ22" s="27" t="s">
        <v>20</v>
      </c>
      <c r="AK22" s="27" t="s">
        <v>21</v>
      </c>
      <c r="AL22" s="27" t="s">
        <v>17</v>
      </c>
      <c r="AM22" s="27" t="s">
        <v>18</v>
      </c>
      <c r="AN22" s="27" t="s">
        <v>19</v>
      </c>
      <c r="AO22" s="27" t="s">
        <v>20</v>
      </c>
      <c r="AP22" s="27" t="s">
        <v>21</v>
      </c>
    </row>
    <row r="23" spans="1:42" x14ac:dyDescent="0.25">
      <c r="A23" s="20" t="s">
        <v>23</v>
      </c>
      <c r="B23" s="21">
        <v>1810</v>
      </c>
      <c r="C23" s="21">
        <v>1826</v>
      </c>
      <c r="D23" s="21">
        <v>1813</v>
      </c>
      <c r="E23" s="21">
        <v>1808</v>
      </c>
      <c r="F23" s="21">
        <v>1808</v>
      </c>
      <c r="G23" s="22">
        <v>0.71882446386020649</v>
      </c>
      <c r="H23" s="22">
        <v>0.71579772638181105</v>
      </c>
      <c r="I23" s="22">
        <v>0.69945987654320985</v>
      </c>
      <c r="J23" s="22">
        <v>0.70023237800154914</v>
      </c>
      <c r="K23" s="22">
        <v>0.68097928436911492</v>
      </c>
      <c r="L23" s="21">
        <v>292</v>
      </c>
      <c r="M23" s="21">
        <v>322</v>
      </c>
      <c r="N23" s="21">
        <v>329</v>
      </c>
      <c r="O23" s="21">
        <v>357</v>
      </c>
      <c r="P23" s="21">
        <v>309</v>
      </c>
      <c r="Q23" s="22">
        <v>0.16132596685082873</v>
      </c>
      <c r="R23" s="22">
        <v>0.17634173055859803</v>
      </c>
      <c r="S23" s="22">
        <v>0.18146718146718147</v>
      </c>
      <c r="T23" s="22">
        <v>0.19745575221238937</v>
      </c>
      <c r="U23" s="22">
        <v>0.1709070796460177</v>
      </c>
      <c r="V23" s="21"/>
      <c r="W23" s="21">
        <v>1949</v>
      </c>
      <c r="X23" s="21">
        <v>2068</v>
      </c>
      <c r="Y23" s="21">
        <v>1976</v>
      </c>
      <c r="Z23" s="21">
        <v>1928</v>
      </c>
      <c r="AA23" s="21">
        <v>1826</v>
      </c>
      <c r="AB23" s="22">
        <v>0.94980506822612087</v>
      </c>
      <c r="AC23" s="22">
        <v>0.83792544570502436</v>
      </c>
      <c r="AD23" s="22">
        <v>0.77157360406091369</v>
      </c>
      <c r="AE23" s="22">
        <v>0.72590361445783136</v>
      </c>
      <c r="AF23" s="22">
        <v>0.71579772638181105</v>
      </c>
      <c r="AG23" s="21">
        <v>330</v>
      </c>
      <c r="AH23" s="21">
        <v>576</v>
      </c>
      <c r="AI23" s="21">
        <v>628</v>
      </c>
      <c r="AJ23" s="21">
        <v>114</v>
      </c>
      <c r="AK23" s="21">
        <v>322</v>
      </c>
      <c r="AL23" s="22">
        <v>0.16931759876859928</v>
      </c>
      <c r="AM23" s="22">
        <v>0.27852998065764023</v>
      </c>
      <c r="AN23" s="22">
        <v>0.31781376518218624</v>
      </c>
      <c r="AO23" s="22">
        <v>5.9128630705394189E-2</v>
      </c>
      <c r="AP23" s="22">
        <v>0.17634173055859803</v>
      </c>
    </row>
    <row r="24" spans="1:42" x14ac:dyDescent="0.25">
      <c r="A24" s="20" t="s">
        <v>35</v>
      </c>
      <c r="B24" s="21">
        <v>76</v>
      </c>
      <c r="C24" s="21">
        <v>73</v>
      </c>
      <c r="D24" s="21">
        <v>73</v>
      </c>
      <c r="E24" s="21">
        <v>72</v>
      </c>
      <c r="F24" s="21">
        <v>74</v>
      </c>
      <c r="G24" s="22">
        <v>3.0182684670373314E-2</v>
      </c>
      <c r="H24" s="22">
        <v>2.8616228929831438E-2</v>
      </c>
      <c r="I24" s="22">
        <v>2.816358024691358E-2</v>
      </c>
      <c r="J24" s="22">
        <v>2.7885360185902403E-2</v>
      </c>
      <c r="K24" s="22">
        <v>2.7871939736346517E-2</v>
      </c>
      <c r="L24" s="21">
        <v>70</v>
      </c>
      <c r="M24" s="21">
        <v>67</v>
      </c>
      <c r="N24" s="21">
        <v>68</v>
      </c>
      <c r="O24" s="21">
        <v>67</v>
      </c>
      <c r="P24" s="21">
        <v>69</v>
      </c>
      <c r="Q24" s="22">
        <v>0.92105263157894735</v>
      </c>
      <c r="R24" s="22">
        <v>0.9178082191780822</v>
      </c>
      <c r="S24" s="22">
        <v>0.93150684931506844</v>
      </c>
      <c r="T24" s="22">
        <v>0.93055555555555558</v>
      </c>
      <c r="U24" s="22">
        <v>0.93243243243243246</v>
      </c>
      <c r="V24" s="21"/>
      <c r="W24" s="21">
        <v>103</v>
      </c>
      <c r="X24" s="21">
        <v>72</v>
      </c>
      <c r="Y24" s="21">
        <v>60</v>
      </c>
      <c r="Z24" s="21">
        <v>82</v>
      </c>
      <c r="AA24" s="21">
        <v>73</v>
      </c>
      <c r="AB24" s="22">
        <v>5.019493177387914E-2</v>
      </c>
      <c r="AC24" s="22">
        <v>2.9173419773095625E-2</v>
      </c>
      <c r="AD24" s="22">
        <v>2.3428348301444749E-2</v>
      </c>
      <c r="AE24" s="22">
        <v>3.0873493975903613E-2</v>
      </c>
      <c r="AF24" s="22">
        <v>2.8616228929831438E-2</v>
      </c>
      <c r="AG24" s="21">
        <v>99</v>
      </c>
      <c r="AH24" s="21">
        <v>68</v>
      </c>
      <c r="AI24" s="21">
        <v>56</v>
      </c>
      <c r="AJ24" s="21">
        <v>76</v>
      </c>
      <c r="AK24" s="21">
        <v>67</v>
      </c>
      <c r="AL24" s="22">
        <v>0.96116504854368934</v>
      </c>
      <c r="AM24" s="22">
        <v>0.94444444444444442</v>
      </c>
      <c r="AN24" s="22">
        <v>0.93333333333333335</v>
      </c>
      <c r="AO24" s="22">
        <v>0.92682926829268297</v>
      </c>
      <c r="AP24" s="22">
        <v>0.9178082191780822</v>
      </c>
    </row>
    <row r="25" spans="1:42" x14ac:dyDescent="0.25">
      <c r="A25" s="20" t="s">
        <v>48</v>
      </c>
      <c r="B25" s="21">
        <v>632</v>
      </c>
      <c r="C25" s="21">
        <v>652</v>
      </c>
      <c r="D25" s="21">
        <v>706</v>
      </c>
      <c r="E25" s="21">
        <v>702</v>
      </c>
      <c r="F25" s="21">
        <v>773</v>
      </c>
      <c r="G25" s="22">
        <v>0.25099285146942019</v>
      </c>
      <c r="H25" s="22">
        <v>0.25558604468835749</v>
      </c>
      <c r="I25" s="22">
        <v>0.27237654320987653</v>
      </c>
      <c r="J25" s="22">
        <v>0.27188226181254843</v>
      </c>
      <c r="K25" s="22">
        <v>0.29114877589453858</v>
      </c>
      <c r="L25" s="21">
        <v>594</v>
      </c>
      <c r="M25" s="21">
        <v>615</v>
      </c>
      <c r="N25" s="21">
        <v>675</v>
      </c>
      <c r="O25" s="21">
        <v>662</v>
      </c>
      <c r="P25" s="21">
        <v>701</v>
      </c>
      <c r="Q25" s="22">
        <v>0.939873417721519</v>
      </c>
      <c r="R25" s="22">
        <v>0.94325153374233128</v>
      </c>
      <c r="S25" s="22">
        <v>0.9560906515580736</v>
      </c>
      <c r="T25" s="22">
        <v>0.94301994301994307</v>
      </c>
      <c r="U25" s="22">
        <v>0.90685640362225095</v>
      </c>
      <c r="V25" s="21"/>
      <c r="W25" s="21">
        <v>0</v>
      </c>
      <c r="X25" s="21">
        <v>328</v>
      </c>
      <c r="Y25" s="21">
        <v>525</v>
      </c>
      <c r="Z25" s="21">
        <v>646</v>
      </c>
      <c r="AA25" s="21">
        <v>652</v>
      </c>
      <c r="AB25" s="22">
        <v>0</v>
      </c>
      <c r="AC25" s="22">
        <v>0.13290113452188007</v>
      </c>
      <c r="AD25" s="22">
        <v>0.20499804763764154</v>
      </c>
      <c r="AE25" s="22">
        <v>0.24322289156626506</v>
      </c>
      <c r="AF25" s="22">
        <v>0.25558604468835749</v>
      </c>
      <c r="AG25" s="21">
        <v>0</v>
      </c>
      <c r="AH25" s="21">
        <v>322</v>
      </c>
      <c r="AI25" s="21">
        <v>513</v>
      </c>
      <c r="AJ25" s="21">
        <v>619</v>
      </c>
      <c r="AK25" s="21">
        <v>615</v>
      </c>
      <c r="AL25" s="22">
        <v>0</v>
      </c>
      <c r="AM25" s="22">
        <v>0.98170731707317072</v>
      </c>
      <c r="AN25" s="22">
        <v>0.97714285714285709</v>
      </c>
      <c r="AO25" s="22">
        <v>0.95820433436532504</v>
      </c>
      <c r="AP25" s="22">
        <v>0.94325153374233128</v>
      </c>
    </row>
    <row r="26" spans="1:42" x14ac:dyDescent="0.25">
      <c r="A26" s="28" t="s">
        <v>70</v>
      </c>
      <c r="B26" s="29">
        <v>2518</v>
      </c>
      <c r="C26" s="29">
        <v>2551</v>
      </c>
      <c r="D26" s="29">
        <v>2592</v>
      </c>
      <c r="E26" s="29">
        <v>2582</v>
      </c>
      <c r="F26" s="29">
        <v>2655</v>
      </c>
      <c r="G26" s="24">
        <v>1</v>
      </c>
      <c r="H26" s="24">
        <v>1</v>
      </c>
      <c r="I26" s="24">
        <v>1</v>
      </c>
      <c r="J26" s="24">
        <v>1</v>
      </c>
      <c r="K26" s="24">
        <v>1</v>
      </c>
      <c r="L26" s="29">
        <v>956</v>
      </c>
      <c r="M26" s="29">
        <v>1004</v>
      </c>
      <c r="N26" s="29">
        <v>1072</v>
      </c>
      <c r="O26" s="29">
        <v>1086</v>
      </c>
      <c r="P26" s="29">
        <v>1079</v>
      </c>
      <c r="Q26" s="24">
        <v>0.37966640190627482</v>
      </c>
      <c r="R26" s="24">
        <v>0.39357114856918857</v>
      </c>
      <c r="S26" s="24">
        <v>0.41358024691358025</v>
      </c>
      <c r="T26" s="24">
        <v>0.42060418280402789</v>
      </c>
      <c r="U26" s="24">
        <v>0.40640301318267419</v>
      </c>
      <c r="V26" s="29"/>
      <c r="W26" s="29">
        <v>2052</v>
      </c>
      <c r="X26" s="29">
        <v>2468</v>
      </c>
      <c r="Y26" s="29">
        <v>2561</v>
      </c>
      <c r="Z26" s="29">
        <v>2656</v>
      </c>
      <c r="AA26" s="29">
        <v>2551</v>
      </c>
      <c r="AB26" s="24">
        <v>1</v>
      </c>
      <c r="AC26" s="24">
        <v>1</v>
      </c>
      <c r="AD26" s="24">
        <v>1</v>
      </c>
      <c r="AE26" s="24">
        <v>1</v>
      </c>
      <c r="AF26" s="24">
        <v>1</v>
      </c>
      <c r="AG26" s="29">
        <v>429</v>
      </c>
      <c r="AH26" s="29">
        <v>966</v>
      </c>
      <c r="AI26" s="29">
        <v>1197</v>
      </c>
      <c r="AJ26" s="29">
        <v>809</v>
      </c>
      <c r="AK26" s="29">
        <v>1004</v>
      </c>
      <c r="AL26" s="24">
        <v>0.20906432748538012</v>
      </c>
      <c r="AM26" s="24">
        <v>0.39141004862236628</v>
      </c>
      <c r="AN26" s="24">
        <v>0.46739554861382271</v>
      </c>
      <c r="AO26" s="24">
        <v>0.30459337349397592</v>
      </c>
      <c r="AP26" s="24">
        <v>0.39357114856918857</v>
      </c>
    </row>
    <row r="27" spans="1:42" x14ac:dyDescent="0.25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2"/>
      <c r="AC27" s="22"/>
      <c r="AD27" s="22"/>
      <c r="AE27" s="22"/>
      <c r="AF27" s="22"/>
      <c r="AG27" s="21"/>
      <c r="AH27" s="21"/>
      <c r="AI27" s="21"/>
      <c r="AJ27" s="21"/>
      <c r="AK27" s="21"/>
      <c r="AL27" s="22"/>
      <c r="AM27" s="22"/>
      <c r="AN27" s="22"/>
      <c r="AO27" s="22"/>
      <c r="AP27" s="22"/>
    </row>
    <row r="28" spans="1:42" x14ac:dyDescent="0.25">
      <c r="A28" s="30" t="s">
        <v>71</v>
      </c>
      <c r="B28" s="27" t="s">
        <v>12</v>
      </c>
      <c r="C28" s="27" t="s">
        <v>13</v>
      </c>
      <c r="D28" s="27" t="s">
        <v>14</v>
      </c>
      <c r="E28" s="27" t="s">
        <v>15</v>
      </c>
      <c r="F28" s="27" t="s">
        <v>16</v>
      </c>
      <c r="G28" s="27" t="s">
        <v>12</v>
      </c>
      <c r="H28" s="27" t="s">
        <v>13</v>
      </c>
      <c r="I28" s="27" t="s">
        <v>14</v>
      </c>
      <c r="J28" s="27" t="s">
        <v>15</v>
      </c>
      <c r="K28" s="27" t="s">
        <v>16</v>
      </c>
      <c r="L28" s="27" t="s">
        <v>12</v>
      </c>
      <c r="M28" s="27" t="s">
        <v>13</v>
      </c>
      <c r="N28" s="27" t="s">
        <v>14</v>
      </c>
      <c r="O28" s="27" t="s">
        <v>15</v>
      </c>
      <c r="P28" s="27" t="s">
        <v>16</v>
      </c>
      <c r="Q28" s="27" t="s">
        <v>12</v>
      </c>
      <c r="R28" s="27" t="s">
        <v>13</v>
      </c>
      <c r="S28" s="27" t="s">
        <v>14</v>
      </c>
      <c r="T28" s="27" t="s">
        <v>15</v>
      </c>
      <c r="U28" s="27" t="s">
        <v>16</v>
      </c>
      <c r="V28" s="27"/>
      <c r="W28" s="27" t="s">
        <v>17</v>
      </c>
      <c r="X28" s="27" t="s">
        <v>18</v>
      </c>
      <c r="Y28" s="27" t="s">
        <v>19</v>
      </c>
      <c r="Z28" s="27" t="s">
        <v>20</v>
      </c>
      <c r="AA28" s="27" t="s">
        <v>21</v>
      </c>
      <c r="AB28" s="27" t="s">
        <v>17</v>
      </c>
      <c r="AC28" s="27" t="s">
        <v>18</v>
      </c>
      <c r="AD28" s="27" t="s">
        <v>19</v>
      </c>
      <c r="AE28" s="27" t="s">
        <v>20</v>
      </c>
      <c r="AF28" s="27" t="s">
        <v>21</v>
      </c>
      <c r="AG28" s="27" t="s">
        <v>17</v>
      </c>
      <c r="AH28" s="27" t="s">
        <v>18</v>
      </c>
      <c r="AI28" s="27" t="s">
        <v>19</v>
      </c>
      <c r="AJ28" s="27" t="s">
        <v>20</v>
      </c>
      <c r="AK28" s="27" t="s">
        <v>21</v>
      </c>
      <c r="AL28" s="27" t="s">
        <v>17</v>
      </c>
      <c r="AM28" s="27" t="s">
        <v>18</v>
      </c>
      <c r="AN28" s="27" t="s">
        <v>19</v>
      </c>
      <c r="AO28" s="27" t="s">
        <v>20</v>
      </c>
      <c r="AP28" s="27" t="s">
        <v>21</v>
      </c>
    </row>
    <row r="29" spans="1:42" x14ac:dyDescent="0.25">
      <c r="A29" s="20" t="s">
        <v>23</v>
      </c>
      <c r="B29" s="21">
        <v>620</v>
      </c>
      <c r="C29" s="21">
        <v>620</v>
      </c>
      <c r="D29" s="21">
        <v>416</v>
      </c>
      <c r="E29" s="21">
        <v>617</v>
      </c>
      <c r="F29" s="21">
        <v>599</v>
      </c>
      <c r="G29" s="22">
        <v>1.3919759322871062E-2</v>
      </c>
      <c r="H29" s="22">
        <v>1.3688045038083674E-2</v>
      </c>
      <c r="I29" s="22">
        <v>8.9928446356384705E-3</v>
      </c>
      <c r="J29" s="22">
        <v>1.2806941071465638E-2</v>
      </c>
      <c r="K29" s="22">
        <v>1.2220250117306241E-2</v>
      </c>
      <c r="L29" s="21">
        <v>70</v>
      </c>
      <c r="M29" s="21">
        <v>71</v>
      </c>
      <c r="N29" s="21">
        <v>70</v>
      </c>
      <c r="O29" s="21">
        <v>74</v>
      </c>
      <c r="P29" s="21">
        <v>57</v>
      </c>
      <c r="Q29" s="22">
        <v>0.11290322580645161</v>
      </c>
      <c r="R29" s="22">
        <v>0.11451612903225807</v>
      </c>
      <c r="S29" s="22">
        <v>0.16826923076923078</v>
      </c>
      <c r="T29" s="22">
        <v>0.11993517017828201</v>
      </c>
      <c r="U29" s="22">
        <v>9.515859766277128E-2</v>
      </c>
      <c r="V29" s="21"/>
      <c r="W29" s="21">
        <v>818</v>
      </c>
      <c r="X29" s="21">
        <v>770</v>
      </c>
      <c r="Y29" s="21">
        <v>683</v>
      </c>
      <c r="Z29" s="21">
        <v>662</v>
      </c>
      <c r="AA29" s="21">
        <v>620</v>
      </c>
      <c r="AB29" s="22">
        <v>2.1387857553731109E-2</v>
      </c>
      <c r="AC29" s="22">
        <v>1.9645864162882075E-2</v>
      </c>
      <c r="AD29" s="22">
        <v>1.7176772376329755E-2</v>
      </c>
      <c r="AE29" s="22">
        <v>1.5830125062770511E-2</v>
      </c>
      <c r="AF29" s="22">
        <v>1.3688045038083674E-2</v>
      </c>
      <c r="AG29" s="21">
        <v>188</v>
      </c>
      <c r="AH29" s="21">
        <v>245</v>
      </c>
      <c r="AI29" s="21">
        <v>218</v>
      </c>
      <c r="AJ29" s="21">
        <v>40</v>
      </c>
      <c r="AK29" s="21">
        <v>71</v>
      </c>
      <c r="AL29" s="22">
        <v>0.22982885085574573</v>
      </c>
      <c r="AM29" s="22">
        <v>0.31818181818181818</v>
      </c>
      <c r="AN29" s="22">
        <v>0.31918008784773061</v>
      </c>
      <c r="AO29" s="22">
        <v>6.0422960725075532E-2</v>
      </c>
      <c r="AP29" s="22">
        <v>0.11451612903225807</v>
      </c>
    </row>
    <row r="30" spans="1:42" x14ac:dyDescent="0.25">
      <c r="A30" s="20" t="s">
        <v>24</v>
      </c>
      <c r="B30" s="21">
        <v>18136</v>
      </c>
      <c r="C30" s="21">
        <v>17796</v>
      </c>
      <c r="D30" s="21">
        <v>17697</v>
      </c>
      <c r="E30" s="21">
        <v>17540</v>
      </c>
      <c r="F30" s="21">
        <v>18004</v>
      </c>
      <c r="G30" s="22">
        <v>0.4071754114186929</v>
      </c>
      <c r="H30" s="22">
        <v>0.39289104757699528</v>
      </c>
      <c r="I30" s="22">
        <v>0.38256339306945675</v>
      </c>
      <c r="J30" s="22">
        <v>0.36407414326338294</v>
      </c>
      <c r="K30" s="22">
        <v>0.36730114042067036</v>
      </c>
      <c r="L30" s="21">
        <v>13423</v>
      </c>
      <c r="M30" s="21">
        <v>13358</v>
      </c>
      <c r="N30" s="21">
        <v>13429</v>
      </c>
      <c r="O30" s="21">
        <v>13483</v>
      </c>
      <c r="P30" s="21">
        <v>13467</v>
      </c>
      <c r="Q30" s="22">
        <v>0.74013012792236432</v>
      </c>
      <c r="R30" s="22">
        <v>0.75061811643065857</v>
      </c>
      <c r="S30" s="22">
        <v>0.75882918008702038</v>
      </c>
      <c r="T30" s="22">
        <v>0.76870011402508553</v>
      </c>
      <c r="U30" s="22">
        <v>0.74800044434570101</v>
      </c>
      <c r="V30" s="21"/>
      <c r="W30" s="21">
        <v>21072</v>
      </c>
      <c r="X30" s="21">
        <v>20856</v>
      </c>
      <c r="Y30" s="21">
        <v>20126</v>
      </c>
      <c r="Z30" s="21">
        <v>18368</v>
      </c>
      <c r="AA30" s="21">
        <v>17796</v>
      </c>
      <c r="AB30" s="22">
        <v>0.55095957747215396</v>
      </c>
      <c r="AC30" s="22">
        <v>0.53212226361177728</v>
      </c>
      <c r="AD30" s="22">
        <v>0.50614893242461589</v>
      </c>
      <c r="AE30" s="22">
        <v>0.4392261890528229</v>
      </c>
      <c r="AF30" s="22">
        <v>0.39289104757699528</v>
      </c>
      <c r="AG30" s="21">
        <v>13906</v>
      </c>
      <c r="AH30" s="21">
        <v>14452</v>
      </c>
      <c r="AI30" s="21">
        <v>14014</v>
      </c>
      <c r="AJ30" s="21">
        <v>13085</v>
      </c>
      <c r="AK30" s="21">
        <v>13358</v>
      </c>
      <c r="AL30" s="22">
        <v>0.65992786636294609</v>
      </c>
      <c r="AM30" s="22">
        <v>0.6929420790180284</v>
      </c>
      <c r="AN30" s="22">
        <v>0.6963132266719666</v>
      </c>
      <c r="AO30" s="22">
        <v>0.71238022648083621</v>
      </c>
      <c r="AP30" s="22">
        <v>0.75061811643065857</v>
      </c>
    </row>
    <row r="31" spans="1:42" x14ac:dyDescent="0.25">
      <c r="A31" s="20" t="s">
        <v>25</v>
      </c>
      <c r="B31" s="21">
        <v>16</v>
      </c>
      <c r="C31" s="21">
        <v>32</v>
      </c>
      <c r="D31" s="21">
        <v>58</v>
      </c>
      <c r="E31" s="21">
        <v>71</v>
      </c>
      <c r="F31" s="21">
        <v>95</v>
      </c>
      <c r="G31" s="22">
        <v>3.5921959542893064E-4</v>
      </c>
      <c r="H31" s="22">
        <v>7.0647974390109284E-4</v>
      </c>
      <c r="I31" s="22">
        <v>1.2538100693919021E-3</v>
      </c>
      <c r="J31" s="22">
        <v>1.4737322788882662E-3</v>
      </c>
      <c r="K31" s="22">
        <v>1.9381031070852968E-3</v>
      </c>
      <c r="L31" s="21">
        <v>4</v>
      </c>
      <c r="M31" s="21">
        <v>14</v>
      </c>
      <c r="N31" s="21">
        <v>40</v>
      </c>
      <c r="O31" s="21">
        <v>53</v>
      </c>
      <c r="P31" s="21">
        <v>60</v>
      </c>
      <c r="Q31" s="22">
        <v>0.25</v>
      </c>
      <c r="R31" s="22">
        <v>0.4375</v>
      </c>
      <c r="S31" s="22">
        <v>0.68965517241379315</v>
      </c>
      <c r="T31" s="22">
        <v>0.74647887323943662</v>
      </c>
      <c r="U31" s="22">
        <v>0.63157894736842102</v>
      </c>
      <c r="V31" s="21"/>
      <c r="W31" s="21">
        <v>0</v>
      </c>
      <c r="X31" s="21">
        <v>0</v>
      </c>
      <c r="Y31" s="21">
        <v>0</v>
      </c>
      <c r="Z31" s="21">
        <v>0</v>
      </c>
      <c r="AA31" s="21">
        <v>32</v>
      </c>
      <c r="AB31" s="22">
        <v>0</v>
      </c>
      <c r="AC31" s="22">
        <v>0</v>
      </c>
      <c r="AD31" s="22">
        <v>0</v>
      </c>
      <c r="AE31" s="22">
        <v>0</v>
      </c>
      <c r="AF31" s="22">
        <v>7.0647974390109284E-4</v>
      </c>
      <c r="AG31" s="21">
        <v>0</v>
      </c>
      <c r="AH31" s="21">
        <v>0</v>
      </c>
      <c r="AI31" s="21">
        <v>0</v>
      </c>
      <c r="AJ31" s="21">
        <v>0</v>
      </c>
      <c r="AK31" s="21">
        <v>14</v>
      </c>
      <c r="AL31" s="22">
        <v>0</v>
      </c>
      <c r="AM31" s="22">
        <v>0</v>
      </c>
      <c r="AN31" s="22">
        <v>0</v>
      </c>
      <c r="AO31" s="22">
        <v>0</v>
      </c>
      <c r="AP31" s="22">
        <v>0.4375</v>
      </c>
    </row>
    <row r="32" spans="1:42" x14ac:dyDescent="0.25">
      <c r="A32" s="20" t="s">
        <v>26</v>
      </c>
      <c r="B32" s="21">
        <v>201</v>
      </c>
      <c r="C32" s="21">
        <v>166</v>
      </c>
      <c r="D32" s="21">
        <v>241</v>
      </c>
      <c r="E32" s="21">
        <v>278</v>
      </c>
      <c r="F32" s="21">
        <v>343</v>
      </c>
      <c r="G32" s="22">
        <v>4.512696167575941E-3</v>
      </c>
      <c r="H32" s="22">
        <v>3.664863671486919E-3</v>
      </c>
      <c r="I32" s="22">
        <v>5.2097970124732485E-3</v>
      </c>
      <c r="J32" s="22">
        <v>5.7703883595906762E-3</v>
      </c>
      <c r="K32" s="22">
        <v>6.9975722708448089E-3</v>
      </c>
      <c r="L32" s="21">
        <v>198</v>
      </c>
      <c r="M32" s="21">
        <v>164</v>
      </c>
      <c r="N32" s="21">
        <v>235</v>
      </c>
      <c r="O32" s="21">
        <v>248</v>
      </c>
      <c r="P32" s="21">
        <v>282</v>
      </c>
      <c r="Q32" s="22">
        <v>0.9850746268656716</v>
      </c>
      <c r="R32" s="22">
        <v>0.98795180722891562</v>
      </c>
      <c r="S32" s="22">
        <v>0.975103734439834</v>
      </c>
      <c r="T32" s="22">
        <v>0.8920863309352518</v>
      </c>
      <c r="U32" s="22">
        <v>0.82215743440233235</v>
      </c>
      <c r="V32" s="21"/>
      <c r="W32" s="21">
        <v>0</v>
      </c>
      <c r="X32" s="21">
        <v>0</v>
      </c>
      <c r="Y32" s="21">
        <v>0</v>
      </c>
      <c r="Z32" s="21">
        <v>115</v>
      </c>
      <c r="AA32" s="21">
        <v>166</v>
      </c>
      <c r="AB32" s="22">
        <v>0</v>
      </c>
      <c r="AC32" s="22">
        <v>0</v>
      </c>
      <c r="AD32" s="22">
        <v>0</v>
      </c>
      <c r="AE32" s="22">
        <v>2.7499461967048469E-3</v>
      </c>
      <c r="AF32" s="22">
        <v>3.664863671486919E-3</v>
      </c>
      <c r="AG32" s="21">
        <v>0</v>
      </c>
      <c r="AH32" s="21">
        <v>0</v>
      </c>
      <c r="AI32" s="21">
        <v>0</v>
      </c>
      <c r="AJ32" s="21">
        <v>114</v>
      </c>
      <c r="AK32" s="21">
        <v>164</v>
      </c>
      <c r="AL32" s="22">
        <v>0</v>
      </c>
      <c r="AM32" s="22">
        <v>0</v>
      </c>
      <c r="AN32" s="22">
        <v>0</v>
      </c>
      <c r="AO32" s="22">
        <v>0.99130434782608701</v>
      </c>
      <c r="AP32" s="22">
        <v>0.98795180722891562</v>
      </c>
    </row>
    <row r="33" spans="1:42" x14ac:dyDescent="0.25">
      <c r="A33" s="20" t="s">
        <v>30</v>
      </c>
      <c r="B33" s="21">
        <v>1981</v>
      </c>
      <c r="C33" s="21">
        <v>2165</v>
      </c>
      <c r="D33" s="21">
        <v>2212</v>
      </c>
      <c r="E33" s="21">
        <v>3152</v>
      </c>
      <c r="F33" s="21">
        <v>2487</v>
      </c>
      <c r="G33" s="22">
        <v>4.4475876159044476E-2</v>
      </c>
      <c r="H33" s="22">
        <v>4.7797770173308315E-2</v>
      </c>
      <c r="I33" s="22">
        <v>4.7817721956808404E-2</v>
      </c>
      <c r="J33" s="22">
        <v>6.542541046557486E-2</v>
      </c>
      <c r="K33" s="22">
        <v>5.07374992349593E-2</v>
      </c>
      <c r="L33" s="21">
        <v>1885</v>
      </c>
      <c r="M33" s="21">
        <v>2067</v>
      </c>
      <c r="N33" s="21">
        <v>2100</v>
      </c>
      <c r="O33" s="21">
        <v>2946</v>
      </c>
      <c r="P33" s="21">
        <v>2274</v>
      </c>
      <c r="Q33" s="22">
        <v>0.9515396264512872</v>
      </c>
      <c r="R33" s="22">
        <v>0.95473441108545032</v>
      </c>
      <c r="S33" s="22">
        <v>0.94936708860759489</v>
      </c>
      <c r="T33" s="22">
        <v>0.93464467005076146</v>
      </c>
      <c r="U33" s="22">
        <v>0.91435464414957779</v>
      </c>
      <c r="V33" s="21"/>
      <c r="W33" s="21">
        <v>0</v>
      </c>
      <c r="X33" s="21">
        <v>642</v>
      </c>
      <c r="Y33" s="21">
        <v>968</v>
      </c>
      <c r="Z33" s="21">
        <v>1697</v>
      </c>
      <c r="AA33" s="21">
        <v>2165</v>
      </c>
      <c r="AB33" s="22">
        <v>0</v>
      </c>
      <c r="AC33" s="22">
        <v>1.6380058172169209E-2</v>
      </c>
      <c r="AD33" s="22">
        <v>2.4344239619747E-2</v>
      </c>
      <c r="AE33" s="22">
        <v>4.0579640833114133E-2</v>
      </c>
      <c r="AF33" s="22">
        <v>4.7797770173308315E-2</v>
      </c>
      <c r="AG33" s="21">
        <v>0</v>
      </c>
      <c r="AH33" s="21">
        <v>642</v>
      </c>
      <c r="AI33" s="21">
        <v>934</v>
      </c>
      <c r="AJ33" s="21">
        <v>1630</v>
      </c>
      <c r="AK33" s="21">
        <v>2067</v>
      </c>
      <c r="AL33" s="22">
        <v>0</v>
      </c>
      <c r="AM33" s="22">
        <v>1</v>
      </c>
      <c r="AN33" s="22">
        <v>0.96487603305785119</v>
      </c>
      <c r="AO33" s="22">
        <v>0.96051856216853271</v>
      </c>
      <c r="AP33" s="22">
        <v>0.95473441108545032</v>
      </c>
    </row>
    <row r="34" spans="1:42" x14ac:dyDescent="0.25">
      <c r="A34" s="20" t="s">
        <v>35</v>
      </c>
      <c r="B34" s="21">
        <v>5795</v>
      </c>
      <c r="C34" s="21">
        <v>5546</v>
      </c>
      <c r="D34" s="21">
        <v>6027</v>
      </c>
      <c r="E34" s="21">
        <v>6713</v>
      </c>
      <c r="F34" s="21">
        <v>6342</v>
      </c>
      <c r="G34" s="22">
        <v>0.13010484721941581</v>
      </c>
      <c r="H34" s="22">
        <v>0.12244177061485816</v>
      </c>
      <c r="I34" s="22">
        <v>0.13028816014181024</v>
      </c>
      <c r="J34" s="22">
        <v>0.13934034912925256</v>
      </c>
      <c r="K34" s="22">
        <v>0.12938368321194688</v>
      </c>
      <c r="L34" s="21">
        <v>4423</v>
      </c>
      <c r="M34" s="21">
        <v>4352</v>
      </c>
      <c r="N34" s="21">
        <v>4732</v>
      </c>
      <c r="O34" s="21">
        <v>4842</v>
      </c>
      <c r="P34" s="21">
        <v>4843</v>
      </c>
      <c r="Q34" s="22">
        <v>0.76324417601380501</v>
      </c>
      <c r="R34" s="22">
        <v>0.78470970068517854</v>
      </c>
      <c r="S34" s="22">
        <v>0.78513356562137049</v>
      </c>
      <c r="T34" s="22">
        <v>0.72128705496797263</v>
      </c>
      <c r="U34" s="22">
        <v>0.76363923052664773</v>
      </c>
      <c r="V34" s="21"/>
      <c r="W34" s="21">
        <v>4993</v>
      </c>
      <c r="X34" s="21">
        <v>4498</v>
      </c>
      <c r="Y34" s="21">
        <v>4544</v>
      </c>
      <c r="Z34" s="21">
        <v>5398</v>
      </c>
      <c r="AA34" s="21">
        <v>5546</v>
      </c>
      <c r="AB34" s="22">
        <v>0.13054959995816556</v>
      </c>
      <c r="AC34" s="22">
        <v>0.11476246364239424</v>
      </c>
      <c r="AD34" s="22">
        <v>0.11427709176872973</v>
      </c>
      <c r="AE34" s="22">
        <v>0.12908008321576317</v>
      </c>
      <c r="AF34" s="22">
        <v>0.12244177061485816</v>
      </c>
      <c r="AG34" s="21">
        <v>2783</v>
      </c>
      <c r="AH34" s="21">
        <v>3126</v>
      </c>
      <c r="AI34" s="21">
        <v>3395</v>
      </c>
      <c r="AJ34" s="21">
        <v>4197</v>
      </c>
      <c r="AK34" s="21">
        <v>4352</v>
      </c>
      <c r="AL34" s="22">
        <v>0.5573803324654516</v>
      </c>
      <c r="AM34" s="22">
        <v>0.69497554468652734</v>
      </c>
      <c r="AN34" s="22">
        <v>0.74713908450704225</v>
      </c>
      <c r="AO34" s="22">
        <v>0.77751018895887369</v>
      </c>
      <c r="AP34" s="22">
        <v>0.78470970068517854</v>
      </c>
    </row>
    <row r="35" spans="1:42" x14ac:dyDescent="0.25">
      <c r="A35" s="20" t="s">
        <v>42</v>
      </c>
      <c r="B35" s="21">
        <v>6</v>
      </c>
      <c r="C35" s="21">
        <v>5</v>
      </c>
      <c r="D35" s="21">
        <v>5</v>
      </c>
      <c r="E35" s="21">
        <v>5</v>
      </c>
      <c r="F35" s="21">
        <v>21</v>
      </c>
      <c r="G35" s="22">
        <v>1.34707348285849E-4</v>
      </c>
      <c r="H35" s="22">
        <v>1.1038745998454576E-4</v>
      </c>
      <c r="I35" s="22">
        <v>1.0808707494757776E-4</v>
      </c>
      <c r="J35" s="22">
        <v>1.0378396330199058E-4</v>
      </c>
      <c r="K35" s="22">
        <v>4.2842279209253932E-4</v>
      </c>
      <c r="L35" s="21">
        <v>3</v>
      </c>
      <c r="M35" s="21">
        <v>2</v>
      </c>
      <c r="N35" s="21">
        <v>2</v>
      </c>
      <c r="O35" s="21">
        <v>2</v>
      </c>
      <c r="P35" s="21">
        <v>18</v>
      </c>
      <c r="Q35" s="22">
        <v>0.5</v>
      </c>
      <c r="R35" s="22">
        <v>0.4</v>
      </c>
      <c r="S35" s="22">
        <v>0.4</v>
      </c>
      <c r="T35" s="22">
        <v>0.4</v>
      </c>
      <c r="U35" s="22">
        <v>0.8571428571428571</v>
      </c>
      <c r="V35" s="21"/>
      <c r="W35" s="21">
        <v>13</v>
      </c>
      <c r="X35" s="21">
        <v>19</v>
      </c>
      <c r="Y35" s="21">
        <v>11</v>
      </c>
      <c r="Z35" s="21">
        <v>7</v>
      </c>
      <c r="AA35" s="21">
        <v>5</v>
      </c>
      <c r="AB35" s="22">
        <v>3.3990482664853839E-4</v>
      </c>
      <c r="AC35" s="22">
        <v>4.847680767464408E-4</v>
      </c>
      <c r="AD35" s="22">
        <v>2.7663908658803413E-4</v>
      </c>
      <c r="AE35" s="22">
        <v>1.6738802936464286E-4</v>
      </c>
      <c r="AF35" s="22">
        <v>1.1038745998454576E-4</v>
      </c>
      <c r="AG35" s="21">
        <v>12</v>
      </c>
      <c r="AH35" s="21">
        <v>13</v>
      </c>
      <c r="AI35" s="21">
        <v>7</v>
      </c>
      <c r="AJ35" s="21">
        <v>4</v>
      </c>
      <c r="AK35" s="21">
        <v>2</v>
      </c>
      <c r="AL35" s="22">
        <v>0.92307692307692313</v>
      </c>
      <c r="AM35" s="22">
        <v>0.68421052631578949</v>
      </c>
      <c r="AN35" s="22">
        <v>0.63636363636363635</v>
      </c>
      <c r="AO35" s="22">
        <v>0.5714285714285714</v>
      </c>
      <c r="AP35" s="22">
        <v>0.4</v>
      </c>
    </row>
    <row r="36" spans="1:42" x14ac:dyDescent="0.25">
      <c r="A36" s="20" t="s">
        <v>48</v>
      </c>
      <c r="B36" s="21">
        <v>17654</v>
      </c>
      <c r="C36" s="21">
        <v>18829</v>
      </c>
      <c r="D36" s="21">
        <v>19470</v>
      </c>
      <c r="E36" s="21">
        <v>19672</v>
      </c>
      <c r="F36" s="21">
        <v>20992</v>
      </c>
      <c r="G36" s="22">
        <v>0.39635392110639633</v>
      </c>
      <c r="H36" s="22">
        <v>0.41569709680980238</v>
      </c>
      <c r="I36" s="22">
        <v>0.42089106984586783</v>
      </c>
      <c r="J36" s="22">
        <v>0.40832762521535171</v>
      </c>
      <c r="K36" s="22">
        <v>0.42825958340983739</v>
      </c>
      <c r="L36" s="21">
        <v>15682</v>
      </c>
      <c r="M36" s="21">
        <v>16724</v>
      </c>
      <c r="N36" s="21">
        <v>17029</v>
      </c>
      <c r="O36" s="21">
        <v>16985</v>
      </c>
      <c r="P36" s="21">
        <v>17361</v>
      </c>
      <c r="Q36" s="22">
        <v>0.88829726974056866</v>
      </c>
      <c r="R36" s="22">
        <v>0.88820436560624572</v>
      </c>
      <c r="S36" s="22">
        <v>0.87462763225475093</v>
      </c>
      <c r="T36" s="22">
        <v>0.86340992273281825</v>
      </c>
      <c r="U36" s="22">
        <v>0.82702934451219512</v>
      </c>
      <c r="V36" s="21"/>
      <c r="W36" s="21">
        <v>11350</v>
      </c>
      <c r="X36" s="21">
        <v>12409</v>
      </c>
      <c r="Y36" s="21">
        <v>13427</v>
      </c>
      <c r="Z36" s="21">
        <v>15454</v>
      </c>
      <c r="AA36" s="21">
        <v>18829</v>
      </c>
      <c r="AB36" s="22">
        <v>0.29676306018930082</v>
      </c>
      <c r="AC36" s="22">
        <v>0.31660458233403072</v>
      </c>
      <c r="AD36" s="22">
        <v>0.33767572869250306</v>
      </c>
      <c r="AE36" s="22">
        <v>0.36954494368588442</v>
      </c>
      <c r="AF36" s="22">
        <v>0.41569709680980238</v>
      </c>
      <c r="AG36" s="21">
        <v>9435</v>
      </c>
      <c r="AH36" s="21">
        <v>10336</v>
      </c>
      <c r="AI36" s="21">
        <v>11447</v>
      </c>
      <c r="AJ36" s="21">
        <v>13558</v>
      </c>
      <c r="AK36" s="21">
        <v>16724</v>
      </c>
      <c r="AL36" s="22">
        <v>0.83127753303964758</v>
      </c>
      <c r="AM36" s="22">
        <v>0.83294383109033765</v>
      </c>
      <c r="AN36" s="22">
        <v>0.85253593505622993</v>
      </c>
      <c r="AO36" s="22">
        <v>0.87731331694059789</v>
      </c>
      <c r="AP36" s="22">
        <v>0.88820436560624572</v>
      </c>
    </row>
    <row r="37" spans="1:42" x14ac:dyDescent="0.25">
      <c r="A37" s="20" t="s">
        <v>57</v>
      </c>
      <c r="B37" s="21">
        <v>27</v>
      </c>
      <c r="C37" s="21">
        <v>29</v>
      </c>
      <c r="D37" s="21">
        <v>29</v>
      </c>
      <c r="E37" s="21">
        <v>31</v>
      </c>
      <c r="F37" s="21">
        <v>41</v>
      </c>
      <c r="G37" s="22">
        <v>6.0618306728632044E-4</v>
      </c>
      <c r="H37" s="22">
        <v>6.4024726791036537E-4</v>
      </c>
      <c r="I37" s="22">
        <v>6.2690503469595106E-4</v>
      </c>
      <c r="J37" s="22">
        <v>6.4346057247234155E-4</v>
      </c>
      <c r="K37" s="22">
        <v>8.3644449884733864E-4</v>
      </c>
      <c r="L37" s="21">
        <v>27</v>
      </c>
      <c r="M37" s="21">
        <v>28</v>
      </c>
      <c r="N37" s="21">
        <v>28</v>
      </c>
      <c r="O37" s="21">
        <v>30</v>
      </c>
      <c r="P37" s="21">
        <v>40</v>
      </c>
      <c r="Q37" s="22">
        <v>1</v>
      </c>
      <c r="R37" s="22">
        <v>0.96551724137931039</v>
      </c>
      <c r="S37" s="22">
        <v>0.96551724137931039</v>
      </c>
      <c r="T37" s="22">
        <v>0.967741935483871</v>
      </c>
      <c r="U37" s="22">
        <v>0.97560975609756095</v>
      </c>
      <c r="V37" s="21"/>
      <c r="W37" s="21">
        <v>0</v>
      </c>
      <c r="X37" s="21">
        <v>0</v>
      </c>
      <c r="Y37" s="21">
        <v>4</v>
      </c>
      <c r="Z37" s="21">
        <v>14</v>
      </c>
      <c r="AA37" s="21">
        <v>29</v>
      </c>
      <c r="AB37" s="22">
        <v>0</v>
      </c>
      <c r="AC37" s="22">
        <v>0</v>
      </c>
      <c r="AD37" s="22">
        <v>1.0059603148655785E-4</v>
      </c>
      <c r="AE37" s="22">
        <v>3.3477605872928571E-4</v>
      </c>
      <c r="AF37" s="22">
        <v>6.4024726791036537E-4</v>
      </c>
      <c r="AG37" s="21">
        <v>0</v>
      </c>
      <c r="AH37" s="21">
        <v>0</v>
      </c>
      <c r="AI37" s="21">
        <v>4</v>
      </c>
      <c r="AJ37" s="21">
        <v>14</v>
      </c>
      <c r="AK37" s="21">
        <v>28</v>
      </c>
      <c r="AL37" s="22">
        <v>0</v>
      </c>
      <c r="AM37" s="22">
        <v>0</v>
      </c>
      <c r="AN37" s="22">
        <v>1</v>
      </c>
      <c r="AO37" s="22">
        <v>1</v>
      </c>
      <c r="AP37" s="22">
        <v>0.96551724137931039</v>
      </c>
    </row>
    <row r="38" spans="1:42" x14ac:dyDescent="0.25">
      <c r="A38" s="20" t="s">
        <v>60</v>
      </c>
      <c r="B38" s="21">
        <v>105</v>
      </c>
      <c r="C38" s="21">
        <v>107</v>
      </c>
      <c r="D38" s="21">
        <v>104</v>
      </c>
      <c r="E38" s="21">
        <v>98</v>
      </c>
      <c r="F38" s="21">
        <v>93</v>
      </c>
      <c r="G38" s="22">
        <v>2.3573785950023575E-3</v>
      </c>
      <c r="H38" s="22">
        <v>2.3622916436692792E-3</v>
      </c>
      <c r="I38" s="22">
        <v>2.2482111589096176E-3</v>
      </c>
      <c r="J38" s="22">
        <v>2.0341656807190151E-3</v>
      </c>
      <c r="K38" s="22">
        <v>1.8973009364098171E-3</v>
      </c>
      <c r="L38" s="21">
        <v>105</v>
      </c>
      <c r="M38" s="21">
        <v>107</v>
      </c>
      <c r="N38" s="21">
        <v>104</v>
      </c>
      <c r="O38" s="21">
        <v>98</v>
      </c>
      <c r="P38" s="21">
        <v>92</v>
      </c>
      <c r="Q38" s="22">
        <v>1</v>
      </c>
      <c r="R38" s="22">
        <v>1</v>
      </c>
      <c r="S38" s="22">
        <v>1</v>
      </c>
      <c r="T38" s="22">
        <v>1</v>
      </c>
      <c r="U38" s="22">
        <v>0.989247311827957</v>
      </c>
      <c r="V38" s="21"/>
      <c r="W38" s="21">
        <v>0</v>
      </c>
      <c r="X38" s="21">
        <v>0</v>
      </c>
      <c r="Y38" s="21">
        <v>0</v>
      </c>
      <c r="Z38" s="21">
        <v>104</v>
      </c>
      <c r="AA38" s="21">
        <v>107</v>
      </c>
      <c r="AB38" s="22">
        <v>0</v>
      </c>
      <c r="AC38" s="22">
        <v>0</v>
      </c>
      <c r="AD38" s="22">
        <v>0</v>
      </c>
      <c r="AE38" s="22">
        <v>2.4869078648461227E-3</v>
      </c>
      <c r="AF38" s="22">
        <v>2.3622916436692792E-3</v>
      </c>
      <c r="AG38" s="21">
        <v>0</v>
      </c>
      <c r="AH38" s="21">
        <v>0</v>
      </c>
      <c r="AI38" s="21">
        <v>0</v>
      </c>
      <c r="AJ38" s="21">
        <v>104</v>
      </c>
      <c r="AK38" s="21">
        <v>107</v>
      </c>
      <c r="AL38" s="22">
        <v>0</v>
      </c>
      <c r="AM38" s="22">
        <v>0</v>
      </c>
      <c r="AN38" s="22">
        <v>0</v>
      </c>
      <c r="AO38" s="22">
        <v>1</v>
      </c>
      <c r="AP38" s="22">
        <v>1</v>
      </c>
    </row>
    <row r="39" spans="1:42" x14ac:dyDescent="0.25">
      <c r="A39" s="31" t="s">
        <v>72</v>
      </c>
      <c r="B39" s="29">
        <v>44541</v>
      </c>
      <c r="C39" s="29">
        <v>45295</v>
      </c>
      <c r="D39" s="29">
        <v>46259</v>
      </c>
      <c r="E39" s="29">
        <v>48177</v>
      </c>
      <c r="F39" s="29">
        <v>49017</v>
      </c>
      <c r="G39" s="24">
        <v>1</v>
      </c>
      <c r="H39" s="24">
        <v>1</v>
      </c>
      <c r="I39" s="24">
        <v>1</v>
      </c>
      <c r="J39" s="24">
        <v>1</v>
      </c>
      <c r="K39" s="24">
        <v>1</v>
      </c>
      <c r="L39" s="29">
        <v>35820</v>
      </c>
      <c r="M39" s="29">
        <v>36887</v>
      </c>
      <c r="N39" s="29">
        <v>37769</v>
      </c>
      <c r="O39" s="29">
        <v>38761</v>
      </c>
      <c r="P39" s="29">
        <v>38494</v>
      </c>
      <c r="Q39" s="24">
        <v>0.80420286926651852</v>
      </c>
      <c r="R39" s="24">
        <v>0.81437244728998781</v>
      </c>
      <c r="S39" s="24">
        <v>0.81646814673901291</v>
      </c>
      <c r="T39" s="24">
        <v>0.80455404030969135</v>
      </c>
      <c r="U39" s="24">
        <v>0.78531937899096227</v>
      </c>
      <c r="V39" s="23"/>
      <c r="W39" s="29">
        <v>38246</v>
      </c>
      <c r="X39" s="29">
        <v>39194</v>
      </c>
      <c r="Y39" s="29">
        <v>39763</v>
      </c>
      <c r="Z39" s="29">
        <v>41819</v>
      </c>
      <c r="AA39" s="29">
        <v>45295</v>
      </c>
      <c r="AB39" s="24">
        <v>1</v>
      </c>
      <c r="AC39" s="24">
        <v>1</v>
      </c>
      <c r="AD39" s="24">
        <v>1</v>
      </c>
      <c r="AE39" s="24">
        <v>1</v>
      </c>
      <c r="AF39" s="24">
        <v>1</v>
      </c>
      <c r="AG39" s="29">
        <v>26324</v>
      </c>
      <c r="AH39" s="29">
        <v>28814</v>
      </c>
      <c r="AI39" s="29">
        <v>30019</v>
      </c>
      <c r="AJ39" s="29">
        <v>32746</v>
      </c>
      <c r="AK39" s="29">
        <v>36887</v>
      </c>
      <c r="AL39" s="24">
        <v>0.6882811274381635</v>
      </c>
      <c r="AM39" s="24">
        <v>0.73516354544062867</v>
      </c>
      <c r="AN39" s="24">
        <v>0.75494806729874508</v>
      </c>
      <c r="AO39" s="24">
        <v>0.78304120136779931</v>
      </c>
      <c r="AP39" s="24">
        <v>0.81437244728998781</v>
      </c>
    </row>
    <row r="40" spans="1:42" x14ac:dyDescent="0.25">
      <c r="A40" s="20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</row>
    <row r="41" spans="1:42" x14ac:dyDescent="0.25">
      <c r="A41" s="30" t="s">
        <v>73</v>
      </c>
      <c r="B41" s="27" t="s">
        <v>12</v>
      </c>
      <c r="C41" s="27" t="s">
        <v>13</v>
      </c>
      <c r="D41" s="27" t="s">
        <v>14</v>
      </c>
      <c r="E41" s="27" t="s">
        <v>15</v>
      </c>
      <c r="F41" s="27" t="s">
        <v>16</v>
      </c>
      <c r="G41" s="27" t="s">
        <v>12</v>
      </c>
      <c r="H41" s="27" t="s">
        <v>13</v>
      </c>
      <c r="I41" s="27" t="s">
        <v>14</v>
      </c>
      <c r="J41" s="27" t="s">
        <v>15</v>
      </c>
      <c r="K41" s="27" t="s">
        <v>16</v>
      </c>
      <c r="L41" s="27" t="s">
        <v>12</v>
      </c>
      <c r="M41" s="27" t="s">
        <v>13</v>
      </c>
      <c r="N41" s="27" t="s">
        <v>14</v>
      </c>
      <c r="O41" s="27" t="s">
        <v>15</v>
      </c>
      <c r="P41" s="27" t="s">
        <v>16</v>
      </c>
      <c r="Q41" s="27" t="s">
        <v>12</v>
      </c>
      <c r="R41" s="27" t="s">
        <v>13</v>
      </c>
      <c r="S41" s="27" t="s">
        <v>14</v>
      </c>
      <c r="T41" s="27" t="s">
        <v>15</v>
      </c>
      <c r="U41" s="27" t="s">
        <v>16</v>
      </c>
      <c r="V41" s="27"/>
      <c r="W41" s="27" t="s">
        <v>17</v>
      </c>
      <c r="X41" s="27" t="s">
        <v>18</v>
      </c>
      <c r="Y41" s="27" t="s">
        <v>19</v>
      </c>
      <c r="Z41" s="27" t="s">
        <v>20</v>
      </c>
      <c r="AA41" s="27" t="s">
        <v>21</v>
      </c>
      <c r="AB41" s="27" t="s">
        <v>17</v>
      </c>
      <c r="AC41" s="27" t="s">
        <v>18</v>
      </c>
      <c r="AD41" s="27" t="s">
        <v>19</v>
      </c>
      <c r="AE41" s="27" t="s">
        <v>20</v>
      </c>
      <c r="AF41" s="27" t="s">
        <v>21</v>
      </c>
      <c r="AG41" s="27" t="s">
        <v>17</v>
      </c>
      <c r="AH41" s="27" t="s">
        <v>18</v>
      </c>
      <c r="AI41" s="27" t="s">
        <v>19</v>
      </c>
      <c r="AJ41" s="27" t="s">
        <v>20</v>
      </c>
      <c r="AK41" s="27" t="s">
        <v>21</v>
      </c>
      <c r="AL41" s="27" t="s">
        <v>17</v>
      </c>
      <c r="AM41" s="27" t="s">
        <v>18</v>
      </c>
      <c r="AN41" s="27" t="s">
        <v>19</v>
      </c>
      <c r="AO41" s="27" t="s">
        <v>20</v>
      </c>
      <c r="AP41" s="27" t="s">
        <v>21</v>
      </c>
    </row>
    <row r="42" spans="1:42" x14ac:dyDescent="0.25">
      <c r="A42" s="20" t="s">
        <v>24</v>
      </c>
      <c r="B42" s="21">
        <v>3078</v>
      </c>
      <c r="C42" s="21">
        <v>2976</v>
      </c>
      <c r="D42" s="21">
        <v>2977</v>
      </c>
      <c r="E42" s="21">
        <v>2988</v>
      </c>
      <c r="F42" s="21">
        <v>2990</v>
      </c>
      <c r="G42" s="22">
        <v>0.20033845352772717</v>
      </c>
      <c r="H42" s="22">
        <v>0.18888042650418888</v>
      </c>
      <c r="I42" s="22">
        <v>0.18496427461944703</v>
      </c>
      <c r="J42" s="22">
        <v>0.18084977605616753</v>
      </c>
      <c r="K42" s="22">
        <v>0.17477203647416414</v>
      </c>
      <c r="L42" s="21">
        <v>1648</v>
      </c>
      <c r="M42" s="21">
        <v>1643</v>
      </c>
      <c r="N42" s="21">
        <v>1679</v>
      </c>
      <c r="O42" s="21">
        <v>1677</v>
      </c>
      <c r="P42" s="21">
        <v>1708</v>
      </c>
      <c r="Q42" s="22">
        <v>0.53541260558804415</v>
      </c>
      <c r="R42" s="22">
        <v>0.55208333333333337</v>
      </c>
      <c r="S42" s="22">
        <v>0.56399059455828016</v>
      </c>
      <c r="T42" s="22">
        <v>0.5612449799196787</v>
      </c>
      <c r="U42" s="22">
        <v>0.57123745819397997</v>
      </c>
      <c r="V42" s="21"/>
      <c r="W42" s="21">
        <v>0</v>
      </c>
      <c r="X42" s="21">
        <v>0</v>
      </c>
      <c r="Y42" s="21">
        <v>3325</v>
      </c>
      <c r="Z42" s="21">
        <v>2880</v>
      </c>
      <c r="AA42" s="21">
        <v>2976</v>
      </c>
      <c r="AB42" s="22">
        <v>0</v>
      </c>
      <c r="AC42" s="22">
        <v>0</v>
      </c>
      <c r="AD42" s="22">
        <v>0.26899118194320848</v>
      </c>
      <c r="AE42" s="22">
        <v>0.20654044750430292</v>
      </c>
      <c r="AF42" s="22">
        <v>0.18888042650418888</v>
      </c>
      <c r="AG42" s="21">
        <v>0</v>
      </c>
      <c r="AH42" s="21">
        <v>0</v>
      </c>
      <c r="AI42" s="21">
        <v>1480</v>
      </c>
      <c r="AJ42" s="21">
        <v>1314</v>
      </c>
      <c r="AK42" s="21">
        <v>1643</v>
      </c>
      <c r="AL42" s="22">
        <v>0</v>
      </c>
      <c r="AM42" s="22">
        <v>0</v>
      </c>
      <c r="AN42" s="22">
        <v>0.44511278195488724</v>
      </c>
      <c r="AO42" s="22">
        <v>0.45624999999999999</v>
      </c>
      <c r="AP42" s="22">
        <v>0.55208333333333337</v>
      </c>
    </row>
    <row r="43" spans="1:42" x14ac:dyDescent="0.25">
      <c r="A43" s="20" t="s">
        <v>48</v>
      </c>
      <c r="B43" s="21">
        <v>12286</v>
      </c>
      <c r="C43" s="21">
        <v>12780</v>
      </c>
      <c r="D43" s="21">
        <v>13118</v>
      </c>
      <c r="E43" s="21">
        <v>13534</v>
      </c>
      <c r="F43" s="21">
        <v>14118</v>
      </c>
      <c r="G43" s="22">
        <v>0.79966154647227283</v>
      </c>
      <c r="H43" s="22">
        <v>0.8111195734958111</v>
      </c>
      <c r="I43" s="22">
        <v>0.81503572538055302</v>
      </c>
      <c r="J43" s="22">
        <v>0.81915022394383241</v>
      </c>
      <c r="K43" s="22">
        <v>0.82522796352583583</v>
      </c>
      <c r="L43" s="21">
        <v>8584</v>
      </c>
      <c r="M43" s="21">
        <v>9090</v>
      </c>
      <c r="N43" s="21">
        <v>9438</v>
      </c>
      <c r="O43" s="21">
        <v>9833</v>
      </c>
      <c r="P43" s="21">
        <v>10058</v>
      </c>
      <c r="Q43" s="22">
        <v>0.69868142601334848</v>
      </c>
      <c r="R43" s="22">
        <v>0.71126760563380287</v>
      </c>
      <c r="S43" s="22">
        <v>0.71946943131574936</v>
      </c>
      <c r="T43" s="22">
        <v>0.72654056450421156</v>
      </c>
      <c r="U43" s="22">
        <v>0.71242385607026493</v>
      </c>
      <c r="V43" s="21"/>
      <c r="W43" s="21">
        <v>0</v>
      </c>
      <c r="X43" s="21">
        <v>0</v>
      </c>
      <c r="Y43" s="21">
        <v>9036</v>
      </c>
      <c r="Z43" s="21">
        <v>11064</v>
      </c>
      <c r="AA43" s="21">
        <v>12780</v>
      </c>
      <c r="AB43" s="22">
        <v>0</v>
      </c>
      <c r="AC43" s="22">
        <v>0</v>
      </c>
      <c r="AD43" s="22">
        <v>0.73100881805679152</v>
      </c>
      <c r="AE43" s="22">
        <v>0.79345955249569711</v>
      </c>
      <c r="AF43" s="22">
        <v>0.8111195734958111</v>
      </c>
      <c r="AG43" s="21">
        <v>0</v>
      </c>
      <c r="AH43" s="21">
        <v>0</v>
      </c>
      <c r="AI43" s="21">
        <v>5579</v>
      </c>
      <c r="AJ43" s="21">
        <v>7349</v>
      </c>
      <c r="AK43" s="21">
        <v>9090</v>
      </c>
      <c r="AL43" s="22">
        <v>0</v>
      </c>
      <c r="AM43" s="22">
        <v>0</v>
      </c>
      <c r="AN43" s="22">
        <v>0.61741921204072603</v>
      </c>
      <c r="AO43" s="22">
        <v>0.66422631959508316</v>
      </c>
      <c r="AP43" s="22">
        <v>0.71126760563380287</v>
      </c>
    </row>
    <row r="44" spans="1:42" x14ac:dyDescent="0.25">
      <c r="A44" s="31" t="s">
        <v>74</v>
      </c>
      <c r="B44" s="29">
        <v>15364</v>
      </c>
      <c r="C44" s="29">
        <v>15756</v>
      </c>
      <c r="D44" s="29">
        <v>16095</v>
      </c>
      <c r="E44" s="29">
        <v>16522</v>
      </c>
      <c r="F44" s="29">
        <v>17108</v>
      </c>
      <c r="G44" s="24">
        <v>1</v>
      </c>
      <c r="H44" s="24">
        <v>1</v>
      </c>
      <c r="I44" s="24">
        <v>1</v>
      </c>
      <c r="J44" s="24">
        <v>1</v>
      </c>
      <c r="K44" s="24">
        <v>1</v>
      </c>
      <c r="L44" s="29">
        <v>10232</v>
      </c>
      <c r="M44" s="29">
        <v>10733</v>
      </c>
      <c r="N44" s="29">
        <v>11117</v>
      </c>
      <c r="O44" s="29">
        <v>11510</v>
      </c>
      <c r="P44" s="29">
        <v>11766</v>
      </c>
      <c r="Q44" s="24">
        <v>0.6659724030200469</v>
      </c>
      <c r="R44" s="24">
        <v>0.68120081238893115</v>
      </c>
      <c r="S44" s="24">
        <v>0.69071140105622864</v>
      </c>
      <c r="T44" s="24">
        <v>0.69664689504902555</v>
      </c>
      <c r="U44" s="24">
        <v>0.68774842179097495</v>
      </c>
      <c r="V44" s="23"/>
      <c r="W44" s="29">
        <v>0</v>
      </c>
      <c r="X44" s="29">
        <v>0</v>
      </c>
      <c r="Y44" s="29">
        <v>12361</v>
      </c>
      <c r="Z44" s="29">
        <v>13944</v>
      </c>
      <c r="AA44" s="29">
        <v>15756</v>
      </c>
      <c r="AB44" s="24">
        <v>0</v>
      </c>
      <c r="AC44" s="24">
        <v>0</v>
      </c>
      <c r="AD44" s="24">
        <v>1</v>
      </c>
      <c r="AE44" s="24">
        <v>1</v>
      </c>
      <c r="AF44" s="24">
        <v>1</v>
      </c>
      <c r="AG44" s="29">
        <v>0</v>
      </c>
      <c r="AH44" s="29">
        <v>0</v>
      </c>
      <c r="AI44" s="29">
        <v>7059</v>
      </c>
      <c r="AJ44" s="29">
        <v>8663</v>
      </c>
      <c r="AK44" s="29">
        <v>10733</v>
      </c>
      <c r="AL44" s="24">
        <v>0</v>
      </c>
      <c r="AM44" s="24">
        <v>0</v>
      </c>
      <c r="AN44" s="24">
        <v>0.57107030175552143</v>
      </c>
      <c r="AO44" s="24">
        <v>0.62127079747561675</v>
      </c>
      <c r="AP44" s="24">
        <v>0.68120081238893115</v>
      </c>
    </row>
    <row r="45" spans="1:42" x14ac:dyDescent="0.25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</row>
    <row r="46" spans="1:42" x14ac:dyDescent="0.25">
      <c r="A46" s="30" t="s">
        <v>75</v>
      </c>
      <c r="B46" s="27" t="s">
        <v>12</v>
      </c>
      <c r="C46" s="27" t="s">
        <v>13</v>
      </c>
      <c r="D46" s="27" t="s">
        <v>14</v>
      </c>
      <c r="E46" s="27" t="s">
        <v>15</v>
      </c>
      <c r="F46" s="27" t="s">
        <v>16</v>
      </c>
      <c r="G46" s="27" t="s">
        <v>12</v>
      </c>
      <c r="H46" s="27" t="s">
        <v>13</v>
      </c>
      <c r="I46" s="27" t="s">
        <v>14</v>
      </c>
      <c r="J46" s="27" t="s">
        <v>15</v>
      </c>
      <c r="K46" s="27" t="s">
        <v>16</v>
      </c>
      <c r="L46" s="27" t="s">
        <v>12</v>
      </c>
      <c r="M46" s="27" t="s">
        <v>13</v>
      </c>
      <c r="N46" s="27" t="s">
        <v>14</v>
      </c>
      <c r="O46" s="27" t="s">
        <v>15</v>
      </c>
      <c r="P46" s="27" t="s">
        <v>16</v>
      </c>
      <c r="Q46" s="27" t="s">
        <v>12</v>
      </c>
      <c r="R46" s="27" t="s">
        <v>13</v>
      </c>
      <c r="S46" s="27" t="s">
        <v>14</v>
      </c>
      <c r="T46" s="27" t="s">
        <v>15</v>
      </c>
      <c r="U46" s="27" t="s">
        <v>16</v>
      </c>
      <c r="V46" s="27"/>
      <c r="W46" s="27" t="s">
        <v>17</v>
      </c>
      <c r="X46" s="27" t="s">
        <v>18</v>
      </c>
      <c r="Y46" s="27" t="s">
        <v>19</v>
      </c>
      <c r="Z46" s="27" t="s">
        <v>20</v>
      </c>
      <c r="AA46" s="27" t="s">
        <v>21</v>
      </c>
      <c r="AB46" s="27" t="s">
        <v>17</v>
      </c>
      <c r="AC46" s="27" t="s">
        <v>18</v>
      </c>
      <c r="AD46" s="27" t="s">
        <v>19</v>
      </c>
      <c r="AE46" s="27" t="s">
        <v>20</v>
      </c>
      <c r="AF46" s="27" t="s">
        <v>21</v>
      </c>
      <c r="AG46" s="27" t="s">
        <v>17</v>
      </c>
      <c r="AH46" s="27" t="s">
        <v>18</v>
      </c>
      <c r="AI46" s="27" t="s">
        <v>19</v>
      </c>
      <c r="AJ46" s="27" t="s">
        <v>20</v>
      </c>
      <c r="AK46" s="27" t="s">
        <v>21</v>
      </c>
      <c r="AL46" s="27" t="s">
        <v>17</v>
      </c>
      <c r="AM46" s="27" t="s">
        <v>18</v>
      </c>
      <c r="AN46" s="27" t="s">
        <v>19</v>
      </c>
      <c r="AO46" s="27" t="s">
        <v>20</v>
      </c>
      <c r="AP46" s="27" t="s">
        <v>21</v>
      </c>
    </row>
    <row r="47" spans="1:42" x14ac:dyDescent="0.25">
      <c r="A47" s="20" t="s">
        <v>24</v>
      </c>
      <c r="B47" s="21">
        <v>2357</v>
      </c>
      <c r="C47" s="21">
        <v>2327</v>
      </c>
      <c r="D47" s="21">
        <v>2380</v>
      </c>
      <c r="E47" s="21">
        <v>2407</v>
      </c>
      <c r="F47" s="21">
        <v>2430</v>
      </c>
      <c r="G47" s="22">
        <v>0.24142169415138789</v>
      </c>
      <c r="H47" s="22">
        <v>0.2373036916173771</v>
      </c>
      <c r="I47" s="22">
        <v>0.24652993577791588</v>
      </c>
      <c r="J47" s="22">
        <v>0.24852865255549819</v>
      </c>
      <c r="K47" s="22">
        <v>0.24780746481745869</v>
      </c>
      <c r="L47" s="21">
        <v>2047</v>
      </c>
      <c r="M47" s="21">
        <v>2020</v>
      </c>
      <c r="N47" s="21">
        <v>2071</v>
      </c>
      <c r="O47" s="21">
        <v>2092</v>
      </c>
      <c r="P47" s="21">
        <v>2105</v>
      </c>
      <c r="Q47" s="22">
        <v>0.86847687738650825</v>
      </c>
      <c r="R47" s="22">
        <v>0.86807047700902451</v>
      </c>
      <c r="S47" s="22">
        <v>0.87016806722689077</v>
      </c>
      <c r="T47" s="22">
        <v>0.8691316992106356</v>
      </c>
      <c r="U47" s="22">
        <v>0.86625514403292181</v>
      </c>
      <c r="V47" s="21"/>
      <c r="W47" s="21">
        <v>2001</v>
      </c>
      <c r="X47" s="21">
        <v>2578</v>
      </c>
      <c r="Y47" s="21">
        <v>2952</v>
      </c>
      <c r="Z47" s="21">
        <v>2726</v>
      </c>
      <c r="AA47" s="21">
        <v>2327</v>
      </c>
      <c r="AB47" s="22">
        <v>0.22508436445444319</v>
      </c>
      <c r="AC47" s="22">
        <v>0.28737041578419353</v>
      </c>
      <c r="AD47" s="22">
        <v>0.30878661087866111</v>
      </c>
      <c r="AE47" s="22">
        <v>0.28538525963149081</v>
      </c>
      <c r="AF47" s="22">
        <v>0.2373036916173771</v>
      </c>
      <c r="AG47" s="21">
        <v>1920</v>
      </c>
      <c r="AH47" s="21">
        <v>2368</v>
      </c>
      <c r="AI47" s="21">
        <v>2695</v>
      </c>
      <c r="AJ47" s="21">
        <v>2466</v>
      </c>
      <c r="AK47" s="21">
        <v>2020</v>
      </c>
      <c r="AL47" s="22">
        <v>0.95952023988005997</v>
      </c>
      <c r="AM47" s="22">
        <v>0.91854150504266874</v>
      </c>
      <c r="AN47" s="22">
        <v>0.91294037940379402</v>
      </c>
      <c r="AO47" s="22">
        <v>0.90462215700660309</v>
      </c>
      <c r="AP47" s="22">
        <v>0.86807047700902451</v>
      </c>
    </row>
    <row r="48" spans="1:42" x14ac:dyDescent="0.25">
      <c r="A48" s="20" t="s">
        <v>25</v>
      </c>
      <c r="B48" s="21">
        <v>7</v>
      </c>
      <c r="C48" s="21">
        <v>9</v>
      </c>
      <c r="D48" s="21">
        <v>10</v>
      </c>
      <c r="E48" s="21">
        <v>12</v>
      </c>
      <c r="F48" s="21">
        <v>13</v>
      </c>
      <c r="G48" s="22">
        <v>7.1699272764519102E-4</v>
      </c>
      <c r="H48" s="22">
        <v>9.17805425249847E-4</v>
      </c>
      <c r="I48" s="22">
        <v>1.0358400662937642E-3</v>
      </c>
      <c r="J48" s="22">
        <v>1.2390294269488901E-3</v>
      </c>
      <c r="K48" s="22">
        <v>1.3257189475831123E-3</v>
      </c>
      <c r="L48" s="21">
        <v>1</v>
      </c>
      <c r="M48" s="21">
        <v>1</v>
      </c>
      <c r="N48" s="21">
        <v>4</v>
      </c>
      <c r="O48" s="21">
        <v>6</v>
      </c>
      <c r="P48" s="21">
        <v>3</v>
      </c>
      <c r="Q48" s="22">
        <v>0.14285714285714285</v>
      </c>
      <c r="R48" s="22">
        <v>0.1111111111111111</v>
      </c>
      <c r="S48" s="22">
        <v>0.4</v>
      </c>
      <c r="T48" s="22">
        <v>0.5</v>
      </c>
      <c r="U48" s="22">
        <v>0.23076923076923078</v>
      </c>
      <c r="V48" s="21"/>
      <c r="W48" s="21">
        <v>0</v>
      </c>
      <c r="X48" s="21">
        <v>0</v>
      </c>
      <c r="Y48" s="21">
        <v>0</v>
      </c>
      <c r="Z48" s="21">
        <v>2</v>
      </c>
      <c r="AA48" s="21">
        <v>9</v>
      </c>
      <c r="AB48" s="22">
        <v>0</v>
      </c>
      <c r="AC48" s="22">
        <v>0</v>
      </c>
      <c r="AD48" s="22">
        <v>0</v>
      </c>
      <c r="AE48" s="22">
        <v>2.0938023450586265E-4</v>
      </c>
      <c r="AF48" s="22">
        <v>9.17805425249847E-4</v>
      </c>
      <c r="AG48" s="21">
        <v>0</v>
      </c>
      <c r="AH48" s="21">
        <v>0</v>
      </c>
      <c r="AI48" s="21">
        <v>0</v>
      </c>
      <c r="AJ48" s="21">
        <v>2</v>
      </c>
      <c r="AK48" s="21">
        <v>1</v>
      </c>
      <c r="AL48" s="22">
        <v>0</v>
      </c>
      <c r="AM48" s="22">
        <v>0</v>
      </c>
      <c r="AN48" s="22">
        <v>0</v>
      </c>
      <c r="AO48" s="22">
        <v>1</v>
      </c>
      <c r="AP48" s="22">
        <v>0.1111111111111111</v>
      </c>
    </row>
    <row r="49" spans="1:55" x14ac:dyDescent="0.25">
      <c r="A49" s="20" t="s">
        <v>35</v>
      </c>
      <c r="B49" s="21">
        <v>548</v>
      </c>
      <c r="C49" s="21">
        <v>556</v>
      </c>
      <c r="D49" s="21">
        <v>546</v>
      </c>
      <c r="E49" s="21">
        <v>548</v>
      </c>
      <c r="F49" s="21">
        <v>548</v>
      </c>
      <c r="G49" s="22">
        <v>5.6130287821366386E-2</v>
      </c>
      <c r="H49" s="22">
        <v>5.669997960432388E-2</v>
      </c>
      <c r="I49" s="22">
        <v>5.6556867619639531E-2</v>
      </c>
      <c r="J49" s="22">
        <v>5.6582343830665981E-2</v>
      </c>
      <c r="K49" s="22">
        <v>5.5884152559657355E-2</v>
      </c>
      <c r="L49" s="21">
        <v>495</v>
      </c>
      <c r="M49" s="21">
        <v>506</v>
      </c>
      <c r="N49" s="21">
        <v>493</v>
      </c>
      <c r="O49" s="21">
        <v>497</v>
      </c>
      <c r="P49" s="21">
        <v>498</v>
      </c>
      <c r="Q49" s="22">
        <v>0.90328467153284675</v>
      </c>
      <c r="R49" s="22">
        <v>0.91007194244604317</v>
      </c>
      <c r="S49" s="22">
        <v>0.90293040293040294</v>
      </c>
      <c r="T49" s="22">
        <v>0.90693430656934304</v>
      </c>
      <c r="U49" s="22">
        <v>0.90875912408759119</v>
      </c>
      <c r="V49" s="21"/>
      <c r="W49" s="21">
        <v>550</v>
      </c>
      <c r="X49" s="21">
        <v>522</v>
      </c>
      <c r="Y49" s="21">
        <v>511</v>
      </c>
      <c r="Z49" s="21">
        <v>556</v>
      </c>
      <c r="AA49" s="21">
        <v>556</v>
      </c>
      <c r="AB49" s="22">
        <v>6.1867266591676039E-2</v>
      </c>
      <c r="AC49" s="22">
        <v>5.8187493033106677E-2</v>
      </c>
      <c r="AD49" s="22">
        <v>5.3451882845188287E-2</v>
      </c>
      <c r="AE49" s="22">
        <v>5.8207705192629813E-2</v>
      </c>
      <c r="AF49" s="22">
        <v>5.669997960432388E-2</v>
      </c>
      <c r="AG49" s="21">
        <v>523</v>
      </c>
      <c r="AH49" s="21">
        <v>477</v>
      </c>
      <c r="AI49" s="21">
        <v>465</v>
      </c>
      <c r="AJ49" s="21">
        <v>503</v>
      </c>
      <c r="AK49" s="21">
        <v>506</v>
      </c>
      <c r="AL49" s="22">
        <v>0.95090909090909093</v>
      </c>
      <c r="AM49" s="22">
        <v>0.91379310344827591</v>
      </c>
      <c r="AN49" s="22">
        <v>0.90998043052837574</v>
      </c>
      <c r="AO49" s="22">
        <v>0.90467625899280579</v>
      </c>
      <c r="AP49" s="22">
        <v>0.91007194244604317</v>
      </c>
    </row>
    <row r="50" spans="1:55" x14ac:dyDescent="0.25">
      <c r="A50" s="20" t="s">
        <v>42</v>
      </c>
      <c r="B50" s="21">
        <v>0</v>
      </c>
      <c r="C50" s="21">
        <v>0</v>
      </c>
      <c r="D50" s="21">
        <v>4</v>
      </c>
      <c r="E50" s="21">
        <v>10</v>
      </c>
      <c r="F50" s="21">
        <v>13</v>
      </c>
      <c r="G50" s="22">
        <v>0</v>
      </c>
      <c r="H50" s="22">
        <v>0</v>
      </c>
      <c r="I50" s="22">
        <v>4.1433602651750571E-4</v>
      </c>
      <c r="J50" s="22">
        <v>1.0325245224574084E-3</v>
      </c>
      <c r="K50" s="22">
        <v>1.3257189475831123E-3</v>
      </c>
      <c r="L50" s="21">
        <v>0</v>
      </c>
      <c r="M50" s="21">
        <v>0</v>
      </c>
      <c r="N50" s="21">
        <v>4</v>
      </c>
      <c r="O50" s="21">
        <v>10</v>
      </c>
      <c r="P50" s="21">
        <v>13</v>
      </c>
      <c r="Q50" s="22">
        <v>0</v>
      </c>
      <c r="R50" s="22">
        <v>0</v>
      </c>
      <c r="S50" s="22">
        <v>1</v>
      </c>
      <c r="T50" s="22">
        <v>1</v>
      </c>
      <c r="U50" s="22">
        <v>1</v>
      </c>
      <c r="V50" s="21"/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</row>
    <row r="51" spans="1:55" x14ac:dyDescent="0.25">
      <c r="A51" s="20" t="s">
        <v>48</v>
      </c>
      <c r="B51" s="21">
        <v>6614</v>
      </c>
      <c r="C51" s="21">
        <v>6689</v>
      </c>
      <c r="D51" s="21">
        <v>6511</v>
      </c>
      <c r="E51" s="21">
        <v>6501</v>
      </c>
      <c r="F51" s="21">
        <v>6598</v>
      </c>
      <c r="G51" s="22">
        <v>0.67745570009218481</v>
      </c>
      <c r="H51" s="22">
        <v>0.68213338772180299</v>
      </c>
      <c r="I51" s="22">
        <v>0.67443546716386993</v>
      </c>
      <c r="J51" s="22">
        <v>0.67124419204956121</v>
      </c>
      <c r="K51" s="22">
        <v>0.67285335508872124</v>
      </c>
      <c r="L51" s="21">
        <v>4090</v>
      </c>
      <c r="M51" s="21">
        <v>4203</v>
      </c>
      <c r="N51" s="21">
        <v>4049</v>
      </c>
      <c r="O51" s="21">
        <v>4093</v>
      </c>
      <c r="P51" s="21">
        <v>4147</v>
      </c>
      <c r="Q51" s="22">
        <v>0.61838524342304202</v>
      </c>
      <c r="R51" s="22">
        <v>0.62834504410225744</v>
      </c>
      <c r="S51" s="22">
        <v>0.6218706803870373</v>
      </c>
      <c r="T51" s="22">
        <v>0.62959544685433011</v>
      </c>
      <c r="U51" s="22">
        <v>0.62852379508942102</v>
      </c>
      <c r="V51" s="21"/>
      <c r="W51" s="21">
        <v>6229</v>
      </c>
      <c r="X51" s="21">
        <v>5778</v>
      </c>
      <c r="Y51" s="21">
        <v>5996</v>
      </c>
      <c r="Z51" s="21">
        <v>6075</v>
      </c>
      <c r="AA51" s="21">
        <v>6689</v>
      </c>
      <c r="AB51" s="22">
        <v>0.70067491563554551</v>
      </c>
      <c r="AC51" s="22">
        <v>0.64407535391818083</v>
      </c>
      <c r="AD51" s="22">
        <v>0.62719665271966529</v>
      </c>
      <c r="AE51" s="22">
        <v>0.63599246231155782</v>
      </c>
      <c r="AF51" s="22">
        <v>0.68213338772180299</v>
      </c>
      <c r="AG51" s="21">
        <v>2100</v>
      </c>
      <c r="AH51" s="21">
        <v>2412</v>
      </c>
      <c r="AI51" s="21">
        <v>2845</v>
      </c>
      <c r="AJ51" s="21">
        <v>3248</v>
      </c>
      <c r="AK51" s="21">
        <v>4203</v>
      </c>
      <c r="AL51" s="22">
        <v>0.33713276609407611</v>
      </c>
      <c r="AM51" s="22">
        <v>0.4174454828660436</v>
      </c>
      <c r="AN51" s="22">
        <v>0.4744829886591061</v>
      </c>
      <c r="AO51" s="22">
        <v>0.53465020576131683</v>
      </c>
      <c r="AP51" s="22">
        <v>0.62834504410225744</v>
      </c>
    </row>
    <row r="52" spans="1:55" x14ac:dyDescent="0.25">
      <c r="A52" s="20" t="s">
        <v>57</v>
      </c>
      <c r="B52" s="21">
        <v>0</v>
      </c>
      <c r="C52" s="21">
        <v>1</v>
      </c>
      <c r="D52" s="21">
        <v>1</v>
      </c>
      <c r="E52" s="21">
        <v>2</v>
      </c>
      <c r="F52" s="21">
        <v>3</v>
      </c>
      <c r="G52" s="22">
        <v>0</v>
      </c>
      <c r="H52" s="22">
        <v>1.0197838058331633E-4</v>
      </c>
      <c r="I52" s="22">
        <v>1.0358400662937643E-4</v>
      </c>
      <c r="J52" s="22">
        <v>2.0650490449148167E-4</v>
      </c>
      <c r="K52" s="22">
        <v>3.0593514174994904E-4</v>
      </c>
      <c r="L52" s="21">
        <v>0</v>
      </c>
      <c r="M52" s="21">
        <v>1</v>
      </c>
      <c r="N52" s="21">
        <v>1</v>
      </c>
      <c r="O52" s="21">
        <v>2</v>
      </c>
      <c r="P52" s="21">
        <v>3</v>
      </c>
      <c r="Q52" s="22">
        <v>0</v>
      </c>
      <c r="R52" s="22">
        <v>1</v>
      </c>
      <c r="S52" s="22">
        <v>1</v>
      </c>
      <c r="T52" s="22">
        <v>1</v>
      </c>
      <c r="U52" s="22">
        <v>1</v>
      </c>
      <c r="V52" s="21"/>
      <c r="W52" s="21">
        <v>0</v>
      </c>
      <c r="X52" s="21">
        <v>0</v>
      </c>
      <c r="Y52" s="21">
        <v>0</v>
      </c>
      <c r="Z52" s="21">
        <v>0</v>
      </c>
      <c r="AA52" s="21">
        <v>1</v>
      </c>
      <c r="AB52" s="22">
        <v>0</v>
      </c>
      <c r="AC52" s="22">
        <v>0</v>
      </c>
      <c r="AD52" s="22">
        <v>0</v>
      </c>
      <c r="AE52" s="22">
        <v>0</v>
      </c>
      <c r="AF52" s="22">
        <v>1.0197838058331633E-4</v>
      </c>
      <c r="AG52" s="21">
        <v>0</v>
      </c>
      <c r="AH52" s="21">
        <v>0</v>
      </c>
      <c r="AI52" s="21">
        <v>0</v>
      </c>
      <c r="AJ52" s="21">
        <v>0</v>
      </c>
      <c r="AK52" s="21">
        <v>1</v>
      </c>
      <c r="AL52" s="22">
        <v>0</v>
      </c>
      <c r="AM52" s="22">
        <v>0</v>
      </c>
      <c r="AN52" s="22">
        <v>0</v>
      </c>
      <c r="AO52" s="22">
        <v>0</v>
      </c>
      <c r="AP52" s="22">
        <v>1</v>
      </c>
    </row>
    <row r="53" spans="1:55" x14ac:dyDescent="0.25">
      <c r="A53" s="20" t="s">
        <v>59</v>
      </c>
      <c r="B53" s="21">
        <v>3</v>
      </c>
      <c r="C53" s="21">
        <v>3</v>
      </c>
      <c r="D53" s="21">
        <v>4</v>
      </c>
      <c r="E53" s="21">
        <v>8</v>
      </c>
      <c r="F53" s="21">
        <v>6</v>
      </c>
      <c r="G53" s="22">
        <v>3.0728259756222472E-4</v>
      </c>
      <c r="H53" s="22">
        <v>3.0593514174994904E-4</v>
      </c>
      <c r="I53" s="22">
        <v>4.1433602651750571E-4</v>
      </c>
      <c r="J53" s="22">
        <v>8.2601961796592669E-4</v>
      </c>
      <c r="K53" s="22">
        <v>6.1187028349989807E-4</v>
      </c>
      <c r="L53" s="21">
        <v>3</v>
      </c>
      <c r="M53" s="21">
        <v>3</v>
      </c>
      <c r="N53" s="21">
        <v>4</v>
      </c>
      <c r="O53" s="21">
        <v>8</v>
      </c>
      <c r="P53" s="21">
        <v>6</v>
      </c>
      <c r="Q53" s="22">
        <v>1</v>
      </c>
      <c r="R53" s="22">
        <v>1</v>
      </c>
      <c r="S53" s="22">
        <v>1</v>
      </c>
      <c r="T53" s="22">
        <v>1</v>
      </c>
      <c r="U53" s="22">
        <v>1</v>
      </c>
      <c r="V53" s="21"/>
      <c r="W53" s="21">
        <v>0</v>
      </c>
      <c r="X53" s="21">
        <v>0</v>
      </c>
      <c r="Y53" s="21">
        <v>3</v>
      </c>
      <c r="Z53" s="21">
        <v>3</v>
      </c>
      <c r="AA53" s="21">
        <v>3</v>
      </c>
      <c r="AB53" s="22">
        <v>0</v>
      </c>
      <c r="AC53" s="22">
        <v>0</v>
      </c>
      <c r="AD53" s="22">
        <v>3.1380753138075313E-4</v>
      </c>
      <c r="AE53" s="22">
        <v>3.1407035175879397E-4</v>
      </c>
      <c r="AF53" s="22">
        <v>3.0593514174994904E-4</v>
      </c>
      <c r="AG53" s="21">
        <v>0</v>
      </c>
      <c r="AH53" s="21">
        <v>0</v>
      </c>
      <c r="AI53" s="21">
        <v>3</v>
      </c>
      <c r="AJ53" s="21">
        <v>0</v>
      </c>
      <c r="AK53" s="21">
        <v>3</v>
      </c>
      <c r="AL53" s="22">
        <v>0</v>
      </c>
      <c r="AM53" s="22">
        <v>0</v>
      </c>
      <c r="AN53" s="22">
        <v>1</v>
      </c>
      <c r="AO53" s="22">
        <v>0</v>
      </c>
      <c r="AP53" s="22">
        <v>1</v>
      </c>
    </row>
    <row r="54" spans="1:55" x14ac:dyDescent="0.25">
      <c r="A54" s="20" t="s">
        <v>60</v>
      </c>
      <c r="B54" s="21">
        <v>234</v>
      </c>
      <c r="C54" s="21">
        <v>221</v>
      </c>
      <c r="D54" s="21">
        <v>197</v>
      </c>
      <c r="E54" s="21">
        <v>195</v>
      </c>
      <c r="F54" s="21">
        <v>193</v>
      </c>
      <c r="G54" s="22">
        <v>2.3968042609853527E-2</v>
      </c>
      <c r="H54" s="22">
        <v>2.2537222108912909E-2</v>
      </c>
      <c r="I54" s="22">
        <v>2.0406049305987155E-2</v>
      </c>
      <c r="J54" s="22">
        <v>2.0134228187919462E-2</v>
      </c>
      <c r="K54" s="22">
        <v>1.9681827452580052E-2</v>
      </c>
      <c r="L54" s="21">
        <v>230</v>
      </c>
      <c r="M54" s="21">
        <v>217</v>
      </c>
      <c r="N54" s="21">
        <v>193</v>
      </c>
      <c r="O54" s="21">
        <v>191</v>
      </c>
      <c r="P54" s="21">
        <v>189</v>
      </c>
      <c r="Q54" s="22">
        <v>0.98290598290598286</v>
      </c>
      <c r="R54" s="22">
        <v>0.98190045248868774</v>
      </c>
      <c r="S54" s="22">
        <v>0.97969543147208127</v>
      </c>
      <c r="T54" s="22">
        <v>0.97948717948717945</v>
      </c>
      <c r="U54" s="22">
        <v>0.97927461139896377</v>
      </c>
      <c r="V54" s="21"/>
      <c r="W54" s="21">
        <v>110</v>
      </c>
      <c r="X54" s="21">
        <v>93</v>
      </c>
      <c r="Y54" s="21">
        <v>98</v>
      </c>
      <c r="Z54" s="21">
        <v>189</v>
      </c>
      <c r="AA54" s="21">
        <v>221</v>
      </c>
      <c r="AB54" s="22">
        <v>1.2373453318335208E-2</v>
      </c>
      <c r="AC54" s="22">
        <v>1.0366737264519007E-2</v>
      </c>
      <c r="AD54" s="22">
        <v>1.0251046025104602E-2</v>
      </c>
      <c r="AE54" s="22">
        <v>1.9786432160804019E-2</v>
      </c>
      <c r="AF54" s="22">
        <v>2.2537222108912909E-2</v>
      </c>
      <c r="AG54" s="21">
        <v>107</v>
      </c>
      <c r="AH54" s="21">
        <v>89</v>
      </c>
      <c r="AI54" s="21">
        <v>92</v>
      </c>
      <c r="AJ54" s="21">
        <v>184</v>
      </c>
      <c r="AK54" s="21">
        <v>217</v>
      </c>
      <c r="AL54" s="22">
        <v>0.97272727272727277</v>
      </c>
      <c r="AM54" s="22">
        <v>0.956989247311828</v>
      </c>
      <c r="AN54" s="22">
        <v>0.93877551020408168</v>
      </c>
      <c r="AO54" s="22">
        <v>0.97354497354497349</v>
      </c>
      <c r="AP54" s="22">
        <v>0.98190045248868774</v>
      </c>
    </row>
    <row r="55" spans="1:55" x14ac:dyDescent="0.25">
      <c r="A55" s="20" t="s">
        <v>66</v>
      </c>
      <c r="B55" s="21">
        <v>0</v>
      </c>
      <c r="C55" s="21">
        <v>0</v>
      </c>
      <c r="D55" s="21">
        <v>1</v>
      </c>
      <c r="E55" s="21">
        <v>2</v>
      </c>
      <c r="F55" s="21">
        <v>2</v>
      </c>
      <c r="G55" s="22">
        <v>0</v>
      </c>
      <c r="H55" s="22">
        <v>0</v>
      </c>
      <c r="I55" s="22">
        <v>1.0358400662937643E-4</v>
      </c>
      <c r="J55" s="22">
        <v>2.0650490449148167E-4</v>
      </c>
      <c r="K55" s="22">
        <v>2.0395676116663266E-4</v>
      </c>
      <c r="L55" s="21">
        <v>0</v>
      </c>
      <c r="M55" s="21">
        <v>0</v>
      </c>
      <c r="N55" s="21">
        <v>0</v>
      </c>
      <c r="O55" s="21">
        <v>2</v>
      </c>
      <c r="P55" s="21">
        <v>2</v>
      </c>
      <c r="Q55" s="22">
        <v>0</v>
      </c>
      <c r="R55" s="22">
        <v>0</v>
      </c>
      <c r="S55" s="22">
        <v>0</v>
      </c>
      <c r="T55" s="22">
        <v>1</v>
      </c>
      <c r="U55" s="22">
        <v>1</v>
      </c>
      <c r="V55" s="21"/>
      <c r="W55" s="21">
        <v>0</v>
      </c>
      <c r="X55" s="21">
        <v>0</v>
      </c>
      <c r="Y55" s="21">
        <v>0</v>
      </c>
      <c r="Z55" s="21">
        <v>1</v>
      </c>
      <c r="AA55" s="21">
        <v>0</v>
      </c>
      <c r="AB55" s="22">
        <v>0</v>
      </c>
      <c r="AC55" s="22">
        <v>0</v>
      </c>
      <c r="AD55" s="22">
        <v>0</v>
      </c>
      <c r="AE55" s="22">
        <v>1.0469011725293132E-4</v>
      </c>
      <c r="AF55" s="22">
        <v>0</v>
      </c>
      <c r="AG55" s="21">
        <v>0</v>
      </c>
      <c r="AH55" s="21">
        <v>0</v>
      </c>
      <c r="AI55" s="21">
        <v>0</v>
      </c>
      <c r="AJ55" s="21">
        <v>1</v>
      </c>
      <c r="AK55" s="21">
        <v>0</v>
      </c>
      <c r="AL55" s="22">
        <v>0</v>
      </c>
      <c r="AM55" s="22">
        <v>0</v>
      </c>
      <c r="AN55" s="22">
        <v>0</v>
      </c>
      <c r="AO55" s="22">
        <v>1</v>
      </c>
      <c r="AP55" s="22">
        <v>0</v>
      </c>
    </row>
    <row r="56" spans="1:55" x14ac:dyDescent="0.25">
      <c r="A56" s="31" t="s">
        <v>76</v>
      </c>
      <c r="B56" s="29">
        <v>9763</v>
      </c>
      <c r="C56" s="29">
        <v>9806</v>
      </c>
      <c r="D56" s="29">
        <v>9654</v>
      </c>
      <c r="E56" s="29">
        <v>9685</v>
      </c>
      <c r="F56" s="29">
        <v>9806</v>
      </c>
      <c r="G56" s="24">
        <v>1</v>
      </c>
      <c r="H56" s="24">
        <v>1</v>
      </c>
      <c r="I56" s="24">
        <v>1</v>
      </c>
      <c r="J56" s="24">
        <v>1</v>
      </c>
      <c r="K56" s="24">
        <v>1</v>
      </c>
      <c r="L56" s="29">
        <v>6866</v>
      </c>
      <c r="M56" s="29">
        <v>6951</v>
      </c>
      <c r="N56" s="29">
        <v>6819</v>
      </c>
      <c r="O56" s="29">
        <v>6901</v>
      </c>
      <c r="P56" s="29">
        <v>6966</v>
      </c>
      <c r="Q56" s="24">
        <v>0.70326743828741167</v>
      </c>
      <c r="R56" s="24">
        <v>0.70885172343463188</v>
      </c>
      <c r="S56" s="24">
        <v>0.70633934120571784</v>
      </c>
      <c r="T56" s="24">
        <v>0.71254517294785746</v>
      </c>
      <c r="U56" s="24">
        <v>0.71038139914338161</v>
      </c>
      <c r="V56" s="23"/>
      <c r="W56" s="29">
        <v>8890</v>
      </c>
      <c r="X56" s="29">
        <v>8971</v>
      </c>
      <c r="Y56" s="29">
        <v>9560</v>
      </c>
      <c r="Z56" s="29">
        <v>9552</v>
      </c>
      <c r="AA56" s="29">
        <v>9806</v>
      </c>
      <c r="AB56" s="24">
        <v>1</v>
      </c>
      <c r="AC56" s="24">
        <v>1</v>
      </c>
      <c r="AD56" s="24">
        <v>1</v>
      </c>
      <c r="AE56" s="24">
        <v>1</v>
      </c>
      <c r="AF56" s="24">
        <v>1</v>
      </c>
      <c r="AG56" s="29">
        <v>4650</v>
      </c>
      <c r="AH56" s="29">
        <v>5346</v>
      </c>
      <c r="AI56" s="29">
        <v>6100</v>
      </c>
      <c r="AJ56" s="29">
        <v>6404</v>
      </c>
      <c r="AK56" s="29">
        <v>6951</v>
      </c>
      <c r="AL56" s="24">
        <v>0.5230596175478065</v>
      </c>
      <c r="AM56" s="24">
        <v>0.59592018727009255</v>
      </c>
      <c r="AN56" s="24">
        <v>0.63807531380753135</v>
      </c>
      <c r="AO56" s="24">
        <v>0.6704355108877722</v>
      </c>
      <c r="AP56" s="24">
        <v>0.70885172343463188</v>
      </c>
    </row>
    <row r="57" spans="1:55" x14ac:dyDescent="0.25">
      <c r="A57" s="20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2"/>
      <c r="AC57" s="22"/>
      <c r="AD57" s="22"/>
      <c r="AE57" s="22"/>
      <c r="AF57" s="22"/>
      <c r="AG57" s="21"/>
      <c r="AH57" s="21"/>
      <c r="AI57" s="21"/>
      <c r="AJ57" s="21"/>
      <c r="AK57" s="21"/>
      <c r="AL57" s="22"/>
      <c r="AM57" s="22"/>
      <c r="AN57" s="22"/>
      <c r="AO57" s="22"/>
      <c r="AP57" s="22"/>
    </row>
    <row r="58" spans="1:55" x14ac:dyDescent="0.25">
      <c r="A58" s="20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2"/>
      <c r="AC58" s="22"/>
      <c r="AD58" s="22"/>
      <c r="AE58" s="22"/>
      <c r="AF58" s="22"/>
      <c r="AG58" s="21"/>
      <c r="AH58" s="21"/>
      <c r="AI58" s="21"/>
      <c r="AJ58" s="21"/>
      <c r="AK58" s="21"/>
      <c r="AL58" s="22"/>
      <c r="AM58" s="22"/>
      <c r="AN58" s="22"/>
      <c r="AO58" s="22"/>
      <c r="AP58" s="22"/>
    </row>
    <row r="59" spans="1:55" s="21" customFormat="1" ht="12.75" x14ac:dyDescent="0.2">
      <c r="A59" s="2" t="s">
        <v>79</v>
      </c>
      <c r="AB59" s="22"/>
      <c r="AC59" s="22"/>
      <c r="AD59" s="22"/>
      <c r="AE59" s="22"/>
      <c r="AF59" s="22"/>
      <c r="AL59" s="22"/>
      <c r="AM59" s="22"/>
      <c r="AN59" s="22"/>
      <c r="AO59" s="22"/>
      <c r="AP59" s="22"/>
      <c r="AQ59" s="39">
        <v>1</v>
      </c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</row>
    <row r="60" spans="1:55" s="23" customFormat="1" ht="12.75" x14ac:dyDescent="0.2">
      <c r="A60" s="1" t="s">
        <v>80</v>
      </c>
      <c r="AB60" s="24"/>
      <c r="AC60" s="24"/>
      <c r="AD60" s="24"/>
      <c r="AE60" s="24"/>
      <c r="AF60" s="24"/>
      <c r="AL60" s="24"/>
      <c r="AM60" s="24"/>
      <c r="AN60" s="24"/>
      <c r="AO60" s="24"/>
      <c r="AP60" s="24"/>
      <c r="AQ60" s="40">
        <v>1</v>
      </c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</row>
    <row r="61" spans="1:55" s="21" customFormat="1" ht="12.75" x14ac:dyDescent="0.2">
      <c r="A61" s="10" t="s">
        <v>11</v>
      </c>
      <c r="B61" s="10" t="s">
        <v>12</v>
      </c>
      <c r="C61" s="10" t="s">
        <v>13</v>
      </c>
      <c r="D61" s="10" t="s">
        <v>14</v>
      </c>
      <c r="E61" s="10" t="s">
        <v>15</v>
      </c>
      <c r="F61" s="10" t="s">
        <v>16</v>
      </c>
      <c r="G61" s="10" t="s">
        <v>12</v>
      </c>
      <c r="H61" s="10" t="s">
        <v>13</v>
      </c>
      <c r="I61" s="10" t="s">
        <v>14</v>
      </c>
      <c r="J61" s="10" t="s">
        <v>15</v>
      </c>
      <c r="K61" s="10" t="s">
        <v>16</v>
      </c>
      <c r="L61" s="10" t="s">
        <v>12</v>
      </c>
      <c r="M61" s="10" t="s">
        <v>13</v>
      </c>
      <c r="N61" s="10" t="s">
        <v>14</v>
      </c>
      <c r="O61" s="10" t="s">
        <v>15</v>
      </c>
      <c r="P61" s="10" t="s">
        <v>16</v>
      </c>
      <c r="Q61" s="10" t="s">
        <v>12</v>
      </c>
      <c r="R61" s="10" t="s">
        <v>13</v>
      </c>
      <c r="S61" s="10" t="s">
        <v>14</v>
      </c>
      <c r="T61" s="10" t="s">
        <v>15</v>
      </c>
      <c r="U61" s="10" t="s">
        <v>16</v>
      </c>
      <c r="V61" s="10"/>
      <c r="W61" s="10" t="s">
        <v>17</v>
      </c>
      <c r="X61" s="10" t="s">
        <v>18</v>
      </c>
      <c r="Y61" s="10" t="s">
        <v>19</v>
      </c>
      <c r="Z61" s="10" t="s">
        <v>20</v>
      </c>
      <c r="AA61" s="10" t="s">
        <v>21</v>
      </c>
      <c r="AB61" s="10" t="s">
        <v>17</v>
      </c>
      <c r="AC61" s="10" t="s">
        <v>18</v>
      </c>
      <c r="AD61" s="10" t="s">
        <v>19</v>
      </c>
      <c r="AE61" s="10" t="s">
        <v>20</v>
      </c>
      <c r="AF61" s="10" t="s">
        <v>21</v>
      </c>
      <c r="AG61" s="10" t="s">
        <v>17</v>
      </c>
      <c r="AH61" s="10" t="s">
        <v>18</v>
      </c>
      <c r="AI61" s="10" t="s">
        <v>19</v>
      </c>
      <c r="AJ61" s="10" t="s">
        <v>20</v>
      </c>
      <c r="AK61" s="10" t="s">
        <v>21</v>
      </c>
      <c r="AL61" s="10" t="s">
        <v>17</v>
      </c>
      <c r="AM61" s="10" t="s">
        <v>18</v>
      </c>
      <c r="AN61" s="10" t="s">
        <v>19</v>
      </c>
      <c r="AO61" s="10" t="s">
        <v>20</v>
      </c>
      <c r="AP61" s="10" t="s">
        <v>21</v>
      </c>
      <c r="AQ61" s="39">
        <v>1</v>
      </c>
    </row>
    <row r="62" spans="1:55" s="21" customFormat="1" ht="12.75" x14ac:dyDescent="0.2">
      <c r="A62" s="20" t="s">
        <v>24</v>
      </c>
      <c r="B62" s="21">
        <v>23571</v>
      </c>
      <c r="C62" s="21">
        <v>23099</v>
      </c>
      <c r="D62" s="21">
        <v>23054</v>
      </c>
      <c r="E62" s="21">
        <v>22935</v>
      </c>
      <c r="F62" s="21">
        <v>23424</v>
      </c>
      <c r="G62" s="22">
        <v>0.32653146039398223</v>
      </c>
      <c r="H62" s="22">
        <v>0.31466597646033129</v>
      </c>
      <c r="I62" s="22">
        <v>0.30903485254691687</v>
      </c>
      <c r="J62" s="22">
        <v>0.29798872229296053</v>
      </c>
      <c r="K62" s="22">
        <v>0.2980683582317461</v>
      </c>
      <c r="L62" s="21">
        <v>17118</v>
      </c>
      <c r="M62" s="21">
        <v>17021</v>
      </c>
      <c r="N62" s="21">
        <v>17179</v>
      </c>
      <c r="O62" s="21">
        <v>17252</v>
      </c>
      <c r="P62" s="21">
        <v>17280</v>
      </c>
      <c r="Q62" s="22">
        <v>0.72623138602520043</v>
      </c>
      <c r="R62" s="22">
        <v>0.73687172604874673</v>
      </c>
      <c r="S62" s="22">
        <v>0.74516352910557826</v>
      </c>
      <c r="T62" s="22">
        <v>0.75221277523435792</v>
      </c>
      <c r="U62" s="22">
        <v>0.73770491803278693</v>
      </c>
      <c r="W62" s="21">
        <v>23073</v>
      </c>
      <c r="X62" s="21">
        <v>23434</v>
      </c>
      <c r="Y62" s="21">
        <v>26403</v>
      </c>
      <c r="Z62" s="21">
        <v>23974</v>
      </c>
      <c r="AA62" s="21">
        <v>23099</v>
      </c>
      <c r="AB62" s="22">
        <v>0.46907782385947794</v>
      </c>
      <c r="AC62" s="22">
        <v>0.46282069006379239</v>
      </c>
      <c r="AD62" s="22">
        <v>0.41097361662386178</v>
      </c>
      <c r="AE62" s="22">
        <v>0.35270924364802636</v>
      </c>
      <c r="AF62" s="22">
        <v>0.31466597646033129</v>
      </c>
      <c r="AG62" s="21">
        <v>15826</v>
      </c>
      <c r="AH62" s="21">
        <v>16820</v>
      </c>
      <c r="AI62" s="21">
        <v>18189</v>
      </c>
      <c r="AJ62" s="21">
        <v>16865</v>
      </c>
      <c r="AK62" s="21">
        <v>17021</v>
      </c>
      <c r="AL62" s="22">
        <v>0.68590993802279721</v>
      </c>
      <c r="AM62" s="22">
        <v>0.71776051890415637</v>
      </c>
      <c r="AN62" s="22">
        <v>0.68889898875127831</v>
      </c>
      <c r="AO62" s="22">
        <v>0.70347042629515311</v>
      </c>
      <c r="AP62" s="22">
        <v>0.73687172604874673</v>
      </c>
      <c r="AQ62" s="39">
        <v>406647.78763265308</v>
      </c>
    </row>
    <row r="63" spans="1:55" s="21" customFormat="1" ht="12.75" x14ac:dyDescent="0.2">
      <c r="A63" s="20" t="s">
        <v>48</v>
      </c>
      <c r="B63" s="21">
        <v>37186</v>
      </c>
      <c r="C63" s="21">
        <v>38950</v>
      </c>
      <c r="D63" s="21">
        <v>39805</v>
      </c>
      <c r="E63" s="21">
        <v>40409</v>
      </c>
      <c r="F63" s="21">
        <v>42481</v>
      </c>
      <c r="G63" s="22">
        <v>0.51514144016845376</v>
      </c>
      <c r="H63" s="22">
        <v>0.53059612031386227</v>
      </c>
      <c r="I63" s="22">
        <v>0.53357908847184987</v>
      </c>
      <c r="J63" s="22">
        <v>0.52502403658758412</v>
      </c>
      <c r="K63" s="22">
        <v>0.54056702211589847</v>
      </c>
      <c r="L63" s="21">
        <v>28950</v>
      </c>
      <c r="M63" s="21">
        <v>30632</v>
      </c>
      <c r="N63" s="21">
        <v>31191</v>
      </c>
      <c r="O63" s="21">
        <v>31573</v>
      </c>
      <c r="P63" s="21">
        <v>32267</v>
      </c>
      <c r="Q63" s="22">
        <v>0.7785187973968698</v>
      </c>
      <c r="R63" s="22">
        <v>0.78644415917843391</v>
      </c>
      <c r="S63" s="22">
        <v>0.78359502575053386</v>
      </c>
      <c r="T63" s="22">
        <v>0.78133584102551412</v>
      </c>
      <c r="U63" s="22">
        <v>0.75956309879710926</v>
      </c>
      <c r="W63" s="21">
        <v>17579</v>
      </c>
      <c r="X63" s="21">
        <v>18515</v>
      </c>
      <c r="Y63" s="21">
        <v>28984</v>
      </c>
      <c r="Z63" s="21">
        <v>33239</v>
      </c>
      <c r="AA63" s="21">
        <v>38950</v>
      </c>
      <c r="AB63" s="22">
        <v>0.3573839147759616</v>
      </c>
      <c r="AC63" s="22">
        <v>0.36567061007643237</v>
      </c>
      <c r="AD63" s="22">
        <v>0.4511479492567515</v>
      </c>
      <c r="AE63" s="22">
        <v>0.4890173750570096</v>
      </c>
      <c r="AF63" s="22">
        <v>0.53059612031386227</v>
      </c>
      <c r="AG63" s="21">
        <v>11535</v>
      </c>
      <c r="AH63" s="21">
        <v>13070</v>
      </c>
      <c r="AI63" s="21">
        <v>20384</v>
      </c>
      <c r="AJ63" s="21">
        <v>24774</v>
      </c>
      <c r="AK63" s="21">
        <v>30632</v>
      </c>
      <c r="AL63" s="22">
        <v>0.65618067011775416</v>
      </c>
      <c r="AM63" s="22">
        <v>0.70591412368349982</v>
      </c>
      <c r="AN63" s="22">
        <v>0.70328457079768147</v>
      </c>
      <c r="AO63" s="22">
        <v>0.74532928186768554</v>
      </c>
      <c r="AP63" s="22">
        <v>0.78644415917843391</v>
      </c>
      <c r="AQ63" s="39">
        <v>591118.32533340517</v>
      </c>
    </row>
    <row r="64" spans="1:55" s="21" customFormat="1" ht="12.75" x14ac:dyDescent="0.2">
      <c r="A64" s="20" t="s">
        <v>35</v>
      </c>
      <c r="B64" s="21">
        <v>6419</v>
      </c>
      <c r="C64" s="21">
        <v>6175</v>
      </c>
      <c r="D64" s="21">
        <v>6646</v>
      </c>
      <c r="E64" s="21">
        <v>7333</v>
      </c>
      <c r="F64" s="21">
        <v>6964</v>
      </c>
      <c r="G64" s="22">
        <v>8.8923059873105587E-2</v>
      </c>
      <c r="H64" s="22">
        <v>8.4118897122929387E-2</v>
      </c>
      <c r="I64" s="22">
        <v>8.9088471849865958E-2</v>
      </c>
      <c r="J64" s="22">
        <v>9.5275836083465432E-2</v>
      </c>
      <c r="K64" s="22">
        <v>8.8616292978393102E-2</v>
      </c>
      <c r="L64" s="21">
        <v>4988</v>
      </c>
      <c r="M64" s="21">
        <v>4925</v>
      </c>
      <c r="N64" s="21">
        <v>5293</v>
      </c>
      <c r="O64" s="21">
        <v>5406</v>
      </c>
      <c r="P64" s="21">
        <v>5410</v>
      </c>
      <c r="Q64" s="22">
        <v>0.77706807914005294</v>
      </c>
      <c r="R64" s="22">
        <v>0.79757085020242913</v>
      </c>
      <c r="S64" s="22">
        <v>0.79641889858561543</v>
      </c>
      <c r="T64" s="22">
        <v>0.7372153279694531</v>
      </c>
      <c r="U64" s="22">
        <v>0.77685238368753595</v>
      </c>
      <c r="W64" s="21">
        <v>5646</v>
      </c>
      <c r="X64" s="21">
        <v>5092</v>
      </c>
      <c r="Y64" s="21">
        <v>5115</v>
      </c>
      <c r="Z64" s="21">
        <v>6036</v>
      </c>
      <c r="AA64" s="21">
        <v>6175</v>
      </c>
      <c r="AB64" s="22">
        <v>0.1147840936813857</v>
      </c>
      <c r="AC64" s="22">
        <v>0.10056682400805798</v>
      </c>
      <c r="AD64" s="22">
        <v>7.9617090824188649E-2</v>
      </c>
      <c r="AE64" s="22">
        <v>8.880257756984597E-2</v>
      </c>
      <c r="AF64" s="22">
        <v>8.4118897122929387E-2</v>
      </c>
      <c r="AG64" s="21">
        <v>3405</v>
      </c>
      <c r="AH64" s="21">
        <v>3671</v>
      </c>
      <c r="AI64" s="21">
        <v>3916</v>
      </c>
      <c r="AJ64" s="21">
        <v>4776</v>
      </c>
      <c r="AK64" s="21">
        <v>4925</v>
      </c>
      <c r="AL64" s="22">
        <v>0.60308182784272046</v>
      </c>
      <c r="AM64" s="22">
        <v>0.72093479968578167</v>
      </c>
      <c r="AN64" s="22">
        <v>0.7655913978494624</v>
      </c>
      <c r="AO64" s="22">
        <v>0.79125248508946322</v>
      </c>
      <c r="AP64" s="22">
        <v>0.79757085020242913</v>
      </c>
      <c r="AQ64" s="39">
        <v>108324.47746894136</v>
      </c>
    </row>
    <row r="65" spans="1:55" s="21" customFormat="1" ht="12.75" x14ac:dyDescent="0.2">
      <c r="A65" s="20" t="s">
        <v>81</v>
      </c>
      <c r="B65" s="21">
        <v>5010</v>
      </c>
      <c r="C65" s="21">
        <v>5184</v>
      </c>
      <c r="D65" s="21">
        <v>5095</v>
      </c>
      <c r="E65" s="21">
        <v>6289</v>
      </c>
      <c r="F65" s="21">
        <v>5717</v>
      </c>
      <c r="G65" s="22">
        <v>6.9404039564458481E-2</v>
      </c>
      <c r="H65" s="22">
        <v>7.0619006102877066E-2</v>
      </c>
      <c r="I65" s="22">
        <v>6.8297587131367299E-2</v>
      </c>
      <c r="J65" s="22">
        <v>8.171140503598992E-2</v>
      </c>
      <c r="K65" s="22">
        <v>7.2748326673962277E-2</v>
      </c>
      <c r="L65" s="21">
        <v>2818</v>
      </c>
      <c r="M65" s="21">
        <v>2997</v>
      </c>
      <c r="N65" s="21">
        <v>3114</v>
      </c>
      <c r="O65" s="21">
        <v>4027</v>
      </c>
      <c r="P65" s="21">
        <v>3348</v>
      </c>
      <c r="Q65" s="22">
        <v>0.56247504990019959</v>
      </c>
      <c r="R65" s="22">
        <v>0.578125</v>
      </c>
      <c r="S65" s="22">
        <v>0.61118743866535818</v>
      </c>
      <c r="T65" s="22">
        <v>0.64032437589441882</v>
      </c>
      <c r="U65" s="22">
        <v>0.58562182963092535</v>
      </c>
      <c r="W65" s="21">
        <v>2890</v>
      </c>
      <c r="X65" s="21">
        <v>3592</v>
      </c>
      <c r="Y65" s="21">
        <v>3743</v>
      </c>
      <c r="Z65" s="21">
        <v>4722</v>
      </c>
      <c r="AA65" s="21">
        <v>5184</v>
      </c>
      <c r="AB65" s="22">
        <v>5.8754167683174756E-2</v>
      </c>
      <c r="AC65" s="22">
        <v>7.0941875851717254E-2</v>
      </c>
      <c r="AD65" s="22">
        <v>5.8261343295198068E-2</v>
      </c>
      <c r="AE65" s="22">
        <v>6.947080372511806E-2</v>
      </c>
      <c r="AF65" s="22">
        <v>7.0619006102877066E-2</v>
      </c>
      <c r="AG65" s="21">
        <v>637</v>
      </c>
      <c r="AH65" s="21">
        <v>1565</v>
      </c>
      <c r="AI65" s="21">
        <v>1886</v>
      </c>
      <c r="AJ65" s="21">
        <v>2207</v>
      </c>
      <c r="AK65" s="21">
        <v>2997</v>
      </c>
      <c r="AL65" s="22">
        <v>0.2204152249134948</v>
      </c>
      <c r="AM65" s="22">
        <v>0.4356904231625835</v>
      </c>
      <c r="AN65" s="22">
        <v>0.50387389794282667</v>
      </c>
      <c r="AO65" s="22">
        <v>0.46738670055061415</v>
      </c>
      <c r="AP65" s="22">
        <v>0.578125</v>
      </c>
      <c r="AQ65" s="39">
        <v>73027.874052501822</v>
      </c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</row>
    <row r="66" spans="1:55" s="23" customFormat="1" ht="12.75" x14ac:dyDescent="0.2">
      <c r="A66" s="31" t="s">
        <v>82</v>
      </c>
      <c r="B66" s="23">
        <v>72186</v>
      </c>
      <c r="C66" s="23">
        <v>73408</v>
      </c>
      <c r="D66" s="23">
        <v>74600</v>
      </c>
      <c r="E66" s="23">
        <v>76966</v>
      </c>
      <c r="F66" s="23">
        <v>78586</v>
      </c>
      <c r="G66" s="24">
        <v>1</v>
      </c>
      <c r="H66" s="24">
        <v>1</v>
      </c>
      <c r="I66" s="24">
        <v>1</v>
      </c>
      <c r="J66" s="24">
        <v>1</v>
      </c>
      <c r="K66" s="24">
        <v>1</v>
      </c>
      <c r="L66" s="23">
        <v>53874</v>
      </c>
      <c r="M66" s="23">
        <v>55575</v>
      </c>
      <c r="N66" s="23">
        <v>56777</v>
      </c>
      <c r="O66" s="23">
        <v>58258</v>
      </c>
      <c r="P66" s="23">
        <v>58305</v>
      </c>
      <c r="Q66" s="24">
        <v>0.74632200149613503</v>
      </c>
      <c r="R66" s="24">
        <v>0.7570700741063644</v>
      </c>
      <c r="S66" s="24">
        <v>0.7610857908847185</v>
      </c>
      <c r="T66" s="24">
        <v>0.75693163214926074</v>
      </c>
      <c r="U66" s="24">
        <v>0.74192604280660679</v>
      </c>
      <c r="W66" s="23">
        <v>49188</v>
      </c>
      <c r="X66" s="23">
        <v>50633</v>
      </c>
      <c r="Y66" s="23">
        <v>64245</v>
      </c>
      <c r="Z66" s="23">
        <v>67971</v>
      </c>
      <c r="AA66" s="23">
        <v>73408</v>
      </c>
      <c r="AB66" s="24">
        <v>1</v>
      </c>
      <c r="AC66" s="24">
        <v>1</v>
      </c>
      <c r="AD66" s="24">
        <v>1</v>
      </c>
      <c r="AE66" s="24">
        <v>1</v>
      </c>
      <c r="AF66" s="24">
        <v>1</v>
      </c>
      <c r="AG66" s="23">
        <v>31403</v>
      </c>
      <c r="AH66" s="23">
        <v>35126</v>
      </c>
      <c r="AI66" s="23">
        <v>44375</v>
      </c>
      <c r="AJ66" s="23">
        <v>48622</v>
      </c>
      <c r="AK66" s="23">
        <v>55575</v>
      </c>
      <c r="AL66" s="24">
        <v>0.63842807188745221</v>
      </c>
      <c r="AM66" s="24">
        <v>0.69373728595974959</v>
      </c>
      <c r="AN66" s="24">
        <v>0.69071523075725738</v>
      </c>
      <c r="AO66" s="24">
        <v>0.71533448088155238</v>
      </c>
      <c r="AP66" s="24">
        <v>0.7570700741063644</v>
      </c>
      <c r="AQ66" s="39">
        <v>1179098.258620685</v>
      </c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</row>
    <row r="67" spans="1:55" s="21" customFormat="1" ht="12.75" x14ac:dyDescent="0.2">
      <c r="A67" s="20"/>
      <c r="AB67" s="22"/>
      <c r="AC67" s="22"/>
      <c r="AD67" s="22"/>
      <c r="AE67" s="22"/>
      <c r="AF67" s="22"/>
      <c r="AL67" s="22"/>
      <c r="AM67" s="22"/>
      <c r="AN67" s="22"/>
      <c r="AO67" s="22"/>
      <c r="AP67" s="22"/>
      <c r="AQ67" s="39">
        <v>1</v>
      </c>
    </row>
    <row r="68" spans="1:55" s="21" customFormat="1" ht="12.75" x14ac:dyDescent="0.2">
      <c r="A68" s="10" t="s">
        <v>69</v>
      </c>
      <c r="B68" s="10" t="s">
        <v>12</v>
      </c>
      <c r="C68" s="10" t="s">
        <v>13</v>
      </c>
      <c r="D68" s="10" t="s">
        <v>14</v>
      </c>
      <c r="E68" s="10" t="s">
        <v>15</v>
      </c>
      <c r="F68" s="10" t="s">
        <v>16</v>
      </c>
      <c r="G68" s="10" t="s">
        <v>12</v>
      </c>
      <c r="H68" s="10" t="s">
        <v>13</v>
      </c>
      <c r="I68" s="10" t="s">
        <v>14</v>
      </c>
      <c r="J68" s="10" t="s">
        <v>15</v>
      </c>
      <c r="K68" s="10" t="s">
        <v>16</v>
      </c>
      <c r="L68" s="10" t="s">
        <v>12</v>
      </c>
      <c r="M68" s="10" t="s">
        <v>13</v>
      </c>
      <c r="N68" s="10" t="s">
        <v>14</v>
      </c>
      <c r="O68" s="10" t="s">
        <v>15</v>
      </c>
      <c r="P68" s="10" t="s">
        <v>16</v>
      </c>
      <c r="Q68" s="10" t="s">
        <v>12</v>
      </c>
      <c r="R68" s="10" t="s">
        <v>13</v>
      </c>
      <c r="S68" s="10" t="s">
        <v>14</v>
      </c>
      <c r="T68" s="10" t="s">
        <v>15</v>
      </c>
      <c r="U68" s="10" t="s">
        <v>16</v>
      </c>
      <c r="V68" s="10"/>
      <c r="W68" s="10" t="s">
        <v>17</v>
      </c>
      <c r="X68" s="10" t="s">
        <v>18</v>
      </c>
      <c r="Y68" s="10" t="s">
        <v>19</v>
      </c>
      <c r="Z68" s="10" t="s">
        <v>20</v>
      </c>
      <c r="AA68" s="10" t="s">
        <v>21</v>
      </c>
      <c r="AB68" s="10" t="s">
        <v>17</v>
      </c>
      <c r="AC68" s="10" t="s">
        <v>18</v>
      </c>
      <c r="AD68" s="10" t="s">
        <v>19</v>
      </c>
      <c r="AE68" s="10" t="s">
        <v>20</v>
      </c>
      <c r="AF68" s="10" t="s">
        <v>21</v>
      </c>
      <c r="AG68" s="10" t="s">
        <v>17</v>
      </c>
      <c r="AH68" s="10" t="s">
        <v>18</v>
      </c>
      <c r="AI68" s="10" t="s">
        <v>19</v>
      </c>
      <c r="AJ68" s="10" t="s">
        <v>20</v>
      </c>
      <c r="AK68" s="10" t="s">
        <v>21</v>
      </c>
      <c r="AL68" s="10" t="s">
        <v>17</v>
      </c>
      <c r="AM68" s="10" t="s">
        <v>18</v>
      </c>
      <c r="AN68" s="10" t="s">
        <v>19</v>
      </c>
      <c r="AO68" s="10" t="s">
        <v>20</v>
      </c>
      <c r="AP68" s="10" t="s">
        <v>21</v>
      </c>
      <c r="AQ68" s="39">
        <v>1</v>
      </c>
    </row>
    <row r="69" spans="1:55" s="21" customFormat="1" ht="12.75" x14ac:dyDescent="0.2">
      <c r="A69" s="20" t="s">
        <v>23</v>
      </c>
      <c r="B69" s="21">
        <v>1810</v>
      </c>
      <c r="C69" s="21">
        <v>1826</v>
      </c>
      <c r="D69" s="21">
        <v>1813</v>
      </c>
      <c r="E69" s="21">
        <v>1808</v>
      </c>
      <c r="F69" s="21">
        <v>1808</v>
      </c>
      <c r="G69" s="22">
        <v>0.71882446386020649</v>
      </c>
      <c r="H69" s="22">
        <v>0.71579772638181105</v>
      </c>
      <c r="I69" s="22">
        <v>0.69945987654320985</v>
      </c>
      <c r="J69" s="22">
        <v>0.70023237800154914</v>
      </c>
      <c r="K69" s="22">
        <v>0.68097928436911492</v>
      </c>
      <c r="L69" s="21">
        <v>292</v>
      </c>
      <c r="M69" s="21">
        <v>322</v>
      </c>
      <c r="N69" s="21">
        <v>329</v>
      </c>
      <c r="O69" s="21">
        <v>357</v>
      </c>
      <c r="P69" s="21">
        <v>309</v>
      </c>
      <c r="Q69" s="22">
        <v>0.16132596685082873</v>
      </c>
      <c r="R69" s="22">
        <v>0.17634173055859803</v>
      </c>
      <c r="S69" s="22">
        <v>0.18146718146718147</v>
      </c>
      <c r="T69" s="22">
        <v>0.19745575221238937</v>
      </c>
      <c r="U69" s="22">
        <v>0.1709070796460177</v>
      </c>
      <c r="W69" s="21">
        <v>1949</v>
      </c>
      <c r="X69" s="21">
        <v>2068</v>
      </c>
      <c r="Y69" s="21">
        <v>1976</v>
      </c>
      <c r="Z69" s="21">
        <v>1928</v>
      </c>
      <c r="AA69" s="21">
        <v>1826</v>
      </c>
      <c r="AB69" s="22">
        <v>0.94980506822612087</v>
      </c>
      <c r="AC69" s="22">
        <v>0.83792544570502436</v>
      </c>
      <c r="AD69" s="22">
        <v>0.77157360406091369</v>
      </c>
      <c r="AE69" s="22">
        <v>0.72590361445783136</v>
      </c>
      <c r="AF69" s="22">
        <v>0.71579772638181105</v>
      </c>
      <c r="AG69" s="21">
        <v>330</v>
      </c>
      <c r="AH69" s="21">
        <v>576</v>
      </c>
      <c r="AI69" s="21">
        <v>628</v>
      </c>
      <c r="AJ69" s="21">
        <v>114</v>
      </c>
      <c r="AK69" s="21">
        <v>322</v>
      </c>
      <c r="AL69" s="22">
        <v>0.16931759876859928</v>
      </c>
      <c r="AM69" s="22">
        <v>0.27852998065764023</v>
      </c>
      <c r="AN69" s="22">
        <v>0.31781376518218624</v>
      </c>
      <c r="AO69" s="22">
        <v>5.9128630705394189E-2</v>
      </c>
      <c r="AP69" s="22">
        <v>0.17634173055859803</v>
      </c>
      <c r="AQ69" s="39">
        <v>22400.404928604596</v>
      </c>
    </row>
    <row r="70" spans="1:55" s="21" customFormat="1" ht="12.75" x14ac:dyDescent="0.2">
      <c r="A70" s="20" t="s">
        <v>48</v>
      </c>
      <c r="B70" s="21">
        <v>632</v>
      </c>
      <c r="C70" s="21">
        <v>652</v>
      </c>
      <c r="D70" s="21">
        <v>706</v>
      </c>
      <c r="E70" s="21">
        <v>702</v>
      </c>
      <c r="F70" s="21">
        <v>773</v>
      </c>
      <c r="G70" s="22">
        <v>0.25099285146942019</v>
      </c>
      <c r="H70" s="22">
        <v>0.25558604468835749</v>
      </c>
      <c r="I70" s="22">
        <v>0.27237654320987653</v>
      </c>
      <c r="J70" s="22">
        <v>0.27188226181254843</v>
      </c>
      <c r="K70" s="22">
        <v>0.29114877589453858</v>
      </c>
      <c r="L70" s="21">
        <v>594</v>
      </c>
      <c r="M70" s="21">
        <v>615</v>
      </c>
      <c r="N70" s="21">
        <v>675</v>
      </c>
      <c r="O70" s="21">
        <v>662</v>
      </c>
      <c r="P70" s="21">
        <v>701</v>
      </c>
      <c r="Q70" s="22">
        <v>0.939873417721519</v>
      </c>
      <c r="R70" s="22">
        <v>0.94325153374233128</v>
      </c>
      <c r="S70" s="22">
        <v>0.9560906515580736</v>
      </c>
      <c r="T70" s="22">
        <v>0.94301994301994307</v>
      </c>
      <c r="U70" s="22">
        <v>0.90685640362225095</v>
      </c>
      <c r="W70" s="21">
        <v>0</v>
      </c>
      <c r="X70" s="21">
        <v>328</v>
      </c>
      <c r="Y70" s="21">
        <v>525</v>
      </c>
      <c r="Z70" s="21">
        <v>646</v>
      </c>
      <c r="AA70" s="21">
        <v>652</v>
      </c>
      <c r="AB70" s="22">
        <v>0</v>
      </c>
      <c r="AC70" s="22">
        <v>0.13290113452188007</v>
      </c>
      <c r="AD70" s="22">
        <v>0.20499804763764154</v>
      </c>
      <c r="AE70" s="22">
        <v>0.24322289156626506</v>
      </c>
      <c r="AF70" s="22">
        <v>0.25558604468835749</v>
      </c>
      <c r="AG70" s="21">
        <v>0</v>
      </c>
      <c r="AH70" s="21">
        <v>322</v>
      </c>
      <c r="AI70" s="21">
        <v>513</v>
      </c>
      <c r="AJ70" s="21">
        <v>619</v>
      </c>
      <c r="AK70" s="21">
        <v>615</v>
      </c>
      <c r="AL70" s="22">
        <v>0</v>
      </c>
      <c r="AM70" s="22">
        <v>0.98170731707317072</v>
      </c>
      <c r="AN70" s="22">
        <v>0.97714285714285709</v>
      </c>
      <c r="AO70" s="22">
        <v>0.95820433436532504</v>
      </c>
      <c r="AP70" s="22">
        <v>0.94325153374233128</v>
      </c>
      <c r="AQ70" s="39">
        <v>10942.728092587475</v>
      </c>
    </row>
    <row r="71" spans="1:55" s="21" customFormat="1" ht="12.75" x14ac:dyDescent="0.2">
      <c r="A71" s="20" t="s">
        <v>35</v>
      </c>
      <c r="B71" s="21">
        <v>76</v>
      </c>
      <c r="C71" s="21">
        <v>73</v>
      </c>
      <c r="D71" s="21">
        <v>73</v>
      </c>
      <c r="E71" s="21">
        <v>72</v>
      </c>
      <c r="F71" s="21">
        <v>74</v>
      </c>
      <c r="G71" s="22">
        <v>3.0182684670373314E-2</v>
      </c>
      <c r="H71" s="22">
        <v>2.8616228929831438E-2</v>
      </c>
      <c r="I71" s="22">
        <v>2.816358024691358E-2</v>
      </c>
      <c r="J71" s="22">
        <v>2.7885360185902403E-2</v>
      </c>
      <c r="K71" s="22">
        <v>2.7871939736346517E-2</v>
      </c>
      <c r="L71" s="21">
        <v>70</v>
      </c>
      <c r="M71" s="21">
        <v>67</v>
      </c>
      <c r="N71" s="21">
        <v>68</v>
      </c>
      <c r="O71" s="21">
        <v>67</v>
      </c>
      <c r="P71" s="21">
        <v>69</v>
      </c>
      <c r="Q71" s="22">
        <v>0.92105263157894735</v>
      </c>
      <c r="R71" s="22">
        <v>0.9178082191780822</v>
      </c>
      <c r="S71" s="22">
        <v>0.93150684931506844</v>
      </c>
      <c r="T71" s="22">
        <v>0.93055555555555558</v>
      </c>
      <c r="U71" s="22">
        <v>0.93243243243243246</v>
      </c>
      <c r="W71" s="21">
        <v>103</v>
      </c>
      <c r="X71" s="21">
        <v>72</v>
      </c>
      <c r="Y71" s="21">
        <v>60</v>
      </c>
      <c r="Z71" s="21">
        <v>82</v>
      </c>
      <c r="AA71" s="21">
        <v>73</v>
      </c>
      <c r="AB71" s="22">
        <v>5.019493177387914E-2</v>
      </c>
      <c r="AC71" s="22">
        <v>2.9173419773095625E-2</v>
      </c>
      <c r="AD71" s="22">
        <v>2.3428348301444749E-2</v>
      </c>
      <c r="AE71" s="22">
        <v>3.0873493975903613E-2</v>
      </c>
      <c r="AF71" s="22">
        <v>2.8616228929831438E-2</v>
      </c>
      <c r="AG71" s="21">
        <v>99</v>
      </c>
      <c r="AH71" s="21">
        <v>68</v>
      </c>
      <c r="AI71" s="21">
        <v>56</v>
      </c>
      <c r="AJ71" s="21">
        <v>76</v>
      </c>
      <c r="AK71" s="21">
        <v>67</v>
      </c>
      <c r="AL71" s="22">
        <v>0.96116504854368934</v>
      </c>
      <c r="AM71" s="22">
        <v>0.94444444444444442</v>
      </c>
      <c r="AN71" s="22">
        <v>0.93333333333333335</v>
      </c>
      <c r="AO71" s="22">
        <v>0.92682926829268297</v>
      </c>
      <c r="AP71" s="22">
        <v>0.9178082191780822</v>
      </c>
      <c r="AQ71" s="39">
        <v>1474.6219422183758</v>
      </c>
    </row>
    <row r="72" spans="1:55" s="23" customFormat="1" ht="12.75" x14ac:dyDescent="0.2">
      <c r="A72" s="31" t="s">
        <v>82</v>
      </c>
      <c r="B72" s="23">
        <v>2518</v>
      </c>
      <c r="C72" s="23">
        <v>2551</v>
      </c>
      <c r="D72" s="23">
        <v>2592</v>
      </c>
      <c r="E72" s="23">
        <v>2582</v>
      </c>
      <c r="F72" s="23">
        <v>2655</v>
      </c>
      <c r="G72" s="24">
        <v>1</v>
      </c>
      <c r="H72" s="24">
        <v>1</v>
      </c>
      <c r="I72" s="24">
        <v>1</v>
      </c>
      <c r="J72" s="24">
        <v>1</v>
      </c>
      <c r="K72" s="24">
        <v>1</v>
      </c>
      <c r="L72" s="23">
        <v>956</v>
      </c>
      <c r="M72" s="23">
        <v>1004</v>
      </c>
      <c r="N72" s="23">
        <v>1072</v>
      </c>
      <c r="O72" s="23">
        <v>1086</v>
      </c>
      <c r="P72" s="23">
        <v>1079</v>
      </c>
      <c r="Q72" s="24">
        <v>0.37966640190627482</v>
      </c>
      <c r="R72" s="24">
        <v>0.39357114856918857</v>
      </c>
      <c r="S72" s="24">
        <v>0.41358024691358025</v>
      </c>
      <c r="T72" s="24">
        <v>0.42060418280402789</v>
      </c>
      <c r="U72" s="24">
        <v>0.40640301318267419</v>
      </c>
      <c r="W72" s="23">
        <v>2052</v>
      </c>
      <c r="X72" s="23">
        <v>2468</v>
      </c>
      <c r="Y72" s="23">
        <v>2561</v>
      </c>
      <c r="Z72" s="23">
        <v>2656</v>
      </c>
      <c r="AA72" s="23">
        <v>2551</v>
      </c>
      <c r="AB72" s="24">
        <v>1</v>
      </c>
      <c r="AC72" s="24">
        <v>1</v>
      </c>
      <c r="AD72" s="24">
        <v>1</v>
      </c>
      <c r="AE72" s="24">
        <v>1</v>
      </c>
      <c r="AF72" s="24">
        <v>1</v>
      </c>
      <c r="AG72" s="23">
        <v>429</v>
      </c>
      <c r="AH72" s="23">
        <v>966</v>
      </c>
      <c r="AI72" s="23">
        <v>1197</v>
      </c>
      <c r="AJ72" s="23">
        <v>809</v>
      </c>
      <c r="AK72" s="23">
        <v>1004</v>
      </c>
      <c r="AL72" s="24">
        <v>0.20906432748538012</v>
      </c>
      <c r="AM72" s="24">
        <v>0.39141004862236628</v>
      </c>
      <c r="AN72" s="24">
        <v>0.46739554861382271</v>
      </c>
      <c r="AO72" s="24">
        <v>0.30459337349397592</v>
      </c>
      <c r="AP72" s="24">
        <v>0.39357114856918857</v>
      </c>
      <c r="AQ72" s="39">
        <v>34801.779859440161</v>
      </c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</row>
    <row r="73" spans="1:55" s="21" customFormat="1" ht="12.75" x14ac:dyDescent="0.2">
      <c r="A73" s="20"/>
      <c r="AB73" s="22"/>
      <c r="AC73" s="22"/>
      <c r="AD73" s="22"/>
      <c r="AE73" s="22"/>
      <c r="AF73" s="22"/>
      <c r="AL73" s="22"/>
      <c r="AM73" s="22"/>
      <c r="AN73" s="22"/>
      <c r="AO73" s="22"/>
      <c r="AP73" s="22"/>
      <c r="AQ73" s="39">
        <v>1</v>
      </c>
    </row>
    <row r="74" spans="1:55" s="21" customFormat="1" ht="12.75" x14ac:dyDescent="0.2">
      <c r="A74" s="10" t="s">
        <v>71</v>
      </c>
      <c r="B74" s="10" t="s">
        <v>12</v>
      </c>
      <c r="C74" s="10" t="s">
        <v>13</v>
      </c>
      <c r="D74" s="10" t="s">
        <v>14</v>
      </c>
      <c r="E74" s="10" t="s">
        <v>15</v>
      </c>
      <c r="F74" s="10" t="s">
        <v>16</v>
      </c>
      <c r="G74" s="10" t="s">
        <v>12</v>
      </c>
      <c r="H74" s="10" t="s">
        <v>13</v>
      </c>
      <c r="I74" s="10" t="s">
        <v>14</v>
      </c>
      <c r="J74" s="10" t="s">
        <v>15</v>
      </c>
      <c r="K74" s="10" t="s">
        <v>16</v>
      </c>
      <c r="L74" s="10" t="s">
        <v>12</v>
      </c>
      <c r="M74" s="10" t="s">
        <v>13</v>
      </c>
      <c r="N74" s="10" t="s">
        <v>14</v>
      </c>
      <c r="O74" s="10" t="s">
        <v>15</v>
      </c>
      <c r="P74" s="10" t="s">
        <v>16</v>
      </c>
      <c r="Q74" s="10" t="s">
        <v>12</v>
      </c>
      <c r="R74" s="10" t="s">
        <v>13</v>
      </c>
      <c r="S74" s="10" t="s">
        <v>14</v>
      </c>
      <c r="T74" s="10" t="s">
        <v>15</v>
      </c>
      <c r="U74" s="10" t="s">
        <v>16</v>
      </c>
      <c r="V74" s="10"/>
      <c r="W74" s="10" t="s">
        <v>17</v>
      </c>
      <c r="X74" s="10" t="s">
        <v>18</v>
      </c>
      <c r="Y74" s="10" t="s">
        <v>19</v>
      </c>
      <c r="Z74" s="10" t="s">
        <v>20</v>
      </c>
      <c r="AA74" s="10" t="s">
        <v>21</v>
      </c>
      <c r="AB74" s="10" t="s">
        <v>17</v>
      </c>
      <c r="AC74" s="10" t="s">
        <v>18</v>
      </c>
      <c r="AD74" s="10" t="s">
        <v>19</v>
      </c>
      <c r="AE74" s="10" t="s">
        <v>20</v>
      </c>
      <c r="AF74" s="10" t="s">
        <v>21</v>
      </c>
      <c r="AG74" s="10" t="s">
        <v>17</v>
      </c>
      <c r="AH74" s="10" t="s">
        <v>18</v>
      </c>
      <c r="AI74" s="10" t="s">
        <v>19</v>
      </c>
      <c r="AJ74" s="10" t="s">
        <v>20</v>
      </c>
      <c r="AK74" s="10" t="s">
        <v>21</v>
      </c>
      <c r="AL74" s="10" t="s">
        <v>17</v>
      </c>
      <c r="AM74" s="10" t="s">
        <v>18</v>
      </c>
      <c r="AN74" s="10" t="s">
        <v>19</v>
      </c>
      <c r="AO74" s="10" t="s">
        <v>20</v>
      </c>
      <c r="AP74" s="10" t="s">
        <v>21</v>
      </c>
      <c r="AQ74" s="39">
        <v>1</v>
      </c>
    </row>
    <row r="75" spans="1:55" s="21" customFormat="1" ht="12.75" x14ac:dyDescent="0.2">
      <c r="A75" s="20" t="s">
        <v>48</v>
      </c>
      <c r="B75" s="21">
        <v>17654</v>
      </c>
      <c r="C75" s="21">
        <v>18829</v>
      </c>
      <c r="D75" s="21">
        <v>19470</v>
      </c>
      <c r="E75" s="21">
        <v>19672</v>
      </c>
      <c r="F75" s="21">
        <v>20992</v>
      </c>
      <c r="G75" s="22">
        <v>0.39635392110639633</v>
      </c>
      <c r="H75" s="22">
        <v>0.41569709680980238</v>
      </c>
      <c r="I75" s="22">
        <v>0.42089106984586783</v>
      </c>
      <c r="J75" s="22">
        <v>0.40832762521535171</v>
      </c>
      <c r="K75" s="22">
        <v>0.42825958340983739</v>
      </c>
      <c r="L75" s="21">
        <v>15682</v>
      </c>
      <c r="M75" s="21">
        <v>16724</v>
      </c>
      <c r="N75" s="21">
        <v>17029</v>
      </c>
      <c r="O75" s="21">
        <v>16985</v>
      </c>
      <c r="P75" s="21">
        <v>17361</v>
      </c>
      <c r="Q75" s="22">
        <v>0.88829726974056866</v>
      </c>
      <c r="R75" s="22">
        <v>0.88820436560624572</v>
      </c>
      <c r="S75" s="22">
        <v>0.87462763225475093</v>
      </c>
      <c r="T75" s="22">
        <v>0.86340992273281825</v>
      </c>
      <c r="U75" s="22">
        <v>0.82702934451219512</v>
      </c>
      <c r="W75" s="21">
        <v>11350</v>
      </c>
      <c r="X75" s="21">
        <v>12409</v>
      </c>
      <c r="Y75" s="21">
        <v>13427</v>
      </c>
      <c r="Z75" s="21">
        <v>15454</v>
      </c>
      <c r="AA75" s="21">
        <v>18829</v>
      </c>
      <c r="AB75" s="22">
        <v>0.29676306018930082</v>
      </c>
      <c r="AC75" s="22">
        <v>0.31660458233403072</v>
      </c>
      <c r="AD75" s="22">
        <v>0.33767572869250306</v>
      </c>
      <c r="AE75" s="22">
        <v>0.36954494368588442</v>
      </c>
      <c r="AF75" s="22">
        <v>0.41569709680980238</v>
      </c>
      <c r="AG75" s="21">
        <v>9435</v>
      </c>
      <c r="AH75" s="21">
        <v>10336</v>
      </c>
      <c r="AI75" s="21">
        <v>11447</v>
      </c>
      <c r="AJ75" s="21">
        <v>13558</v>
      </c>
      <c r="AK75" s="21">
        <v>16724</v>
      </c>
      <c r="AL75" s="22">
        <v>0.83127753303964758</v>
      </c>
      <c r="AM75" s="22">
        <v>0.83294383109033765</v>
      </c>
      <c r="AN75" s="22">
        <v>0.85253593505622993</v>
      </c>
      <c r="AO75" s="22">
        <v>0.87731331694059789</v>
      </c>
      <c r="AP75" s="22">
        <v>0.88820436560624572</v>
      </c>
      <c r="AQ75" s="39">
        <v>313379.42965822469</v>
      </c>
    </row>
    <row r="76" spans="1:55" s="21" customFormat="1" ht="12.75" x14ac:dyDescent="0.2">
      <c r="A76" s="20" t="s">
        <v>24</v>
      </c>
      <c r="B76" s="21">
        <v>18136</v>
      </c>
      <c r="C76" s="21">
        <v>17796</v>
      </c>
      <c r="D76" s="21">
        <v>17697</v>
      </c>
      <c r="E76" s="21">
        <v>17540</v>
      </c>
      <c r="F76" s="21">
        <v>18004</v>
      </c>
      <c r="G76" s="22">
        <v>0.4071754114186929</v>
      </c>
      <c r="H76" s="22">
        <v>0.39289104757699528</v>
      </c>
      <c r="I76" s="22">
        <v>0.38256339306945675</v>
      </c>
      <c r="J76" s="22">
        <v>0.36407414326338294</v>
      </c>
      <c r="K76" s="22">
        <v>0.36730114042067036</v>
      </c>
      <c r="L76" s="21">
        <v>13423</v>
      </c>
      <c r="M76" s="21">
        <v>13358</v>
      </c>
      <c r="N76" s="21">
        <v>13429</v>
      </c>
      <c r="O76" s="21">
        <v>13483</v>
      </c>
      <c r="P76" s="21">
        <v>13467</v>
      </c>
      <c r="Q76" s="22">
        <v>0.74013012792236432</v>
      </c>
      <c r="R76" s="22">
        <v>0.75061811643065857</v>
      </c>
      <c r="S76" s="22">
        <v>0.75882918008702038</v>
      </c>
      <c r="T76" s="22">
        <v>0.76870011402508553</v>
      </c>
      <c r="U76" s="22">
        <v>0.74800044434570101</v>
      </c>
      <c r="W76" s="21">
        <v>21072</v>
      </c>
      <c r="X76" s="21">
        <v>20856</v>
      </c>
      <c r="Y76" s="21">
        <v>20126</v>
      </c>
      <c r="Z76" s="21">
        <v>18368</v>
      </c>
      <c r="AA76" s="21">
        <v>17796</v>
      </c>
      <c r="AB76" s="22">
        <v>0.55095957747215396</v>
      </c>
      <c r="AC76" s="22">
        <v>0.53212226361177728</v>
      </c>
      <c r="AD76" s="22">
        <v>0.50614893242461589</v>
      </c>
      <c r="AE76" s="22">
        <v>0.4392261890528229</v>
      </c>
      <c r="AF76" s="22">
        <v>0.39289104757699528</v>
      </c>
      <c r="AG76" s="21">
        <v>13906</v>
      </c>
      <c r="AH76" s="21">
        <v>14452</v>
      </c>
      <c r="AI76" s="21">
        <v>14014</v>
      </c>
      <c r="AJ76" s="21">
        <v>13085</v>
      </c>
      <c r="AK76" s="21">
        <v>13358</v>
      </c>
      <c r="AL76" s="22">
        <v>0.65992786636294609</v>
      </c>
      <c r="AM76" s="22">
        <v>0.6929420790180284</v>
      </c>
      <c r="AN76" s="22">
        <v>0.6963132266719666</v>
      </c>
      <c r="AO76" s="22">
        <v>0.71238022648083621</v>
      </c>
      <c r="AP76" s="22">
        <v>0.75061811643065857</v>
      </c>
      <c r="AQ76" s="39">
        <v>323377.61381264363</v>
      </c>
    </row>
    <row r="77" spans="1:55" s="21" customFormat="1" ht="12.75" x14ac:dyDescent="0.2">
      <c r="A77" s="20" t="s">
        <v>35</v>
      </c>
      <c r="B77" s="21">
        <v>5795</v>
      </c>
      <c r="C77" s="21">
        <v>5546</v>
      </c>
      <c r="D77" s="21">
        <v>6027</v>
      </c>
      <c r="E77" s="21">
        <v>6713</v>
      </c>
      <c r="F77" s="21">
        <v>6342</v>
      </c>
      <c r="G77" s="22">
        <v>0.13010484721941581</v>
      </c>
      <c r="H77" s="22">
        <v>0.12244177061485816</v>
      </c>
      <c r="I77" s="22">
        <v>0.13028816014181024</v>
      </c>
      <c r="J77" s="22">
        <v>0.13934034912925256</v>
      </c>
      <c r="K77" s="22">
        <v>0.12938368321194688</v>
      </c>
      <c r="L77" s="21">
        <v>4423</v>
      </c>
      <c r="M77" s="21">
        <v>4352</v>
      </c>
      <c r="N77" s="21">
        <v>4732</v>
      </c>
      <c r="O77" s="21">
        <v>4842</v>
      </c>
      <c r="P77" s="21">
        <v>4843</v>
      </c>
      <c r="Q77" s="22">
        <v>0.76324417601380501</v>
      </c>
      <c r="R77" s="22">
        <v>0.78470970068517854</v>
      </c>
      <c r="S77" s="22">
        <v>0.78513356562137049</v>
      </c>
      <c r="T77" s="22">
        <v>0.72128705496797263</v>
      </c>
      <c r="U77" s="22">
        <v>0.76363923052664773</v>
      </c>
      <c r="W77" s="21">
        <v>4993</v>
      </c>
      <c r="X77" s="21">
        <v>4498</v>
      </c>
      <c r="Y77" s="21">
        <v>4544</v>
      </c>
      <c r="Z77" s="21">
        <v>5398</v>
      </c>
      <c r="AA77" s="21">
        <v>5546</v>
      </c>
      <c r="AB77" s="22">
        <v>0.13054959995816556</v>
      </c>
      <c r="AC77" s="22">
        <v>0.11476246364239424</v>
      </c>
      <c r="AD77" s="22">
        <v>0.11427709176872973</v>
      </c>
      <c r="AE77" s="22">
        <v>0.12908008321576317</v>
      </c>
      <c r="AF77" s="22">
        <v>0.12244177061485816</v>
      </c>
      <c r="AG77" s="21">
        <v>2783</v>
      </c>
      <c r="AH77" s="21">
        <v>3126</v>
      </c>
      <c r="AI77" s="21">
        <v>3395</v>
      </c>
      <c r="AJ77" s="21">
        <v>4197</v>
      </c>
      <c r="AK77" s="21">
        <v>4352</v>
      </c>
      <c r="AL77" s="22">
        <v>0.5573803324654516</v>
      </c>
      <c r="AM77" s="22">
        <v>0.69497554468652734</v>
      </c>
      <c r="AN77" s="22">
        <v>0.74713908450704225</v>
      </c>
      <c r="AO77" s="22">
        <v>0.77751018895887369</v>
      </c>
      <c r="AP77" s="22">
        <v>0.78470970068517854</v>
      </c>
      <c r="AQ77" s="39">
        <v>96455.642398398617</v>
      </c>
    </row>
    <row r="78" spans="1:55" s="21" customFormat="1" ht="12.75" x14ac:dyDescent="0.2">
      <c r="A78" s="20" t="s">
        <v>81</v>
      </c>
      <c r="B78" s="21">
        <v>2956</v>
      </c>
      <c r="C78" s="21">
        <v>3124</v>
      </c>
      <c r="D78" s="21">
        <v>3065</v>
      </c>
      <c r="E78" s="21">
        <v>4252</v>
      </c>
      <c r="F78" s="21">
        <v>3679</v>
      </c>
      <c r="G78" s="22">
        <v>6.6365820255494937E-2</v>
      </c>
      <c r="H78" s="22">
        <v>6.8970084998344186E-2</v>
      </c>
      <c r="I78" s="22">
        <v>6.6257376942865168E-2</v>
      </c>
      <c r="J78" s="22">
        <v>8.8257882392012793E-2</v>
      </c>
      <c r="K78" s="22">
        <v>7.5055592957545339E-2</v>
      </c>
      <c r="L78" s="21">
        <v>2292</v>
      </c>
      <c r="M78" s="21">
        <v>2453</v>
      </c>
      <c r="N78" s="21">
        <v>2579</v>
      </c>
      <c r="O78" s="21">
        <v>3451</v>
      </c>
      <c r="P78" s="21">
        <v>2823</v>
      </c>
      <c r="Q78" s="22">
        <v>0.77537212449255755</v>
      </c>
      <c r="R78" s="22">
        <v>0.78521126760563376</v>
      </c>
      <c r="S78" s="22">
        <v>0.84143556280587273</v>
      </c>
      <c r="T78" s="22">
        <v>0.81161806208842902</v>
      </c>
      <c r="U78" s="22">
        <v>0.76732807828214189</v>
      </c>
      <c r="W78" s="21">
        <v>831</v>
      </c>
      <c r="X78" s="21">
        <v>1431</v>
      </c>
      <c r="Y78" s="21">
        <v>1666</v>
      </c>
      <c r="Z78" s="21">
        <v>2599</v>
      </c>
      <c r="AA78" s="21">
        <v>3124</v>
      </c>
      <c r="AB78" s="22">
        <v>2.1727762380379649E-2</v>
      </c>
      <c r="AC78" s="22">
        <v>3.6510690411797726E-2</v>
      </c>
      <c r="AD78" s="22">
        <v>4.1898247114151348E-2</v>
      </c>
      <c r="AE78" s="22">
        <v>6.2148784045529544E-2</v>
      </c>
      <c r="AF78" s="22">
        <v>6.8970084998344186E-2</v>
      </c>
      <c r="AG78" s="21">
        <v>200</v>
      </c>
      <c r="AH78" s="21">
        <v>900</v>
      </c>
      <c r="AI78" s="21">
        <v>1163</v>
      </c>
      <c r="AJ78" s="21">
        <v>1906</v>
      </c>
      <c r="AK78" s="21">
        <v>2453</v>
      </c>
      <c r="AL78" s="22">
        <v>0.24067388688327315</v>
      </c>
      <c r="AM78" s="22">
        <v>0.62893081761006286</v>
      </c>
      <c r="AN78" s="22">
        <v>0.69807923169267705</v>
      </c>
      <c r="AO78" s="22">
        <v>0.7333589842247018</v>
      </c>
      <c r="AP78" s="22">
        <v>0.78521126760563376</v>
      </c>
      <c r="AQ78" s="39">
        <v>46954.663381609789</v>
      </c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</row>
    <row r="79" spans="1:55" s="23" customFormat="1" ht="12.75" x14ac:dyDescent="0.2">
      <c r="A79" s="31" t="s">
        <v>82</v>
      </c>
      <c r="B79" s="23">
        <v>44541</v>
      </c>
      <c r="C79" s="23">
        <v>45295</v>
      </c>
      <c r="D79" s="23">
        <v>46259</v>
      </c>
      <c r="E79" s="23">
        <v>48177</v>
      </c>
      <c r="F79" s="23">
        <v>49017</v>
      </c>
      <c r="G79" s="24">
        <v>1</v>
      </c>
      <c r="H79" s="24">
        <v>1</v>
      </c>
      <c r="I79" s="24">
        <v>1</v>
      </c>
      <c r="J79" s="24">
        <v>1</v>
      </c>
      <c r="K79" s="24">
        <v>1</v>
      </c>
      <c r="L79" s="23">
        <v>35820</v>
      </c>
      <c r="M79" s="23">
        <v>36887</v>
      </c>
      <c r="N79" s="23">
        <v>37769</v>
      </c>
      <c r="O79" s="23">
        <v>38761</v>
      </c>
      <c r="P79" s="23">
        <v>38494</v>
      </c>
      <c r="Q79" s="24">
        <v>0.80420286926651852</v>
      </c>
      <c r="R79" s="24">
        <v>0.81437244728998781</v>
      </c>
      <c r="S79" s="24">
        <v>0.81646814673901291</v>
      </c>
      <c r="T79" s="24">
        <v>0.80455404030969135</v>
      </c>
      <c r="U79" s="24">
        <v>0.78531937899096227</v>
      </c>
      <c r="W79" s="23">
        <v>38246</v>
      </c>
      <c r="X79" s="23">
        <v>39194</v>
      </c>
      <c r="Y79" s="23">
        <v>39763</v>
      </c>
      <c r="Z79" s="23">
        <v>41819</v>
      </c>
      <c r="AA79" s="23">
        <v>45295</v>
      </c>
      <c r="AB79" s="24">
        <v>1</v>
      </c>
      <c r="AC79" s="24">
        <v>1</v>
      </c>
      <c r="AD79" s="24">
        <v>1</v>
      </c>
      <c r="AE79" s="24">
        <v>1</v>
      </c>
      <c r="AF79" s="24">
        <v>1</v>
      </c>
      <c r="AG79" s="23">
        <v>26324</v>
      </c>
      <c r="AH79" s="23">
        <v>28814</v>
      </c>
      <c r="AI79" s="23">
        <v>30019</v>
      </c>
      <c r="AJ79" s="23">
        <v>32746</v>
      </c>
      <c r="AK79" s="23">
        <v>36887</v>
      </c>
      <c r="AL79" s="24">
        <v>0.6882811274381635</v>
      </c>
      <c r="AM79" s="24">
        <v>0.73516354544062867</v>
      </c>
      <c r="AN79" s="24">
        <v>0.75494806729874508</v>
      </c>
      <c r="AO79" s="24">
        <v>0.78304120136779931</v>
      </c>
      <c r="AP79" s="24">
        <v>0.81437244728998781</v>
      </c>
      <c r="AQ79" s="39">
        <v>780144.80072327156</v>
      </c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</row>
    <row r="80" spans="1:55" s="21" customFormat="1" ht="12.75" x14ac:dyDescent="0.2">
      <c r="A80" s="20"/>
      <c r="AB80" s="22"/>
      <c r="AC80" s="22"/>
      <c r="AD80" s="22"/>
      <c r="AE80" s="22"/>
      <c r="AF80" s="22"/>
      <c r="AL80" s="22"/>
      <c r="AM80" s="22"/>
      <c r="AN80" s="22"/>
      <c r="AO80" s="22"/>
      <c r="AP80" s="22"/>
      <c r="AQ80" s="39">
        <v>1</v>
      </c>
    </row>
    <row r="81" spans="1:55" s="21" customFormat="1" ht="12.75" x14ac:dyDescent="0.2">
      <c r="A81" s="10" t="s">
        <v>73</v>
      </c>
      <c r="B81" s="10" t="s">
        <v>12</v>
      </c>
      <c r="C81" s="10" t="s">
        <v>13</v>
      </c>
      <c r="D81" s="10" t="s">
        <v>14</v>
      </c>
      <c r="E81" s="10" t="s">
        <v>15</v>
      </c>
      <c r="F81" s="10" t="s">
        <v>16</v>
      </c>
      <c r="G81" s="10" t="s">
        <v>12</v>
      </c>
      <c r="H81" s="10" t="s">
        <v>13</v>
      </c>
      <c r="I81" s="10" t="s">
        <v>14</v>
      </c>
      <c r="J81" s="10" t="s">
        <v>15</v>
      </c>
      <c r="K81" s="10" t="s">
        <v>16</v>
      </c>
      <c r="L81" s="10" t="s">
        <v>12</v>
      </c>
      <c r="M81" s="10" t="s">
        <v>13</v>
      </c>
      <c r="N81" s="10" t="s">
        <v>14</v>
      </c>
      <c r="O81" s="10" t="s">
        <v>15</v>
      </c>
      <c r="P81" s="10" t="s">
        <v>16</v>
      </c>
      <c r="Q81" s="10" t="s">
        <v>12</v>
      </c>
      <c r="R81" s="10" t="s">
        <v>13</v>
      </c>
      <c r="S81" s="10" t="s">
        <v>14</v>
      </c>
      <c r="T81" s="10" t="s">
        <v>15</v>
      </c>
      <c r="U81" s="10" t="s">
        <v>16</v>
      </c>
      <c r="V81" s="10"/>
      <c r="W81" s="10" t="s">
        <v>17</v>
      </c>
      <c r="X81" s="10" t="s">
        <v>18</v>
      </c>
      <c r="Y81" s="10" t="s">
        <v>19</v>
      </c>
      <c r="Z81" s="10" t="s">
        <v>20</v>
      </c>
      <c r="AA81" s="10" t="s">
        <v>21</v>
      </c>
      <c r="AB81" s="10" t="s">
        <v>17</v>
      </c>
      <c r="AC81" s="10" t="s">
        <v>18</v>
      </c>
      <c r="AD81" s="10" t="s">
        <v>19</v>
      </c>
      <c r="AE81" s="10" t="s">
        <v>20</v>
      </c>
      <c r="AF81" s="10" t="s">
        <v>21</v>
      </c>
      <c r="AG81" s="10" t="s">
        <v>17</v>
      </c>
      <c r="AH81" s="10" t="s">
        <v>18</v>
      </c>
      <c r="AI81" s="10" t="s">
        <v>19</v>
      </c>
      <c r="AJ81" s="10" t="s">
        <v>20</v>
      </c>
      <c r="AK81" s="10" t="s">
        <v>21</v>
      </c>
      <c r="AL81" s="10" t="s">
        <v>17</v>
      </c>
      <c r="AM81" s="10" t="s">
        <v>18</v>
      </c>
      <c r="AN81" s="10" t="s">
        <v>19</v>
      </c>
      <c r="AO81" s="10" t="s">
        <v>20</v>
      </c>
      <c r="AP81" s="10" t="s">
        <v>21</v>
      </c>
      <c r="AQ81" s="39">
        <v>1</v>
      </c>
    </row>
    <row r="82" spans="1:55" s="21" customFormat="1" ht="12.75" x14ac:dyDescent="0.2">
      <c r="A82" s="20" t="s">
        <v>48</v>
      </c>
      <c r="B82" s="21">
        <v>12286</v>
      </c>
      <c r="C82" s="21">
        <v>12780</v>
      </c>
      <c r="D82" s="21">
        <v>13118</v>
      </c>
      <c r="E82" s="21">
        <v>13534</v>
      </c>
      <c r="F82" s="21">
        <v>14118</v>
      </c>
      <c r="G82" s="22">
        <v>0.79966154647227283</v>
      </c>
      <c r="H82" s="22">
        <v>0.8111195734958111</v>
      </c>
      <c r="I82" s="22">
        <v>0.81503572538055302</v>
      </c>
      <c r="J82" s="22">
        <v>0.81915022394383241</v>
      </c>
      <c r="K82" s="22">
        <v>0.82522796352583583</v>
      </c>
      <c r="L82" s="21">
        <v>8584</v>
      </c>
      <c r="M82" s="21">
        <v>9090</v>
      </c>
      <c r="N82" s="21">
        <v>9438</v>
      </c>
      <c r="O82" s="21">
        <v>9833</v>
      </c>
      <c r="P82" s="21">
        <v>10058</v>
      </c>
      <c r="Q82" s="22">
        <v>0.69868142601334848</v>
      </c>
      <c r="R82" s="22">
        <v>0.71126760563380287</v>
      </c>
      <c r="S82" s="22">
        <v>0.71946943131574936</v>
      </c>
      <c r="T82" s="22">
        <v>0.72654056450421156</v>
      </c>
      <c r="U82" s="22">
        <v>0.71242385607026493</v>
      </c>
      <c r="W82" s="21">
        <v>0</v>
      </c>
      <c r="X82" s="21">
        <v>0</v>
      </c>
      <c r="Y82" s="21">
        <v>9036</v>
      </c>
      <c r="Z82" s="21">
        <v>11064</v>
      </c>
      <c r="AA82" s="21">
        <v>12780</v>
      </c>
      <c r="AB82" s="22">
        <v>0</v>
      </c>
      <c r="AC82" s="22">
        <v>0</v>
      </c>
      <c r="AD82" s="22">
        <v>0.73100881805679152</v>
      </c>
      <c r="AE82" s="22">
        <v>0.79345955249569711</v>
      </c>
      <c r="AF82" s="22">
        <v>0.8111195734958111</v>
      </c>
      <c r="AG82" s="21">
        <v>0</v>
      </c>
      <c r="AH82" s="21">
        <v>0</v>
      </c>
      <c r="AI82" s="21">
        <v>5579</v>
      </c>
      <c r="AJ82" s="21">
        <v>7349</v>
      </c>
      <c r="AK82" s="21">
        <v>9090</v>
      </c>
      <c r="AL82" s="22">
        <v>0</v>
      </c>
      <c r="AM82" s="22">
        <v>0</v>
      </c>
      <c r="AN82" s="22">
        <v>0.61741921204072603</v>
      </c>
      <c r="AO82" s="22">
        <v>0.66422631959508316</v>
      </c>
      <c r="AP82" s="22">
        <v>0.71126760563380287</v>
      </c>
      <c r="AQ82" s="39">
        <v>167748.96707899761</v>
      </c>
    </row>
    <row r="83" spans="1:55" s="21" customFormat="1" ht="12.75" x14ac:dyDescent="0.2">
      <c r="A83" s="20" t="s">
        <v>24</v>
      </c>
      <c r="B83" s="21">
        <v>3078</v>
      </c>
      <c r="C83" s="21">
        <v>2976</v>
      </c>
      <c r="D83" s="21">
        <v>2977</v>
      </c>
      <c r="E83" s="21">
        <v>2988</v>
      </c>
      <c r="F83" s="21">
        <v>2990</v>
      </c>
      <c r="G83" s="22">
        <v>0.20033845352772717</v>
      </c>
      <c r="H83" s="22">
        <v>0.18888042650418888</v>
      </c>
      <c r="I83" s="22">
        <v>0.18496427461944703</v>
      </c>
      <c r="J83" s="22">
        <v>0.18084977605616753</v>
      </c>
      <c r="K83" s="22">
        <v>0.17477203647416414</v>
      </c>
      <c r="L83" s="21">
        <v>1648</v>
      </c>
      <c r="M83" s="21">
        <v>1643</v>
      </c>
      <c r="N83" s="21">
        <v>1679</v>
      </c>
      <c r="O83" s="21">
        <v>1677</v>
      </c>
      <c r="P83" s="21">
        <v>1708</v>
      </c>
      <c r="Q83" s="22">
        <v>0.53541260558804415</v>
      </c>
      <c r="R83" s="22">
        <v>0.55208333333333337</v>
      </c>
      <c r="S83" s="22">
        <v>0.56399059455828016</v>
      </c>
      <c r="T83" s="22">
        <v>0.5612449799196787</v>
      </c>
      <c r="U83" s="22">
        <v>0.57123745819397997</v>
      </c>
      <c r="W83" s="21">
        <v>0</v>
      </c>
      <c r="X83" s="21">
        <v>0</v>
      </c>
      <c r="Y83" s="21">
        <v>3325</v>
      </c>
      <c r="Z83" s="21">
        <v>2880</v>
      </c>
      <c r="AA83" s="21">
        <v>2976</v>
      </c>
      <c r="AB83" s="22">
        <v>0</v>
      </c>
      <c r="AC83" s="22">
        <v>0</v>
      </c>
      <c r="AD83" s="22">
        <v>0.26899118194320848</v>
      </c>
      <c r="AE83" s="22">
        <v>0.20654044750430292</v>
      </c>
      <c r="AF83" s="22">
        <v>0.18888042650418888</v>
      </c>
      <c r="AG83" s="21">
        <v>0</v>
      </c>
      <c r="AH83" s="21">
        <v>0</v>
      </c>
      <c r="AI83" s="21">
        <v>1480</v>
      </c>
      <c r="AJ83" s="21">
        <v>1314</v>
      </c>
      <c r="AK83" s="21">
        <v>1643</v>
      </c>
      <c r="AL83" s="22">
        <v>0</v>
      </c>
      <c r="AM83" s="22">
        <v>0</v>
      </c>
      <c r="AN83" s="22">
        <v>0.44511278195488724</v>
      </c>
      <c r="AO83" s="22">
        <v>0.45624999999999999</v>
      </c>
      <c r="AP83" s="22">
        <v>0.55208333333333337</v>
      </c>
      <c r="AQ83" s="39">
        <v>36987.831632110014</v>
      </c>
    </row>
    <row r="84" spans="1:55" s="23" customFormat="1" ht="12.75" x14ac:dyDescent="0.2">
      <c r="A84" s="31" t="s">
        <v>82</v>
      </c>
      <c r="B84" s="23">
        <v>15364</v>
      </c>
      <c r="C84" s="23">
        <v>15756</v>
      </c>
      <c r="D84" s="23">
        <v>16095</v>
      </c>
      <c r="E84" s="23">
        <v>16522</v>
      </c>
      <c r="F84" s="23">
        <v>17108</v>
      </c>
      <c r="G84" s="24">
        <v>1</v>
      </c>
      <c r="H84" s="24">
        <v>1</v>
      </c>
      <c r="I84" s="24">
        <v>1</v>
      </c>
      <c r="J84" s="24">
        <v>1</v>
      </c>
      <c r="K84" s="24">
        <v>1</v>
      </c>
      <c r="L84" s="23">
        <v>10232</v>
      </c>
      <c r="M84" s="23">
        <v>10733</v>
      </c>
      <c r="N84" s="23">
        <v>11117</v>
      </c>
      <c r="O84" s="23">
        <v>11510</v>
      </c>
      <c r="P84" s="23">
        <v>11766</v>
      </c>
      <c r="Q84" s="24">
        <v>0.6659724030200469</v>
      </c>
      <c r="R84" s="24">
        <v>0.68120081238893115</v>
      </c>
      <c r="S84" s="24">
        <v>0.69071140105622864</v>
      </c>
      <c r="T84" s="24">
        <v>0.69664689504902555</v>
      </c>
      <c r="U84" s="24">
        <v>0.68774842179097495</v>
      </c>
      <c r="W84" s="23">
        <v>0</v>
      </c>
      <c r="X84" s="23">
        <v>0</v>
      </c>
      <c r="Y84" s="23">
        <v>12361</v>
      </c>
      <c r="Z84" s="23">
        <v>13944</v>
      </c>
      <c r="AA84" s="23">
        <v>15756</v>
      </c>
      <c r="AB84" s="24">
        <v>0</v>
      </c>
      <c r="AC84" s="24">
        <v>0</v>
      </c>
      <c r="AD84" s="24">
        <v>1</v>
      </c>
      <c r="AE84" s="24">
        <v>1</v>
      </c>
      <c r="AF84" s="24">
        <v>1</v>
      </c>
      <c r="AG84" s="23">
        <v>0</v>
      </c>
      <c r="AH84" s="23">
        <v>0</v>
      </c>
      <c r="AI84" s="23">
        <v>7059</v>
      </c>
      <c r="AJ84" s="23">
        <v>8663</v>
      </c>
      <c r="AK84" s="23">
        <v>10733</v>
      </c>
      <c r="AL84" s="24">
        <v>0</v>
      </c>
      <c r="AM84" s="24">
        <v>0</v>
      </c>
      <c r="AN84" s="24">
        <v>0.57107030175552143</v>
      </c>
      <c r="AO84" s="24">
        <v>0.62127079747561675</v>
      </c>
      <c r="AP84" s="24">
        <v>0.68120081238893115</v>
      </c>
      <c r="AQ84" s="39">
        <v>204732.29582184495</v>
      </c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</row>
    <row r="85" spans="1:55" s="21" customFormat="1" ht="12.75" x14ac:dyDescent="0.2">
      <c r="A85" s="20"/>
      <c r="AB85" s="22"/>
      <c r="AC85" s="22"/>
      <c r="AD85" s="22"/>
      <c r="AE85" s="22"/>
      <c r="AF85" s="22"/>
      <c r="AL85" s="22"/>
      <c r="AM85" s="22"/>
      <c r="AN85" s="22"/>
      <c r="AO85" s="22"/>
      <c r="AP85" s="22"/>
      <c r="AQ85" s="39">
        <v>1</v>
      </c>
    </row>
    <row r="86" spans="1:55" s="21" customFormat="1" ht="12.75" x14ac:dyDescent="0.2">
      <c r="A86" s="10" t="s">
        <v>75</v>
      </c>
      <c r="B86" s="10" t="s">
        <v>12</v>
      </c>
      <c r="C86" s="10" t="s">
        <v>13</v>
      </c>
      <c r="D86" s="10" t="s">
        <v>14</v>
      </c>
      <c r="E86" s="10" t="s">
        <v>15</v>
      </c>
      <c r="F86" s="10" t="s">
        <v>16</v>
      </c>
      <c r="G86" s="10" t="s">
        <v>12</v>
      </c>
      <c r="H86" s="10" t="s">
        <v>13</v>
      </c>
      <c r="I86" s="10" t="s">
        <v>14</v>
      </c>
      <c r="J86" s="10" t="s">
        <v>15</v>
      </c>
      <c r="K86" s="10" t="s">
        <v>16</v>
      </c>
      <c r="L86" s="10" t="s">
        <v>12</v>
      </c>
      <c r="M86" s="10" t="s">
        <v>13</v>
      </c>
      <c r="N86" s="10" t="s">
        <v>14</v>
      </c>
      <c r="O86" s="10" t="s">
        <v>15</v>
      </c>
      <c r="P86" s="10" t="s">
        <v>16</v>
      </c>
      <c r="Q86" s="10" t="s">
        <v>12</v>
      </c>
      <c r="R86" s="10" t="s">
        <v>13</v>
      </c>
      <c r="S86" s="10" t="s">
        <v>14</v>
      </c>
      <c r="T86" s="10" t="s">
        <v>15</v>
      </c>
      <c r="U86" s="10" t="s">
        <v>16</v>
      </c>
      <c r="V86" s="10"/>
      <c r="W86" s="10" t="s">
        <v>17</v>
      </c>
      <c r="X86" s="10" t="s">
        <v>18</v>
      </c>
      <c r="Y86" s="10" t="s">
        <v>19</v>
      </c>
      <c r="Z86" s="10" t="s">
        <v>20</v>
      </c>
      <c r="AA86" s="10" t="s">
        <v>21</v>
      </c>
      <c r="AB86" s="10" t="s">
        <v>17</v>
      </c>
      <c r="AC86" s="10" t="s">
        <v>18</v>
      </c>
      <c r="AD86" s="10" t="s">
        <v>19</v>
      </c>
      <c r="AE86" s="10" t="s">
        <v>20</v>
      </c>
      <c r="AF86" s="10" t="s">
        <v>21</v>
      </c>
      <c r="AG86" s="10" t="s">
        <v>17</v>
      </c>
      <c r="AH86" s="10" t="s">
        <v>18</v>
      </c>
      <c r="AI86" s="10" t="s">
        <v>19</v>
      </c>
      <c r="AJ86" s="10" t="s">
        <v>20</v>
      </c>
      <c r="AK86" s="10" t="s">
        <v>21</v>
      </c>
      <c r="AL86" s="10" t="s">
        <v>17</v>
      </c>
      <c r="AM86" s="10" t="s">
        <v>18</v>
      </c>
      <c r="AN86" s="10" t="s">
        <v>19</v>
      </c>
      <c r="AO86" s="10" t="s">
        <v>20</v>
      </c>
      <c r="AP86" s="10" t="s">
        <v>21</v>
      </c>
      <c r="AQ86" s="39">
        <v>1</v>
      </c>
    </row>
    <row r="87" spans="1:55" s="21" customFormat="1" ht="12.75" x14ac:dyDescent="0.2">
      <c r="A87" s="20" t="s">
        <v>24</v>
      </c>
      <c r="B87" s="21">
        <v>2357</v>
      </c>
      <c r="C87" s="21">
        <v>2327</v>
      </c>
      <c r="D87" s="21">
        <v>2380</v>
      </c>
      <c r="E87" s="21">
        <v>2407</v>
      </c>
      <c r="F87" s="21">
        <v>2430</v>
      </c>
      <c r="G87" s="22">
        <v>0.24142169415138789</v>
      </c>
      <c r="H87" s="22">
        <v>0.2373036916173771</v>
      </c>
      <c r="I87" s="22">
        <v>0.24652993577791588</v>
      </c>
      <c r="J87" s="22">
        <v>0.24852865255549819</v>
      </c>
      <c r="K87" s="22">
        <v>0.24780746481745869</v>
      </c>
      <c r="L87" s="21">
        <v>2047</v>
      </c>
      <c r="M87" s="21">
        <v>2020</v>
      </c>
      <c r="N87" s="21">
        <v>2071</v>
      </c>
      <c r="O87" s="21">
        <v>2092</v>
      </c>
      <c r="P87" s="21">
        <v>2105</v>
      </c>
      <c r="Q87" s="22">
        <v>0.86847687738650825</v>
      </c>
      <c r="R87" s="22">
        <v>0.86807047700902451</v>
      </c>
      <c r="S87" s="22">
        <v>0.87016806722689077</v>
      </c>
      <c r="T87" s="22">
        <v>0.8691316992106356</v>
      </c>
      <c r="U87" s="22">
        <v>0.86625514403292181</v>
      </c>
      <c r="W87" s="21">
        <v>2001</v>
      </c>
      <c r="X87" s="21">
        <v>2578</v>
      </c>
      <c r="Y87" s="21">
        <v>2952</v>
      </c>
      <c r="Z87" s="21">
        <v>2726</v>
      </c>
      <c r="AA87" s="21">
        <v>2327</v>
      </c>
      <c r="AB87" s="22">
        <v>0.22508436445444319</v>
      </c>
      <c r="AC87" s="22">
        <v>0.28737041578419353</v>
      </c>
      <c r="AD87" s="22">
        <v>0.30878661087866111</v>
      </c>
      <c r="AE87" s="22">
        <v>0.28538525963149081</v>
      </c>
      <c r="AF87" s="22">
        <v>0.2373036916173771</v>
      </c>
      <c r="AG87" s="21">
        <v>1920</v>
      </c>
      <c r="AH87" s="21">
        <v>2368</v>
      </c>
      <c r="AI87" s="21">
        <v>2695</v>
      </c>
      <c r="AJ87" s="21">
        <v>2466</v>
      </c>
      <c r="AK87" s="21">
        <v>2020</v>
      </c>
      <c r="AL87" s="22">
        <v>0.95952023988005997</v>
      </c>
      <c r="AM87" s="22">
        <v>0.91854150504266874</v>
      </c>
      <c r="AN87" s="22">
        <v>0.91294037940379402</v>
      </c>
      <c r="AO87" s="22">
        <v>0.90462215700660309</v>
      </c>
      <c r="AP87" s="22">
        <v>0.86807047700902451</v>
      </c>
      <c r="AQ87" s="39">
        <v>46300.471318804492</v>
      </c>
    </row>
    <row r="88" spans="1:55" s="21" customFormat="1" ht="12.75" x14ac:dyDescent="0.2">
      <c r="A88" s="20" t="s">
        <v>48</v>
      </c>
      <c r="B88" s="21">
        <v>6614</v>
      </c>
      <c r="C88" s="21">
        <v>6689</v>
      </c>
      <c r="D88" s="21">
        <v>6511</v>
      </c>
      <c r="E88" s="21">
        <v>6501</v>
      </c>
      <c r="F88" s="21">
        <v>6598</v>
      </c>
      <c r="G88" s="22">
        <v>0.67745570009218481</v>
      </c>
      <c r="H88" s="22">
        <v>0.68213338772180299</v>
      </c>
      <c r="I88" s="22">
        <v>0.67443546716386993</v>
      </c>
      <c r="J88" s="22">
        <v>0.67124419204956121</v>
      </c>
      <c r="K88" s="22">
        <v>0.67285335508872124</v>
      </c>
      <c r="L88" s="21">
        <v>4090</v>
      </c>
      <c r="M88" s="21">
        <v>4203</v>
      </c>
      <c r="N88" s="21">
        <v>4049</v>
      </c>
      <c r="O88" s="21">
        <v>4093</v>
      </c>
      <c r="P88" s="21">
        <v>4147</v>
      </c>
      <c r="Q88" s="22">
        <v>0.61838524342304202</v>
      </c>
      <c r="R88" s="22">
        <v>0.62834504410225744</v>
      </c>
      <c r="S88" s="22">
        <v>0.6218706803870373</v>
      </c>
      <c r="T88" s="22">
        <v>0.62959544685433011</v>
      </c>
      <c r="U88" s="22">
        <v>0.62852379508942102</v>
      </c>
      <c r="W88" s="21">
        <v>6229</v>
      </c>
      <c r="X88" s="21">
        <v>5778</v>
      </c>
      <c r="Y88" s="21">
        <v>5996</v>
      </c>
      <c r="Z88" s="21">
        <v>6075</v>
      </c>
      <c r="AA88" s="21">
        <v>6689</v>
      </c>
      <c r="AB88" s="22">
        <v>0.70067491563554551</v>
      </c>
      <c r="AC88" s="22">
        <v>0.64407535391818083</v>
      </c>
      <c r="AD88" s="22">
        <v>0.62719665271966529</v>
      </c>
      <c r="AE88" s="22">
        <v>0.63599246231155782</v>
      </c>
      <c r="AF88" s="22">
        <v>0.68213338772180299</v>
      </c>
      <c r="AG88" s="21">
        <v>2100</v>
      </c>
      <c r="AH88" s="21">
        <v>2412</v>
      </c>
      <c r="AI88" s="21">
        <v>2845</v>
      </c>
      <c r="AJ88" s="21">
        <v>3248</v>
      </c>
      <c r="AK88" s="21">
        <v>4203</v>
      </c>
      <c r="AL88" s="22">
        <v>0.33713276609407611</v>
      </c>
      <c r="AM88" s="22">
        <v>0.4174454828660436</v>
      </c>
      <c r="AN88" s="22">
        <v>0.4744829886591061</v>
      </c>
      <c r="AO88" s="22">
        <v>0.53465020576131683</v>
      </c>
      <c r="AP88" s="22">
        <v>0.62834504410225744</v>
      </c>
      <c r="AQ88" s="39">
        <v>99082.186971571748</v>
      </c>
    </row>
    <row r="89" spans="1:55" s="21" customFormat="1" ht="12.75" x14ac:dyDescent="0.2">
      <c r="A89" s="20" t="s">
        <v>60</v>
      </c>
      <c r="B89" s="21">
        <v>234</v>
      </c>
      <c r="C89" s="21">
        <v>221</v>
      </c>
      <c r="D89" s="21">
        <v>197</v>
      </c>
      <c r="E89" s="21">
        <v>195</v>
      </c>
      <c r="F89" s="21">
        <v>193</v>
      </c>
      <c r="G89" s="22">
        <v>2.3968042609853527E-2</v>
      </c>
      <c r="H89" s="22">
        <v>2.2537222108912909E-2</v>
      </c>
      <c r="I89" s="22">
        <v>2.0406049305987155E-2</v>
      </c>
      <c r="J89" s="22">
        <v>2.0134228187919462E-2</v>
      </c>
      <c r="K89" s="22">
        <v>1.9681827452580052E-2</v>
      </c>
      <c r="L89" s="21">
        <v>230</v>
      </c>
      <c r="M89" s="21">
        <v>217</v>
      </c>
      <c r="N89" s="21">
        <v>193</v>
      </c>
      <c r="O89" s="21">
        <v>191</v>
      </c>
      <c r="P89" s="21">
        <v>189</v>
      </c>
      <c r="Q89" s="22">
        <v>0.98290598290598286</v>
      </c>
      <c r="R89" s="22">
        <v>0.98190045248868774</v>
      </c>
      <c r="S89" s="22">
        <v>0.97969543147208127</v>
      </c>
      <c r="T89" s="22">
        <v>0.97948717948717945</v>
      </c>
      <c r="U89" s="22">
        <v>0.97927461139896377</v>
      </c>
      <c r="W89" s="21">
        <v>110</v>
      </c>
      <c r="X89" s="21">
        <v>93</v>
      </c>
      <c r="Y89" s="21">
        <v>98</v>
      </c>
      <c r="Z89" s="21">
        <v>189</v>
      </c>
      <c r="AA89" s="21">
        <v>221</v>
      </c>
      <c r="AB89" s="22">
        <v>1.2373453318335208E-2</v>
      </c>
      <c r="AC89" s="22">
        <v>1.0366737264519007E-2</v>
      </c>
      <c r="AD89" s="22">
        <v>1.0251046025104602E-2</v>
      </c>
      <c r="AE89" s="22">
        <v>1.9786432160804019E-2</v>
      </c>
      <c r="AF89" s="22">
        <v>2.2537222108912909E-2</v>
      </c>
      <c r="AG89" s="21">
        <v>107</v>
      </c>
      <c r="AH89" s="21">
        <v>89</v>
      </c>
      <c r="AI89" s="21">
        <v>92</v>
      </c>
      <c r="AJ89" s="21">
        <v>184</v>
      </c>
      <c r="AK89" s="21">
        <v>217</v>
      </c>
      <c r="AL89" s="22">
        <v>0.97272727272727277</v>
      </c>
      <c r="AM89" s="22">
        <v>0.956989247311828</v>
      </c>
      <c r="AN89" s="22">
        <v>0.93877551020408168</v>
      </c>
      <c r="AO89" s="22">
        <v>0.97354497354497349</v>
      </c>
      <c r="AP89" s="22">
        <v>0.98190045248868774</v>
      </c>
      <c r="AQ89" s="39">
        <v>3469.9092433745727</v>
      </c>
    </row>
    <row r="90" spans="1:55" s="21" customFormat="1" ht="12.75" x14ac:dyDescent="0.2">
      <c r="A90" s="20" t="s">
        <v>81</v>
      </c>
      <c r="B90" s="21">
        <v>558</v>
      </c>
      <c r="C90" s="21">
        <v>569</v>
      </c>
      <c r="D90" s="21">
        <v>566</v>
      </c>
      <c r="E90" s="21">
        <v>582</v>
      </c>
      <c r="F90" s="21">
        <v>585</v>
      </c>
      <c r="G90" s="22">
        <v>5.71545631465738E-2</v>
      </c>
      <c r="H90" s="22">
        <v>5.8025698551906993E-2</v>
      </c>
      <c r="I90" s="22">
        <v>5.8628547752227055E-2</v>
      </c>
      <c r="J90" s="22">
        <v>6.0092927207021168E-2</v>
      </c>
      <c r="K90" s="22">
        <v>5.9657352641240058E-2</v>
      </c>
      <c r="L90" s="21">
        <v>499</v>
      </c>
      <c r="M90" s="21">
        <v>511</v>
      </c>
      <c r="N90" s="21">
        <v>506</v>
      </c>
      <c r="O90" s="21">
        <v>525</v>
      </c>
      <c r="P90" s="21">
        <v>525</v>
      </c>
      <c r="Q90" s="22">
        <v>0.89426523297491034</v>
      </c>
      <c r="R90" s="22">
        <v>0.89806678383128291</v>
      </c>
      <c r="S90" s="22">
        <v>0.89399293286219084</v>
      </c>
      <c r="T90" s="22">
        <v>0.90206185567010311</v>
      </c>
      <c r="U90" s="22">
        <v>0.89743589743589747</v>
      </c>
      <c r="W90" s="21">
        <v>550</v>
      </c>
      <c r="X90" s="21">
        <v>522</v>
      </c>
      <c r="Y90" s="21">
        <v>514</v>
      </c>
      <c r="Z90" s="21">
        <v>562</v>
      </c>
      <c r="AA90" s="21">
        <v>569</v>
      </c>
      <c r="AB90" s="22">
        <v>6.1867266591676039E-2</v>
      </c>
      <c r="AC90" s="22">
        <v>5.8187493033106677E-2</v>
      </c>
      <c r="AD90" s="22">
        <v>5.3765690376569038E-2</v>
      </c>
      <c r="AE90" s="22">
        <v>5.8835845896147404E-2</v>
      </c>
      <c r="AF90" s="22">
        <v>5.8025698551906993E-2</v>
      </c>
      <c r="AG90" s="21">
        <v>523</v>
      </c>
      <c r="AH90" s="21">
        <v>477</v>
      </c>
      <c r="AI90" s="21">
        <v>468</v>
      </c>
      <c r="AJ90" s="21">
        <v>506</v>
      </c>
      <c r="AK90" s="21">
        <v>511</v>
      </c>
      <c r="AL90" s="22">
        <v>0.95090909090909093</v>
      </c>
      <c r="AM90" s="22">
        <v>0.91379310344827591</v>
      </c>
      <c r="AN90" s="22">
        <v>0.91050583657587547</v>
      </c>
      <c r="AO90" s="22">
        <v>0.90035587188612098</v>
      </c>
      <c r="AP90" s="22">
        <v>0.89806678383128291</v>
      </c>
      <c r="AQ90" s="39">
        <v>10637.643694473174</v>
      </c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</row>
    <row r="91" spans="1:55" s="23" customFormat="1" ht="12.75" x14ac:dyDescent="0.2">
      <c r="A91" s="31" t="s">
        <v>82</v>
      </c>
      <c r="B91" s="23">
        <v>9763</v>
      </c>
      <c r="C91" s="23">
        <v>9806</v>
      </c>
      <c r="D91" s="23">
        <v>9654</v>
      </c>
      <c r="E91" s="23">
        <v>9685</v>
      </c>
      <c r="F91" s="23">
        <v>9806</v>
      </c>
      <c r="G91" s="24">
        <v>1</v>
      </c>
      <c r="H91" s="24">
        <v>1</v>
      </c>
      <c r="I91" s="24">
        <v>1</v>
      </c>
      <c r="J91" s="24">
        <v>1</v>
      </c>
      <c r="K91" s="24">
        <v>1</v>
      </c>
      <c r="L91" s="23">
        <v>6866</v>
      </c>
      <c r="M91" s="23">
        <v>6951</v>
      </c>
      <c r="N91" s="23">
        <v>6819</v>
      </c>
      <c r="O91" s="23">
        <v>6901</v>
      </c>
      <c r="P91" s="23">
        <v>6966</v>
      </c>
      <c r="Q91" s="24">
        <v>0.70326743828741167</v>
      </c>
      <c r="R91" s="24">
        <v>0.70885172343463188</v>
      </c>
      <c r="S91" s="24">
        <v>0.70633934120571784</v>
      </c>
      <c r="T91" s="24">
        <v>0.71254517294785746</v>
      </c>
      <c r="U91" s="24">
        <v>0.71038139914338161</v>
      </c>
      <c r="W91" s="23">
        <v>8890</v>
      </c>
      <c r="X91" s="23">
        <v>8971</v>
      </c>
      <c r="Y91" s="23">
        <v>9560</v>
      </c>
      <c r="Z91" s="23">
        <v>9552</v>
      </c>
      <c r="AA91" s="23">
        <v>9806</v>
      </c>
      <c r="AB91" s="24">
        <v>1</v>
      </c>
      <c r="AC91" s="24">
        <v>1</v>
      </c>
      <c r="AD91" s="24">
        <v>1</v>
      </c>
      <c r="AE91" s="24">
        <v>1</v>
      </c>
      <c r="AF91" s="24">
        <v>1</v>
      </c>
      <c r="AG91" s="23">
        <v>4650</v>
      </c>
      <c r="AH91" s="23">
        <v>5346</v>
      </c>
      <c r="AI91" s="23">
        <v>6100</v>
      </c>
      <c r="AJ91" s="23">
        <v>6404</v>
      </c>
      <c r="AK91" s="23">
        <v>6951</v>
      </c>
      <c r="AL91" s="24">
        <v>0.5230596175478065</v>
      </c>
      <c r="AM91" s="24">
        <v>0.59592018727009255</v>
      </c>
      <c r="AN91" s="24">
        <v>0.63807531380753135</v>
      </c>
      <c r="AO91" s="24">
        <v>0.6704355108877722</v>
      </c>
      <c r="AP91" s="24">
        <v>0.70885172343463188</v>
      </c>
      <c r="AQ91" s="39">
        <v>159463.677727428</v>
      </c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</row>
  </sheetData>
  <mergeCells count="8">
    <mergeCell ref="AG5:AK5"/>
    <mergeCell ref="AL5:AP5"/>
    <mergeCell ref="B5:F5"/>
    <mergeCell ref="G5:K5"/>
    <mergeCell ref="L5:P5"/>
    <mergeCell ref="Q5:U5"/>
    <mergeCell ref="W5:AA5"/>
    <mergeCell ref="AB5:AF5"/>
  </mergeCells>
  <conditionalFormatting sqref="A6">
    <cfRule type="duplicateValues" dxfId="10" priority="1"/>
  </conditionalFormatting>
  <hyperlinks>
    <hyperlink ref="B1" location="Contents!A1" display="Back to Contents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C93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E2" sqref="E2"/>
    </sheetView>
  </sheetViews>
  <sheetFormatPr defaultRowHeight="15" x14ac:dyDescent="0.25"/>
  <cols>
    <col min="1" max="1" width="25.28515625" customWidth="1"/>
    <col min="2" max="8" width="12.5703125" customWidth="1"/>
    <col min="9" max="9" width="12.42578125" customWidth="1"/>
    <col min="10" max="42" width="12.5703125" customWidth="1"/>
  </cols>
  <sheetData>
    <row r="1" spans="1:42" ht="16.5" customHeight="1" x14ac:dyDescent="0.25">
      <c r="A1" s="1" t="s">
        <v>0</v>
      </c>
      <c r="B1" s="87" t="s">
        <v>189</v>
      </c>
      <c r="C1" s="2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5" t="s">
        <v>1</v>
      </c>
      <c r="X1" s="6"/>
      <c r="Y1" s="6"/>
      <c r="Z1" s="6"/>
      <c r="AA1" s="7"/>
      <c r="AB1" s="7"/>
      <c r="AC1" s="7"/>
      <c r="AD1" s="7"/>
      <c r="AE1" s="6"/>
      <c r="AF1" s="6"/>
      <c r="AG1" s="6"/>
      <c r="AH1" s="3"/>
      <c r="AI1" s="8"/>
      <c r="AJ1" s="8"/>
      <c r="AK1" s="8"/>
      <c r="AL1" s="8"/>
      <c r="AM1" s="9"/>
      <c r="AN1" s="9"/>
      <c r="AO1" s="9"/>
      <c r="AP1" s="9"/>
    </row>
    <row r="2" spans="1:42" ht="16.5" customHeight="1" x14ac:dyDescent="0.25">
      <c r="A2" s="1" t="s">
        <v>157</v>
      </c>
      <c r="B2" s="2"/>
      <c r="C2" s="2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5"/>
      <c r="X2" s="6"/>
      <c r="Y2" s="6"/>
      <c r="Z2" s="6"/>
      <c r="AA2" s="7"/>
      <c r="AB2" s="7"/>
      <c r="AC2" s="7"/>
      <c r="AD2" s="7"/>
      <c r="AE2" s="6"/>
      <c r="AF2" s="6"/>
      <c r="AG2" s="6"/>
      <c r="AH2" s="3"/>
      <c r="AI2" s="8"/>
      <c r="AJ2" s="8"/>
      <c r="AK2" s="8"/>
      <c r="AL2" s="8"/>
      <c r="AM2" s="9"/>
      <c r="AN2" s="9"/>
      <c r="AO2" s="9"/>
      <c r="AP2" s="9"/>
    </row>
    <row r="3" spans="1:42" ht="16.5" customHeight="1" x14ac:dyDescent="0.25">
      <c r="A3" s="1" t="s">
        <v>204</v>
      </c>
      <c r="B3" s="2"/>
      <c r="C3" s="2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3"/>
      <c r="P3" s="3"/>
      <c r="Q3" s="3"/>
      <c r="R3" s="3"/>
      <c r="S3" s="3"/>
      <c r="T3" s="3"/>
      <c r="U3" s="3"/>
      <c r="V3" s="3"/>
      <c r="W3" s="5"/>
      <c r="X3" s="6"/>
      <c r="Y3" s="6"/>
      <c r="Z3" s="6"/>
      <c r="AA3" s="7"/>
      <c r="AB3" s="7"/>
      <c r="AC3" s="7"/>
      <c r="AD3" s="7"/>
      <c r="AE3" s="6"/>
      <c r="AF3" s="6"/>
      <c r="AG3" s="6"/>
      <c r="AH3" s="3"/>
      <c r="AI3" s="8"/>
      <c r="AJ3" s="8"/>
      <c r="AK3" s="8"/>
      <c r="AL3" s="8"/>
      <c r="AM3" s="9"/>
      <c r="AN3" s="9"/>
      <c r="AO3" s="9"/>
      <c r="AP3" s="9"/>
    </row>
    <row r="4" spans="1:42" ht="16.5" customHeight="1" x14ac:dyDescent="0.25">
      <c r="A4" s="10" t="s">
        <v>2</v>
      </c>
      <c r="B4" s="11" t="s">
        <v>97</v>
      </c>
      <c r="C4" s="11" t="s">
        <v>86</v>
      </c>
      <c r="D4" s="4"/>
      <c r="E4" s="12"/>
      <c r="F4" s="13"/>
      <c r="G4" s="13"/>
      <c r="H4" s="4"/>
      <c r="I4" s="4"/>
      <c r="J4" s="4"/>
      <c r="K4" s="4"/>
      <c r="L4" s="4"/>
      <c r="M4" s="4"/>
      <c r="N4" s="4"/>
      <c r="O4" s="13"/>
      <c r="P4" s="13"/>
      <c r="Q4" s="13"/>
      <c r="R4" s="13"/>
      <c r="S4" s="13"/>
      <c r="T4" s="13"/>
      <c r="U4" s="13"/>
      <c r="V4" s="13"/>
      <c r="W4" s="14" t="s">
        <v>5</v>
      </c>
      <c r="X4" s="14"/>
      <c r="Y4" s="14" t="s">
        <v>97</v>
      </c>
      <c r="Z4" s="14" t="s">
        <v>86</v>
      </c>
      <c r="AA4" s="15"/>
      <c r="AB4" s="15"/>
      <c r="AC4" s="15"/>
      <c r="AD4" s="15"/>
      <c r="AE4" s="16"/>
      <c r="AF4" s="16"/>
      <c r="AG4" s="16"/>
      <c r="AH4" s="13"/>
      <c r="AI4" s="17"/>
      <c r="AJ4" s="17"/>
      <c r="AK4" s="17"/>
      <c r="AL4" s="17"/>
      <c r="AM4" s="9"/>
      <c r="AN4" s="9"/>
      <c r="AO4" s="9"/>
      <c r="AP4" s="9"/>
    </row>
    <row r="5" spans="1:42" x14ac:dyDescent="0.25">
      <c r="A5" s="1" t="s">
        <v>6</v>
      </c>
      <c r="B5" s="122" t="s">
        <v>7</v>
      </c>
      <c r="C5" s="122"/>
      <c r="D5" s="122"/>
      <c r="E5" s="122"/>
      <c r="F5" s="122"/>
      <c r="G5" s="122" t="s">
        <v>8</v>
      </c>
      <c r="H5" s="122"/>
      <c r="I5" s="122"/>
      <c r="J5" s="122"/>
      <c r="K5" s="122"/>
      <c r="L5" s="122" t="s">
        <v>9</v>
      </c>
      <c r="M5" s="122"/>
      <c r="N5" s="122"/>
      <c r="O5" s="122"/>
      <c r="P5" s="122"/>
      <c r="Q5" s="122" t="s">
        <v>10</v>
      </c>
      <c r="R5" s="122"/>
      <c r="S5" s="122"/>
      <c r="T5" s="122"/>
      <c r="U5" s="122"/>
      <c r="V5" s="18"/>
      <c r="W5" s="121" t="s">
        <v>7</v>
      </c>
      <c r="X5" s="121"/>
      <c r="Y5" s="121"/>
      <c r="Z5" s="121"/>
      <c r="AA5" s="121"/>
      <c r="AB5" s="121" t="s">
        <v>8</v>
      </c>
      <c r="AC5" s="121"/>
      <c r="AD5" s="121"/>
      <c r="AE5" s="121"/>
      <c r="AF5" s="121"/>
      <c r="AG5" s="121" t="s">
        <v>9</v>
      </c>
      <c r="AH5" s="121"/>
      <c r="AI5" s="121"/>
      <c r="AJ5" s="121"/>
      <c r="AK5" s="121"/>
      <c r="AL5" s="121" t="s">
        <v>10</v>
      </c>
      <c r="AM5" s="121"/>
      <c r="AN5" s="121"/>
      <c r="AO5" s="121"/>
      <c r="AP5" s="121"/>
    </row>
    <row r="6" spans="1:42" x14ac:dyDescent="0.25">
      <c r="A6" s="10" t="s">
        <v>11</v>
      </c>
      <c r="B6" s="11" t="s">
        <v>12</v>
      </c>
      <c r="C6" s="11" t="s">
        <v>13</v>
      </c>
      <c r="D6" s="11" t="s">
        <v>14</v>
      </c>
      <c r="E6" s="11" t="s">
        <v>15</v>
      </c>
      <c r="F6" s="11" t="s">
        <v>203</v>
      </c>
      <c r="G6" s="11" t="s">
        <v>12</v>
      </c>
      <c r="H6" s="11" t="s">
        <v>13</v>
      </c>
      <c r="I6" s="11" t="s">
        <v>14</v>
      </c>
      <c r="J6" s="11" t="s">
        <v>15</v>
      </c>
      <c r="K6" s="11" t="s">
        <v>203</v>
      </c>
      <c r="L6" s="11" t="s">
        <v>12</v>
      </c>
      <c r="M6" s="11" t="s">
        <v>13</v>
      </c>
      <c r="N6" s="11" t="s">
        <v>14</v>
      </c>
      <c r="O6" s="11" t="s">
        <v>15</v>
      </c>
      <c r="P6" s="11" t="s">
        <v>16</v>
      </c>
      <c r="Q6" s="11" t="s">
        <v>12</v>
      </c>
      <c r="R6" s="11" t="s">
        <v>13</v>
      </c>
      <c r="S6" s="11" t="s">
        <v>14</v>
      </c>
      <c r="T6" s="11" t="s">
        <v>15</v>
      </c>
      <c r="U6" s="11" t="s">
        <v>16</v>
      </c>
      <c r="V6" s="11"/>
      <c r="W6" s="14" t="s">
        <v>17</v>
      </c>
      <c r="X6" s="14" t="s">
        <v>18</v>
      </c>
      <c r="Y6" s="14" t="s">
        <v>19</v>
      </c>
      <c r="Z6" s="14" t="s">
        <v>20</v>
      </c>
      <c r="AA6" s="14" t="s">
        <v>21</v>
      </c>
      <c r="AB6" s="19" t="s">
        <v>17</v>
      </c>
      <c r="AC6" s="19" t="s">
        <v>18</v>
      </c>
      <c r="AD6" s="19" t="s">
        <v>19</v>
      </c>
      <c r="AE6" s="19" t="s">
        <v>20</v>
      </c>
      <c r="AF6" s="19" t="s">
        <v>21</v>
      </c>
      <c r="AG6" s="14" t="s">
        <v>17</v>
      </c>
      <c r="AH6" s="14" t="s">
        <v>18</v>
      </c>
      <c r="AI6" s="14" t="s">
        <v>19</v>
      </c>
      <c r="AJ6" s="14" t="s">
        <v>20</v>
      </c>
      <c r="AK6" s="14" t="s">
        <v>21</v>
      </c>
      <c r="AL6" s="14" t="s">
        <v>17</v>
      </c>
      <c r="AM6" s="14" t="s">
        <v>18</v>
      </c>
      <c r="AN6" s="14" t="s">
        <v>19</v>
      </c>
      <c r="AO6" s="14" t="s">
        <v>20</v>
      </c>
      <c r="AP6" s="14" t="s">
        <v>21</v>
      </c>
    </row>
    <row r="7" spans="1:42" x14ac:dyDescent="0.25">
      <c r="A7" s="20" t="s">
        <v>23</v>
      </c>
      <c r="B7" s="21">
        <v>21</v>
      </c>
      <c r="C7" s="21">
        <v>21</v>
      </c>
      <c r="D7" s="21">
        <v>21</v>
      </c>
      <c r="E7" s="21">
        <v>21</v>
      </c>
      <c r="F7" s="21">
        <v>20</v>
      </c>
      <c r="G7" s="22">
        <v>5.4687499999999997E-3</v>
      </c>
      <c r="H7" s="22">
        <v>5.3164556962025317E-3</v>
      </c>
      <c r="I7" s="22">
        <v>5.2936728006049913E-3</v>
      </c>
      <c r="J7" s="22">
        <v>5.0408065290446467E-3</v>
      </c>
      <c r="K7" s="22">
        <v>4.0733197556008143E-3</v>
      </c>
      <c r="L7" s="21">
        <v>21</v>
      </c>
      <c r="M7" s="21">
        <v>21</v>
      </c>
      <c r="N7" s="21">
        <v>21</v>
      </c>
      <c r="O7" s="21">
        <v>21</v>
      </c>
      <c r="P7" s="21">
        <v>20</v>
      </c>
      <c r="Q7" s="22">
        <v>1</v>
      </c>
      <c r="R7" s="22">
        <v>1</v>
      </c>
      <c r="S7" s="22">
        <v>1</v>
      </c>
      <c r="T7" s="22">
        <v>1</v>
      </c>
      <c r="U7" s="22">
        <v>1</v>
      </c>
      <c r="V7" s="21"/>
      <c r="W7" s="21">
        <v>114</v>
      </c>
      <c r="X7" s="21">
        <v>95</v>
      </c>
      <c r="Y7" s="21">
        <v>93</v>
      </c>
      <c r="Z7" s="21">
        <v>33</v>
      </c>
      <c r="AA7" s="21">
        <v>21</v>
      </c>
      <c r="AB7" s="22">
        <v>4.4952681388012616E-2</v>
      </c>
      <c r="AC7" s="22">
        <v>2.144469525959368E-2</v>
      </c>
      <c r="AD7" s="22">
        <v>2.3331660812844959E-2</v>
      </c>
      <c r="AE7" s="22">
        <v>9.1514143094841936E-3</v>
      </c>
      <c r="AF7" s="22">
        <v>5.3164556962025317E-3</v>
      </c>
      <c r="AG7" s="21">
        <v>114</v>
      </c>
      <c r="AH7" s="21">
        <v>95</v>
      </c>
      <c r="AI7" s="21">
        <v>93</v>
      </c>
      <c r="AJ7" s="21">
        <v>33</v>
      </c>
      <c r="AK7" s="21">
        <v>21</v>
      </c>
      <c r="AL7" s="22">
        <v>1</v>
      </c>
      <c r="AM7" s="22">
        <v>1</v>
      </c>
      <c r="AN7" s="22">
        <v>1</v>
      </c>
      <c r="AO7" s="22">
        <v>1</v>
      </c>
      <c r="AP7" s="22">
        <v>1</v>
      </c>
    </row>
    <row r="8" spans="1:42" x14ac:dyDescent="0.25">
      <c r="A8" s="20" t="s">
        <v>24</v>
      </c>
      <c r="B8" s="21">
        <v>1673</v>
      </c>
      <c r="C8" s="21">
        <v>1833</v>
      </c>
      <c r="D8" s="21">
        <v>1815</v>
      </c>
      <c r="E8" s="21">
        <v>1724</v>
      </c>
      <c r="F8" s="21">
        <v>1917</v>
      </c>
      <c r="G8" s="22">
        <v>0.43567708333333333</v>
      </c>
      <c r="H8" s="22">
        <v>0.46405063291139242</v>
      </c>
      <c r="I8" s="22">
        <v>0.45752457776657424</v>
      </c>
      <c r="J8" s="22">
        <v>0.41382621219395105</v>
      </c>
      <c r="K8" s="22">
        <v>0.39042769857433807</v>
      </c>
      <c r="L8" s="21">
        <v>1673</v>
      </c>
      <c r="M8" s="21">
        <v>1833</v>
      </c>
      <c r="N8" s="21">
        <v>1815</v>
      </c>
      <c r="O8" s="21">
        <v>1724</v>
      </c>
      <c r="P8" s="21">
        <v>1605</v>
      </c>
      <c r="Q8" s="22">
        <v>1</v>
      </c>
      <c r="R8" s="22">
        <v>1</v>
      </c>
      <c r="S8" s="22">
        <v>1</v>
      </c>
      <c r="T8" s="22">
        <v>1</v>
      </c>
      <c r="U8" s="22">
        <v>0.83724569640062596</v>
      </c>
      <c r="V8" s="21"/>
      <c r="W8" s="21">
        <v>924</v>
      </c>
      <c r="X8" s="21">
        <v>527</v>
      </c>
      <c r="Y8" s="21">
        <v>748</v>
      </c>
      <c r="Z8" s="21">
        <v>1628</v>
      </c>
      <c r="AA8" s="21">
        <v>1833</v>
      </c>
      <c r="AB8" s="22">
        <v>0.36435331230283913</v>
      </c>
      <c r="AC8" s="22">
        <v>0.11896162528216704</v>
      </c>
      <c r="AD8" s="22">
        <v>0.18765679879578526</v>
      </c>
      <c r="AE8" s="22">
        <v>0.45146977260122018</v>
      </c>
      <c r="AF8" s="22">
        <v>0.46405063291139242</v>
      </c>
      <c r="AG8" s="21">
        <v>924</v>
      </c>
      <c r="AH8" s="21">
        <v>527</v>
      </c>
      <c r="AI8" s="21">
        <v>748</v>
      </c>
      <c r="AJ8" s="21">
        <v>1628</v>
      </c>
      <c r="AK8" s="21">
        <v>1833</v>
      </c>
      <c r="AL8" s="22">
        <v>1</v>
      </c>
      <c r="AM8" s="22">
        <v>1</v>
      </c>
      <c r="AN8" s="22">
        <v>1</v>
      </c>
      <c r="AO8" s="22">
        <v>1</v>
      </c>
      <c r="AP8" s="22">
        <v>1</v>
      </c>
    </row>
    <row r="9" spans="1:42" x14ac:dyDescent="0.25">
      <c r="A9" s="20" t="s">
        <v>25</v>
      </c>
      <c r="B9" s="21">
        <v>0</v>
      </c>
      <c r="C9" s="21">
        <v>0</v>
      </c>
      <c r="D9" s="21">
        <v>0</v>
      </c>
      <c r="E9" s="21">
        <v>0</v>
      </c>
      <c r="F9" s="21">
        <v>43</v>
      </c>
      <c r="G9" s="22">
        <v>0</v>
      </c>
      <c r="H9" s="22">
        <v>0</v>
      </c>
      <c r="I9" s="22">
        <v>0</v>
      </c>
      <c r="J9" s="22">
        <v>0</v>
      </c>
      <c r="K9" s="22">
        <v>8.7576374745417518E-3</v>
      </c>
      <c r="L9" s="21">
        <v>0</v>
      </c>
      <c r="M9" s="21">
        <v>0</v>
      </c>
      <c r="N9" s="21">
        <v>0</v>
      </c>
      <c r="O9" s="21">
        <v>0</v>
      </c>
      <c r="P9" s="21">
        <v>43</v>
      </c>
      <c r="Q9" s="22">
        <v>0</v>
      </c>
      <c r="R9" s="22">
        <v>0</v>
      </c>
      <c r="S9" s="22">
        <v>0</v>
      </c>
      <c r="T9" s="22">
        <v>0</v>
      </c>
      <c r="U9" s="22">
        <v>1</v>
      </c>
      <c r="V9" s="21"/>
      <c r="W9" s="21">
        <v>0</v>
      </c>
      <c r="X9" s="21">
        <v>0</v>
      </c>
      <c r="Y9" s="21">
        <v>12</v>
      </c>
      <c r="Z9" s="21">
        <v>0</v>
      </c>
      <c r="AA9" s="21">
        <v>0</v>
      </c>
      <c r="AB9" s="22">
        <v>0</v>
      </c>
      <c r="AC9" s="22">
        <v>0</v>
      </c>
      <c r="AD9" s="22">
        <v>3.0105368790767687E-3</v>
      </c>
      <c r="AE9" s="22">
        <v>0</v>
      </c>
      <c r="AF9" s="22">
        <v>0</v>
      </c>
      <c r="AG9" s="21">
        <v>0</v>
      </c>
      <c r="AH9" s="21">
        <v>0</v>
      </c>
      <c r="AI9" s="21">
        <v>12</v>
      </c>
      <c r="AJ9" s="21">
        <v>0</v>
      </c>
      <c r="AK9" s="21">
        <v>0</v>
      </c>
      <c r="AL9" s="22">
        <v>0</v>
      </c>
      <c r="AM9" s="22">
        <v>0</v>
      </c>
      <c r="AN9" s="22">
        <v>1</v>
      </c>
      <c r="AO9" s="22">
        <v>0</v>
      </c>
      <c r="AP9" s="22">
        <v>0</v>
      </c>
    </row>
    <row r="10" spans="1:42" x14ac:dyDescent="0.25">
      <c r="A10" s="20" t="s">
        <v>35</v>
      </c>
      <c r="B10" s="21">
        <v>434</v>
      </c>
      <c r="C10" s="21">
        <v>380</v>
      </c>
      <c r="D10" s="21">
        <v>389</v>
      </c>
      <c r="E10" s="21">
        <v>402</v>
      </c>
      <c r="F10" s="21">
        <v>549</v>
      </c>
      <c r="G10" s="22">
        <v>0.11302083333333333</v>
      </c>
      <c r="H10" s="22">
        <v>9.6202531645569619E-2</v>
      </c>
      <c r="I10" s="22">
        <v>9.8058986639778176E-2</v>
      </c>
      <c r="J10" s="22">
        <v>9.6495439270283243E-2</v>
      </c>
      <c r="K10" s="22">
        <v>0.11181262729124236</v>
      </c>
      <c r="L10" s="21">
        <v>434</v>
      </c>
      <c r="M10" s="21">
        <v>380</v>
      </c>
      <c r="N10" s="21">
        <v>389</v>
      </c>
      <c r="O10" s="21">
        <v>402</v>
      </c>
      <c r="P10" s="21">
        <v>480</v>
      </c>
      <c r="Q10" s="22">
        <v>1</v>
      </c>
      <c r="R10" s="22">
        <v>1</v>
      </c>
      <c r="S10" s="22">
        <v>1</v>
      </c>
      <c r="T10" s="22">
        <v>1</v>
      </c>
      <c r="U10" s="22">
        <v>0.87431693989071035</v>
      </c>
      <c r="V10" s="21"/>
      <c r="W10" s="21">
        <v>188</v>
      </c>
      <c r="X10" s="21">
        <v>511</v>
      </c>
      <c r="Y10" s="21">
        <v>435</v>
      </c>
      <c r="Z10" s="21">
        <v>454</v>
      </c>
      <c r="AA10" s="21">
        <v>380</v>
      </c>
      <c r="AB10" s="22">
        <v>7.4132492113564666E-2</v>
      </c>
      <c r="AC10" s="22">
        <v>0.11534988713318284</v>
      </c>
      <c r="AD10" s="22">
        <v>0.10913196186653286</v>
      </c>
      <c r="AE10" s="22">
        <v>0.12590127565169162</v>
      </c>
      <c r="AF10" s="22">
        <v>9.6202531645569619E-2</v>
      </c>
      <c r="AG10" s="21">
        <v>188</v>
      </c>
      <c r="AH10" s="21">
        <v>511</v>
      </c>
      <c r="AI10" s="21">
        <v>435</v>
      </c>
      <c r="AJ10" s="21">
        <v>454</v>
      </c>
      <c r="AK10" s="21">
        <v>380</v>
      </c>
      <c r="AL10" s="22">
        <v>1</v>
      </c>
      <c r="AM10" s="22">
        <v>1</v>
      </c>
      <c r="AN10" s="22">
        <v>1</v>
      </c>
      <c r="AO10" s="22">
        <v>1</v>
      </c>
      <c r="AP10" s="22">
        <v>1</v>
      </c>
    </row>
    <row r="11" spans="1:42" x14ac:dyDescent="0.25">
      <c r="A11" s="20" t="s">
        <v>40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1"/>
      <c r="W11" s="21">
        <v>0</v>
      </c>
      <c r="X11" s="21">
        <v>2</v>
      </c>
      <c r="Y11" s="21">
        <v>0</v>
      </c>
      <c r="Z11" s="21">
        <v>0</v>
      </c>
      <c r="AA11" s="21">
        <v>0</v>
      </c>
      <c r="AB11" s="22">
        <v>0</v>
      </c>
      <c r="AC11" s="22">
        <v>4.514672686230248E-4</v>
      </c>
      <c r="AD11" s="22">
        <v>0</v>
      </c>
      <c r="AE11" s="22">
        <v>0</v>
      </c>
      <c r="AF11" s="22">
        <v>0</v>
      </c>
      <c r="AG11" s="21">
        <v>0</v>
      </c>
      <c r="AH11" s="21">
        <v>2</v>
      </c>
      <c r="AI11" s="21">
        <v>0</v>
      </c>
      <c r="AJ11" s="21">
        <v>0</v>
      </c>
      <c r="AK11" s="21">
        <v>0</v>
      </c>
      <c r="AL11" s="22">
        <v>0</v>
      </c>
      <c r="AM11" s="22">
        <v>1</v>
      </c>
      <c r="AN11" s="22">
        <v>0</v>
      </c>
      <c r="AO11" s="22">
        <v>0</v>
      </c>
      <c r="AP11" s="22">
        <v>0</v>
      </c>
    </row>
    <row r="12" spans="1:42" x14ac:dyDescent="0.25">
      <c r="A12" s="20" t="s">
        <v>42</v>
      </c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1"/>
      <c r="W12" s="21">
        <v>964</v>
      </c>
      <c r="X12" s="21">
        <v>2387</v>
      </c>
      <c r="Y12" s="21">
        <v>1843</v>
      </c>
      <c r="Z12" s="21">
        <v>2</v>
      </c>
      <c r="AA12" s="21">
        <v>0</v>
      </c>
      <c r="AB12" s="22">
        <v>0.38012618296529971</v>
      </c>
      <c r="AC12" s="22">
        <v>0.53882618510158009</v>
      </c>
      <c r="AD12" s="22">
        <v>0.46236828901154037</v>
      </c>
      <c r="AE12" s="22">
        <v>5.5463117027176932E-4</v>
      </c>
      <c r="AF12" s="22">
        <v>0</v>
      </c>
      <c r="AG12" s="21">
        <v>964</v>
      </c>
      <c r="AH12" s="21">
        <v>2387</v>
      </c>
      <c r="AI12" s="21">
        <v>1843</v>
      </c>
      <c r="AJ12" s="21">
        <v>2</v>
      </c>
      <c r="AK12" s="21">
        <v>0</v>
      </c>
      <c r="AL12" s="22">
        <v>1</v>
      </c>
      <c r="AM12" s="22">
        <v>1</v>
      </c>
      <c r="AN12" s="22">
        <v>1</v>
      </c>
      <c r="AO12" s="22">
        <v>1</v>
      </c>
      <c r="AP12" s="22">
        <v>0</v>
      </c>
    </row>
    <row r="13" spans="1:42" x14ac:dyDescent="0.25">
      <c r="A13" s="20" t="s">
        <v>48</v>
      </c>
      <c r="B13" s="21">
        <v>1712</v>
      </c>
      <c r="C13" s="21">
        <v>1710</v>
      </c>
      <c r="D13" s="21">
        <v>1676</v>
      </c>
      <c r="E13" s="21">
        <v>1953</v>
      </c>
      <c r="F13" s="21">
        <v>2290</v>
      </c>
      <c r="G13" s="22">
        <v>0.44583333333333336</v>
      </c>
      <c r="H13" s="22">
        <v>0.43291139240506327</v>
      </c>
      <c r="I13" s="22">
        <v>0.42248550541971264</v>
      </c>
      <c r="J13" s="22">
        <v>0.46879500720115219</v>
      </c>
      <c r="K13" s="22">
        <v>0.4663951120162933</v>
      </c>
      <c r="L13" s="21">
        <v>1712</v>
      </c>
      <c r="M13" s="21">
        <v>1710</v>
      </c>
      <c r="N13" s="21">
        <v>1676</v>
      </c>
      <c r="O13" s="21">
        <v>1953</v>
      </c>
      <c r="P13" s="21">
        <v>1912</v>
      </c>
      <c r="Q13" s="22">
        <v>1</v>
      </c>
      <c r="R13" s="22">
        <v>1</v>
      </c>
      <c r="S13" s="22">
        <v>1</v>
      </c>
      <c r="T13" s="22">
        <v>1</v>
      </c>
      <c r="U13" s="22">
        <v>0.8349344978165939</v>
      </c>
      <c r="V13" s="21"/>
      <c r="W13" s="21">
        <v>343</v>
      </c>
      <c r="X13" s="21">
        <v>905</v>
      </c>
      <c r="Y13" s="21">
        <v>853</v>
      </c>
      <c r="Z13" s="21">
        <v>1488</v>
      </c>
      <c r="AA13" s="21">
        <v>1710</v>
      </c>
      <c r="AB13" s="22">
        <v>0.13525236593059936</v>
      </c>
      <c r="AC13" s="22">
        <v>0.20428893905191872</v>
      </c>
      <c r="AD13" s="22">
        <v>0.21399899648770698</v>
      </c>
      <c r="AE13" s="22">
        <v>0.41264559068219636</v>
      </c>
      <c r="AF13" s="22">
        <v>0.43291139240506327</v>
      </c>
      <c r="AG13" s="21">
        <v>343</v>
      </c>
      <c r="AH13" s="21">
        <v>905</v>
      </c>
      <c r="AI13" s="21">
        <v>853</v>
      </c>
      <c r="AJ13" s="21">
        <v>1488</v>
      </c>
      <c r="AK13" s="21">
        <v>1710</v>
      </c>
      <c r="AL13" s="22">
        <v>1</v>
      </c>
      <c r="AM13" s="22">
        <v>1</v>
      </c>
      <c r="AN13" s="22">
        <v>1</v>
      </c>
      <c r="AO13" s="22">
        <v>1</v>
      </c>
      <c r="AP13" s="22">
        <v>1</v>
      </c>
    </row>
    <row r="14" spans="1:42" x14ac:dyDescent="0.25">
      <c r="A14" s="20" t="s">
        <v>57</v>
      </c>
      <c r="B14" s="21">
        <v>0</v>
      </c>
      <c r="C14" s="21">
        <v>0</v>
      </c>
      <c r="D14" s="21">
        <v>0</v>
      </c>
      <c r="E14" s="21">
        <v>1</v>
      </c>
      <c r="F14" s="21">
        <v>1</v>
      </c>
      <c r="G14" s="22">
        <v>0</v>
      </c>
      <c r="H14" s="22">
        <v>0</v>
      </c>
      <c r="I14" s="22">
        <v>0</v>
      </c>
      <c r="J14" s="22">
        <v>2.4003840614498319E-4</v>
      </c>
      <c r="K14" s="22">
        <v>2.0366598778004074E-4</v>
      </c>
      <c r="L14" s="21">
        <v>0</v>
      </c>
      <c r="M14" s="21">
        <v>0</v>
      </c>
      <c r="N14" s="21">
        <v>0</v>
      </c>
      <c r="O14" s="21">
        <v>1</v>
      </c>
      <c r="P14" s="21">
        <v>1</v>
      </c>
      <c r="Q14" s="22">
        <v>0</v>
      </c>
      <c r="R14" s="22">
        <v>0</v>
      </c>
      <c r="S14" s="22">
        <v>0</v>
      </c>
      <c r="T14" s="22">
        <v>1</v>
      </c>
      <c r="U14" s="22">
        <v>1</v>
      </c>
      <c r="V14" s="21"/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</row>
    <row r="15" spans="1:42" x14ac:dyDescent="0.25">
      <c r="A15" s="20" t="s">
        <v>60</v>
      </c>
      <c r="B15" s="21">
        <v>0</v>
      </c>
      <c r="C15" s="21">
        <v>5</v>
      </c>
      <c r="D15" s="21">
        <v>14</v>
      </c>
      <c r="E15" s="21">
        <v>12</v>
      </c>
      <c r="F15" s="21">
        <v>11</v>
      </c>
      <c r="G15" s="22">
        <v>0</v>
      </c>
      <c r="H15" s="22">
        <v>1.2658227848101266E-3</v>
      </c>
      <c r="I15" s="22">
        <v>3.5291152004033274E-3</v>
      </c>
      <c r="J15" s="22">
        <v>2.8804608737397984E-3</v>
      </c>
      <c r="K15" s="22">
        <v>2.2403258655804481E-3</v>
      </c>
      <c r="L15" s="21">
        <v>0</v>
      </c>
      <c r="M15" s="21">
        <v>5</v>
      </c>
      <c r="N15" s="21">
        <v>14</v>
      </c>
      <c r="O15" s="21">
        <v>12</v>
      </c>
      <c r="P15" s="21">
        <v>11</v>
      </c>
      <c r="Q15" s="22">
        <v>0</v>
      </c>
      <c r="R15" s="22">
        <v>1</v>
      </c>
      <c r="S15" s="22">
        <v>1</v>
      </c>
      <c r="T15" s="22">
        <v>1</v>
      </c>
      <c r="U15" s="22">
        <v>1</v>
      </c>
      <c r="V15" s="21"/>
      <c r="W15" s="21">
        <v>3</v>
      </c>
      <c r="X15" s="21">
        <v>3</v>
      </c>
      <c r="Y15" s="21">
        <v>2</v>
      </c>
      <c r="Z15" s="21">
        <v>1</v>
      </c>
      <c r="AA15" s="21">
        <v>5</v>
      </c>
      <c r="AB15" s="22">
        <v>1.1829652996845426E-3</v>
      </c>
      <c r="AC15" s="22">
        <v>6.7720090293453723E-4</v>
      </c>
      <c r="AD15" s="22">
        <v>5.0175614651279475E-4</v>
      </c>
      <c r="AE15" s="22">
        <v>2.7731558513588466E-4</v>
      </c>
      <c r="AF15" s="22">
        <v>1.2658227848101266E-3</v>
      </c>
      <c r="AG15" s="21">
        <v>3</v>
      </c>
      <c r="AH15" s="21">
        <v>3</v>
      </c>
      <c r="AI15" s="21">
        <v>2</v>
      </c>
      <c r="AJ15" s="21">
        <v>1</v>
      </c>
      <c r="AK15" s="21">
        <v>5</v>
      </c>
      <c r="AL15" s="22">
        <v>1</v>
      </c>
      <c r="AM15" s="22">
        <v>1</v>
      </c>
      <c r="AN15" s="22">
        <v>1</v>
      </c>
      <c r="AO15" s="22">
        <v>1</v>
      </c>
      <c r="AP15" s="22">
        <v>1</v>
      </c>
    </row>
    <row r="16" spans="1:42" x14ac:dyDescent="0.25">
      <c r="A16" s="20" t="s">
        <v>98</v>
      </c>
      <c r="B16" s="21">
        <v>0</v>
      </c>
      <c r="C16" s="21">
        <v>0</v>
      </c>
      <c r="D16" s="21">
        <v>52</v>
      </c>
      <c r="E16" s="21">
        <v>53</v>
      </c>
      <c r="F16" s="21">
        <v>79</v>
      </c>
      <c r="G16" s="22">
        <v>0</v>
      </c>
      <c r="H16" s="22">
        <v>0</v>
      </c>
      <c r="I16" s="22">
        <v>1.3108142172926645E-2</v>
      </c>
      <c r="J16" s="22">
        <v>1.2722035525684109E-2</v>
      </c>
      <c r="K16" s="22">
        <v>1.6089613034623217E-2</v>
      </c>
      <c r="L16" s="21">
        <v>0</v>
      </c>
      <c r="M16" s="21">
        <v>0</v>
      </c>
      <c r="N16" s="21">
        <v>52</v>
      </c>
      <c r="O16" s="21">
        <v>53</v>
      </c>
      <c r="P16" s="21">
        <v>79</v>
      </c>
      <c r="Q16" s="22">
        <v>0</v>
      </c>
      <c r="R16" s="22">
        <v>0</v>
      </c>
      <c r="S16" s="22">
        <v>1</v>
      </c>
      <c r="T16" s="22">
        <v>1</v>
      </c>
      <c r="U16" s="22">
        <v>1</v>
      </c>
      <c r="V16" s="21"/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</row>
    <row r="17" spans="1:42" x14ac:dyDescent="0.25">
      <c r="A17" s="20" t="s">
        <v>66</v>
      </c>
      <c r="B17" s="21">
        <v>0</v>
      </c>
      <c r="C17" s="21">
        <v>1</v>
      </c>
      <c r="D17" s="21">
        <v>0</v>
      </c>
      <c r="E17" s="21">
        <v>0</v>
      </c>
      <c r="F17" s="21">
        <v>0</v>
      </c>
      <c r="G17" s="22">
        <v>0</v>
      </c>
      <c r="H17" s="22">
        <v>2.5316455696202533E-4</v>
      </c>
      <c r="I17" s="22">
        <v>0</v>
      </c>
      <c r="J17" s="22">
        <v>0</v>
      </c>
      <c r="K17" s="22">
        <v>0</v>
      </c>
      <c r="L17" s="21">
        <v>0</v>
      </c>
      <c r="M17" s="21">
        <v>1</v>
      </c>
      <c r="N17" s="21">
        <v>0</v>
      </c>
      <c r="O17" s="21">
        <v>0</v>
      </c>
      <c r="P17" s="21">
        <v>0</v>
      </c>
      <c r="Q17" s="22">
        <v>0</v>
      </c>
      <c r="R17" s="22">
        <v>1</v>
      </c>
      <c r="S17" s="22">
        <v>0</v>
      </c>
      <c r="T17" s="22">
        <v>0</v>
      </c>
      <c r="U17" s="22">
        <v>0</v>
      </c>
      <c r="V17" s="21"/>
      <c r="W17" s="21">
        <v>0</v>
      </c>
      <c r="X17" s="21">
        <v>0</v>
      </c>
      <c r="Y17" s="21">
        <v>0</v>
      </c>
      <c r="Z17" s="21">
        <v>0</v>
      </c>
      <c r="AA17" s="21">
        <v>1</v>
      </c>
      <c r="AB17" s="22">
        <v>0</v>
      </c>
      <c r="AC17" s="22">
        <v>0</v>
      </c>
      <c r="AD17" s="22">
        <v>0</v>
      </c>
      <c r="AE17" s="22">
        <v>0</v>
      </c>
      <c r="AF17" s="22">
        <v>2.5316455696202533E-4</v>
      </c>
      <c r="AG17" s="21">
        <v>0</v>
      </c>
      <c r="AH17" s="21">
        <v>0</v>
      </c>
      <c r="AI17" s="21">
        <v>0</v>
      </c>
      <c r="AJ17" s="21">
        <v>0</v>
      </c>
      <c r="AK17" s="21">
        <v>1</v>
      </c>
      <c r="AL17" s="22">
        <v>0</v>
      </c>
      <c r="AM17" s="22">
        <v>0</v>
      </c>
      <c r="AN17" s="22">
        <v>0</v>
      </c>
      <c r="AO17" s="22">
        <v>0</v>
      </c>
      <c r="AP17" s="22">
        <v>1</v>
      </c>
    </row>
    <row r="18" spans="1:42" x14ac:dyDescent="0.25">
      <c r="A18" s="1" t="s">
        <v>67</v>
      </c>
      <c r="B18" s="23">
        <v>3840</v>
      </c>
      <c r="C18" s="23">
        <v>3950</v>
      </c>
      <c r="D18" s="23">
        <v>3967</v>
      </c>
      <c r="E18" s="23">
        <v>4166</v>
      </c>
      <c r="F18" s="23">
        <v>4910</v>
      </c>
      <c r="G18" s="24">
        <v>1</v>
      </c>
      <c r="H18" s="24">
        <v>1</v>
      </c>
      <c r="I18" s="24">
        <v>1</v>
      </c>
      <c r="J18" s="24">
        <v>1</v>
      </c>
      <c r="K18" s="24">
        <v>1</v>
      </c>
      <c r="L18" s="23">
        <v>3840</v>
      </c>
      <c r="M18" s="23">
        <v>3950</v>
      </c>
      <c r="N18" s="23">
        <v>3967</v>
      </c>
      <c r="O18" s="23">
        <v>4166</v>
      </c>
      <c r="P18" s="23">
        <v>4151</v>
      </c>
      <c r="Q18" s="24">
        <v>1</v>
      </c>
      <c r="R18" s="24">
        <v>1</v>
      </c>
      <c r="S18" s="24">
        <v>1</v>
      </c>
      <c r="T18" s="24">
        <v>1</v>
      </c>
      <c r="U18" s="24">
        <v>0.84541751527494913</v>
      </c>
      <c r="V18" s="23"/>
      <c r="W18" s="23">
        <v>2536</v>
      </c>
      <c r="X18" s="23">
        <v>4430</v>
      </c>
      <c r="Y18" s="23">
        <v>3986</v>
      </c>
      <c r="Z18" s="23">
        <v>3606</v>
      </c>
      <c r="AA18" s="23">
        <v>3950</v>
      </c>
      <c r="AB18" s="24">
        <v>1</v>
      </c>
      <c r="AC18" s="24">
        <v>1</v>
      </c>
      <c r="AD18" s="24">
        <v>1</v>
      </c>
      <c r="AE18" s="24">
        <v>1</v>
      </c>
      <c r="AF18" s="24">
        <v>1</v>
      </c>
      <c r="AG18" s="23">
        <v>2536</v>
      </c>
      <c r="AH18" s="23">
        <v>4430</v>
      </c>
      <c r="AI18" s="23">
        <v>3986</v>
      </c>
      <c r="AJ18" s="23">
        <v>3606</v>
      </c>
      <c r="AK18" s="23">
        <v>3950</v>
      </c>
      <c r="AL18" s="24">
        <v>1</v>
      </c>
      <c r="AM18" s="24">
        <v>1</v>
      </c>
      <c r="AN18" s="24">
        <v>1</v>
      </c>
      <c r="AO18" s="24">
        <v>1</v>
      </c>
      <c r="AP18" s="24">
        <v>1</v>
      </c>
    </row>
    <row r="19" spans="1:42" x14ac:dyDescent="0.25">
      <c r="A19" s="25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</row>
    <row r="20" spans="1:42" x14ac:dyDescent="0.25">
      <c r="A20" s="1" t="s">
        <v>68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</row>
    <row r="21" spans="1:42" x14ac:dyDescent="0.25">
      <c r="A21" s="26" t="s">
        <v>69</v>
      </c>
      <c r="B21" s="27" t="s">
        <v>12</v>
      </c>
      <c r="C21" s="27" t="s">
        <v>13</v>
      </c>
      <c r="D21" s="27" t="s">
        <v>14</v>
      </c>
      <c r="E21" s="27" t="s">
        <v>15</v>
      </c>
      <c r="F21" s="27" t="s">
        <v>16</v>
      </c>
      <c r="G21" s="27" t="s">
        <v>12</v>
      </c>
      <c r="H21" s="27" t="s">
        <v>13</v>
      </c>
      <c r="I21" s="27" t="s">
        <v>14</v>
      </c>
      <c r="J21" s="27" t="s">
        <v>15</v>
      </c>
      <c r="K21" s="27" t="s">
        <v>16</v>
      </c>
      <c r="L21" s="27" t="s">
        <v>12</v>
      </c>
      <c r="M21" s="27" t="s">
        <v>13</v>
      </c>
      <c r="N21" s="27" t="s">
        <v>14</v>
      </c>
      <c r="O21" s="27" t="s">
        <v>15</v>
      </c>
      <c r="P21" s="27" t="s">
        <v>16</v>
      </c>
      <c r="Q21" s="27" t="s">
        <v>12</v>
      </c>
      <c r="R21" s="27" t="s">
        <v>13</v>
      </c>
      <c r="S21" s="27" t="s">
        <v>14</v>
      </c>
      <c r="T21" s="27" t="s">
        <v>15</v>
      </c>
      <c r="U21" s="27" t="s">
        <v>16</v>
      </c>
      <c r="V21" s="27"/>
      <c r="W21" s="27" t="s">
        <v>17</v>
      </c>
      <c r="X21" s="27" t="s">
        <v>18</v>
      </c>
      <c r="Y21" s="27" t="s">
        <v>19</v>
      </c>
      <c r="Z21" s="27" t="s">
        <v>20</v>
      </c>
      <c r="AA21" s="27" t="s">
        <v>21</v>
      </c>
      <c r="AB21" s="27" t="s">
        <v>17</v>
      </c>
      <c r="AC21" s="27" t="s">
        <v>18</v>
      </c>
      <c r="AD21" s="27" t="s">
        <v>19</v>
      </c>
      <c r="AE21" s="27" t="s">
        <v>20</v>
      </c>
      <c r="AF21" s="27" t="s">
        <v>21</v>
      </c>
      <c r="AG21" s="27" t="s">
        <v>17</v>
      </c>
      <c r="AH21" s="27" t="s">
        <v>18</v>
      </c>
      <c r="AI21" s="27" t="s">
        <v>19</v>
      </c>
      <c r="AJ21" s="27" t="s">
        <v>20</v>
      </c>
      <c r="AK21" s="27" t="s">
        <v>21</v>
      </c>
      <c r="AL21" s="27" t="s">
        <v>17</v>
      </c>
      <c r="AM21" s="27" t="s">
        <v>18</v>
      </c>
      <c r="AN21" s="27" t="s">
        <v>19</v>
      </c>
      <c r="AO21" s="27" t="s">
        <v>20</v>
      </c>
      <c r="AP21" s="27" t="s">
        <v>21</v>
      </c>
    </row>
    <row r="22" spans="1:42" x14ac:dyDescent="0.25">
      <c r="A22" s="20" t="s">
        <v>23</v>
      </c>
      <c r="B22" s="21">
        <v>19</v>
      </c>
      <c r="C22" s="21">
        <v>19</v>
      </c>
      <c r="D22" s="21">
        <v>19</v>
      </c>
      <c r="E22" s="21">
        <v>19</v>
      </c>
      <c r="F22" s="21">
        <v>18</v>
      </c>
      <c r="G22" s="22">
        <v>0.20212765957446807</v>
      </c>
      <c r="H22" s="22">
        <v>0.21348314606741572</v>
      </c>
      <c r="I22" s="22">
        <v>0.19587628865979381</v>
      </c>
      <c r="J22" s="22">
        <v>0.17757009345794392</v>
      </c>
      <c r="K22" s="22">
        <v>0.15929203539823009</v>
      </c>
      <c r="L22" s="21">
        <v>19</v>
      </c>
      <c r="M22" s="21">
        <v>19</v>
      </c>
      <c r="N22" s="21">
        <v>19</v>
      </c>
      <c r="O22" s="21">
        <v>19</v>
      </c>
      <c r="P22" s="21">
        <v>18</v>
      </c>
      <c r="Q22" s="22">
        <v>1</v>
      </c>
      <c r="R22" s="22">
        <v>1</v>
      </c>
      <c r="S22" s="22">
        <v>1</v>
      </c>
      <c r="T22" s="22">
        <v>1</v>
      </c>
      <c r="U22" s="22">
        <v>1</v>
      </c>
      <c r="V22" s="21"/>
      <c r="W22" s="21">
        <v>99</v>
      </c>
      <c r="X22" s="21">
        <v>79</v>
      </c>
      <c r="Y22" s="21">
        <v>81</v>
      </c>
      <c r="Z22" s="21">
        <v>30</v>
      </c>
      <c r="AA22" s="21">
        <v>19</v>
      </c>
      <c r="AB22" s="22">
        <v>0.92523364485981308</v>
      </c>
      <c r="AC22" s="22">
        <v>0.79797979797979801</v>
      </c>
      <c r="AD22" s="22">
        <v>0.74311926605504586</v>
      </c>
      <c r="AE22" s="22">
        <v>0.36585365853658536</v>
      </c>
      <c r="AF22" s="22">
        <v>0.21348314606741572</v>
      </c>
      <c r="AG22" s="21">
        <v>99</v>
      </c>
      <c r="AH22" s="21">
        <v>79</v>
      </c>
      <c r="AI22" s="21">
        <v>81</v>
      </c>
      <c r="AJ22" s="21">
        <v>30</v>
      </c>
      <c r="AK22" s="21">
        <v>19</v>
      </c>
      <c r="AL22" s="22">
        <v>1</v>
      </c>
      <c r="AM22" s="22">
        <v>1</v>
      </c>
      <c r="AN22" s="22">
        <v>1</v>
      </c>
      <c r="AO22" s="22">
        <v>1</v>
      </c>
      <c r="AP22" s="22">
        <v>1</v>
      </c>
    </row>
    <row r="23" spans="1:42" x14ac:dyDescent="0.25">
      <c r="A23" s="20" t="s">
        <v>35</v>
      </c>
      <c r="B23" s="21">
        <v>13</v>
      </c>
      <c r="C23" s="21">
        <v>9</v>
      </c>
      <c r="D23" s="21">
        <v>11</v>
      </c>
      <c r="E23" s="21">
        <v>13</v>
      </c>
      <c r="F23" s="21">
        <v>15</v>
      </c>
      <c r="G23" s="22">
        <v>0.13829787234042554</v>
      </c>
      <c r="H23" s="22">
        <v>0.10112359550561797</v>
      </c>
      <c r="I23" s="22">
        <v>0.1134020618556701</v>
      </c>
      <c r="J23" s="22">
        <v>0.12149532710280374</v>
      </c>
      <c r="K23" s="22">
        <v>0.13274336283185842</v>
      </c>
      <c r="L23" s="21">
        <v>13</v>
      </c>
      <c r="M23" s="21">
        <v>9</v>
      </c>
      <c r="N23" s="21">
        <v>11</v>
      </c>
      <c r="O23" s="21">
        <v>13</v>
      </c>
      <c r="P23" s="21">
        <v>15</v>
      </c>
      <c r="Q23" s="22">
        <v>1</v>
      </c>
      <c r="R23" s="22">
        <v>1</v>
      </c>
      <c r="S23" s="22">
        <v>1</v>
      </c>
      <c r="T23" s="22">
        <v>1</v>
      </c>
      <c r="U23" s="22">
        <v>1</v>
      </c>
      <c r="V23" s="21"/>
      <c r="W23" s="21">
        <v>4</v>
      </c>
      <c r="X23" s="21">
        <v>14</v>
      </c>
      <c r="Y23" s="21">
        <v>16</v>
      </c>
      <c r="Z23" s="21">
        <v>12</v>
      </c>
      <c r="AA23" s="21">
        <v>9</v>
      </c>
      <c r="AB23" s="22">
        <v>3.7383177570093455E-2</v>
      </c>
      <c r="AC23" s="22">
        <v>0.14141414141414141</v>
      </c>
      <c r="AD23" s="22">
        <v>0.14678899082568808</v>
      </c>
      <c r="AE23" s="22">
        <v>0.14634146341463414</v>
      </c>
      <c r="AF23" s="22">
        <v>0.10112359550561797</v>
      </c>
      <c r="AG23" s="21">
        <v>4</v>
      </c>
      <c r="AH23" s="21">
        <v>14</v>
      </c>
      <c r="AI23" s="21">
        <v>16</v>
      </c>
      <c r="AJ23" s="21">
        <v>12</v>
      </c>
      <c r="AK23" s="21">
        <v>9</v>
      </c>
      <c r="AL23" s="22">
        <v>1</v>
      </c>
      <c r="AM23" s="22">
        <v>1</v>
      </c>
      <c r="AN23" s="22">
        <v>1</v>
      </c>
      <c r="AO23" s="22">
        <v>1</v>
      </c>
      <c r="AP23" s="22">
        <v>1</v>
      </c>
    </row>
    <row r="24" spans="1:42" x14ac:dyDescent="0.25">
      <c r="A24" s="20" t="s">
        <v>48</v>
      </c>
      <c r="B24" s="21">
        <v>62</v>
      </c>
      <c r="C24" s="21">
        <v>61</v>
      </c>
      <c r="D24" s="21">
        <v>62</v>
      </c>
      <c r="E24" s="21">
        <v>70</v>
      </c>
      <c r="F24" s="21">
        <v>74</v>
      </c>
      <c r="G24" s="22">
        <v>0.65957446808510634</v>
      </c>
      <c r="H24" s="22">
        <v>0.6853932584269663</v>
      </c>
      <c r="I24" s="22">
        <v>0.63917525773195871</v>
      </c>
      <c r="J24" s="22">
        <v>0.65420560747663548</v>
      </c>
      <c r="K24" s="22">
        <v>0.65486725663716816</v>
      </c>
      <c r="L24" s="21">
        <v>62</v>
      </c>
      <c r="M24" s="21">
        <v>61</v>
      </c>
      <c r="N24" s="21">
        <v>62</v>
      </c>
      <c r="O24" s="21">
        <v>70</v>
      </c>
      <c r="P24" s="21">
        <v>73</v>
      </c>
      <c r="Q24" s="22">
        <v>1</v>
      </c>
      <c r="R24" s="22">
        <v>1</v>
      </c>
      <c r="S24" s="22">
        <v>1</v>
      </c>
      <c r="T24" s="22">
        <v>1</v>
      </c>
      <c r="U24" s="22">
        <v>0.98648648648648651</v>
      </c>
      <c r="V24" s="21"/>
      <c r="W24" s="21">
        <v>4</v>
      </c>
      <c r="X24" s="21">
        <v>6</v>
      </c>
      <c r="Y24" s="21">
        <v>12</v>
      </c>
      <c r="Z24" s="21">
        <v>40</v>
      </c>
      <c r="AA24" s="21">
        <v>61</v>
      </c>
      <c r="AB24" s="22">
        <v>3.7383177570093455E-2</v>
      </c>
      <c r="AC24" s="22">
        <v>6.0606060606060608E-2</v>
      </c>
      <c r="AD24" s="22">
        <v>0.11009174311926606</v>
      </c>
      <c r="AE24" s="22">
        <v>0.48780487804878048</v>
      </c>
      <c r="AF24" s="22">
        <v>0.6853932584269663</v>
      </c>
      <c r="AG24" s="21">
        <v>4</v>
      </c>
      <c r="AH24" s="21">
        <v>6</v>
      </c>
      <c r="AI24" s="21">
        <v>12</v>
      </c>
      <c r="AJ24" s="21">
        <v>40</v>
      </c>
      <c r="AK24" s="21">
        <v>61</v>
      </c>
      <c r="AL24" s="22">
        <v>1</v>
      </c>
      <c r="AM24" s="22">
        <v>1</v>
      </c>
      <c r="AN24" s="22">
        <v>1</v>
      </c>
      <c r="AO24" s="22">
        <v>1</v>
      </c>
      <c r="AP24" s="22">
        <v>1</v>
      </c>
    </row>
    <row r="25" spans="1:42" x14ac:dyDescent="0.25">
      <c r="A25" s="20" t="s">
        <v>98</v>
      </c>
      <c r="B25" s="21">
        <v>0</v>
      </c>
      <c r="C25" s="21">
        <v>0</v>
      </c>
      <c r="D25" s="21">
        <v>5</v>
      </c>
      <c r="E25" s="21">
        <v>5</v>
      </c>
      <c r="F25" s="21">
        <v>6</v>
      </c>
      <c r="G25" s="22">
        <v>0</v>
      </c>
      <c r="H25" s="22">
        <v>0</v>
      </c>
      <c r="I25" s="22">
        <v>5.1546391752577317E-2</v>
      </c>
      <c r="J25" s="22">
        <v>4.6728971962616821E-2</v>
      </c>
      <c r="K25" s="22">
        <v>5.3097345132743362E-2</v>
      </c>
      <c r="L25" s="21">
        <v>0</v>
      </c>
      <c r="M25" s="21">
        <v>0</v>
      </c>
      <c r="N25" s="21">
        <v>5</v>
      </c>
      <c r="O25" s="21">
        <v>5</v>
      </c>
      <c r="P25" s="21">
        <v>6</v>
      </c>
      <c r="Q25" s="22">
        <v>0</v>
      </c>
      <c r="R25" s="22">
        <v>0</v>
      </c>
      <c r="S25" s="22">
        <v>1</v>
      </c>
      <c r="T25" s="22">
        <v>1</v>
      </c>
      <c r="U25" s="22">
        <v>1</v>
      </c>
      <c r="V25" s="21"/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</row>
    <row r="26" spans="1:42" x14ac:dyDescent="0.25">
      <c r="A26" s="28" t="s">
        <v>70</v>
      </c>
      <c r="B26" s="29">
        <v>94</v>
      </c>
      <c r="C26" s="29">
        <v>89</v>
      </c>
      <c r="D26" s="29">
        <v>97</v>
      </c>
      <c r="E26" s="29">
        <v>107</v>
      </c>
      <c r="F26" s="29">
        <v>113</v>
      </c>
      <c r="G26" s="24">
        <v>1</v>
      </c>
      <c r="H26" s="24">
        <v>1</v>
      </c>
      <c r="I26" s="24">
        <v>1</v>
      </c>
      <c r="J26" s="24">
        <v>1</v>
      </c>
      <c r="K26" s="24">
        <v>1</v>
      </c>
      <c r="L26" s="29">
        <v>94</v>
      </c>
      <c r="M26" s="29">
        <v>89</v>
      </c>
      <c r="N26" s="29">
        <v>97</v>
      </c>
      <c r="O26" s="29">
        <v>107</v>
      </c>
      <c r="P26" s="29">
        <v>112</v>
      </c>
      <c r="Q26" s="24">
        <v>1</v>
      </c>
      <c r="R26" s="24">
        <v>1</v>
      </c>
      <c r="S26" s="24">
        <v>1</v>
      </c>
      <c r="T26" s="24">
        <v>1</v>
      </c>
      <c r="U26" s="24">
        <v>0.99115044247787609</v>
      </c>
      <c r="V26" s="29"/>
      <c r="W26" s="29">
        <v>107</v>
      </c>
      <c r="X26" s="29">
        <v>99</v>
      </c>
      <c r="Y26" s="29">
        <v>109</v>
      </c>
      <c r="Z26" s="29">
        <v>82</v>
      </c>
      <c r="AA26" s="29">
        <v>89</v>
      </c>
      <c r="AB26" s="24">
        <v>1</v>
      </c>
      <c r="AC26" s="24">
        <v>1</v>
      </c>
      <c r="AD26" s="24">
        <v>1</v>
      </c>
      <c r="AE26" s="24">
        <v>1</v>
      </c>
      <c r="AF26" s="24">
        <v>1</v>
      </c>
      <c r="AG26" s="29">
        <v>107</v>
      </c>
      <c r="AH26" s="29">
        <v>99</v>
      </c>
      <c r="AI26" s="29">
        <v>109</v>
      </c>
      <c r="AJ26" s="29">
        <v>82</v>
      </c>
      <c r="AK26" s="29">
        <v>89</v>
      </c>
      <c r="AL26" s="24">
        <v>1</v>
      </c>
      <c r="AM26" s="24">
        <v>1</v>
      </c>
      <c r="AN26" s="24">
        <v>1</v>
      </c>
      <c r="AO26" s="24">
        <v>1</v>
      </c>
      <c r="AP26" s="24">
        <v>1</v>
      </c>
    </row>
    <row r="27" spans="1:42" x14ac:dyDescent="0.25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2"/>
      <c r="AC27" s="22"/>
      <c r="AD27" s="22"/>
      <c r="AE27" s="22"/>
      <c r="AF27" s="22"/>
      <c r="AG27" s="21"/>
      <c r="AH27" s="21"/>
      <c r="AI27" s="21"/>
      <c r="AJ27" s="21"/>
      <c r="AK27" s="21"/>
      <c r="AL27" s="22"/>
      <c r="AM27" s="22"/>
      <c r="AN27" s="22"/>
      <c r="AO27" s="22"/>
      <c r="AP27" s="22"/>
    </row>
    <row r="28" spans="1:42" x14ac:dyDescent="0.25">
      <c r="A28" s="30" t="s">
        <v>71</v>
      </c>
      <c r="B28" s="27" t="s">
        <v>12</v>
      </c>
      <c r="C28" s="27" t="s">
        <v>13</v>
      </c>
      <c r="D28" s="27" t="s">
        <v>14</v>
      </c>
      <c r="E28" s="27" t="s">
        <v>15</v>
      </c>
      <c r="F28" s="27" t="s">
        <v>16</v>
      </c>
      <c r="G28" s="27" t="s">
        <v>12</v>
      </c>
      <c r="H28" s="27" t="s">
        <v>13</v>
      </c>
      <c r="I28" s="27" t="s">
        <v>14</v>
      </c>
      <c r="J28" s="27" t="s">
        <v>15</v>
      </c>
      <c r="K28" s="27" t="s">
        <v>16</v>
      </c>
      <c r="L28" s="27" t="s">
        <v>12</v>
      </c>
      <c r="M28" s="27" t="s">
        <v>13</v>
      </c>
      <c r="N28" s="27" t="s">
        <v>14</v>
      </c>
      <c r="O28" s="27" t="s">
        <v>15</v>
      </c>
      <c r="P28" s="27" t="s">
        <v>16</v>
      </c>
      <c r="Q28" s="27" t="s">
        <v>12</v>
      </c>
      <c r="R28" s="27" t="s">
        <v>13</v>
      </c>
      <c r="S28" s="27" t="s">
        <v>14</v>
      </c>
      <c r="T28" s="27" t="s">
        <v>15</v>
      </c>
      <c r="U28" s="27" t="s">
        <v>16</v>
      </c>
      <c r="V28" s="27"/>
      <c r="W28" s="27" t="s">
        <v>17</v>
      </c>
      <c r="X28" s="27" t="s">
        <v>18</v>
      </c>
      <c r="Y28" s="27" t="s">
        <v>19</v>
      </c>
      <c r="Z28" s="27" t="s">
        <v>20</v>
      </c>
      <c r="AA28" s="27" t="s">
        <v>21</v>
      </c>
      <c r="AB28" s="27" t="s">
        <v>17</v>
      </c>
      <c r="AC28" s="27" t="s">
        <v>18</v>
      </c>
      <c r="AD28" s="27" t="s">
        <v>19</v>
      </c>
      <c r="AE28" s="27" t="s">
        <v>20</v>
      </c>
      <c r="AF28" s="27" t="s">
        <v>21</v>
      </c>
      <c r="AG28" s="27" t="s">
        <v>17</v>
      </c>
      <c r="AH28" s="27" t="s">
        <v>18</v>
      </c>
      <c r="AI28" s="27" t="s">
        <v>19</v>
      </c>
      <c r="AJ28" s="27" t="s">
        <v>20</v>
      </c>
      <c r="AK28" s="27" t="s">
        <v>21</v>
      </c>
      <c r="AL28" s="27" t="s">
        <v>17</v>
      </c>
      <c r="AM28" s="27" t="s">
        <v>18</v>
      </c>
      <c r="AN28" s="27" t="s">
        <v>19</v>
      </c>
      <c r="AO28" s="27" t="s">
        <v>20</v>
      </c>
      <c r="AP28" s="27" t="s">
        <v>21</v>
      </c>
    </row>
    <row r="29" spans="1:42" x14ac:dyDescent="0.25">
      <c r="A29" s="20" t="s">
        <v>23</v>
      </c>
      <c r="B29" s="21">
        <v>2</v>
      </c>
      <c r="C29" s="21">
        <v>2</v>
      </c>
      <c r="D29" s="21">
        <v>2</v>
      </c>
      <c r="E29" s="21">
        <v>2</v>
      </c>
      <c r="F29" s="21">
        <v>2</v>
      </c>
      <c r="G29" s="22">
        <v>7.5757575757575758E-4</v>
      </c>
      <c r="H29" s="22">
        <v>7.4128984432913266E-4</v>
      </c>
      <c r="I29" s="22">
        <v>7.3746312684365781E-4</v>
      </c>
      <c r="J29" s="22">
        <v>7.0175438596491223E-4</v>
      </c>
      <c r="K29" s="22">
        <v>6.3694267515923564E-4</v>
      </c>
      <c r="L29" s="21">
        <v>2</v>
      </c>
      <c r="M29" s="21">
        <v>2</v>
      </c>
      <c r="N29" s="21">
        <v>2</v>
      </c>
      <c r="O29" s="21">
        <v>2</v>
      </c>
      <c r="P29" s="21">
        <v>2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1"/>
      <c r="W29" s="21">
        <v>15</v>
      </c>
      <c r="X29" s="21">
        <v>16</v>
      </c>
      <c r="Y29" s="21">
        <v>12</v>
      </c>
      <c r="Z29" s="21">
        <v>3</v>
      </c>
      <c r="AA29" s="21">
        <v>2</v>
      </c>
      <c r="AB29" s="22">
        <v>7.0921985815602835E-3</v>
      </c>
      <c r="AC29" s="22">
        <v>4.039383993940924E-3</v>
      </c>
      <c r="AD29" s="22">
        <v>3.5767511177347243E-3</v>
      </c>
      <c r="AE29" s="22">
        <v>1.162340178225494E-3</v>
      </c>
      <c r="AF29" s="22">
        <v>7.4128984432913266E-4</v>
      </c>
      <c r="AG29" s="21">
        <v>15</v>
      </c>
      <c r="AH29" s="21">
        <v>16</v>
      </c>
      <c r="AI29" s="21">
        <v>12</v>
      </c>
      <c r="AJ29" s="21">
        <v>3</v>
      </c>
      <c r="AK29" s="21">
        <v>2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</row>
    <row r="30" spans="1:42" x14ac:dyDescent="0.25">
      <c r="A30" s="20" t="s">
        <v>24</v>
      </c>
      <c r="B30" s="21">
        <v>1221</v>
      </c>
      <c r="C30" s="21">
        <v>1328</v>
      </c>
      <c r="D30" s="21">
        <v>1343</v>
      </c>
      <c r="E30" s="21">
        <v>1265</v>
      </c>
      <c r="F30" s="21">
        <v>1342</v>
      </c>
      <c r="G30" s="22">
        <v>0.46250000000000002</v>
      </c>
      <c r="H30" s="22">
        <v>0.49221645663454411</v>
      </c>
      <c r="I30" s="22">
        <v>0.49520648967551623</v>
      </c>
      <c r="J30" s="22">
        <v>0.44385964912280701</v>
      </c>
      <c r="K30" s="22">
        <v>0.42738853503184715</v>
      </c>
      <c r="L30" s="21">
        <v>1221</v>
      </c>
      <c r="M30" s="21">
        <v>1328</v>
      </c>
      <c r="N30" s="21">
        <v>1343</v>
      </c>
      <c r="O30" s="21">
        <v>1265</v>
      </c>
      <c r="P30" s="21">
        <v>1186</v>
      </c>
      <c r="Q30" s="22">
        <v>1</v>
      </c>
      <c r="R30" s="22">
        <v>1</v>
      </c>
      <c r="S30" s="22">
        <v>1</v>
      </c>
      <c r="T30" s="22">
        <v>1</v>
      </c>
      <c r="U30" s="22">
        <v>0.88375558867362147</v>
      </c>
      <c r="V30" s="21"/>
      <c r="W30" s="21">
        <v>741</v>
      </c>
      <c r="X30" s="21">
        <v>382</v>
      </c>
      <c r="Y30" s="21">
        <v>514</v>
      </c>
      <c r="Z30" s="21">
        <v>1232</v>
      </c>
      <c r="AA30" s="21">
        <v>1328</v>
      </c>
      <c r="AB30" s="22">
        <v>0.35035460992907802</v>
      </c>
      <c r="AC30" s="22">
        <v>9.644029285533956E-2</v>
      </c>
      <c r="AD30" s="22">
        <v>0.15320417287630403</v>
      </c>
      <c r="AE30" s="22">
        <v>0.47733436652460287</v>
      </c>
      <c r="AF30" s="22">
        <v>0.49221645663454411</v>
      </c>
      <c r="AG30" s="21">
        <v>741</v>
      </c>
      <c r="AH30" s="21">
        <v>382</v>
      </c>
      <c r="AI30" s="21">
        <v>514</v>
      </c>
      <c r="AJ30" s="21">
        <v>1232</v>
      </c>
      <c r="AK30" s="21">
        <v>1328</v>
      </c>
      <c r="AL30" s="22">
        <v>1</v>
      </c>
      <c r="AM30" s="22">
        <v>1</v>
      </c>
      <c r="AN30" s="22">
        <v>1</v>
      </c>
      <c r="AO30" s="22">
        <v>1</v>
      </c>
      <c r="AP30" s="22">
        <v>1</v>
      </c>
    </row>
    <row r="31" spans="1:42" x14ac:dyDescent="0.25">
      <c r="A31" s="20" t="s">
        <v>25</v>
      </c>
      <c r="B31" s="21">
        <v>0</v>
      </c>
      <c r="C31" s="21">
        <v>0</v>
      </c>
      <c r="D31" s="21">
        <v>0</v>
      </c>
      <c r="E31" s="21">
        <v>0</v>
      </c>
      <c r="F31" s="21">
        <v>35</v>
      </c>
      <c r="G31" s="22">
        <v>0</v>
      </c>
      <c r="H31" s="22">
        <v>0</v>
      </c>
      <c r="I31" s="22">
        <v>0</v>
      </c>
      <c r="J31" s="22">
        <v>0</v>
      </c>
      <c r="K31" s="22">
        <v>1.1146496815286623E-2</v>
      </c>
      <c r="L31" s="21">
        <v>0</v>
      </c>
      <c r="M31" s="21">
        <v>0</v>
      </c>
      <c r="N31" s="21">
        <v>0</v>
      </c>
      <c r="O31" s="21">
        <v>0</v>
      </c>
      <c r="P31" s="21">
        <v>35</v>
      </c>
      <c r="Q31" s="22">
        <v>0</v>
      </c>
      <c r="R31" s="22">
        <v>0</v>
      </c>
      <c r="S31" s="22">
        <v>0</v>
      </c>
      <c r="T31" s="22">
        <v>0</v>
      </c>
      <c r="U31" s="22">
        <v>1</v>
      </c>
      <c r="V31" s="21"/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</row>
    <row r="32" spans="1:42" x14ac:dyDescent="0.25">
      <c r="A32" s="20" t="s">
        <v>35</v>
      </c>
      <c r="B32" s="21">
        <v>370</v>
      </c>
      <c r="C32" s="21">
        <v>330</v>
      </c>
      <c r="D32" s="21">
        <v>327</v>
      </c>
      <c r="E32" s="21">
        <v>334</v>
      </c>
      <c r="F32" s="21">
        <v>472</v>
      </c>
      <c r="G32" s="22">
        <v>0.14015151515151514</v>
      </c>
      <c r="H32" s="22">
        <v>0.1223128243143069</v>
      </c>
      <c r="I32" s="22">
        <v>0.12057522123893805</v>
      </c>
      <c r="J32" s="22">
        <v>0.11719298245614035</v>
      </c>
      <c r="K32" s="22">
        <v>0.15031847133757961</v>
      </c>
      <c r="L32" s="21">
        <v>370</v>
      </c>
      <c r="M32" s="21">
        <v>330</v>
      </c>
      <c r="N32" s="21">
        <v>327</v>
      </c>
      <c r="O32" s="21">
        <v>334</v>
      </c>
      <c r="P32" s="21">
        <v>407</v>
      </c>
      <c r="Q32" s="22">
        <v>1</v>
      </c>
      <c r="R32" s="22">
        <v>1</v>
      </c>
      <c r="S32" s="22">
        <v>1</v>
      </c>
      <c r="T32" s="22">
        <v>1</v>
      </c>
      <c r="U32" s="22">
        <v>0.86228813559322037</v>
      </c>
      <c r="V32" s="21"/>
      <c r="W32" s="21">
        <v>152</v>
      </c>
      <c r="X32" s="21">
        <v>455</v>
      </c>
      <c r="Y32" s="21">
        <v>392</v>
      </c>
      <c r="Z32" s="21">
        <v>403</v>
      </c>
      <c r="AA32" s="21">
        <v>330</v>
      </c>
      <c r="AB32" s="22">
        <v>7.1867612293144215E-2</v>
      </c>
      <c r="AC32" s="22">
        <v>0.11486998232769503</v>
      </c>
      <c r="AD32" s="22">
        <v>0.11684053651266767</v>
      </c>
      <c r="AE32" s="22">
        <v>0.15614103060829135</v>
      </c>
      <c r="AF32" s="22">
        <v>0.1223128243143069</v>
      </c>
      <c r="AG32" s="21">
        <v>152</v>
      </c>
      <c r="AH32" s="21">
        <v>455</v>
      </c>
      <c r="AI32" s="21">
        <v>392</v>
      </c>
      <c r="AJ32" s="21">
        <v>403</v>
      </c>
      <c r="AK32" s="21">
        <v>330</v>
      </c>
      <c r="AL32" s="22">
        <v>1</v>
      </c>
      <c r="AM32" s="22">
        <v>1</v>
      </c>
      <c r="AN32" s="22">
        <v>1</v>
      </c>
      <c r="AO32" s="22">
        <v>1</v>
      </c>
      <c r="AP32" s="22">
        <v>1</v>
      </c>
    </row>
    <row r="33" spans="1:42" x14ac:dyDescent="0.25">
      <c r="A33" s="20" t="s">
        <v>40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1"/>
      <c r="W33" s="21">
        <v>0</v>
      </c>
      <c r="X33" s="21">
        <v>2</v>
      </c>
      <c r="Y33" s="21">
        <v>0</v>
      </c>
      <c r="Z33" s="21">
        <v>0</v>
      </c>
      <c r="AA33" s="21">
        <v>0</v>
      </c>
      <c r="AB33" s="22">
        <v>0</v>
      </c>
      <c r="AC33" s="22">
        <v>5.0492299924261551E-4</v>
      </c>
      <c r="AD33" s="22">
        <v>0</v>
      </c>
      <c r="AE33" s="22">
        <v>0</v>
      </c>
      <c r="AF33" s="22">
        <v>0</v>
      </c>
      <c r="AG33" s="21">
        <v>0</v>
      </c>
      <c r="AH33" s="21">
        <v>2</v>
      </c>
      <c r="AI33" s="21">
        <v>0</v>
      </c>
      <c r="AJ33" s="21">
        <v>0</v>
      </c>
      <c r="AK33" s="21">
        <v>0</v>
      </c>
      <c r="AL33" s="22">
        <v>0</v>
      </c>
      <c r="AM33" s="22">
        <v>1</v>
      </c>
      <c r="AN33" s="22">
        <v>0</v>
      </c>
      <c r="AO33" s="22">
        <v>0</v>
      </c>
      <c r="AP33" s="22">
        <v>0</v>
      </c>
    </row>
    <row r="34" spans="1:42" x14ac:dyDescent="0.25">
      <c r="A34" s="20" t="s">
        <v>42</v>
      </c>
      <c r="B34" s="21">
        <v>0</v>
      </c>
      <c r="C34" s="21">
        <v>0</v>
      </c>
      <c r="D34" s="21">
        <v>0</v>
      </c>
      <c r="E34" s="21">
        <v>0</v>
      </c>
      <c r="F34" s="21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1"/>
      <c r="W34" s="21">
        <v>964</v>
      </c>
      <c r="X34" s="21">
        <v>2387</v>
      </c>
      <c r="Y34" s="21">
        <v>1843</v>
      </c>
      <c r="Z34" s="21">
        <v>2</v>
      </c>
      <c r="AA34" s="21">
        <v>0</v>
      </c>
      <c r="AB34" s="22">
        <v>0.45579196217494089</v>
      </c>
      <c r="AC34" s="22">
        <v>0.60262559959606155</v>
      </c>
      <c r="AD34" s="22">
        <v>0.54932935916542469</v>
      </c>
      <c r="AE34" s="22">
        <v>7.7489345215032935E-4</v>
      </c>
      <c r="AF34" s="22">
        <v>0</v>
      </c>
      <c r="AG34" s="21">
        <v>964</v>
      </c>
      <c r="AH34" s="21">
        <v>2387</v>
      </c>
      <c r="AI34" s="21">
        <v>1843</v>
      </c>
      <c r="AJ34" s="21">
        <v>2</v>
      </c>
      <c r="AK34" s="21">
        <v>0</v>
      </c>
      <c r="AL34" s="22">
        <v>1</v>
      </c>
      <c r="AM34" s="22">
        <v>1</v>
      </c>
      <c r="AN34" s="22">
        <v>1</v>
      </c>
      <c r="AO34" s="22">
        <v>1</v>
      </c>
      <c r="AP34" s="22">
        <v>0</v>
      </c>
    </row>
    <row r="35" spans="1:42" x14ac:dyDescent="0.25">
      <c r="A35" s="20" t="s">
        <v>48</v>
      </c>
      <c r="B35" s="21">
        <v>1047</v>
      </c>
      <c r="C35" s="21">
        <v>1037</v>
      </c>
      <c r="D35" s="21">
        <v>1005</v>
      </c>
      <c r="E35" s="21">
        <v>1213</v>
      </c>
      <c r="F35" s="21">
        <v>1237</v>
      </c>
      <c r="G35" s="22">
        <v>0.39659090909090911</v>
      </c>
      <c r="H35" s="22">
        <v>0.38435878428465531</v>
      </c>
      <c r="I35" s="22">
        <v>0.37057522123893805</v>
      </c>
      <c r="J35" s="22">
        <v>0.42561403508771928</v>
      </c>
      <c r="K35" s="22">
        <v>0.39394904458598728</v>
      </c>
      <c r="L35" s="21">
        <v>1047</v>
      </c>
      <c r="M35" s="21">
        <v>1037</v>
      </c>
      <c r="N35" s="21">
        <v>1005</v>
      </c>
      <c r="O35" s="21">
        <v>1213</v>
      </c>
      <c r="P35" s="21">
        <v>1166</v>
      </c>
      <c r="Q35" s="22">
        <v>1</v>
      </c>
      <c r="R35" s="22">
        <v>1</v>
      </c>
      <c r="S35" s="22">
        <v>1</v>
      </c>
      <c r="T35" s="22">
        <v>1</v>
      </c>
      <c r="U35" s="22">
        <v>0.94260307194826187</v>
      </c>
      <c r="V35" s="21"/>
      <c r="W35" s="21">
        <v>243</v>
      </c>
      <c r="X35" s="21">
        <v>719</v>
      </c>
      <c r="Y35" s="21">
        <v>594</v>
      </c>
      <c r="Z35" s="21">
        <v>941</v>
      </c>
      <c r="AA35" s="21">
        <v>1037</v>
      </c>
      <c r="AB35" s="22">
        <v>0.1148936170212766</v>
      </c>
      <c r="AC35" s="22">
        <v>0.18151981822772029</v>
      </c>
      <c r="AD35" s="22">
        <v>0.17704918032786884</v>
      </c>
      <c r="AE35" s="22">
        <v>0.36458736923672996</v>
      </c>
      <c r="AF35" s="22">
        <v>0.38435878428465531</v>
      </c>
      <c r="AG35" s="21">
        <v>243</v>
      </c>
      <c r="AH35" s="21">
        <v>719</v>
      </c>
      <c r="AI35" s="21">
        <v>594</v>
      </c>
      <c r="AJ35" s="21">
        <v>941</v>
      </c>
      <c r="AK35" s="21">
        <v>1037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</row>
    <row r="36" spans="1:42" x14ac:dyDescent="0.25">
      <c r="A36" s="20" t="s">
        <v>57</v>
      </c>
      <c r="B36" s="21">
        <v>0</v>
      </c>
      <c r="C36" s="21">
        <v>0</v>
      </c>
      <c r="D36" s="21">
        <v>0</v>
      </c>
      <c r="E36" s="21">
        <v>1</v>
      </c>
      <c r="F36" s="21">
        <v>1</v>
      </c>
      <c r="G36" s="22">
        <v>0</v>
      </c>
      <c r="H36" s="22">
        <v>0</v>
      </c>
      <c r="I36" s="22">
        <v>0</v>
      </c>
      <c r="J36" s="22">
        <v>3.5087719298245611E-4</v>
      </c>
      <c r="K36" s="22">
        <v>3.1847133757961782E-4</v>
      </c>
      <c r="L36" s="21">
        <v>0</v>
      </c>
      <c r="M36" s="21">
        <v>0</v>
      </c>
      <c r="N36" s="21">
        <v>0</v>
      </c>
      <c r="O36" s="21">
        <v>1</v>
      </c>
      <c r="P36" s="21">
        <v>1</v>
      </c>
      <c r="Q36" s="22">
        <v>0</v>
      </c>
      <c r="R36" s="22">
        <v>0</v>
      </c>
      <c r="S36" s="22">
        <v>0</v>
      </c>
      <c r="T36" s="22">
        <v>1</v>
      </c>
      <c r="U36" s="22">
        <v>1</v>
      </c>
      <c r="V36" s="21"/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</row>
    <row r="37" spans="1:42" x14ac:dyDescent="0.25">
      <c r="A37" s="20" t="s">
        <v>60</v>
      </c>
      <c r="B37" s="21">
        <v>0</v>
      </c>
      <c r="C37" s="21">
        <v>1</v>
      </c>
      <c r="D37" s="21">
        <v>1</v>
      </c>
      <c r="E37" s="21">
        <v>0</v>
      </c>
      <c r="F37" s="21">
        <v>0</v>
      </c>
      <c r="G37" s="22">
        <v>0</v>
      </c>
      <c r="H37" s="22">
        <v>3.7064492216456633E-4</v>
      </c>
      <c r="I37" s="22">
        <v>3.687315634218289E-4</v>
      </c>
      <c r="J37" s="22">
        <v>0</v>
      </c>
      <c r="K37" s="22">
        <v>0</v>
      </c>
      <c r="L37" s="21">
        <v>0</v>
      </c>
      <c r="M37" s="21">
        <v>1</v>
      </c>
      <c r="N37" s="21">
        <v>1</v>
      </c>
      <c r="O37" s="21">
        <v>0</v>
      </c>
      <c r="P37" s="21">
        <v>0</v>
      </c>
      <c r="Q37" s="22">
        <v>0</v>
      </c>
      <c r="R37" s="22">
        <v>1</v>
      </c>
      <c r="S37" s="22">
        <v>1</v>
      </c>
      <c r="T37" s="22">
        <v>0</v>
      </c>
      <c r="U37" s="22">
        <v>0</v>
      </c>
      <c r="V37" s="21"/>
      <c r="W37" s="21">
        <v>0</v>
      </c>
      <c r="X37" s="21">
        <v>0</v>
      </c>
      <c r="Y37" s="21">
        <v>0</v>
      </c>
      <c r="Z37" s="21">
        <v>0</v>
      </c>
      <c r="AA37" s="21">
        <v>1</v>
      </c>
      <c r="AB37" s="22">
        <v>0</v>
      </c>
      <c r="AC37" s="22">
        <v>0</v>
      </c>
      <c r="AD37" s="22">
        <v>0</v>
      </c>
      <c r="AE37" s="22">
        <v>0</v>
      </c>
      <c r="AF37" s="22">
        <v>3.7064492216456633E-4</v>
      </c>
      <c r="AG37" s="21">
        <v>0</v>
      </c>
      <c r="AH37" s="21">
        <v>0</v>
      </c>
      <c r="AI37" s="21">
        <v>0</v>
      </c>
      <c r="AJ37" s="21">
        <v>0</v>
      </c>
      <c r="AK37" s="21">
        <v>1</v>
      </c>
      <c r="AL37" s="22">
        <v>0</v>
      </c>
      <c r="AM37" s="22">
        <v>0</v>
      </c>
      <c r="AN37" s="22">
        <v>0</v>
      </c>
      <c r="AO37" s="22">
        <v>0</v>
      </c>
      <c r="AP37" s="22">
        <v>1</v>
      </c>
    </row>
    <row r="38" spans="1:42" x14ac:dyDescent="0.25">
      <c r="A38" s="20" t="s">
        <v>98</v>
      </c>
      <c r="B38" s="21">
        <v>0</v>
      </c>
      <c r="C38" s="21">
        <v>0</v>
      </c>
      <c r="D38" s="21">
        <v>34</v>
      </c>
      <c r="E38" s="21">
        <v>35</v>
      </c>
      <c r="F38" s="21">
        <v>51</v>
      </c>
      <c r="G38" s="22">
        <v>0</v>
      </c>
      <c r="H38" s="22">
        <v>0</v>
      </c>
      <c r="I38" s="22">
        <v>1.2536873156342183E-2</v>
      </c>
      <c r="J38" s="22">
        <v>1.2280701754385965E-2</v>
      </c>
      <c r="K38" s="22">
        <v>1.6242038216560509E-2</v>
      </c>
      <c r="L38" s="21">
        <v>0</v>
      </c>
      <c r="M38" s="21">
        <v>0</v>
      </c>
      <c r="N38" s="21">
        <v>34</v>
      </c>
      <c r="O38" s="21">
        <v>35</v>
      </c>
      <c r="P38" s="21">
        <v>51</v>
      </c>
      <c r="Q38" s="22">
        <v>0</v>
      </c>
      <c r="R38" s="22">
        <v>0</v>
      </c>
      <c r="S38" s="22">
        <v>1</v>
      </c>
      <c r="T38" s="22">
        <v>1</v>
      </c>
      <c r="U38" s="22">
        <v>1</v>
      </c>
      <c r="V38" s="21"/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</row>
    <row r="39" spans="1:42" x14ac:dyDescent="0.25">
      <c r="A39" s="31" t="s">
        <v>72</v>
      </c>
      <c r="B39" s="29">
        <v>2640</v>
      </c>
      <c r="C39" s="29">
        <v>2698</v>
      </c>
      <c r="D39" s="29">
        <v>2712</v>
      </c>
      <c r="E39" s="29">
        <v>2850</v>
      </c>
      <c r="F39" s="29">
        <v>3140</v>
      </c>
      <c r="G39" s="24">
        <v>1</v>
      </c>
      <c r="H39" s="24">
        <v>1</v>
      </c>
      <c r="I39" s="24">
        <v>1</v>
      </c>
      <c r="J39" s="24">
        <v>1</v>
      </c>
      <c r="K39" s="24">
        <v>1</v>
      </c>
      <c r="L39" s="29">
        <v>2640</v>
      </c>
      <c r="M39" s="29">
        <v>2698</v>
      </c>
      <c r="N39" s="29">
        <v>2712</v>
      </c>
      <c r="O39" s="29">
        <v>2850</v>
      </c>
      <c r="P39" s="29">
        <v>2848</v>
      </c>
      <c r="Q39" s="24">
        <v>1</v>
      </c>
      <c r="R39" s="24">
        <v>1</v>
      </c>
      <c r="S39" s="24">
        <v>1</v>
      </c>
      <c r="T39" s="24">
        <v>1</v>
      </c>
      <c r="U39" s="24">
        <v>0.90700636942675161</v>
      </c>
      <c r="V39" s="23"/>
      <c r="W39" s="29">
        <v>2115</v>
      </c>
      <c r="X39" s="29">
        <v>3961</v>
      </c>
      <c r="Y39" s="29">
        <v>3355</v>
      </c>
      <c r="Z39" s="29">
        <v>2581</v>
      </c>
      <c r="AA39" s="29">
        <v>2698</v>
      </c>
      <c r="AB39" s="24">
        <v>1</v>
      </c>
      <c r="AC39" s="24">
        <v>1</v>
      </c>
      <c r="AD39" s="24">
        <v>1</v>
      </c>
      <c r="AE39" s="24">
        <v>1</v>
      </c>
      <c r="AF39" s="24">
        <v>1</v>
      </c>
      <c r="AG39" s="29">
        <v>2115</v>
      </c>
      <c r="AH39" s="29">
        <v>3961</v>
      </c>
      <c r="AI39" s="29">
        <v>3355</v>
      </c>
      <c r="AJ39" s="29">
        <v>2581</v>
      </c>
      <c r="AK39" s="29">
        <v>2698</v>
      </c>
      <c r="AL39" s="24">
        <v>1</v>
      </c>
      <c r="AM39" s="24">
        <v>1</v>
      </c>
      <c r="AN39" s="24">
        <v>1</v>
      </c>
      <c r="AO39" s="24">
        <v>1</v>
      </c>
      <c r="AP39" s="24">
        <v>1</v>
      </c>
    </row>
    <row r="40" spans="1:42" x14ac:dyDescent="0.25">
      <c r="A40" s="20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</row>
    <row r="41" spans="1:42" x14ac:dyDescent="0.25">
      <c r="A41" s="30" t="s">
        <v>73</v>
      </c>
      <c r="B41" s="27" t="s">
        <v>12</v>
      </c>
      <c r="C41" s="27" t="s">
        <v>13</v>
      </c>
      <c r="D41" s="27" t="s">
        <v>14</v>
      </c>
      <c r="E41" s="27" t="s">
        <v>15</v>
      </c>
      <c r="F41" s="27" t="s">
        <v>16</v>
      </c>
      <c r="G41" s="27" t="s">
        <v>12</v>
      </c>
      <c r="H41" s="27" t="s">
        <v>13</v>
      </c>
      <c r="I41" s="27" t="s">
        <v>14</v>
      </c>
      <c r="J41" s="27" t="s">
        <v>15</v>
      </c>
      <c r="K41" s="27" t="s">
        <v>16</v>
      </c>
      <c r="L41" s="27" t="s">
        <v>12</v>
      </c>
      <c r="M41" s="27" t="s">
        <v>13</v>
      </c>
      <c r="N41" s="27" t="s">
        <v>14</v>
      </c>
      <c r="O41" s="27" t="s">
        <v>15</v>
      </c>
      <c r="P41" s="27" t="s">
        <v>16</v>
      </c>
      <c r="Q41" s="27" t="s">
        <v>12</v>
      </c>
      <c r="R41" s="27" t="s">
        <v>13</v>
      </c>
      <c r="S41" s="27" t="s">
        <v>14</v>
      </c>
      <c r="T41" s="27" t="s">
        <v>15</v>
      </c>
      <c r="U41" s="27" t="s">
        <v>16</v>
      </c>
      <c r="V41" s="27"/>
      <c r="W41" s="27" t="s">
        <v>17</v>
      </c>
      <c r="X41" s="27" t="s">
        <v>18</v>
      </c>
      <c r="Y41" s="27" t="s">
        <v>19</v>
      </c>
      <c r="Z41" s="27" t="s">
        <v>20</v>
      </c>
      <c r="AA41" s="27" t="s">
        <v>21</v>
      </c>
      <c r="AB41" s="27" t="s">
        <v>17</v>
      </c>
      <c r="AC41" s="27" t="s">
        <v>18</v>
      </c>
      <c r="AD41" s="27" t="s">
        <v>19</v>
      </c>
      <c r="AE41" s="27" t="s">
        <v>20</v>
      </c>
      <c r="AF41" s="27" t="s">
        <v>21</v>
      </c>
      <c r="AG41" s="27" t="s">
        <v>17</v>
      </c>
      <c r="AH41" s="27" t="s">
        <v>18</v>
      </c>
      <c r="AI41" s="27" t="s">
        <v>19</v>
      </c>
      <c r="AJ41" s="27" t="s">
        <v>20</v>
      </c>
      <c r="AK41" s="27" t="s">
        <v>21</v>
      </c>
      <c r="AL41" s="27" t="s">
        <v>17</v>
      </c>
      <c r="AM41" s="27" t="s">
        <v>18</v>
      </c>
      <c r="AN41" s="27" t="s">
        <v>19</v>
      </c>
      <c r="AO41" s="27" t="s">
        <v>20</v>
      </c>
      <c r="AP41" s="27" t="s">
        <v>21</v>
      </c>
    </row>
    <row r="42" spans="1:42" x14ac:dyDescent="0.25">
      <c r="A42" s="20" t="s">
        <v>24</v>
      </c>
      <c r="B42" s="21">
        <v>239</v>
      </c>
      <c r="C42" s="21">
        <v>269</v>
      </c>
      <c r="D42" s="21">
        <v>266</v>
      </c>
      <c r="E42" s="21">
        <v>263</v>
      </c>
      <c r="F42" s="21">
        <v>387</v>
      </c>
      <c r="G42" s="22">
        <v>0.466796875</v>
      </c>
      <c r="H42" s="22">
        <v>0.49087591240875911</v>
      </c>
      <c r="I42" s="22">
        <v>0.48363636363636364</v>
      </c>
      <c r="J42" s="22">
        <v>0.46548672566371679</v>
      </c>
      <c r="K42" s="22">
        <v>0.46236559139784944</v>
      </c>
      <c r="L42" s="21">
        <v>239</v>
      </c>
      <c r="M42" s="21">
        <v>269</v>
      </c>
      <c r="N42" s="21">
        <v>266</v>
      </c>
      <c r="O42" s="21">
        <v>263</v>
      </c>
      <c r="P42" s="21">
        <v>236</v>
      </c>
      <c r="Q42" s="22">
        <v>1</v>
      </c>
      <c r="R42" s="22">
        <v>1</v>
      </c>
      <c r="S42" s="22">
        <v>1</v>
      </c>
      <c r="T42" s="22">
        <v>1</v>
      </c>
      <c r="U42" s="22">
        <v>0.60981912144702843</v>
      </c>
      <c r="V42" s="21"/>
      <c r="W42" s="21">
        <v>0</v>
      </c>
      <c r="X42" s="21">
        <v>0</v>
      </c>
      <c r="Y42" s="21">
        <v>142</v>
      </c>
      <c r="Z42" s="21">
        <v>192</v>
      </c>
      <c r="AA42" s="21">
        <v>269</v>
      </c>
      <c r="AB42" s="22">
        <v>0</v>
      </c>
      <c r="AC42" s="22">
        <v>0</v>
      </c>
      <c r="AD42" s="22">
        <v>0.5</v>
      </c>
      <c r="AE42" s="22">
        <v>0.42953020134228187</v>
      </c>
      <c r="AF42" s="22">
        <v>0.49087591240875911</v>
      </c>
      <c r="AG42" s="21">
        <v>0</v>
      </c>
      <c r="AH42" s="21">
        <v>0</v>
      </c>
      <c r="AI42" s="21">
        <v>142</v>
      </c>
      <c r="AJ42" s="21">
        <v>192</v>
      </c>
      <c r="AK42" s="21">
        <v>269</v>
      </c>
      <c r="AL42" s="22">
        <v>0</v>
      </c>
      <c r="AM42" s="22">
        <v>0</v>
      </c>
      <c r="AN42" s="22">
        <v>1</v>
      </c>
      <c r="AO42" s="22">
        <v>1</v>
      </c>
      <c r="AP42" s="22">
        <v>1</v>
      </c>
    </row>
    <row r="43" spans="1:42" x14ac:dyDescent="0.25">
      <c r="A43" s="20" t="s">
        <v>25</v>
      </c>
      <c r="B43" s="21">
        <v>0</v>
      </c>
      <c r="C43" s="21">
        <v>0</v>
      </c>
      <c r="D43" s="21">
        <v>0</v>
      </c>
      <c r="E43" s="21">
        <v>0</v>
      </c>
      <c r="F43" s="21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1"/>
      <c r="W43" s="21">
        <v>0</v>
      </c>
      <c r="X43" s="21">
        <v>0</v>
      </c>
      <c r="Y43" s="21">
        <v>12</v>
      </c>
      <c r="Z43" s="21">
        <v>0</v>
      </c>
      <c r="AA43" s="21">
        <v>0</v>
      </c>
      <c r="AB43" s="22">
        <v>0</v>
      </c>
      <c r="AC43" s="22">
        <v>0</v>
      </c>
      <c r="AD43" s="22">
        <v>4.2253521126760563E-2</v>
      </c>
      <c r="AE43" s="22">
        <v>0</v>
      </c>
      <c r="AF43" s="22">
        <v>0</v>
      </c>
      <c r="AG43" s="21">
        <v>0</v>
      </c>
      <c r="AH43" s="21">
        <v>0</v>
      </c>
      <c r="AI43" s="21">
        <v>12</v>
      </c>
      <c r="AJ43" s="21">
        <v>0</v>
      </c>
      <c r="AK43" s="21">
        <v>0</v>
      </c>
      <c r="AL43" s="22">
        <v>0</v>
      </c>
      <c r="AM43" s="22">
        <v>0</v>
      </c>
      <c r="AN43" s="22">
        <v>1</v>
      </c>
      <c r="AO43" s="22">
        <v>0</v>
      </c>
      <c r="AP43" s="22">
        <v>0</v>
      </c>
    </row>
    <row r="44" spans="1:42" x14ac:dyDescent="0.25">
      <c r="A44" s="20" t="s">
        <v>48</v>
      </c>
      <c r="B44" s="21">
        <v>273</v>
      </c>
      <c r="C44" s="21">
        <v>279</v>
      </c>
      <c r="D44" s="21">
        <v>280</v>
      </c>
      <c r="E44" s="21">
        <v>298</v>
      </c>
      <c r="F44" s="21">
        <v>442</v>
      </c>
      <c r="G44" s="22">
        <v>0.533203125</v>
      </c>
      <c r="H44" s="22">
        <v>0.50912408759124084</v>
      </c>
      <c r="I44" s="22">
        <v>0.50909090909090904</v>
      </c>
      <c r="J44" s="22">
        <v>0.52743362831858409</v>
      </c>
      <c r="K44" s="22">
        <v>0.52807646356033455</v>
      </c>
      <c r="L44" s="21">
        <v>273</v>
      </c>
      <c r="M44" s="21">
        <v>279</v>
      </c>
      <c r="N44" s="21">
        <v>280</v>
      </c>
      <c r="O44" s="21">
        <v>298</v>
      </c>
      <c r="P44" s="21">
        <v>304</v>
      </c>
      <c r="Q44" s="22">
        <v>1</v>
      </c>
      <c r="R44" s="22">
        <v>1</v>
      </c>
      <c r="S44" s="22">
        <v>1</v>
      </c>
      <c r="T44" s="22">
        <v>1</v>
      </c>
      <c r="U44" s="22">
        <v>0.68778280542986425</v>
      </c>
      <c r="V44" s="21"/>
      <c r="W44" s="21">
        <v>0</v>
      </c>
      <c r="X44" s="21">
        <v>0</v>
      </c>
      <c r="Y44" s="21">
        <v>130</v>
      </c>
      <c r="Z44" s="21">
        <v>255</v>
      </c>
      <c r="AA44" s="21">
        <v>279</v>
      </c>
      <c r="AB44" s="22">
        <v>0</v>
      </c>
      <c r="AC44" s="22">
        <v>0</v>
      </c>
      <c r="AD44" s="22">
        <v>0.45774647887323944</v>
      </c>
      <c r="AE44" s="22">
        <v>0.57046979865771807</v>
      </c>
      <c r="AF44" s="22">
        <v>0.50912408759124084</v>
      </c>
      <c r="AG44" s="21">
        <v>0</v>
      </c>
      <c r="AH44" s="21">
        <v>0</v>
      </c>
      <c r="AI44" s="21">
        <v>130</v>
      </c>
      <c r="AJ44" s="21">
        <v>255</v>
      </c>
      <c r="AK44" s="21">
        <v>279</v>
      </c>
      <c r="AL44" s="22">
        <v>0</v>
      </c>
      <c r="AM44" s="22">
        <v>0</v>
      </c>
      <c r="AN44" s="22">
        <v>1</v>
      </c>
      <c r="AO44" s="22">
        <v>1</v>
      </c>
      <c r="AP44" s="22">
        <v>1</v>
      </c>
    </row>
    <row r="45" spans="1:42" x14ac:dyDescent="0.25">
      <c r="A45" s="20" t="s">
        <v>98</v>
      </c>
      <c r="B45" s="21">
        <v>0</v>
      </c>
      <c r="C45" s="21">
        <v>0</v>
      </c>
      <c r="D45" s="21">
        <v>4</v>
      </c>
      <c r="E45" s="21">
        <v>4</v>
      </c>
      <c r="F45" s="21">
        <v>8</v>
      </c>
      <c r="G45" s="22">
        <v>0</v>
      </c>
      <c r="H45" s="22">
        <v>0</v>
      </c>
      <c r="I45" s="22">
        <v>7.2727272727272727E-3</v>
      </c>
      <c r="J45" s="22">
        <v>7.0796460176991149E-3</v>
      </c>
      <c r="K45" s="22">
        <v>9.557945041816009E-3</v>
      </c>
      <c r="L45" s="21">
        <v>0</v>
      </c>
      <c r="M45" s="21">
        <v>0</v>
      </c>
      <c r="N45" s="21">
        <v>4</v>
      </c>
      <c r="O45" s="21">
        <v>4</v>
      </c>
      <c r="P45" s="21">
        <v>8</v>
      </c>
      <c r="Q45" s="22">
        <v>0</v>
      </c>
      <c r="R45" s="22">
        <v>0</v>
      </c>
      <c r="S45" s="22">
        <v>1</v>
      </c>
      <c r="T45" s="22">
        <v>1</v>
      </c>
      <c r="U45" s="22">
        <v>1</v>
      </c>
      <c r="V45" s="21"/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</row>
    <row r="46" spans="1:42" x14ac:dyDescent="0.25">
      <c r="A46" s="31" t="s">
        <v>74</v>
      </c>
      <c r="B46" s="29">
        <v>512</v>
      </c>
      <c r="C46" s="29">
        <v>548</v>
      </c>
      <c r="D46" s="29">
        <v>550</v>
      </c>
      <c r="E46" s="29">
        <v>565</v>
      </c>
      <c r="F46" s="29">
        <v>837</v>
      </c>
      <c r="G46" s="24">
        <v>1</v>
      </c>
      <c r="H46" s="24">
        <v>1</v>
      </c>
      <c r="I46" s="24">
        <v>1</v>
      </c>
      <c r="J46" s="24">
        <v>1</v>
      </c>
      <c r="K46" s="24">
        <v>1</v>
      </c>
      <c r="L46" s="29">
        <v>512</v>
      </c>
      <c r="M46" s="29">
        <v>548</v>
      </c>
      <c r="N46" s="29">
        <v>550</v>
      </c>
      <c r="O46" s="29">
        <v>565</v>
      </c>
      <c r="P46" s="29">
        <v>548</v>
      </c>
      <c r="Q46" s="24">
        <v>1</v>
      </c>
      <c r="R46" s="24">
        <v>1</v>
      </c>
      <c r="S46" s="24">
        <v>1</v>
      </c>
      <c r="T46" s="24">
        <v>1</v>
      </c>
      <c r="U46" s="24">
        <v>0.65471923536439669</v>
      </c>
      <c r="V46" s="23"/>
      <c r="W46" s="29">
        <v>0</v>
      </c>
      <c r="X46" s="29">
        <v>0</v>
      </c>
      <c r="Y46" s="29">
        <v>284</v>
      </c>
      <c r="Z46" s="29">
        <v>447</v>
      </c>
      <c r="AA46" s="29">
        <v>548</v>
      </c>
      <c r="AB46" s="24">
        <v>0</v>
      </c>
      <c r="AC46" s="24">
        <v>0</v>
      </c>
      <c r="AD46" s="24">
        <v>1</v>
      </c>
      <c r="AE46" s="24">
        <v>1</v>
      </c>
      <c r="AF46" s="24">
        <v>1</v>
      </c>
      <c r="AG46" s="29">
        <v>0</v>
      </c>
      <c r="AH46" s="29">
        <v>0</v>
      </c>
      <c r="AI46" s="29">
        <v>284</v>
      </c>
      <c r="AJ46" s="29">
        <v>447</v>
      </c>
      <c r="AK46" s="29">
        <v>548</v>
      </c>
      <c r="AL46" s="24">
        <v>0</v>
      </c>
      <c r="AM46" s="24">
        <v>0</v>
      </c>
      <c r="AN46" s="24">
        <v>1</v>
      </c>
      <c r="AO46" s="24">
        <v>1</v>
      </c>
      <c r="AP46" s="24">
        <v>1</v>
      </c>
    </row>
    <row r="47" spans="1:42" x14ac:dyDescent="0.25">
      <c r="A47" s="20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</row>
    <row r="48" spans="1:42" x14ac:dyDescent="0.25">
      <c r="A48" s="30" t="s">
        <v>75</v>
      </c>
      <c r="B48" s="27" t="s">
        <v>12</v>
      </c>
      <c r="C48" s="27" t="s">
        <v>13</v>
      </c>
      <c r="D48" s="27" t="s">
        <v>14</v>
      </c>
      <c r="E48" s="27" t="s">
        <v>15</v>
      </c>
      <c r="F48" s="27" t="s">
        <v>16</v>
      </c>
      <c r="G48" s="27" t="s">
        <v>12</v>
      </c>
      <c r="H48" s="27" t="s">
        <v>13</v>
      </c>
      <c r="I48" s="27" t="s">
        <v>14</v>
      </c>
      <c r="J48" s="27" t="s">
        <v>15</v>
      </c>
      <c r="K48" s="27" t="s">
        <v>16</v>
      </c>
      <c r="L48" s="27" t="s">
        <v>12</v>
      </c>
      <c r="M48" s="27" t="s">
        <v>13</v>
      </c>
      <c r="N48" s="27" t="s">
        <v>14</v>
      </c>
      <c r="O48" s="27" t="s">
        <v>15</v>
      </c>
      <c r="P48" s="27" t="s">
        <v>16</v>
      </c>
      <c r="Q48" s="27" t="s">
        <v>12</v>
      </c>
      <c r="R48" s="27" t="s">
        <v>13</v>
      </c>
      <c r="S48" s="27" t="s">
        <v>14</v>
      </c>
      <c r="T48" s="27" t="s">
        <v>15</v>
      </c>
      <c r="U48" s="27" t="s">
        <v>16</v>
      </c>
      <c r="V48" s="27"/>
      <c r="W48" s="27" t="s">
        <v>17</v>
      </c>
      <c r="X48" s="27" t="s">
        <v>18</v>
      </c>
      <c r="Y48" s="27" t="s">
        <v>19</v>
      </c>
      <c r="Z48" s="27" t="s">
        <v>20</v>
      </c>
      <c r="AA48" s="27" t="s">
        <v>21</v>
      </c>
      <c r="AB48" s="27" t="s">
        <v>17</v>
      </c>
      <c r="AC48" s="27" t="s">
        <v>18</v>
      </c>
      <c r="AD48" s="27" t="s">
        <v>19</v>
      </c>
      <c r="AE48" s="27" t="s">
        <v>20</v>
      </c>
      <c r="AF48" s="27" t="s">
        <v>21</v>
      </c>
      <c r="AG48" s="27" t="s">
        <v>17</v>
      </c>
      <c r="AH48" s="27" t="s">
        <v>18</v>
      </c>
      <c r="AI48" s="27" t="s">
        <v>19</v>
      </c>
      <c r="AJ48" s="27" t="s">
        <v>20</v>
      </c>
      <c r="AK48" s="27" t="s">
        <v>21</v>
      </c>
      <c r="AL48" s="27" t="s">
        <v>17</v>
      </c>
      <c r="AM48" s="27" t="s">
        <v>18</v>
      </c>
      <c r="AN48" s="27" t="s">
        <v>19</v>
      </c>
      <c r="AO48" s="27" t="s">
        <v>20</v>
      </c>
      <c r="AP48" s="27" t="s">
        <v>21</v>
      </c>
    </row>
    <row r="49" spans="1:55" x14ac:dyDescent="0.25">
      <c r="A49" s="20" t="s">
        <v>24</v>
      </c>
      <c r="B49" s="21">
        <v>213</v>
      </c>
      <c r="C49" s="21">
        <v>236</v>
      </c>
      <c r="D49" s="21">
        <v>206</v>
      </c>
      <c r="E49" s="21">
        <v>196</v>
      </c>
      <c r="F49" s="21">
        <v>188</v>
      </c>
      <c r="G49" s="22">
        <v>0.35858585858585856</v>
      </c>
      <c r="H49" s="22">
        <v>0.38373983739837397</v>
      </c>
      <c r="I49" s="22">
        <v>0.33881578947368424</v>
      </c>
      <c r="J49" s="22">
        <v>0.30434782608695654</v>
      </c>
      <c r="K49" s="22">
        <v>0.22926829268292684</v>
      </c>
      <c r="L49" s="21">
        <v>213</v>
      </c>
      <c r="M49" s="21">
        <v>236</v>
      </c>
      <c r="N49" s="21">
        <v>206</v>
      </c>
      <c r="O49" s="21">
        <v>196</v>
      </c>
      <c r="P49" s="21">
        <v>183</v>
      </c>
      <c r="Q49" s="22">
        <v>1</v>
      </c>
      <c r="R49" s="22">
        <v>1</v>
      </c>
      <c r="S49" s="22">
        <v>1</v>
      </c>
      <c r="T49" s="22">
        <v>1</v>
      </c>
      <c r="U49" s="22">
        <v>0.97340425531914898</v>
      </c>
      <c r="V49" s="21"/>
      <c r="W49" s="21">
        <v>183</v>
      </c>
      <c r="X49" s="21">
        <v>145</v>
      </c>
      <c r="Y49" s="21">
        <v>92</v>
      </c>
      <c r="Z49" s="21">
        <v>204</v>
      </c>
      <c r="AA49" s="21">
        <v>236</v>
      </c>
      <c r="AB49" s="22">
        <v>0.58280254777070062</v>
      </c>
      <c r="AC49" s="22">
        <v>0.39189189189189189</v>
      </c>
      <c r="AD49" s="22">
        <v>0.38655462184873951</v>
      </c>
      <c r="AE49" s="22">
        <v>0.41129032258064518</v>
      </c>
      <c r="AF49" s="22">
        <v>0.38373983739837397</v>
      </c>
      <c r="AG49" s="21">
        <v>183</v>
      </c>
      <c r="AH49" s="21">
        <v>145</v>
      </c>
      <c r="AI49" s="21">
        <v>92</v>
      </c>
      <c r="AJ49" s="21">
        <v>204</v>
      </c>
      <c r="AK49" s="21">
        <v>236</v>
      </c>
      <c r="AL49" s="22">
        <v>1</v>
      </c>
      <c r="AM49" s="22">
        <v>1</v>
      </c>
      <c r="AN49" s="22">
        <v>1</v>
      </c>
      <c r="AO49" s="22">
        <v>1</v>
      </c>
      <c r="AP49" s="22">
        <v>1</v>
      </c>
    </row>
    <row r="50" spans="1:55" x14ac:dyDescent="0.25">
      <c r="A50" s="20" t="s">
        <v>25</v>
      </c>
      <c r="B50" s="21">
        <v>0</v>
      </c>
      <c r="C50" s="21">
        <v>0</v>
      </c>
      <c r="D50" s="21">
        <v>0</v>
      </c>
      <c r="E50" s="21">
        <v>0</v>
      </c>
      <c r="F50" s="21">
        <v>8</v>
      </c>
      <c r="G50" s="22">
        <v>0</v>
      </c>
      <c r="H50" s="22">
        <v>0</v>
      </c>
      <c r="I50" s="22">
        <v>0</v>
      </c>
      <c r="J50" s="22">
        <v>0</v>
      </c>
      <c r="K50" s="22">
        <v>9.7560975609756097E-3</v>
      </c>
      <c r="L50" s="21">
        <v>0</v>
      </c>
      <c r="M50" s="21">
        <v>0</v>
      </c>
      <c r="N50" s="21">
        <v>0</v>
      </c>
      <c r="O50" s="21">
        <v>0</v>
      </c>
      <c r="P50" s="21">
        <v>8</v>
      </c>
      <c r="Q50" s="22">
        <v>0</v>
      </c>
      <c r="R50" s="22">
        <v>0</v>
      </c>
      <c r="S50" s="22">
        <v>0</v>
      </c>
      <c r="T50" s="22">
        <v>0</v>
      </c>
      <c r="U50" s="22">
        <v>1</v>
      </c>
      <c r="V50" s="21"/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</row>
    <row r="51" spans="1:55" x14ac:dyDescent="0.25">
      <c r="A51" s="20" t="s">
        <v>35</v>
      </c>
      <c r="B51" s="21">
        <v>51</v>
      </c>
      <c r="C51" s="21">
        <v>41</v>
      </c>
      <c r="D51" s="21">
        <v>51</v>
      </c>
      <c r="E51" s="21">
        <v>55</v>
      </c>
      <c r="F51" s="21">
        <v>62</v>
      </c>
      <c r="G51" s="22">
        <v>8.5858585858585856E-2</v>
      </c>
      <c r="H51" s="22">
        <v>6.6666666666666666E-2</v>
      </c>
      <c r="I51" s="22">
        <v>8.3881578947368418E-2</v>
      </c>
      <c r="J51" s="22">
        <v>8.5403726708074529E-2</v>
      </c>
      <c r="K51" s="22">
        <v>7.5609756097560973E-2</v>
      </c>
      <c r="L51" s="21">
        <v>51</v>
      </c>
      <c r="M51" s="21">
        <v>41</v>
      </c>
      <c r="N51" s="21">
        <v>51</v>
      </c>
      <c r="O51" s="21">
        <v>55</v>
      </c>
      <c r="P51" s="21">
        <v>58</v>
      </c>
      <c r="Q51" s="22">
        <v>1</v>
      </c>
      <c r="R51" s="22">
        <v>1</v>
      </c>
      <c r="S51" s="22">
        <v>1</v>
      </c>
      <c r="T51" s="22">
        <v>1</v>
      </c>
      <c r="U51" s="22">
        <v>0.93548387096774188</v>
      </c>
      <c r="V51" s="21"/>
      <c r="W51" s="21">
        <v>32</v>
      </c>
      <c r="X51" s="21">
        <v>42</v>
      </c>
      <c r="Y51" s="21">
        <v>27</v>
      </c>
      <c r="Z51" s="21">
        <v>39</v>
      </c>
      <c r="AA51" s="21">
        <v>41</v>
      </c>
      <c r="AB51" s="22">
        <v>0.10191082802547771</v>
      </c>
      <c r="AC51" s="22">
        <v>0.11351351351351352</v>
      </c>
      <c r="AD51" s="22">
        <v>0.1134453781512605</v>
      </c>
      <c r="AE51" s="22">
        <v>7.8629032258064516E-2</v>
      </c>
      <c r="AF51" s="22">
        <v>6.6666666666666666E-2</v>
      </c>
      <c r="AG51" s="21">
        <v>32</v>
      </c>
      <c r="AH51" s="21">
        <v>42</v>
      </c>
      <c r="AI51" s="21">
        <v>27</v>
      </c>
      <c r="AJ51" s="21">
        <v>39</v>
      </c>
      <c r="AK51" s="21">
        <v>41</v>
      </c>
      <c r="AL51" s="22">
        <v>1</v>
      </c>
      <c r="AM51" s="22">
        <v>1</v>
      </c>
      <c r="AN51" s="22">
        <v>1</v>
      </c>
      <c r="AO51" s="22">
        <v>1</v>
      </c>
      <c r="AP51" s="22">
        <v>1</v>
      </c>
    </row>
    <row r="52" spans="1:55" x14ac:dyDescent="0.25">
      <c r="A52" s="20" t="s">
        <v>48</v>
      </c>
      <c r="B52" s="21">
        <v>330</v>
      </c>
      <c r="C52" s="21">
        <v>333</v>
      </c>
      <c r="D52" s="21">
        <v>329</v>
      </c>
      <c r="E52" s="21">
        <v>372</v>
      </c>
      <c r="F52" s="21">
        <v>537</v>
      </c>
      <c r="G52" s="22">
        <v>0.55555555555555558</v>
      </c>
      <c r="H52" s="22">
        <v>0.54146341463414638</v>
      </c>
      <c r="I52" s="22">
        <v>0.54111842105263153</v>
      </c>
      <c r="J52" s="22">
        <v>0.57763975155279501</v>
      </c>
      <c r="K52" s="22">
        <v>0.65487804878048783</v>
      </c>
      <c r="L52" s="21">
        <v>330</v>
      </c>
      <c r="M52" s="21">
        <v>333</v>
      </c>
      <c r="N52" s="21">
        <v>329</v>
      </c>
      <c r="O52" s="21">
        <v>372</v>
      </c>
      <c r="P52" s="21">
        <v>369</v>
      </c>
      <c r="Q52" s="22">
        <v>1</v>
      </c>
      <c r="R52" s="22">
        <v>1</v>
      </c>
      <c r="S52" s="22">
        <v>1</v>
      </c>
      <c r="T52" s="22">
        <v>1</v>
      </c>
      <c r="U52" s="22">
        <v>0.68715083798882681</v>
      </c>
      <c r="V52" s="21"/>
      <c r="W52" s="21">
        <v>96</v>
      </c>
      <c r="X52" s="21">
        <v>180</v>
      </c>
      <c r="Y52" s="21">
        <v>117</v>
      </c>
      <c r="Z52" s="21">
        <v>252</v>
      </c>
      <c r="AA52" s="21">
        <v>333</v>
      </c>
      <c r="AB52" s="22">
        <v>0.30573248407643311</v>
      </c>
      <c r="AC52" s="22">
        <v>0.48648648648648651</v>
      </c>
      <c r="AD52" s="22">
        <v>0.49159663865546216</v>
      </c>
      <c r="AE52" s="22">
        <v>0.50806451612903225</v>
      </c>
      <c r="AF52" s="22">
        <v>0.54146341463414638</v>
      </c>
      <c r="AG52" s="21">
        <v>96</v>
      </c>
      <c r="AH52" s="21">
        <v>180</v>
      </c>
      <c r="AI52" s="21">
        <v>117</v>
      </c>
      <c r="AJ52" s="21">
        <v>252</v>
      </c>
      <c r="AK52" s="21">
        <v>333</v>
      </c>
      <c r="AL52" s="22">
        <v>1</v>
      </c>
      <c r="AM52" s="22">
        <v>1</v>
      </c>
      <c r="AN52" s="22">
        <v>1</v>
      </c>
      <c r="AO52" s="22">
        <v>1</v>
      </c>
      <c r="AP52" s="22">
        <v>1</v>
      </c>
    </row>
    <row r="53" spans="1:55" x14ac:dyDescent="0.25">
      <c r="A53" s="20" t="s">
        <v>60</v>
      </c>
      <c r="B53" s="21">
        <v>0</v>
      </c>
      <c r="C53" s="21">
        <v>4</v>
      </c>
      <c r="D53" s="21">
        <v>13</v>
      </c>
      <c r="E53" s="21">
        <v>12</v>
      </c>
      <c r="F53" s="21">
        <v>11</v>
      </c>
      <c r="G53" s="22">
        <v>0</v>
      </c>
      <c r="H53" s="22">
        <v>6.5040650406504065E-3</v>
      </c>
      <c r="I53" s="22">
        <v>2.1381578947368422E-2</v>
      </c>
      <c r="J53" s="22">
        <v>1.8633540372670808E-2</v>
      </c>
      <c r="K53" s="22">
        <v>1.3414634146341463E-2</v>
      </c>
      <c r="L53" s="21">
        <v>0</v>
      </c>
      <c r="M53" s="21">
        <v>4</v>
      </c>
      <c r="N53" s="21">
        <v>13</v>
      </c>
      <c r="O53" s="21">
        <v>12</v>
      </c>
      <c r="P53" s="21">
        <v>11</v>
      </c>
      <c r="Q53" s="22">
        <v>0</v>
      </c>
      <c r="R53" s="22">
        <v>1</v>
      </c>
      <c r="S53" s="22">
        <v>1</v>
      </c>
      <c r="T53" s="22">
        <v>1</v>
      </c>
      <c r="U53" s="22">
        <v>1</v>
      </c>
      <c r="V53" s="21"/>
      <c r="W53" s="21">
        <v>3</v>
      </c>
      <c r="X53" s="21">
        <v>3</v>
      </c>
      <c r="Y53" s="21">
        <v>2</v>
      </c>
      <c r="Z53" s="21">
        <v>1</v>
      </c>
      <c r="AA53" s="21">
        <v>4</v>
      </c>
      <c r="AB53" s="22">
        <v>9.5541401273885346E-3</v>
      </c>
      <c r="AC53" s="22">
        <v>8.1081081081081086E-3</v>
      </c>
      <c r="AD53" s="22">
        <v>8.4033613445378148E-3</v>
      </c>
      <c r="AE53" s="22">
        <v>2.0161290322580645E-3</v>
      </c>
      <c r="AF53" s="22">
        <v>6.5040650406504065E-3</v>
      </c>
      <c r="AG53" s="21">
        <v>3</v>
      </c>
      <c r="AH53" s="21">
        <v>3</v>
      </c>
      <c r="AI53" s="21">
        <v>2</v>
      </c>
      <c r="AJ53" s="21">
        <v>1</v>
      </c>
      <c r="AK53" s="21">
        <v>4</v>
      </c>
      <c r="AL53" s="22">
        <v>1</v>
      </c>
      <c r="AM53" s="22">
        <v>1</v>
      </c>
      <c r="AN53" s="22">
        <v>1</v>
      </c>
      <c r="AO53" s="22">
        <v>1</v>
      </c>
      <c r="AP53" s="22">
        <v>1</v>
      </c>
    </row>
    <row r="54" spans="1:55" x14ac:dyDescent="0.25">
      <c r="A54" s="20" t="s">
        <v>98</v>
      </c>
      <c r="B54" s="21">
        <v>0</v>
      </c>
      <c r="C54" s="21">
        <v>0</v>
      </c>
      <c r="D54" s="21">
        <v>9</v>
      </c>
      <c r="E54" s="21">
        <v>9</v>
      </c>
      <c r="F54" s="21">
        <v>14</v>
      </c>
      <c r="G54" s="22">
        <v>0</v>
      </c>
      <c r="H54" s="22">
        <v>0</v>
      </c>
      <c r="I54" s="22">
        <v>1.4802631578947368E-2</v>
      </c>
      <c r="J54" s="22">
        <v>1.3975155279503106E-2</v>
      </c>
      <c r="K54" s="22">
        <v>1.7073170731707318E-2</v>
      </c>
      <c r="L54" s="21">
        <v>0</v>
      </c>
      <c r="M54" s="21">
        <v>0</v>
      </c>
      <c r="N54" s="21">
        <v>9</v>
      </c>
      <c r="O54" s="21">
        <v>9</v>
      </c>
      <c r="P54" s="21">
        <v>14</v>
      </c>
      <c r="Q54" s="22">
        <v>0</v>
      </c>
      <c r="R54" s="22">
        <v>0</v>
      </c>
      <c r="S54" s="22">
        <v>1</v>
      </c>
      <c r="T54" s="22">
        <v>1</v>
      </c>
      <c r="U54" s="22">
        <v>1</v>
      </c>
      <c r="V54" s="21"/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</row>
    <row r="55" spans="1:55" x14ac:dyDescent="0.25">
      <c r="A55" s="20" t="s">
        <v>66</v>
      </c>
      <c r="B55" s="21">
        <v>0</v>
      </c>
      <c r="C55" s="21">
        <v>1</v>
      </c>
      <c r="D55" s="21">
        <v>0</v>
      </c>
      <c r="E55" s="21">
        <v>0</v>
      </c>
      <c r="F55" s="21">
        <v>0</v>
      </c>
      <c r="G55" s="22">
        <v>0</v>
      </c>
      <c r="H55" s="22">
        <v>1.6260162601626016E-3</v>
      </c>
      <c r="I55" s="22">
        <v>0</v>
      </c>
      <c r="J55" s="22">
        <v>0</v>
      </c>
      <c r="K55" s="22">
        <v>0</v>
      </c>
      <c r="L55" s="21">
        <v>0</v>
      </c>
      <c r="M55" s="21">
        <v>1</v>
      </c>
      <c r="N55" s="21">
        <v>0</v>
      </c>
      <c r="O55" s="21">
        <v>0</v>
      </c>
      <c r="P55" s="21">
        <v>0</v>
      </c>
      <c r="Q55" s="22">
        <v>0</v>
      </c>
      <c r="R55" s="22">
        <v>1</v>
      </c>
      <c r="S55" s="22">
        <v>0</v>
      </c>
      <c r="T55" s="22">
        <v>0</v>
      </c>
      <c r="U55" s="22">
        <v>0</v>
      </c>
      <c r="V55" s="21"/>
      <c r="W55" s="21">
        <v>0</v>
      </c>
      <c r="X55" s="21">
        <v>0</v>
      </c>
      <c r="Y55" s="21">
        <v>0</v>
      </c>
      <c r="Z55" s="21">
        <v>0</v>
      </c>
      <c r="AA55" s="21">
        <v>1</v>
      </c>
      <c r="AB55" s="22">
        <v>0</v>
      </c>
      <c r="AC55" s="22">
        <v>0</v>
      </c>
      <c r="AD55" s="22">
        <v>0</v>
      </c>
      <c r="AE55" s="22">
        <v>0</v>
      </c>
      <c r="AF55" s="22">
        <v>1.6260162601626016E-3</v>
      </c>
      <c r="AG55" s="21">
        <v>0</v>
      </c>
      <c r="AH55" s="21">
        <v>0</v>
      </c>
      <c r="AI55" s="21">
        <v>0</v>
      </c>
      <c r="AJ55" s="21">
        <v>0</v>
      </c>
      <c r="AK55" s="21">
        <v>1</v>
      </c>
      <c r="AL55" s="22">
        <v>0</v>
      </c>
      <c r="AM55" s="22">
        <v>0</v>
      </c>
      <c r="AN55" s="22">
        <v>0</v>
      </c>
      <c r="AO55" s="22">
        <v>0</v>
      </c>
      <c r="AP55" s="22">
        <v>1</v>
      </c>
    </row>
    <row r="56" spans="1:55" x14ac:dyDescent="0.25">
      <c r="A56" s="31" t="s">
        <v>76</v>
      </c>
      <c r="B56" s="29">
        <v>594</v>
      </c>
      <c r="C56" s="29">
        <v>615</v>
      </c>
      <c r="D56" s="29">
        <v>608</v>
      </c>
      <c r="E56" s="29">
        <v>644</v>
      </c>
      <c r="F56" s="29">
        <v>820</v>
      </c>
      <c r="G56" s="24">
        <v>1</v>
      </c>
      <c r="H56" s="24">
        <v>1</v>
      </c>
      <c r="I56" s="24">
        <v>1</v>
      </c>
      <c r="J56" s="24">
        <v>1</v>
      </c>
      <c r="K56" s="24">
        <v>1</v>
      </c>
      <c r="L56" s="29">
        <v>594</v>
      </c>
      <c r="M56" s="29">
        <v>615</v>
      </c>
      <c r="N56" s="29">
        <v>608</v>
      </c>
      <c r="O56" s="29">
        <v>644</v>
      </c>
      <c r="P56" s="29">
        <v>643</v>
      </c>
      <c r="Q56" s="24">
        <v>1</v>
      </c>
      <c r="R56" s="24">
        <v>1</v>
      </c>
      <c r="S56" s="24">
        <v>1</v>
      </c>
      <c r="T56" s="24">
        <v>1</v>
      </c>
      <c r="U56" s="24">
        <v>0.78414634146341466</v>
      </c>
      <c r="V56" s="23"/>
      <c r="W56" s="29">
        <v>314</v>
      </c>
      <c r="X56" s="29">
        <v>370</v>
      </c>
      <c r="Y56" s="29">
        <v>238</v>
      </c>
      <c r="Z56" s="29">
        <v>496</v>
      </c>
      <c r="AA56" s="29">
        <v>615</v>
      </c>
      <c r="AB56" s="24">
        <v>1</v>
      </c>
      <c r="AC56" s="24">
        <v>1</v>
      </c>
      <c r="AD56" s="24">
        <v>1</v>
      </c>
      <c r="AE56" s="24">
        <v>1</v>
      </c>
      <c r="AF56" s="24">
        <v>1</v>
      </c>
      <c r="AG56" s="29">
        <v>314</v>
      </c>
      <c r="AH56" s="29">
        <v>370</v>
      </c>
      <c r="AI56" s="29">
        <v>238</v>
      </c>
      <c r="AJ56" s="29">
        <v>496</v>
      </c>
      <c r="AK56" s="29">
        <v>615</v>
      </c>
      <c r="AL56" s="24">
        <v>1</v>
      </c>
      <c r="AM56" s="24">
        <v>1</v>
      </c>
      <c r="AN56" s="24">
        <v>1</v>
      </c>
      <c r="AO56" s="24">
        <v>1</v>
      </c>
      <c r="AP56" s="24">
        <v>1</v>
      </c>
    </row>
    <row r="57" spans="1:55" x14ac:dyDescent="0.25">
      <c r="A57" s="20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2"/>
      <c r="AC57" s="22"/>
      <c r="AD57" s="22"/>
      <c r="AE57" s="22"/>
      <c r="AF57" s="22"/>
      <c r="AG57" s="21"/>
      <c r="AH57" s="21"/>
      <c r="AI57" s="21"/>
      <c r="AJ57" s="21"/>
      <c r="AK57" s="21"/>
      <c r="AL57" s="22"/>
      <c r="AM57" s="22"/>
      <c r="AN57" s="22"/>
      <c r="AO57" s="22"/>
      <c r="AP57" s="22"/>
    </row>
    <row r="58" spans="1:55" x14ac:dyDescent="0.25">
      <c r="A58" s="20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2"/>
      <c r="AC58" s="22"/>
      <c r="AD58" s="22"/>
      <c r="AE58" s="22"/>
      <c r="AF58" s="22"/>
      <c r="AG58" s="21"/>
      <c r="AH58" s="21"/>
      <c r="AI58" s="21"/>
      <c r="AJ58" s="21"/>
      <c r="AK58" s="21"/>
      <c r="AL58" s="22"/>
      <c r="AM58" s="22"/>
      <c r="AN58" s="22"/>
      <c r="AO58" s="22"/>
      <c r="AP58" s="22"/>
    </row>
    <row r="59" spans="1:55" s="21" customFormat="1" ht="12.75" x14ac:dyDescent="0.2">
      <c r="A59" s="2" t="s">
        <v>79</v>
      </c>
      <c r="AB59" s="22"/>
      <c r="AC59" s="22"/>
      <c r="AD59" s="22"/>
      <c r="AE59" s="22"/>
      <c r="AF59" s="22"/>
      <c r="AL59" s="22"/>
      <c r="AM59" s="22"/>
      <c r="AN59" s="22"/>
      <c r="AO59" s="22"/>
      <c r="AP59" s="22"/>
      <c r="AQ59" s="39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</row>
    <row r="60" spans="1:55" s="23" customFormat="1" ht="12.75" x14ac:dyDescent="0.2">
      <c r="A60" s="1" t="s">
        <v>80</v>
      </c>
      <c r="AB60" s="24"/>
      <c r="AC60" s="24"/>
      <c r="AD60" s="24"/>
      <c r="AE60" s="24"/>
      <c r="AF60" s="24"/>
      <c r="AL60" s="24"/>
      <c r="AM60" s="24"/>
      <c r="AN60" s="24"/>
      <c r="AO60" s="24"/>
      <c r="AP60" s="24"/>
      <c r="AQ60" s="40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</row>
    <row r="61" spans="1:55" s="21" customFormat="1" ht="12.75" x14ac:dyDescent="0.2">
      <c r="A61" s="10" t="s">
        <v>11</v>
      </c>
      <c r="B61" s="10" t="s">
        <v>12</v>
      </c>
      <c r="C61" s="10" t="s">
        <v>13</v>
      </c>
      <c r="D61" s="10" t="s">
        <v>14</v>
      </c>
      <c r="E61" s="10" t="s">
        <v>15</v>
      </c>
      <c r="F61" s="10" t="s">
        <v>16</v>
      </c>
      <c r="G61" s="10" t="s">
        <v>12</v>
      </c>
      <c r="H61" s="10" t="s">
        <v>13</v>
      </c>
      <c r="I61" s="10" t="s">
        <v>14</v>
      </c>
      <c r="J61" s="10" t="s">
        <v>15</v>
      </c>
      <c r="K61" s="10" t="s">
        <v>16</v>
      </c>
      <c r="L61" s="10" t="s">
        <v>12</v>
      </c>
      <c r="M61" s="10" t="s">
        <v>13</v>
      </c>
      <c r="N61" s="10" t="s">
        <v>14</v>
      </c>
      <c r="O61" s="10" t="s">
        <v>15</v>
      </c>
      <c r="P61" s="10" t="s">
        <v>16</v>
      </c>
      <c r="Q61" s="10" t="s">
        <v>12</v>
      </c>
      <c r="R61" s="10" t="s">
        <v>13</v>
      </c>
      <c r="S61" s="10" t="s">
        <v>14</v>
      </c>
      <c r="T61" s="10" t="s">
        <v>15</v>
      </c>
      <c r="U61" s="10" t="s">
        <v>16</v>
      </c>
      <c r="V61" s="10"/>
      <c r="W61" s="10" t="s">
        <v>17</v>
      </c>
      <c r="X61" s="10" t="s">
        <v>18</v>
      </c>
      <c r="Y61" s="10" t="s">
        <v>19</v>
      </c>
      <c r="Z61" s="10" t="s">
        <v>20</v>
      </c>
      <c r="AA61" s="10" t="s">
        <v>21</v>
      </c>
      <c r="AB61" s="10" t="s">
        <v>17</v>
      </c>
      <c r="AC61" s="10" t="s">
        <v>18</v>
      </c>
      <c r="AD61" s="10" t="s">
        <v>19</v>
      </c>
      <c r="AE61" s="10" t="s">
        <v>20</v>
      </c>
      <c r="AF61" s="10" t="s">
        <v>21</v>
      </c>
      <c r="AG61" s="10" t="s">
        <v>17</v>
      </c>
      <c r="AH61" s="10" t="s">
        <v>18</v>
      </c>
      <c r="AI61" s="10" t="s">
        <v>19</v>
      </c>
      <c r="AJ61" s="10" t="s">
        <v>20</v>
      </c>
      <c r="AK61" s="10" t="s">
        <v>21</v>
      </c>
      <c r="AL61" s="10" t="s">
        <v>17</v>
      </c>
      <c r="AM61" s="10" t="s">
        <v>18</v>
      </c>
      <c r="AN61" s="10" t="s">
        <v>19</v>
      </c>
      <c r="AO61" s="10" t="s">
        <v>20</v>
      </c>
      <c r="AP61" s="10" t="s">
        <v>21</v>
      </c>
      <c r="AQ61" s="39"/>
    </row>
    <row r="62" spans="1:55" s="21" customFormat="1" ht="12.75" x14ac:dyDescent="0.2">
      <c r="A62" s="20" t="s">
        <v>24</v>
      </c>
      <c r="B62" s="21">
        <v>1673</v>
      </c>
      <c r="C62" s="21">
        <v>1833</v>
      </c>
      <c r="D62" s="21">
        <v>1815</v>
      </c>
      <c r="E62" s="21">
        <v>1724</v>
      </c>
      <c r="F62" s="21">
        <v>1917</v>
      </c>
      <c r="G62" s="22">
        <v>0.43567708333333333</v>
      </c>
      <c r="H62" s="22">
        <v>0.46405063291139242</v>
      </c>
      <c r="I62" s="22">
        <v>0.45752457776657424</v>
      </c>
      <c r="J62" s="22">
        <v>0.41382621219395105</v>
      </c>
      <c r="K62" s="22">
        <v>0.39042769857433807</v>
      </c>
      <c r="L62" s="21">
        <v>1673</v>
      </c>
      <c r="M62" s="21">
        <v>1833</v>
      </c>
      <c r="N62" s="21">
        <v>1815</v>
      </c>
      <c r="O62" s="21">
        <v>1724</v>
      </c>
      <c r="P62" s="21">
        <v>1605</v>
      </c>
      <c r="Q62" s="22">
        <v>1</v>
      </c>
      <c r="R62" s="22">
        <v>1</v>
      </c>
      <c r="S62" s="22">
        <v>1</v>
      </c>
      <c r="T62" s="22">
        <v>1</v>
      </c>
      <c r="U62" s="22">
        <v>0.83724569640062596</v>
      </c>
      <c r="W62" s="21">
        <v>924</v>
      </c>
      <c r="X62" s="21">
        <v>527</v>
      </c>
      <c r="Y62" s="21">
        <v>748</v>
      </c>
      <c r="Z62" s="21">
        <v>1628</v>
      </c>
      <c r="AA62" s="21">
        <v>1833</v>
      </c>
      <c r="AB62" s="22">
        <v>0.36435331230283913</v>
      </c>
      <c r="AC62" s="22">
        <v>0.11896162528216704</v>
      </c>
      <c r="AD62" s="22">
        <v>0.18765679879578526</v>
      </c>
      <c r="AE62" s="22">
        <v>0.45146977260122018</v>
      </c>
      <c r="AF62" s="22">
        <v>0.46405063291139242</v>
      </c>
      <c r="AG62" s="21">
        <v>924</v>
      </c>
      <c r="AH62" s="21">
        <v>527</v>
      </c>
      <c r="AI62" s="21">
        <v>748</v>
      </c>
      <c r="AJ62" s="21">
        <v>1628</v>
      </c>
      <c r="AK62" s="21">
        <v>1833</v>
      </c>
      <c r="AL62" s="22">
        <v>1</v>
      </c>
      <c r="AM62" s="22">
        <v>1</v>
      </c>
      <c r="AN62" s="22">
        <v>1</v>
      </c>
      <c r="AO62" s="22">
        <v>1</v>
      </c>
      <c r="AP62" s="22">
        <v>1</v>
      </c>
      <c r="AQ62" s="39"/>
    </row>
    <row r="63" spans="1:55" s="21" customFormat="1" ht="12.75" x14ac:dyDescent="0.2">
      <c r="A63" s="20" t="s">
        <v>48</v>
      </c>
      <c r="B63" s="21">
        <v>1712</v>
      </c>
      <c r="C63" s="21">
        <v>1710</v>
      </c>
      <c r="D63" s="21">
        <v>1676</v>
      </c>
      <c r="E63" s="21">
        <v>1953</v>
      </c>
      <c r="F63" s="21">
        <v>2290</v>
      </c>
      <c r="G63" s="22">
        <v>0.44583333333333336</v>
      </c>
      <c r="H63" s="22">
        <v>0.43291139240506327</v>
      </c>
      <c r="I63" s="22">
        <v>0.42248550541971264</v>
      </c>
      <c r="J63" s="22">
        <v>0.46879500720115219</v>
      </c>
      <c r="K63" s="22">
        <v>0.4663951120162933</v>
      </c>
      <c r="L63" s="21">
        <v>1712</v>
      </c>
      <c r="M63" s="21">
        <v>1710</v>
      </c>
      <c r="N63" s="21">
        <v>1676</v>
      </c>
      <c r="O63" s="21">
        <v>1953</v>
      </c>
      <c r="P63" s="21">
        <v>1912</v>
      </c>
      <c r="Q63" s="22">
        <v>1</v>
      </c>
      <c r="R63" s="22">
        <v>1</v>
      </c>
      <c r="S63" s="22">
        <v>1</v>
      </c>
      <c r="T63" s="22">
        <v>1</v>
      </c>
      <c r="U63" s="22">
        <v>0.8349344978165939</v>
      </c>
      <c r="W63" s="21">
        <v>343</v>
      </c>
      <c r="X63" s="21">
        <v>905</v>
      </c>
      <c r="Y63" s="21">
        <v>853</v>
      </c>
      <c r="Z63" s="21">
        <v>1488</v>
      </c>
      <c r="AA63" s="21">
        <v>1710</v>
      </c>
      <c r="AB63" s="22">
        <v>0.13525236593059936</v>
      </c>
      <c r="AC63" s="22">
        <v>0.20428893905191872</v>
      </c>
      <c r="AD63" s="22">
        <v>0.21399899648770698</v>
      </c>
      <c r="AE63" s="22">
        <v>0.41264559068219636</v>
      </c>
      <c r="AF63" s="22">
        <v>0.43291139240506327</v>
      </c>
      <c r="AG63" s="21">
        <v>343</v>
      </c>
      <c r="AH63" s="21">
        <v>905</v>
      </c>
      <c r="AI63" s="21">
        <v>853</v>
      </c>
      <c r="AJ63" s="21">
        <v>1488</v>
      </c>
      <c r="AK63" s="21">
        <v>1710</v>
      </c>
      <c r="AL63" s="22">
        <v>1</v>
      </c>
      <c r="AM63" s="22">
        <v>1</v>
      </c>
      <c r="AN63" s="22">
        <v>1</v>
      </c>
      <c r="AO63" s="22">
        <v>1</v>
      </c>
      <c r="AP63" s="22">
        <v>1</v>
      </c>
      <c r="AQ63" s="39"/>
    </row>
    <row r="64" spans="1:55" s="21" customFormat="1" ht="12.75" x14ac:dyDescent="0.2">
      <c r="A64" s="20" t="s">
        <v>35</v>
      </c>
      <c r="B64" s="21">
        <v>434</v>
      </c>
      <c r="C64" s="21">
        <v>380</v>
      </c>
      <c r="D64" s="21">
        <v>389</v>
      </c>
      <c r="E64" s="21">
        <v>402</v>
      </c>
      <c r="F64" s="21">
        <v>549</v>
      </c>
      <c r="G64" s="22">
        <v>0.11302083333333333</v>
      </c>
      <c r="H64" s="22">
        <v>9.6202531645569619E-2</v>
      </c>
      <c r="I64" s="22">
        <v>9.8058986639778176E-2</v>
      </c>
      <c r="J64" s="22">
        <v>9.6495439270283243E-2</v>
      </c>
      <c r="K64" s="22">
        <v>0.11181262729124236</v>
      </c>
      <c r="L64" s="21">
        <v>434</v>
      </c>
      <c r="M64" s="21">
        <v>380</v>
      </c>
      <c r="N64" s="21">
        <v>389</v>
      </c>
      <c r="O64" s="21">
        <v>402</v>
      </c>
      <c r="P64" s="21">
        <v>480</v>
      </c>
      <c r="Q64" s="22">
        <v>1</v>
      </c>
      <c r="R64" s="22">
        <v>1</v>
      </c>
      <c r="S64" s="22">
        <v>1</v>
      </c>
      <c r="T64" s="22">
        <v>1</v>
      </c>
      <c r="U64" s="22">
        <v>0.87431693989071035</v>
      </c>
      <c r="W64" s="21">
        <v>188</v>
      </c>
      <c r="X64" s="21">
        <v>511</v>
      </c>
      <c r="Y64" s="21">
        <v>435</v>
      </c>
      <c r="Z64" s="21">
        <v>454</v>
      </c>
      <c r="AA64" s="21">
        <v>380</v>
      </c>
      <c r="AB64" s="22">
        <v>7.4132492113564666E-2</v>
      </c>
      <c r="AC64" s="22">
        <v>0.11534988713318284</v>
      </c>
      <c r="AD64" s="22">
        <v>0.10913196186653286</v>
      </c>
      <c r="AE64" s="22">
        <v>0.12590127565169162</v>
      </c>
      <c r="AF64" s="22">
        <v>9.6202531645569619E-2</v>
      </c>
      <c r="AG64" s="21">
        <v>188</v>
      </c>
      <c r="AH64" s="21">
        <v>511</v>
      </c>
      <c r="AI64" s="21">
        <v>435</v>
      </c>
      <c r="AJ64" s="21">
        <v>454</v>
      </c>
      <c r="AK64" s="21">
        <v>380</v>
      </c>
      <c r="AL64" s="22">
        <v>1</v>
      </c>
      <c r="AM64" s="22">
        <v>1</v>
      </c>
      <c r="AN64" s="22">
        <v>1</v>
      </c>
      <c r="AO64" s="22">
        <v>1</v>
      </c>
      <c r="AP64" s="22">
        <v>1</v>
      </c>
      <c r="AQ64" s="39"/>
    </row>
    <row r="65" spans="1:55" s="21" customFormat="1" ht="12.75" x14ac:dyDescent="0.2">
      <c r="A65" s="20" t="s">
        <v>81</v>
      </c>
      <c r="B65" s="21">
        <v>21</v>
      </c>
      <c r="C65" s="21">
        <v>27</v>
      </c>
      <c r="D65" s="21">
        <v>87</v>
      </c>
      <c r="E65" s="21">
        <v>87</v>
      </c>
      <c r="F65" s="21">
        <v>154</v>
      </c>
      <c r="G65" s="22">
        <v>5.4687499999999997E-3</v>
      </c>
      <c r="H65" s="22">
        <v>6.8354430379746834E-3</v>
      </c>
      <c r="I65" s="22">
        <v>2.1930930173934965E-2</v>
      </c>
      <c r="J65" s="22">
        <v>2.0883341334613538E-2</v>
      </c>
      <c r="K65" s="22">
        <v>3.1364562118126271E-2</v>
      </c>
      <c r="L65" s="21">
        <v>21</v>
      </c>
      <c r="M65" s="21">
        <v>27</v>
      </c>
      <c r="N65" s="21">
        <v>87</v>
      </c>
      <c r="O65" s="21">
        <v>87</v>
      </c>
      <c r="P65" s="21">
        <v>154</v>
      </c>
      <c r="Q65" s="22">
        <v>1</v>
      </c>
      <c r="R65" s="22">
        <v>1</v>
      </c>
      <c r="S65" s="22">
        <v>1</v>
      </c>
      <c r="T65" s="22">
        <v>1</v>
      </c>
      <c r="U65" s="22">
        <v>1</v>
      </c>
      <c r="W65" s="21">
        <v>1081</v>
      </c>
      <c r="X65" s="21">
        <v>2487</v>
      </c>
      <c r="Y65" s="21">
        <v>1950</v>
      </c>
      <c r="Z65" s="21">
        <v>36</v>
      </c>
      <c r="AA65" s="21">
        <v>27</v>
      </c>
      <c r="AB65" s="22">
        <v>0.42626182965299686</v>
      </c>
      <c r="AC65" s="22">
        <v>0.56139954853273133</v>
      </c>
      <c r="AD65" s="22">
        <v>0.48921224284997489</v>
      </c>
      <c r="AE65" s="22">
        <v>9.9833610648918467E-3</v>
      </c>
      <c r="AF65" s="22">
        <v>6.8354430379746834E-3</v>
      </c>
      <c r="AG65" s="21">
        <v>1081</v>
      </c>
      <c r="AH65" s="21">
        <v>2487</v>
      </c>
      <c r="AI65" s="21">
        <v>1950</v>
      </c>
      <c r="AJ65" s="21">
        <v>36</v>
      </c>
      <c r="AK65" s="21">
        <v>27</v>
      </c>
      <c r="AL65" s="22">
        <v>1</v>
      </c>
      <c r="AM65" s="22">
        <v>1</v>
      </c>
      <c r="AN65" s="22">
        <v>1</v>
      </c>
      <c r="AO65" s="22">
        <v>1</v>
      </c>
      <c r="AP65" s="22">
        <v>1</v>
      </c>
      <c r="AQ65" s="39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</row>
    <row r="66" spans="1:55" s="23" customFormat="1" ht="12.75" x14ac:dyDescent="0.2">
      <c r="A66" s="31" t="s">
        <v>82</v>
      </c>
      <c r="B66" s="23">
        <v>3840</v>
      </c>
      <c r="C66" s="23">
        <v>3950</v>
      </c>
      <c r="D66" s="23">
        <v>3967</v>
      </c>
      <c r="E66" s="23">
        <v>4166</v>
      </c>
      <c r="F66" s="23">
        <v>4910</v>
      </c>
      <c r="G66" s="24">
        <v>1</v>
      </c>
      <c r="H66" s="24">
        <v>1</v>
      </c>
      <c r="I66" s="24">
        <v>1</v>
      </c>
      <c r="J66" s="24">
        <v>1</v>
      </c>
      <c r="K66" s="24">
        <v>1</v>
      </c>
      <c r="L66" s="23">
        <v>3840</v>
      </c>
      <c r="M66" s="23">
        <v>3950</v>
      </c>
      <c r="N66" s="23">
        <v>3967</v>
      </c>
      <c r="O66" s="23">
        <v>4166</v>
      </c>
      <c r="P66" s="23">
        <v>4151</v>
      </c>
      <c r="Q66" s="24">
        <v>1</v>
      </c>
      <c r="R66" s="24">
        <v>1</v>
      </c>
      <c r="S66" s="24">
        <v>1</v>
      </c>
      <c r="T66" s="24">
        <v>1</v>
      </c>
      <c r="U66" s="24">
        <v>0.84541751527494913</v>
      </c>
      <c r="W66" s="23">
        <v>2536</v>
      </c>
      <c r="X66" s="23">
        <v>4430</v>
      </c>
      <c r="Y66" s="23">
        <v>3986</v>
      </c>
      <c r="Z66" s="23">
        <v>3606</v>
      </c>
      <c r="AA66" s="23">
        <v>3950</v>
      </c>
      <c r="AB66" s="24">
        <v>1</v>
      </c>
      <c r="AC66" s="24">
        <v>1</v>
      </c>
      <c r="AD66" s="24">
        <v>1</v>
      </c>
      <c r="AE66" s="24">
        <v>1</v>
      </c>
      <c r="AF66" s="24">
        <v>1</v>
      </c>
      <c r="AG66" s="23">
        <v>2536</v>
      </c>
      <c r="AH66" s="23">
        <v>4430</v>
      </c>
      <c r="AI66" s="23">
        <v>3986</v>
      </c>
      <c r="AJ66" s="23">
        <v>3606</v>
      </c>
      <c r="AK66" s="23">
        <v>3950</v>
      </c>
      <c r="AL66" s="24">
        <v>1</v>
      </c>
      <c r="AM66" s="24">
        <v>1</v>
      </c>
      <c r="AN66" s="24">
        <v>1</v>
      </c>
      <c r="AO66" s="24">
        <v>1</v>
      </c>
      <c r="AP66" s="24">
        <v>1</v>
      </c>
      <c r="AQ66" s="39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</row>
    <row r="67" spans="1:55" s="21" customFormat="1" ht="12.75" x14ac:dyDescent="0.2">
      <c r="A67" s="20"/>
      <c r="AB67" s="22"/>
      <c r="AC67" s="22"/>
      <c r="AD67" s="22"/>
      <c r="AE67" s="22"/>
      <c r="AF67" s="22"/>
      <c r="AL67" s="22"/>
      <c r="AM67" s="22"/>
      <c r="AN67" s="22"/>
      <c r="AO67" s="22"/>
      <c r="AP67" s="22"/>
      <c r="AQ67" s="39"/>
    </row>
    <row r="68" spans="1:55" s="21" customFormat="1" ht="12.75" x14ac:dyDescent="0.2">
      <c r="A68" s="10" t="s">
        <v>69</v>
      </c>
      <c r="B68" s="10" t="s">
        <v>12</v>
      </c>
      <c r="C68" s="10" t="s">
        <v>13</v>
      </c>
      <c r="D68" s="10" t="s">
        <v>14</v>
      </c>
      <c r="E68" s="10" t="s">
        <v>15</v>
      </c>
      <c r="F68" s="10" t="s">
        <v>16</v>
      </c>
      <c r="G68" s="10" t="s">
        <v>12</v>
      </c>
      <c r="H68" s="10" t="s">
        <v>13</v>
      </c>
      <c r="I68" s="10" t="s">
        <v>14</v>
      </c>
      <c r="J68" s="10" t="s">
        <v>15</v>
      </c>
      <c r="K68" s="10" t="s">
        <v>16</v>
      </c>
      <c r="L68" s="10" t="s">
        <v>12</v>
      </c>
      <c r="M68" s="10" t="s">
        <v>13</v>
      </c>
      <c r="N68" s="10" t="s">
        <v>14</v>
      </c>
      <c r="O68" s="10" t="s">
        <v>15</v>
      </c>
      <c r="P68" s="10" t="s">
        <v>16</v>
      </c>
      <c r="Q68" s="10" t="s">
        <v>12</v>
      </c>
      <c r="R68" s="10" t="s">
        <v>13</v>
      </c>
      <c r="S68" s="10" t="s">
        <v>14</v>
      </c>
      <c r="T68" s="10" t="s">
        <v>15</v>
      </c>
      <c r="U68" s="10" t="s">
        <v>16</v>
      </c>
      <c r="V68" s="10"/>
      <c r="W68" s="10" t="s">
        <v>17</v>
      </c>
      <c r="X68" s="10" t="s">
        <v>18</v>
      </c>
      <c r="Y68" s="10" t="s">
        <v>19</v>
      </c>
      <c r="Z68" s="10" t="s">
        <v>20</v>
      </c>
      <c r="AA68" s="10" t="s">
        <v>21</v>
      </c>
      <c r="AB68" s="10" t="s">
        <v>17</v>
      </c>
      <c r="AC68" s="10" t="s">
        <v>18</v>
      </c>
      <c r="AD68" s="10" t="s">
        <v>19</v>
      </c>
      <c r="AE68" s="10" t="s">
        <v>20</v>
      </c>
      <c r="AF68" s="10" t="s">
        <v>21</v>
      </c>
      <c r="AG68" s="10" t="s">
        <v>17</v>
      </c>
      <c r="AH68" s="10" t="s">
        <v>18</v>
      </c>
      <c r="AI68" s="10" t="s">
        <v>19</v>
      </c>
      <c r="AJ68" s="10" t="s">
        <v>20</v>
      </c>
      <c r="AK68" s="10" t="s">
        <v>21</v>
      </c>
      <c r="AL68" s="10" t="s">
        <v>17</v>
      </c>
      <c r="AM68" s="10" t="s">
        <v>18</v>
      </c>
      <c r="AN68" s="10" t="s">
        <v>19</v>
      </c>
      <c r="AO68" s="10" t="s">
        <v>20</v>
      </c>
      <c r="AP68" s="10" t="s">
        <v>21</v>
      </c>
      <c r="AQ68" s="39"/>
    </row>
    <row r="69" spans="1:55" s="21" customFormat="1" ht="12.75" x14ac:dyDescent="0.2">
      <c r="A69" s="20" t="s">
        <v>23</v>
      </c>
      <c r="B69" s="21">
        <v>19</v>
      </c>
      <c r="C69" s="21">
        <v>19</v>
      </c>
      <c r="D69" s="21">
        <v>19</v>
      </c>
      <c r="E69" s="21">
        <v>19</v>
      </c>
      <c r="F69" s="21">
        <v>18</v>
      </c>
      <c r="G69" s="22">
        <v>0.20212765957446807</v>
      </c>
      <c r="H69" s="22">
        <v>0.21348314606741572</v>
      </c>
      <c r="I69" s="22">
        <v>0.19587628865979381</v>
      </c>
      <c r="J69" s="22">
        <v>0.17757009345794392</v>
      </c>
      <c r="K69" s="22">
        <v>0.15929203539823009</v>
      </c>
      <c r="L69" s="21">
        <v>19</v>
      </c>
      <c r="M69" s="21">
        <v>19</v>
      </c>
      <c r="N69" s="21">
        <v>19</v>
      </c>
      <c r="O69" s="21">
        <v>19</v>
      </c>
      <c r="P69" s="21">
        <v>18</v>
      </c>
      <c r="Q69" s="22">
        <v>1</v>
      </c>
      <c r="R69" s="22">
        <v>1</v>
      </c>
      <c r="S69" s="22">
        <v>1</v>
      </c>
      <c r="T69" s="22">
        <v>1</v>
      </c>
      <c r="U69" s="22">
        <v>1</v>
      </c>
      <c r="W69" s="21">
        <v>99</v>
      </c>
      <c r="X69" s="21">
        <v>79</v>
      </c>
      <c r="Y69" s="21">
        <v>81</v>
      </c>
      <c r="Z69" s="21">
        <v>30</v>
      </c>
      <c r="AA69" s="21">
        <v>19</v>
      </c>
      <c r="AB69" s="22">
        <v>0.92523364485981308</v>
      </c>
      <c r="AC69" s="22">
        <v>0.79797979797979801</v>
      </c>
      <c r="AD69" s="22">
        <v>0.74311926605504586</v>
      </c>
      <c r="AE69" s="22">
        <v>0.36585365853658536</v>
      </c>
      <c r="AF69" s="22">
        <v>0.21348314606741572</v>
      </c>
      <c r="AG69" s="21">
        <v>99</v>
      </c>
      <c r="AH69" s="21">
        <v>79</v>
      </c>
      <c r="AI69" s="21">
        <v>81</v>
      </c>
      <c r="AJ69" s="21">
        <v>30</v>
      </c>
      <c r="AK69" s="21">
        <v>19</v>
      </c>
      <c r="AL69" s="22">
        <v>1</v>
      </c>
      <c r="AM69" s="22">
        <v>1</v>
      </c>
      <c r="AN69" s="22">
        <v>1</v>
      </c>
      <c r="AO69" s="22">
        <v>1</v>
      </c>
      <c r="AP69" s="22">
        <v>1</v>
      </c>
      <c r="AQ69" s="39"/>
    </row>
    <row r="70" spans="1:55" s="21" customFormat="1" ht="12.75" x14ac:dyDescent="0.2">
      <c r="A70" s="20" t="s">
        <v>48</v>
      </c>
      <c r="B70" s="21">
        <v>62</v>
      </c>
      <c r="C70" s="21">
        <v>61</v>
      </c>
      <c r="D70" s="21">
        <v>62</v>
      </c>
      <c r="E70" s="21">
        <v>70</v>
      </c>
      <c r="F70" s="21">
        <v>74</v>
      </c>
      <c r="G70" s="22">
        <v>0.65957446808510634</v>
      </c>
      <c r="H70" s="22">
        <v>0.6853932584269663</v>
      </c>
      <c r="I70" s="22">
        <v>0.63917525773195871</v>
      </c>
      <c r="J70" s="22">
        <v>0.65420560747663548</v>
      </c>
      <c r="K70" s="22">
        <v>0.65486725663716816</v>
      </c>
      <c r="L70" s="21">
        <v>62</v>
      </c>
      <c r="M70" s="21">
        <v>61</v>
      </c>
      <c r="N70" s="21">
        <v>62</v>
      </c>
      <c r="O70" s="21">
        <v>70</v>
      </c>
      <c r="P70" s="21">
        <v>73</v>
      </c>
      <c r="Q70" s="22">
        <v>1</v>
      </c>
      <c r="R70" s="22">
        <v>1</v>
      </c>
      <c r="S70" s="22">
        <v>1</v>
      </c>
      <c r="T70" s="22">
        <v>1</v>
      </c>
      <c r="U70" s="22">
        <v>0.98648648648648651</v>
      </c>
      <c r="W70" s="21">
        <v>4</v>
      </c>
      <c r="X70" s="21">
        <v>6</v>
      </c>
      <c r="Y70" s="21">
        <v>12</v>
      </c>
      <c r="Z70" s="21">
        <v>40</v>
      </c>
      <c r="AA70" s="21">
        <v>61</v>
      </c>
      <c r="AB70" s="22">
        <v>3.7383177570093455E-2</v>
      </c>
      <c r="AC70" s="22">
        <v>6.0606060606060608E-2</v>
      </c>
      <c r="AD70" s="22">
        <v>0.11009174311926606</v>
      </c>
      <c r="AE70" s="22">
        <v>0.48780487804878048</v>
      </c>
      <c r="AF70" s="22">
        <v>0.6853932584269663</v>
      </c>
      <c r="AG70" s="21">
        <v>4</v>
      </c>
      <c r="AH70" s="21">
        <v>6</v>
      </c>
      <c r="AI70" s="21">
        <v>12</v>
      </c>
      <c r="AJ70" s="21">
        <v>40</v>
      </c>
      <c r="AK70" s="21">
        <v>61</v>
      </c>
      <c r="AL70" s="22">
        <v>1</v>
      </c>
      <c r="AM70" s="22">
        <v>1</v>
      </c>
      <c r="AN70" s="22">
        <v>1</v>
      </c>
      <c r="AO70" s="22">
        <v>1</v>
      </c>
      <c r="AP70" s="22">
        <v>1</v>
      </c>
      <c r="AQ70" s="39"/>
    </row>
    <row r="71" spans="1:55" s="21" customFormat="1" ht="12.75" x14ac:dyDescent="0.2">
      <c r="A71" s="20" t="s">
        <v>35</v>
      </c>
      <c r="B71" s="21">
        <v>13</v>
      </c>
      <c r="C71" s="21">
        <v>9</v>
      </c>
      <c r="D71" s="21">
        <v>11</v>
      </c>
      <c r="E71" s="21">
        <v>13</v>
      </c>
      <c r="F71" s="21">
        <v>15</v>
      </c>
      <c r="G71" s="22">
        <v>0.13829787234042554</v>
      </c>
      <c r="H71" s="22">
        <v>0.10112359550561797</v>
      </c>
      <c r="I71" s="22">
        <v>0.1134020618556701</v>
      </c>
      <c r="J71" s="22">
        <v>0.12149532710280374</v>
      </c>
      <c r="K71" s="22">
        <v>0.13274336283185842</v>
      </c>
      <c r="L71" s="21">
        <v>13</v>
      </c>
      <c r="M71" s="21">
        <v>9</v>
      </c>
      <c r="N71" s="21">
        <v>11</v>
      </c>
      <c r="O71" s="21">
        <v>13</v>
      </c>
      <c r="P71" s="21">
        <v>15</v>
      </c>
      <c r="Q71" s="22">
        <v>1</v>
      </c>
      <c r="R71" s="22">
        <v>1</v>
      </c>
      <c r="S71" s="22">
        <v>1</v>
      </c>
      <c r="T71" s="22">
        <v>1</v>
      </c>
      <c r="U71" s="22">
        <v>1</v>
      </c>
      <c r="W71" s="21">
        <v>4</v>
      </c>
      <c r="X71" s="21">
        <v>14</v>
      </c>
      <c r="Y71" s="21">
        <v>16</v>
      </c>
      <c r="Z71" s="21">
        <v>12</v>
      </c>
      <c r="AA71" s="21">
        <v>9</v>
      </c>
      <c r="AB71" s="22">
        <v>3.7383177570093455E-2</v>
      </c>
      <c r="AC71" s="22">
        <v>0.14141414141414141</v>
      </c>
      <c r="AD71" s="22">
        <v>0.14678899082568808</v>
      </c>
      <c r="AE71" s="22">
        <v>0.14634146341463414</v>
      </c>
      <c r="AF71" s="22">
        <v>0.10112359550561797</v>
      </c>
      <c r="AG71" s="21">
        <v>4</v>
      </c>
      <c r="AH71" s="21">
        <v>14</v>
      </c>
      <c r="AI71" s="21">
        <v>16</v>
      </c>
      <c r="AJ71" s="21">
        <v>12</v>
      </c>
      <c r="AK71" s="21">
        <v>9</v>
      </c>
      <c r="AL71" s="22">
        <v>1</v>
      </c>
      <c r="AM71" s="22">
        <v>1</v>
      </c>
      <c r="AN71" s="22">
        <v>1</v>
      </c>
      <c r="AO71" s="22">
        <v>1</v>
      </c>
      <c r="AP71" s="22">
        <v>1</v>
      </c>
      <c r="AQ71" s="39"/>
    </row>
    <row r="72" spans="1:55" s="21" customFormat="1" ht="12.75" x14ac:dyDescent="0.2">
      <c r="A72" s="20" t="s">
        <v>81</v>
      </c>
      <c r="B72" s="21">
        <v>0</v>
      </c>
      <c r="C72" s="21">
        <v>0</v>
      </c>
      <c r="D72" s="21">
        <v>5</v>
      </c>
      <c r="E72" s="21">
        <v>5</v>
      </c>
      <c r="F72" s="21">
        <v>6</v>
      </c>
      <c r="G72" s="22">
        <v>0</v>
      </c>
      <c r="H72" s="22">
        <v>0</v>
      </c>
      <c r="I72" s="22">
        <v>5.1546391752577317E-2</v>
      </c>
      <c r="J72" s="22">
        <v>4.6728971962616821E-2</v>
      </c>
      <c r="K72" s="22">
        <v>5.3097345132743362E-2</v>
      </c>
      <c r="L72" s="21">
        <v>0</v>
      </c>
      <c r="M72" s="21">
        <v>0</v>
      </c>
      <c r="N72" s="21">
        <v>5</v>
      </c>
      <c r="O72" s="21">
        <v>5</v>
      </c>
      <c r="P72" s="21">
        <v>6</v>
      </c>
      <c r="Q72" s="22">
        <v>0</v>
      </c>
      <c r="R72" s="22">
        <v>0</v>
      </c>
      <c r="S72" s="22">
        <v>1</v>
      </c>
      <c r="T72" s="22">
        <v>1</v>
      </c>
      <c r="U72" s="22">
        <v>1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39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</row>
    <row r="73" spans="1:55" s="23" customFormat="1" ht="12.75" x14ac:dyDescent="0.2">
      <c r="A73" s="31" t="s">
        <v>82</v>
      </c>
      <c r="B73" s="23">
        <v>94</v>
      </c>
      <c r="C73" s="23">
        <v>89</v>
      </c>
      <c r="D73" s="23">
        <v>97</v>
      </c>
      <c r="E73" s="23">
        <v>107</v>
      </c>
      <c r="F73" s="23">
        <v>113</v>
      </c>
      <c r="G73" s="24">
        <v>1</v>
      </c>
      <c r="H73" s="24">
        <v>1</v>
      </c>
      <c r="I73" s="24">
        <v>1</v>
      </c>
      <c r="J73" s="24">
        <v>1</v>
      </c>
      <c r="K73" s="24">
        <v>1</v>
      </c>
      <c r="L73" s="23">
        <v>94</v>
      </c>
      <c r="M73" s="23">
        <v>89</v>
      </c>
      <c r="N73" s="23">
        <v>97</v>
      </c>
      <c r="O73" s="23">
        <v>107</v>
      </c>
      <c r="P73" s="23">
        <v>112</v>
      </c>
      <c r="Q73" s="24">
        <v>1</v>
      </c>
      <c r="R73" s="24">
        <v>1</v>
      </c>
      <c r="S73" s="24">
        <v>1</v>
      </c>
      <c r="T73" s="24">
        <v>1</v>
      </c>
      <c r="U73" s="24">
        <v>0.99115044247787609</v>
      </c>
      <c r="W73" s="23">
        <v>107</v>
      </c>
      <c r="X73" s="23">
        <v>99</v>
      </c>
      <c r="Y73" s="23">
        <v>109</v>
      </c>
      <c r="Z73" s="23">
        <v>82</v>
      </c>
      <c r="AA73" s="23">
        <v>89</v>
      </c>
      <c r="AB73" s="24">
        <v>1</v>
      </c>
      <c r="AC73" s="24">
        <v>1</v>
      </c>
      <c r="AD73" s="24">
        <v>1</v>
      </c>
      <c r="AE73" s="24">
        <v>1</v>
      </c>
      <c r="AF73" s="24">
        <v>1</v>
      </c>
      <c r="AG73" s="23">
        <v>107</v>
      </c>
      <c r="AH73" s="23">
        <v>99</v>
      </c>
      <c r="AI73" s="23">
        <v>109</v>
      </c>
      <c r="AJ73" s="23">
        <v>82</v>
      </c>
      <c r="AK73" s="23">
        <v>89</v>
      </c>
      <c r="AL73" s="24">
        <v>1</v>
      </c>
      <c r="AM73" s="24">
        <v>1</v>
      </c>
      <c r="AN73" s="24">
        <v>1</v>
      </c>
      <c r="AO73" s="24">
        <v>1</v>
      </c>
      <c r="AP73" s="24">
        <v>1</v>
      </c>
      <c r="AQ73" s="39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</row>
    <row r="74" spans="1:55" s="21" customFormat="1" ht="12.75" x14ac:dyDescent="0.2">
      <c r="A74" s="20"/>
      <c r="AB74" s="22"/>
      <c r="AC74" s="22"/>
      <c r="AD74" s="22"/>
      <c r="AE74" s="22"/>
      <c r="AF74" s="22"/>
      <c r="AL74" s="22"/>
      <c r="AM74" s="22"/>
      <c r="AN74" s="22"/>
      <c r="AO74" s="22"/>
      <c r="AP74" s="22"/>
      <c r="AQ74" s="39"/>
    </row>
    <row r="75" spans="1:55" s="21" customFormat="1" ht="12.75" x14ac:dyDescent="0.2">
      <c r="A75" s="10" t="s">
        <v>71</v>
      </c>
      <c r="B75" s="10" t="s">
        <v>12</v>
      </c>
      <c r="C75" s="10" t="s">
        <v>13</v>
      </c>
      <c r="D75" s="10" t="s">
        <v>14</v>
      </c>
      <c r="E75" s="10" t="s">
        <v>15</v>
      </c>
      <c r="F75" s="10" t="s">
        <v>16</v>
      </c>
      <c r="G75" s="10" t="s">
        <v>12</v>
      </c>
      <c r="H75" s="10" t="s">
        <v>13</v>
      </c>
      <c r="I75" s="10" t="s">
        <v>14</v>
      </c>
      <c r="J75" s="10" t="s">
        <v>15</v>
      </c>
      <c r="K75" s="10" t="s">
        <v>16</v>
      </c>
      <c r="L75" s="10" t="s">
        <v>12</v>
      </c>
      <c r="M75" s="10" t="s">
        <v>13</v>
      </c>
      <c r="N75" s="10" t="s">
        <v>14</v>
      </c>
      <c r="O75" s="10" t="s">
        <v>15</v>
      </c>
      <c r="P75" s="10" t="s">
        <v>16</v>
      </c>
      <c r="Q75" s="10" t="s">
        <v>12</v>
      </c>
      <c r="R75" s="10" t="s">
        <v>13</v>
      </c>
      <c r="S75" s="10" t="s">
        <v>14</v>
      </c>
      <c r="T75" s="10" t="s">
        <v>15</v>
      </c>
      <c r="U75" s="10" t="s">
        <v>16</v>
      </c>
      <c r="V75" s="10"/>
      <c r="W75" s="10" t="s">
        <v>17</v>
      </c>
      <c r="X75" s="10" t="s">
        <v>18</v>
      </c>
      <c r="Y75" s="10" t="s">
        <v>19</v>
      </c>
      <c r="Z75" s="10" t="s">
        <v>20</v>
      </c>
      <c r="AA75" s="10" t="s">
        <v>21</v>
      </c>
      <c r="AB75" s="10" t="s">
        <v>17</v>
      </c>
      <c r="AC75" s="10" t="s">
        <v>18</v>
      </c>
      <c r="AD75" s="10" t="s">
        <v>19</v>
      </c>
      <c r="AE75" s="10" t="s">
        <v>20</v>
      </c>
      <c r="AF75" s="10" t="s">
        <v>21</v>
      </c>
      <c r="AG75" s="10" t="s">
        <v>17</v>
      </c>
      <c r="AH75" s="10" t="s">
        <v>18</v>
      </c>
      <c r="AI75" s="10" t="s">
        <v>19</v>
      </c>
      <c r="AJ75" s="10" t="s">
        <v>20</v>
      </c>
      <c r="AK75" s="10" t="s">
        <v>21</v>
      </c>
      <c r="AL75" s="10" t="s">
        <v>17</v>
      </c>
      <c r="AM75" s="10" t="s">
        <v>18</v>
      </c>
      <c r="AN75" s="10" t="s">
        <v>19</v>
      </c>
      <c r="AO75" s="10" t="s">
        <v>20</v>
      </c>
      <c r="AP75" s="10" t="s">
        <v>21</v>
      </c>
      <c r="AQ75" s="39"/>
    </row>
    <row r="76" spans="1:55" s="21" customFormat="1" ht="12.75" x14ac:dyDescent="0.2">
      <c r="A76" s="20" t="s">
        <v>48</v>
      </c>
      <c r="B76" s="21">
        <v>1047</v>
      </c>
      <c r="C76" s="21">
        <v>1037</v>
      </c>
      <c r="D76" s="21">
        <v>1005</v>
      </c>
      <c r="E76" s="21">
        <v>1213</v>
      </c>
      <c r="F76" s="21">
        <v>1237</v>
      </c>
      <c r="G76" s="22">
        <v>0.39659090909090911</v>
      </c>
      <c r="H76" s="22">
        <v>0.38435878428465531</v>
      </c>
      <c r="I76" s="22">
        <v>0.37057522123893805</v>
      </c>
      <c r="J76" s="22">
        <v>0.42561403508771928</v>
      </c>
      <c r="K76" s="22">
        <v>0.39394904458598728</v>
      </c>
      <c r="L76" s="21">
        <v>1047</v>
      </c>
      <c r="M76" s="21">
        <v>1037</v>
      </c>
      <c r="N76" s="21">
        <v>1005</v>
      </c>
      <c r="O76" s="21">
        <v>1213</v>
      </c>
      <c r="P76" s="21">
        <v>1166</v>
      </c>
      <c r="Q76" s="22">
        <v>1</v>
      </c>
      <c r="R76" s="22">
        <v>1</v>
      </c>
      <c r="S76" s="22">
        <v>1</v>
      </c>
      <c r="T76" s="22">
        <v>1</v>
      </c>
      <c r="U76" s="22">
        <v>0.94260307194826187</v>
      </c>
      <c r="W76" s="21">
        <v>243</v>
      </c>
      <c r="X76" s="21">
        <v>719</v>
      </c>
      <c r="Y76" s="21">
        <v>594</v>
      </c>
      <c r="Z76" s="21">
        <v>941</v>
      </c>
      <c r="AA76" s="21">
        <v>1037</v>
      </c>
      <c r="AB76" s="22">
        <v>0.1148936170212766</v>
      </c>
      <c r="AC76" s="22">
        <v>0.18151981822772029</v>
      </c>
      <c r="AD76" s="22">
        <v>0.17704918032786884</v>
      </c>
      <c r="AE76" s="22">
        <v>0.36458736923672996</v>
      </c>
      <c r="AF76" s="22">
        <v>0.38435878428465531</v>
      </c>
      <c r="AG76" s="21">
        <v>243</v>
      </c>
      <c r="AH76" s="21">
        <v>719</v>
      </c>
      <c r="AI76" s="21">
        <v>594</v>
      </c>
      <c r="AJ76" s="21">
        <v>941</v>
      </c>
      <c r="AK76" s="21">
        <v>1037</v>
      </c>
      <c r="AL76" s="22">
        <v>1</v>
      </c>
      <c r="AM76" s="22">
        <v>1</v>
      </c>
      <c r="AN76" s="22">
        <v>1</v>
      </c>
      <c r="AO76" s="22">
        <v>1</v>
      </c>
      <c r="AP76" s="22">
        <v>1</v>
      </c>
      <c r="AQ76" s="39"/>
    </row>
    <row r="77" spans="1:55" s="21" customFormat="1" ht="12.75" x14ac:dyDescent="0.2">
      <c r="A77" s="20" t="s">
        <v>24</v>
      </c>
      <c r="B77" s="21">
        <v>1221</v>
      </c>
      <c r="C77" s="21">
        <v>1328</v>
      </c>
      <c r="D77" s="21">
        <v>1343</v>
      </c>
      <c r="E77" s="21">
        <v>1265</v>
      </c>
      <c r="F77" s="21">
        <v>1342</v>
      </c>
      <c r="G77" s="22">
        <v>0.46250000000000002</v>
      </c>
      <c r="H77" s="22">
        <v>0.49221645663454411</v>
      </c>
      <c r="I77" s="22">
        <v>0.49520648967551623</v>
      </c>
      <c r="J77" s="22">
        <v>0.44385964912280701</v>
      </c>
      <c r="K77" s="22">
        <v>0.42738853503184715</v>
      </c>
      <c r="L77" s="21">
        <v>1221</v>
      </c>
      <c r="M77" s="21">
        <v>1328</v>
      </c>
      <c r="N77" s="21">
        <v>1343</v>
      </c>
      <c r="O77" s="21">
        <v>1265</v>
      </c>
      <c r="P77" s="21">
        <v>1186</v>
      </c>
      <c r="Q77" s="22">
        <v>1</v>
      </c>
      <c r="R77" s="22">
        <v>1</v>
      </c>
      <c r="S77" s="22">
        <v>1</v>
      </c>
      <c r="T77" s="22">
        <v>1</v>
      </c>
      <c r="U77" s="22">
        <v>0.88375558867362147</v>
      </c>
      <c r="W77" s="21">
        <v>741</v>
      </c>
      <c r="X77" s="21">
        <v>382</v>
      </c>
      <c r="Y77" s="21">
        <v>514</v>
      </c>
      <c r="Z77" s="21">
        <v>1232</v>
      </c>
      <c r="AA77" s="21">
        <v>1328</v>
      </c>
      <c r="AB77" s="22">
        <v>0.35035460992907802</v>
      </c>
      <c r="AC77" s="22">
        <v>9.644029285533956E-2</v>
      </c>
      <c r="AD77" s="22">
        <v>0.15320417287630403</v>
      </c>
      <c r="AE77" s="22">
        <v>0.47733436652460287</v>
      </c>
      <c r="AF77" s="22">
        <v>0.49221645663454411</v>
      </c>
      <c r="AG77" s="21">
        <v>741</v>
      </c>
      <c r="AH77" s="21">
        <v>382</v>
      </c>
      <c r="AI77" s="21">
        <v>514</v>
      </c>
      <c r="AJ77" s="21">
        <v>1232</v>
      </c>
      <c r="AK77" s="21">
        <v>1328</v>
      </c>
      <c r="AL77" s="22">
        <v>1</v>
      </c>
      <c r="AM77" s="22">
        <v>1</v>
      </c>
      <c r="AN77" s="22">
        <v>1</v>
      </c>
      <c r="AO77" s="22">
        <v>1</v>
      </c>
      <c r="AP77" s="22">
        <v>1</v>
      </c>
      <c r="AQ77" s="39"/>
    </row>
    <row r="78" spans="1:55" s="21" customFormat="1" ht="12.75" x14ac:dyDescent="0.2">
      <c r="A78" s="20" t="s">
        <v>35</v>
      </c>
      <c r="B78" s="21">
        <v>370</v>
      </c>
      <c r="C78" s="21">
        <v>330</v>
      </c>
      <c r="D78" s="21">
        <v>327</v>
      </c>
      <c r="E78" s="21">
        <v>334</v>
      </c>
      <c r="F78" s="21">
        <v>472</v>
      </c>
      <c r="G78" s="22">
        <v>0.14015151515151514</v>
      </c>
      <c r="H78" s="22">
        <v>0.1223128243143069</v>
      </c>
      <c r="I78" s="22">
        <v>0.12057522123893805</v>
      </c>
      <c r="J78" s="22">
        <v>0.11719298245614035</v>
      </c>
      <c r="K78" s="22">
        <v>0.15031847133757961</v>
      </c>
      <c r="L78" s="21">
        <v>370</v>
      </c>
      <c r="M78" s="21">
        <v>330</v>
      </c>
      <c r="N78" s="21">
        <v>327</v>
      </c>
      <c r="O78" s="21">
        <v>334</v>
      </c>
      <c r="P78" s="21">
        <v>407</v>
      </c>
      <c r="Q78" s="22">
        <v>1</v>
      </c>
      <c r="R78" s="22">
        <v>1</v>
      </c>
      <c r="S78" s="22">
        <v>1</v>
      </c>
      <c r="T78" s="22">
        <v>1</v>
      </c>
      <c r="U78" s="22">
        <v>0.86228813559322037</v>
      </c>
      <c r="W78" s="21">
        <v>152</v>
      </c>
      <c r="X78" s="21">
        <v>455</v>
      </c>
      <c r="Y78" s="21">
        <v>392</v>
      </c>
      <c r="Z78" s="21">
        <v>403</v>
      </c>
      <c r="AA78" s="21">
        <v>330</v>
      </c>
      <c r="AB78" s="22">
        <v>7.1867612293144215E-2</v>
      </c>
      <c r="AC78" s="22">
        <v>0.11486998232769503</v>
      </c>
      <c r="AD78" s="22">
        <v>0.11684053651266767</v>
      </c>
      <c r="AE78" s="22">
        <v>0.15614103060829135</v>
      </c>
      <c r="AF78" s="22">
        <v>0.1223128243143069</v>
      </c>
      <c r="AG78" s="21">
        <v>152</v>
      </c>
      <c r="AH78" s="21">
        <v>455</v>
      </c>
      <c r="AI78" s="21">
        <v>392</v>
      </c>
      <c r="AJ78" s="21">
        <v>403</v>
      </c>
      <c r="AK78" s="21">
        <v>330</v>
      </c>
      <c r="AL78" s="22">
        <v>1</v>
      </c>
      <c r="AM78" s="22">
        <v>1</v>
      </c>
      <c r="AN78" s="22">
        <v>1</v>
      </c>
      <c r="AO78" s="22">
        <v>1</v>
      </c>
      <c r="AP78" s="22">
        <v>1</v>
      </c>
      <c r="AQ78" s="39"/>
    </row>
    <row r="79" spans="1:55" s="21" customFormat="1" ht="12.75" x14ac:dyDescent="0.2">
      <c r="A79" s="20" t="s">
        <v>81</v>
      </c>
      <c r="B79" s="21">
        <v>2</v>
      </c>
      <c r="C79" s="21">
        <v>3</v>
      </c>
      <c r="D79" s="21">
        <v>37</v>
      </c>
      <c r="E79" s="21">
        <v>38</v>
      </c>
      <c r="F79" s="21">
        <v>89</v>
      </c>
      <c r="G79" s="22">
        <v>7.5757575757575758E-4</v>
      </c>
      <c r="H79" s="22">
        <v>1.111934766493699E-3</v>
      </c>
      <c r="I79" s="22">
        <v>1.3643067846607669E-2</v>
      </c>
      <c r="J79" s="22">
        <v>1.3333333333333334E-2</v>
      </c>
      <c r="K79" s="22">
        <v>2.8343949044585988E-2</v>
      </c>
      <c r="L79" s="21">
        <v>2</v>
      </c>
      <c r="M79" s="21">
        <v>3</v>
      </c>
      <c r="N79" s="21">
        <v>37</v>
      </c>
      <c r="O79" s="21">
        <v>38</v>
      </c>
      <c r="P79" s="21">
        <v>89</v>
      </c>
      <c r="Q79" s="22">
        <v>1</v>
      </c>
      <c r="R79" s="22">
        <v>1</v>
      </c>
      <c r="S79" s="22">
        <v>1</v>
      </c>
      <c r="T79" s="22">
        <v>1</v>
      </c>
      <c r="U79" s="22">
        <v>1</v>
      </c>
      <c r="W79" s="21">
        <v>979</v>
      </c>
      <c r="X79" s="21">
        <v>2405</v>
      </c>
      <c r="Y79" s="21">
        <v>1855</v>
      </c>
      <c r="Z79" s="21">
        <v>5</v>
      </c>
      <c r="AA79" s="21">
        <v>3</v>
      </c>
      <c r="AB79" s="22">
        <v>0.46288416075650118</v>
      </c>
      <c r="AC79" s="22">
        <v>0.60716990658924519</v>
      </c>
      <c r="AD79" s="22">
        <v>0.5529061102831595</v>
      </c>
      <c r="AE79" s="22">
        <v>1.9372336303758234E-3</v>
      </c>
      <c r="AF79" s="22">
        <v>1.111934766493699E-3</v>
      </c>
      <c r="AG79" s="21">
        <v>979</v>
      </c>
      <c r="AH79" s="21">
        <v>2405</v>
      </c>
      <c r="AI79" s="21">
        <v>1855</v>
      </c>
      <c r="AJ79" s="21">
        <v>5</v>
      </c>
      <c r="AK79" s="21">
        <v>3</v>
      </c>
      <c r="AL79" s="22">
        <v>1</v>
      </c>
      <c r="AM79" s="22">
        <v>1</v>
      </c>
      <c r="AN79" s="22">
        <v>1</v>
      </c>
      <c r="AO79" s="22">
        <v>1</v>
      </c>
      <c r="AP79" s="22">
        <v>1</v>
      </c>
      <c r="AQ79" s="39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</row>
    <row r="80" spans="1:55" s="23" customFormat="1" ht="12.75" x14ac:dyDescent="0.2">
      <c r="A80" s="31" t="s">
        <v>82</v>
      </c>
      <c r="B80" s="23">
        <v>2640</v>
      </c>
      <c r="C80" s="23">
        <v>2698</v>
      </c>
      <c r="D80" s="23">
        <v>2712</v>
      </c>
      <c r="E80" s="23">
        <v>2850</v>
      </c>
      <c r="F80" s="23">
        <v>3140</v>
      </c>
      <c r="G80" s="24">
        <v>1</v>
      </c>
      <c r="H80" s="24">
        <v>1</v>
      </c>
      <c r="I80" s="24">
        <v>1</v>
      </c>
      <c r="J80" s="24">
        <v>1</v>
      </c>
      <c r="K80" s="24">
        <v>1</v>
      </c>
      <c r="L80" s="23">
        <v>2640</v>
      </c>
      <c r="M80" s="23">
        <v>2698</v>
      </c>
      <c r="N80" s="23">
        <v>2712</v>
      </c>
      <c r="O80" s="23">
        <v>2850</v>
      </c>
      <c r="P80" s="23">
        <v>2848</v>
      </c>
      <c r="Q80" s="24">
        <v>1</v>
      </c>
      <c r="R80" s="24">
        <v>1</v>
      </c>
      <c r="S80" s="24">
        <v>1</v>
      </c>
      <c r="T80" s="24">
        <v>1</v>
      </c>
      <c r="U80" s="24">
        <v>0.90700636942675161</v>
      </c>
      <c r="W80" s="23">
        <v>2115</v>
      </c>
      <c r="X80" s="23">
        <v>3961</v>
      </c>
      <c r="Y80" s="23">
        <v>3355</v>
      </c>
      <c r="Z80" s="23">
        <v>2581</v>
      </c>
      <c r="AA80" s="23">
        <v>2698</v>
      </c>
      <c r="AB80" s="24">
        <v>1</v>
      </c>
      <c r="AC80" s="24">
        <v>1</v>
      </c>
      <c r="AD80" s="24">
        <v>1</v>
      </c>
      <c r="AE80" s="24">
        <v>1</v>
      </c>
      <c r="AF80" s="24">
        <v>1</v>
      </c>
      <c r="AG80" s="23">
        <v>2115</v>
      </c>
      <c r="AH80" s="23">
        <v>3961</v>
      </c>
      <c r="AI80" s="23">
        <v>3355</v>
      </c>
      <c r="AJ80" s="23">
        <v>2581</v>
      </c>
      <c r="AK80" s="23">
        <v>2698</v>
      </c>
      <c r="AL80" s="24">
        <v>1</v>
      </c>
      <c r="AM80" s="24">
        <v>1</v>
      </c>
      <c r="AN80" s="24">
        <v>1</v>
      </c>
      <c r="AO80" s="24">
        <v>1</v>
      </c>
      <c r="AP80" s="24">
        <v>1</v>
      </c>
      <c r="AQ80" s="39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</row>
    <row r="81" spans="1:55" s="21" customFormat="1" ht="12.75" x14ac:dyDescent="0.2">
      <c r="A81" s="20"/>
      <c r="AB81" s="22"/>
      <c r="AC81" s="22"/>
      <c r="AD81" s="22"/>
      <c r="AE81" s="22"/>
      <c r="AF81" s="22"/>
      <c r="AL81" s="22"/>
      <c r="AM81" s="22"/>
      <c r="AN81" s="22"/>
      <c r="AO81" s="22"/>
      <c r="AP81" s="22"/>
      <c r="AQ81" s="39"/>
    </row>
    <row r="82" spans="1:55" s="21" customFormat="1" ht="12.75" x14ac:dyDescent="0.2">
      <c r="A82" s="10" t="s">
        <v>73</v>
      </c>
      <c r="B82" s="10" t="s">
        <v>12</v>
      </c>
      <c r="C82" s="10" t="s">
        <v>13</v>
      </c>
      <c r="D82" s="10" t="s">
        <v>14</v>
      </c>
      <c r="E82" s="10" t="s">
        <v>15</v>
      </c>
      <c r="F82" s="10" t="s">
        <v>16</v>
      </c>
      <c r="G82" s="10" t="s">
        <v>12</v>
      </c>
      <c r="H82" s="10" t="s">
        <v>13</v>
      </c>
      <c r="I82" s="10" t="s">
        <v>14</v>
      </c>
      <c r="J82" s="10" t="s">
        <v>15</v>
      </c>
      <c r="K82" s="10" t="s">
        <v>16</v>
      </c>
      <c r="L82" s="10" t="s">
        <v>12</v>
      </c>
      <c r="M82" s="10" t="s">
        <v>13</v>
      </c>
      <c r="N82" s="10" t="s">
        <v>14</v>
      </c>
      <c r="O82" s="10" t="s">
        <v>15</v>
      </c>
      <c r="P82" s="10" t="s">
        <v>16</v>
      </c>
      <c r="Q82" s="10" t="s">
        <v>12</v>
      </c>
      <c r="R82" s="10" t="s">
        <v>13</v>
      </c>
      <c r="S82" s="10" t="s">
        <v>14</v>
      </c>
      <c r="T82" s="10" t="s">
        <v>15</v>
      </c>
      <c r="U82" s="10" t="s">
        <v>16</v>
      </c>
      <c r="V82" s="10"/>
      <c r="W82" s="10" t="s">
        <v>17</v>
      </c>
      <c r="X82" s="10" t="s">
        <v>18</v>
      </c>
      <c r="Y82" s="10" t="s">
        <v>19</v>
      </c>
      <c r="Z82" s="10" t="s">
        <v>20</v>
      </c>
      <c r="AA82" s="10" t="s">
        <v>21</v>
      </c>
      <c r="AB82" s="10" t="s">
        <v>17</v>
      </c>
      <c r="AC82" s="10" t="s">
        <v>18</v>
      </c>
      <c r="AD82" s="10" t="s">
        <v>19</v>
      </c>
      <c r="AE82" s="10" t="s">
        <v>20</v>
      </c>
      <c r="AF82" s="10" t="s">
        <v>21</v>
      </c>
      <c r="AG82" s="10" t="s">
        <v>17</v>
      </c>
      <c r="AH82" s="10" t="s">
        <v>18</v>
      </c>
      <c r="AI82" s="10" t="s">
        <v>19</v>
      </c>
      <c r="AJ82" s="10" t="s">
        <v>20</v>
      </c>
      <c r="AK82" s="10" t="s">
        <v>21</v>
      </c>
      <c r="AL82" s="10" t="s">
        <v>17</v>
      </c>
      <c r="AM82" s="10" t="s">
        <v>18</v>
      </c>
      <c r="AN82" s="10" t="s">
        <v>19</v>
      </c>
      <c r="AO82" s="10" t="s">
        <v>20</v>
      </c>
      <c r="AP82" s="10" t="s">
        <v>21</v>
      </c>
      <c r="AQ82" s="39"/>
    </row>
    <row r="83" spans="1:55" s="21" customFormat="1" ht="12.75" x14ac:dyDescent="0.2">
      <c r="A83" s="20" t="s">
        <v>48</v>
      </c>
      <c r="B83" s="21">
        <v>273</v>
      </c>
      <c r="C83" s="21">
        <v>279</v>
      </c>
      <c r="D83" s="21">
        <v>280</v>
      </c>
      <c r="E83" s="21">
        <v>298</v>
      </c>
      <c r="F83" s="21">
        <v>442</v>
      </c>
      <c r="G83" s="22">
        <v>0.533203125</v>
      </c>
      <c r="H83" s="22">
        <v>0.50912408759124084</v>
      </c>
      <c r="I83" s="22">
        <v>0.50909090909090904</v>
      </c>
      <c r="J83" s="22">
        <v>0.52743362831858409</v>
      </c>
      <c r="K83" s="22">
        <v>0.52807646356033455</v>
      </c>
      <c r="L83" s="21">
        <v>273</v>
      </c>
      <c r="M83" s="21">
        <v>279</v>
      </c>
      <c r="N83" s="21">
        <v>280</v>
      </c>
      <c r="O83" s="21">
        <v>298</v>
      </c>
      <c r="P83" s="21">
        <v>304</v>
      </c>
      <c r="Q83" s="22">
        <v>1</v>
      </c>
      <c r="R83" s="22">
        <v>1</v>
      </c>
      <c r="S83" s="22">
        <v>1</v>
      </c>
      <c r="T83" s="22">
        <v>1</v>
      </c>
      <c r="U83" s="22">
        <v>0.68778280542986425</v>
      </c>
      <c r="W83" s="21">
        <v>0</v>
      </c>
      <c r="X83" s="21">
        <v>0</v>
      </c>
      <c r="Y83" s="21">
        <v>130</v>
      </c>
      <c r="Z83" s="21">
        <v>255</v>
      </c>
      <c r="AA83" s="21">
        <v>279</v>
      </c>
      <c r="AB83" s="22">
        <v>0</v>
      </c>
      <c r="AC83" s="22">
        <v>0</v>
      </c>
      <c r="AD83" s="22">
        <v>0.45774647887323944</v>
      </c>
      <c r="AE83" s="22">
        <v>0.57046979865771807</v>
      </c>
      <c r="AF83" s="22">
        <v>0.50912408759124084</v>
      </c>
      <c r="AG83" s="21">
        <v>0</v>
      </c>
      <c r="AH83" s="21">
        <v>0</v>
      </c>
      <c r="AI83" s="21">
        <v>130</v>
      </c>
      <c r="AJ83" s="21">
        <v>255</v>
      </c>
      <c r="AK83" s="21">
        <v>279</v>
      </c>
      <c r="AL83" s="22">
        <v>0</v>
      </c>
      <c r="AM83" s="22">
        <v>0</v>
      </c>
      <c r="AN83" s="22">
        <v>1</v>
      </c>
      <c r="AO83" s="22">
        <v>1</v>
      </c>
      <c r="AP83" s="22">
        <v>1</v>
      </c>
      <c r="AQ83" s="39"/>
    </row>
    <row r="84" spans="1:55" s="21" customFormat="1" ht="12.75" x14ac:dyDescent="0.2">
      <c r="A84" s="20" t="s">
        <v>24</v>
      </c>
      <c r="B84" s="21">
        <v>239</v>
      </c>
      <c r="C84" s="21">
        <v>269</v>
      </c>
      <c r="D84" s="21">
        <v>266</v>
      </c>
      <c r="E84" s="21">
        <v>263</v>
      </c>
      <c r="F84" s="21">
        <v>387</v>
      </c>
      <c r="G84" s="22">
        <v>0.466796875</v>
      </c>
      <c r="H84" s="22">
        <v>0.49087591240875911</v>
      </c>
      <c r="I84" s="22">
        <v>0.48363636363636364</v>
      </c>
      <c r="J84" s="22">
        <v>0.46548672566371679</v>
      </c>
      <c r="K84" s="22">
        <v>0.46236559139784944</v>
      </c>
      <c r="L84" s="21">
        <v>239</v>
      </c>
      <c r="M84" s="21">
        <v>269</v>
      </c>
      <c r="N84" s="21">
        <v>266</v>
      </c>
      <c r="O84" s="21">
        <v>263</v>
      </c>
      <c r="P84" s="21">
        <v>236</v>
      </c>
      <c r="Q84" s="22">
        <v>1</v>
      </c>
      <c r="R84" s="22">
        <v>1</v>
      </c>
      <c r="S84" s="22">
        <v>1</v>
      </c>
      <c r="T84" s="22">
        <v>1</v>
      </c>
      <c r="U84" s="22">
        <v>0.60981912144702843</v>
      </c>
      <c r="W84" s="21">
        <v>0</v>
      </c>
      <c r="X84" s="21">
        <v>0</v>
      </c>
      <c r="Y84" s="21">
        <v>142</v>
      </c>
      <c r="Z84" s="21">
        <v>192</v>
      </c>
      <c r="AA84" s="21">
        <v>269</v>
      </c>
      <c r="AB84" s="22">
        <v>0</v>
      </c>
      <c r="AC84" s="22">
        <v>0</v>
      </c>
      <c r="AD84" s="22">
        <v>0.5</v>
      </c>
      <c r="AE84" s="22">
        <v>0.42953020134228187</v>
      </c>
      <c r="AF84" s="22">
        <v>0.49087591240875911</v>
      </c>
      <c r="AG84" s="21">
        <v>0</v>
      </c>
      <c r="AH84" s="21">
        <v>0</v>
      </c>
      <c r="AI84" s="21">
        <v>142</v>
      </c>
      <c r="AJ84" s="21">
        <v>192</v>
      </c>
      <c r="AK84" s="21">
        <v>269</v>
      </c>
      <c r="AL84" s="22">
        <v>0</v>
      </c>
      <c r="AM84" s="22">
        <v>0</v>
      </c>
      <c r="AN84" s="22">
        <v>1</v>
      </c>
      <c r="AO84" s="22">
        <v>1</v>
      </c>
      <c r="AP84" s="22">
        <v>1</v>
      </c>
      <c r="AQ84" s="39"/>
    </row>
    <row r="85" spans="1:55" s="21" customFormat="1" ht="12.75" x14ac:dyDescent="0.2">
      <c r="A85" s="20" t="s">
        <v>81</v>
      </c>
      <c r="B85" s="21">
        <v>0</v>
      </c>
      <c r="C85" s="21">
        <v>0</v>
      </c>
      <c r="D85" s="21">
        <v>4</v>
      </c>
      <c r="E85" s="21">
        <v>4</v>
      </c>
      <c r="F85" s="21">
        <v>8</v>
      </c>
      <c r="G85" s="22">
        <v>0</v>
      </c>
      <c r="H85" s="22">
        <v>0</v>
      </c>
      <c r="I85" s="22">
        <v>7.2727272727272727E-3</v>
      </c>
      <c r="J85" s="22">
        <v>7.0796460176991149E-3</v>
      </c>
      <c r="K85" s="22">
        <v>9.557945041816009E-3</v>
      </c>
      <c r="L85" s="21">
        <v>0</v>
      </c>
      <c r="M85" s="21">
        <v>0</v>
      </c>
      <c r="N85" s="21">
        <v>4</v>
      </c>
      <c r="O85" s="21">
        <v>4</v>
      </c>
      <c r="P85" s="21">
        <v>8</v>
      </c>
      <c r="Q85" s="22">
        <v>0</v>
      </c>
      <c r="R85" s="22">
        <v>0</v>
      </c>
      <c r="S85" s="22">
        <v>1</v>
      </c>
      <c r="T85" s="22">
        <v>1</v>
      </c>
      <c r="U85" s="22">
        <v>1</v>
      </c>
      <c r="W85" s="21">
        <v>0</v>
      </c>
      <c r="X85" s="21">
        <v>0</v>
      </c>
      <c r="Y85" s="21">
        <v>12</v>
      </c>
      <c r="Z85" s="21">
        <v>0</v>
      </c>
      <c r="AA85" s="21">
        <v>0</v>
      </c>
      <c r="AB85" s="22">
        <v>0</v>
      </c>
      <c r="AC85" s="22">
        <v>0</v>
      </c>
      <c r="AD85" s="22">
        <v>4.2253521126760563E-2</v>
      </c>
      <c r="AE85" s="22">
        <v>0</v>
      </c>
      <c r="AF85" s="22">
        <v>0</v>
      </c>
      <c r="AG85" s="21">
        <v>0</v>
      </c>
      <c r="AH85" s="21">
        <v>0</v>
      </c>
      <c r="AI85" s="21">
        <v>12</v>
      </c>
      <c r="AJ85" s="21">
        <v>0</v>
      </c>
      <c r="AK85" s="21">
        <v>0</v>
      </c>
      <c r="AL85" s="22">
        <v>0</v>
      </c>
      <c r="AM85" s="22">
        <v>0</v>
      </c>
      <c r="AN85" s="22">
        <v>1</v>
      </c>
      <c r="AO85" s="22">
        <v>0</v>
      </c>
      <c r="AP85" s="22">
        <v>0</v>
      </c>
      <c r="AQ85" s="39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</row>
    <row r="86" spans="1:55" s="23" customFormat="1" ht="12.75" x14ac:dyDescent="0.2">
      <c r="A86" s="31" t="s">
        <v>82</v>
      </c>
      <c r="B86" s="23">
        <v>512</v>
      </c>
      <c r="C86" s="23">
        <v>548</v>
      </c>
      <c r="D86" s="23">
        <v>550</v>
      </c>
      <c r="E86" s="23">
        <v>565</v>
      </c>
      <c r="F86" s="23">
        <v>837</v>
      </c>
      <c r="G86" s="24">
        <v>1</v>
      </c>
      <c r="H86" s="24">
        <v>1</v>
      </c>
      <c r="I86" s="24">
        <v>1</v>
      </c>
      <c r="J86" s="24">
        <v>1</v>
      </c>
      <c r="K86" s="24">
        <v>1</v>
      </c>
      <c r="L86" s="23">
        <v>512</v>
      </c>
      <c r="M86" s="23">
        <v>548</v>
      </c>
      <c r="N86" s="23">
        <v>550</v>
      </c>
      <c r="O86" s="23">
        <v>565</v>
      </c>
      <c r="P86" s="23">
        <v>548</v>
      </c>
      <c r="Q86" s="24">
        <v>1</v>
      </c>
      <c r="R86" s="24">
        <v>1</v>
      </c>
      <c r="S86" s="24">
        <v>1</v>
      </c>
      <c r="T86" s="24">
        <v>1</v>
      </c>
      <c r="U86" s="24">
        <v>0.65471923536439669</v>
      </c>
      <c r="W86" s="23">
        <v>0</v>
      </c>
      <c r="X86" s="23">
        <v>0</v>
      </c>
      <c r="Y86" s="23">
        <v>284</v>
      </c>
      <c r="Z86" s="23">
        <v>447</v>
      </c>
      <c r="AA86" s="23">
        <v>548</v>
      </c>
      <c r="AB86" s="24">
        <v>0</v>
      </c>
      <c r="AC86" s="24">
        <v>0</v>
      </c>
      <c r="AD86" s="24">
        <v>1</v>
      </c>
      <c r="AE86" s="24">
        <v>1</v>
      </c>
      <c r="AF86" s="24">
        <v>1</v>
      </c>
      <c r="AG86" s="23">
        <v>0</v>
      </c>
      <c r="AH86" s="23">
        <v>0</v>
      </c>
      <c r="AI86" s="23">
        <v>284</v>
      </c>
      <c r="AJ86" s="23">
        <v>447</v>
      </c>
      <c r="AK86" s="23">
        <v>548</v>
      </c>
      <c r="AL86" s="24">
        <v>0</v>
      </c>
      <c r="AM86" s="24">
        <v>0</v>
      </c>
      <c r="AN86" s="24">
        <v>1</v>
      </c>
      <c r="AO86" s="24">
        <v>1</v>
      </c>
      <c r="AP86" s="24">
        <v>1</v>
      </c>
      <c r="AQ86" s="39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</row>
    <row r="87" spans="1:55" s="21" customFormat="1" ht="12.75" x14ac:dyDescent="0.2">
      <c r="A87" s="20"/>
      <c r="AB87" s="22"/>
      <c r="AC87" s="22"/>
      <c r="AD87" s="22"/>
      <c r="AE87" s="22"/>
      <c r="AF87" s="22"/>
      <c r="AL87" s="22"/>
      <c r="AM87" s="22"/>
      <c r="AN87" s="22"/>
      <c r="AO87" s="22"/>
      <c r="AP87" s="22"/>
      <c r="AQ87" s="39"/>
    </row>
    <row r="88" spans="1:55" s="21" customFormat="1" ht="12.75" x14ac:dyDescent="0.2">
      <c r="A88" s="10" t="s">
        <v>75</v>
      </c>
      <c r="B88" s="10" t="s">
        <v>12</v>
      </c>
      <c r="C88" s="10" t="s">
        <v>13</v>
      </c>
      <c r="D88" s="10" t="s">
        <v>14</v>
      </c>
      <c r="E88" s="10" t="s">
        <v>15</v>
      </c>
      <c r="F88" s="10" t="s">
        <v>16</v>
      </c>
      <c r="G88" s="10" t="s">
        <v>12</v>
      </c>
      <c r="H88" s="10" t="s">
        <v>13</v>
      </c>
      <c r="I88" s="10" t="s">
        <v>14</v>
      </c>
      <c r="J88" s="10" t="s">
        <v>15</v>
      </c>
      <c r="K88" s="10" t="s">
        <v>16</v>
      </c>
      <c r="L88" s="10" t="s">
        <v>12</v>
      </c>
      <c r="M88" s="10" t="s">
        <v>13</v>
      </c>
      <c r="N88" s="10" t="s">
        <v>14</v>
      </c>
      <c r="O88" s="10" t="s">
        <v>15</v>
      </c>
      <c r="P88" s="10" t="s">
        <v>16</v>
      </c>
      <c r="Q88" s="10" t="s">
        <v>12</v>
      </c>
      <c r="R88" s="10" t="s">
        <v>13</v>
      </c>
      <c r="S88" s="10" t="s">
        <v>14</v>
      </c>
      <c r="T88" s="10" t="s">
        <v>15</v>
      </c>
      <c r="U88" s="10" t="s">
        <v>16</v>
      </c>
      <c r="V88" s="10"/>
      <c r="W88" s="10" t="s">
        <v>17</v>
      </c>
      <c r="X88" s="10" t="s">
        <v>18</v>
      </c>
      <c r="Y88" s="10" t="s">
        <v>19</v>
      </c>
      <c r="Z88" s="10" t="s">
        <v>20</v>
      </c>
      <c r="AA88" s="10" t="s">
        <v>21</v>
      </c>
      <c r="AB88" s="10" t="s">
        <v>17</v>
      </c>
      <c r="AC88" s="10" t="s">
        <v>18</v>
      </c>
      <c r="AD88" s="10" t="s">
        <v>19</v>
      </c>
      <c r="AE88" s="10" t="s">
        <v>20</v>
      </c>
      <c r="AF88" s="10" t="s">
        <v>21</v>
      </c>
      <c r="AG88" s="10" t="s">
        <v>17</v>
      </c>
      <c r="AH88" s="10" t="s">
        <v>18</v>
      </c>
      <c r="AI88" s="10" t="s">
        <v>19</v>
      </c>
      <c r="AJ88" s="10" t="s">
        <v>20</v>
      </c>
      <c r="AK88" s="10" t="s">
        <v>21</v>
      </c>
      <c r="AL88" s="10" t="s">
        <v>17</v>
      </c>
      <c r="AM88" s="10" t="s">
        <v>18</v>
      </c>
      <c r="AN88" s="10" t="s">
        <v>19</v>
      </c>
      <c r="AO88" s="10" t="s">
        <v>20</v>
      </c>
      <c r="AP88" s="10" t="s">
        <v>21</v>
      </c>
      <c r="AQ88" s="39"/>
    </row>
    <row r="89" spans="1:55" s="21" customFormat="1" ht="12.75" x14ac:dyDescent="0.2">
      <c r="A89" s="20" t="s">
        <v>24</v>
      </c>
      <c r="B89" s="21">
        <v>213</v>
      </c>
      <c r="C89" s="21">
        <v>236</v>
      </c>
      <c r="D89" s="21">
        <v>206</v>
      </c>
      <c r="E89" s="21">
        <v>196</v>
      </c>
      <c r="F89" s="21">
        <v>188</v>
      </c>
      <c r="G89" s="22">
        <v>0.35858585858585856</v>
      </c>
      <c r="H89" s="22">
        <v>0.38373983739837397</v>
      </c>
      <c r="I89" s="22">
        <v>0.33881578947368424</v>
      </c>
      <c r="J89" s="22">
        <v>0.30434782608695654</v>
      </c>
      <c r="K89" s="22">
        <v>0.22926829268292684</v>
      </c>
      <c r="L89" s="21">
        <v>213</v>
      </c>
      <c r="M89" s="21">
        <v>236</v>
      </c>
      <c r="N89" s="21">
        <v>206</v>
      </c>
      <c r="O89" s="21">
        <v>196</v>
      </c>
      <c r="P89" s="21">
        <v>183</v>
      </c>
      <c r="Q89" s="22">
        <v>1</v>
      </c>
      <c r="R89" s="22">
        <v>1</v>
      </c>
      <c r="S89" s="22">
        <v>1</v>
      </c>
      <c r="T89" s="22">
        <v>1</v>
      </c>
      <c r="U89" s="22">
        <v>0.97340425531914898</v>
      </c>
      <c r="W89" s="21">
        <v>183</v>
      </c>
      <c r="X89" s="21">
        <v>145</v>
      </c>
      <c r="Y89" s="21">
        <v>92</v>
      </c>
      <c r="Z89" s="21">
        <v>204</v>
      </c>
      <c r="AA89" s="21">
        <v>236</v>
      </c>
      <c r="AB89" s="22">
        <v>0.58280254777070062</v>
      </c>
      <c r="AC89" s="22">
        <v>0.39189189189189189</v>
      </c>
      <c r="AD89" s="22">
        <v>0.38655462184873951</v>
      </c>
      <c r="AE89" s="22">
        <v>0.41129032258064518</v>
      </c>
      <c r="AF89" s="22">
        <v>0.38373983739837397</v>
      </c>
      <c r="AG89" s="21">
        <v>183</v>
      </c>
      <c r="AH89" s="21">
        <v>145</v>
      </c>
      <c r="AI89" s="21">
        <v>92</v>
      </c>
      <c r="AJ89" s="21">
        <v>204</v>
      </c>
      <c r="AK89" s="21">
        <v>236</v>
      </c>
      <c r="AL89" s="22">
        <v>1</v>
      </c>
      <c r="AM89" s="22">
        <v>1</v>
      </c>
      <c r="AN89" s="22">
        <v>1</v>
      </c>
      <c r="AO89" s="22">
        <v>1</v>
      </c>
      <c r="AP89" s="22">
        <v>1</v>
      </c>
      <c r="AQ89" s="39"/>
    </row>
    <row r="90" spans="1:55" s="21" customFormat="1" ht="12.75" x14ac:dyDescent="0.2">
      <c r="A90" s="20" t="s">
        <v>48</v>
      </c>
      <c r="B90" s="21">
        <v>330</v>
      </c>
      <c r="C90" s="21">
        <v>333</v>
      </c>
      <c r="D90" s="21">
        <v>329</v>
      </c>
      <c r="E90" s="21">
        <v>372</v>
      </c>
      <c r="F90" s="21">
        <v>537</v>
      </c>
      <c r="G90" s="22">
        <v>0.55555555555555558</v>
      </c>
      <c r="H90" s="22">
        <v>0.54146341463414638</v>
      </c>
      <c r="I90" s="22">
        <v>0.54111842105263153</v>
      </c>
      <c r="J90" s="22">
        <v>0.57763975155279501</v>
      </c>
      <c r="K90" s="22">
        <v>0.65487804878048783</v>
      </c>
      <c r="L90" s="21">
        <v>330</v>
      </c>
      <c r="M90" s="21">
        <v>333</v>
      </c>
      <c r="N90" s="21">
        <v>329</v>
      </c>
      <c r="O90" s="21">
        <v>372</v>
      </c>
      <c r="P90" s="21">
        <v>369</v>
      </c>
      <c r="Q90" s="22">
        <v>1</v>
      </c>
      <c r="R90" s="22">
        <v>1</v>
      </c>
      <c r="S90" s="22">
        <v>1</v>
      </c>
      <c r="T90" s="22">
        <v>1</v>
      </c>
      <c r="U90" s="22">
        <v>0.68715083798882681</v>
      </c>
      <c r="W90" s="21">
        <v>96</v>
      </c>
      <c r="X90" s="21">
        <v>180</v>
      </c>
      <c r="Y90" s="21">
        <v>117</v>
      </c>
      <c r="Z90" s="21">
        <v>252</v>
      </c>
      <c r="AA90" s="21">
        <v>333</v>
      </c>
      <c r="AB90" s="22">
        <v>0.30573248407643311</v>
      </c>
      <c r="AC90" s="22">
        <v>0.48648648648648651</v>
      </c>
      <c r="AD90" s="22">
        <v>0.49159663865546216</v>
      </c>
      <c r="AE90" s="22">
        <v>0.50806451612903225</v>
      </c>
      <c r="AF90" s="22">
        <v>0.54146341463414638</v>
      </c>
      <c r="AG90" s="21">
        <v>96</v>
      </c>
      <c r="AH90" s="21">
        <v>180</v>
      </c>
      <c r="AI90" s="21">
        <v>117</v>
      </c>
      <c r="AJ90" s="21">
        <v>252</v>
      </c>
      <c r="AK90" s="21">
        <v>333</v>
      </c>
      <c r="AL90" s="22">
        <v>1</v>
      </c>
      <c r="AM90" s="22">
        <v>1</v>
      </c>
      <c r="AN90" s="22">
        <v>1</v>
      </c>
      <c r="AO90" s="22">
        <v>1</v>
      </c>
      <c r="AP90" s="22">
        <v>1</v>
      </c>
      <c r="AQ90" s="39"/>
    </row>
    <row r="91" spans="1:55" s="21" customFormat="1" ht="12.75" x14ac:dyDescent="0.2">
      <c r="A91" s="20" t="s">
        <v>60</v>
      </c>
      <c r="B91" s="21">
        <v>0</v>
      </c>
      <c r="C91" s="21">
        <v>4</v>
      </c>
      <c r="D91" s="21">
        <v>13</v>
      </c>
      <c r="E91" s="21">
        <v>12</v>
      </c>
      <c r="F91" s="21">
        <v>11</v>
      </c>
      <c r="G91" s="22">
        <v>0</v>
      </c>
      <c r="H91" s="22">
        <v>6.5040650406504065E-3</v>
      </c>
      <c r="I91" s="22">
        <v>2.1381578947368422E-2</v>
      </c>
      <c r="J91" s="22">
        <v>1.8633540372670808E-2</v>
      </c>
      <c r="K91" s="22">
        <v>1.3414634146341463E-2</v>
      </c>
      <c r="L91" s="21">
        <v>0</v>
      </c>
      <c r="M91" s="21">
        <v>4</v>
      </c>
      <c r="N91" s="21">
        <v>13</v>
      </c>
      <c r="O91" s="21">
        <v>12</v>
      </c>
      <c r="P91" s="21">
        <v>11</v>
      </c>
      <c r="Q91" s="22">
        <v>0</v>
      </c>
      <c r="R91" s="22">
        <v>1</v>
      </c>
      <c r="S91" s="22">
        <v>1</v>
      </c>
      <c r="T91" s="22">
        <v>1</v>
      </c>
      <c r="U91" s="22">
        <v>1</v>
      </c>
      <c r="W91" s="21">
        <v>3</v>
      </c>
      <c r="X91" s="21">
        <v>3</v>
      </c>
      <c r="Y91" s="21">
        <v>2</v>
      </c>
      <c r="Z91" s="21">
        <v>1</v>
      </c>
      <c r="AA91" s="21">
        <v>4</v>
      </c>
      <c r="AB91" s="22">
        <v>9.5541401273885346E-3</v>
      </c>
      <c r="AC91" s="22">
        <v>8.1081081081081086E-3</v>
      </c>
      <c r="AD91" s="22">
        <v>8.4033613445378148E-3</v>
      </c>
      <c r="AE91" s="22">
        <v>2.0161290322580645E-3</v>
      </c>
      <c r="AF91" s="22">
        <v>6.5040650406504065E-3</v>
      </c>
      <c r="AG91" s="21">
        <v>3</v>
      </c>
      <c r="AH91" s="21">
        <v>3</v>
      </c>
      <c r="AI91" s="21">
        <v>2</v>
      </c>
      <c r="AJ91" s="21">
        <v>1</v>
      </c>
      <c r="AK91" s="21">
        <v>4</v>
      </c>
      <c r="AL91" s="22">
        <v>1</v>
      </c>
      <c r="AM91" s="22">
        <v>1</v>
      </c>
      <c r="AN91" s="22">
        <v>1</v>
      </c>
      <c r="AO91" s="22">
        <v>1</v>
      </c>
      <c r="AP91" s="22">
        <v>1</v>
      </c>
      <c r="AQ91" s="39"/>
    </row>
    <row r="92" spans="1:55" s="21" customFormat="1" ht="12.75" x14ac:dyDescent="0.2">
      <c r="A92" s="20" t="s">
        <v>81</v>
      </c>
      <c r="B92" s="21">
        <v>51</v>
      </c>
      <c r="C92" s="21">
        <v>42</v>
      </c>
      <c r="D92" s="21">
        <v>60</v>
      </c>
      <c r="E92" s="21">
        <v>64</v>
      </c>
      <c r="F92" s="21">
        <v>84</v>
      </c>
      <c r="G92" s="22">
        <v>8.5858585858585856E-2</v>
      </c>
      <c r="H92" s="22">
        <v>6.8292682926829273E-2</v>
      </c>
      <c r="I92" s="22">
        <v>9.8684210526315791E-2</v>
      </c>
      <c r="J92" s="22">
        <v>9.9378881987577633E-2</v>
      </c>
      <c r="K92" s="22">
        <v>0.1024390243902439</v>
      </c>
      <c r="L92" s="21">
        <v>51</v>
      </c>
      <c r="M92" s="21">
        <v>42</v>
      </c>
      <c r="N92" s="21">
        <v>60</v>
      </c>
      <c r="O92" s="21">
        <v>64</v>
      </c>
      <c r="P92" s="21">
        <v>80</v>
      </c>
      <c r="Q92" s="22">
        <v>1</v>
      </c>
      <c r="R92" s="22">
        <v>1</v>
      </c>
      <c r="S92" s="22">
        <v>1</v>
      </c>
      <c r="T92" s="22">
        <v>1</v>
      </c>
      <c r="U92" s="22">
        <v>0.95238095238095233</v>
      </c>
      <c r="W92" s="21">
        <v>32</v>
      </c>
      <c r="X92" s="21">
        <v>42</v>
      </c>
      <c r="Y92" s="21">
        <v>27</v>
      </c>
      <c r="Z92" s="21">
        <v>39</v>
      </c>
      <c r="AA92" s="21">
        <v>42</v>
      </c>
      <c r="AB92" s="22">
        <v>0.10191082802547771</v>
      </c>
      <c r="AC92" s="22">
        <v>0.11351351351351352</v>
      </c>
      <c r="AD92" s="22">
        <v>0.1134453781512605</v>
      </c>
      <c r="AE92" s="22">
        <v>7.8629032258064516E-2</v>
      </c>
      <c r="AF92" s="22">
        <v>6.8292682926829273E-2</v>
      </c>
      <c r="AG92" s="21">
        <v>32</v>
      </c>
      <c r="AH92" s="21">
        <v>42</v>
      </c>
      <c r="AI92" s="21">
        <v>27</v>
      </c>
      <c r="AJ92" s="21">
        <v>39</v>
      </c>
      <c r="AK92" s="21">
        <v>42</v>
      </c>
      <c r="AL92" s="22">
        <v>1</v>
      </c>
      <c r="AM92" s="22">
        <v>1</v>
      </c>
      <c r="AN92" s="22">
        <v>1</v>
      </c>
      <c r="AO92" s="22">
        <v>1</v>
      </c>
      <c r="AP92" s="22">
        <v>1</v>
      </c>
      <c r="AQ92" s="39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</row>
    <row r="93" spans="1:55" s="23" customFormat="1" ht="12.75" x14ac:dyDescent="0.2">
      <c r="A93" s="31" t="s">
        <v>82</v>
      </c>
      <c r="B93" s="23">
        <v>594</v>
      </c>
      <c r="C93" s="23">
        <v>615</v>
      </c>
      <c r="D93" s="23">
        <v>608</v>
      </c>
      <c r="E93" s="23">
        <v>644</v>
      </c>
      <c r="F93" s="23">
        <v>820</v>
      </c>
      <c r="G93" s="24">
        <v>1</v>
      </c>
      <c r="H93" s="24">
        <v>1</v>
      </c>
      <c r="I93" s="24">
        <v>1</v>
      </c>
      <c r="J93" s="24">
        <v>1</v>
      </c>
      <c r="K93" s="24">
        <v>1</v>
      </c>
      <c r="L93" s="23">
        <v>594</v>
      </c>
      <c r="M93" s="23">
        <v>615</v>
      </c>
      <c r="N93" s="23">
        <v>608</v>
      </c>
      <c r="O93" s="23">
        <v>644</v>
      </c>
      <c r="P93" s="23">
        <v>643</v>
      </c>
      <c r="Q93" s="24">
        <v>1</v>
      </c>
      <c r="R93" s="24">
        <v>1</v>
      </c>
      <c r="S93" s="24">
        <v>1</v>
      </c>
      <c r="T93" s="24">
        <v>1</v>
      </c>
      <c r="U93" s="24">
        <v>0.78414634146341466</v>
      </c>
      <c r="W93" s="23">
        <v>314</v>
      </c>
      <c r="X93" s="23">
        <v>370</v>
      </c>
      <c r="Y93" s="23">
        <v>238</v>
      </c>
      <c r="Z93" s="23">
        <v>496</v>
      </c>
      <c r="AA93" s="23">
        <v>615</v>
      </c>
      <c r="AB93" s="24">
        <v>1</v>
      </c>
      <c r="AC93" s="24">
        <v>1</v>
      </c>
      <c r="AD93" s="24">
        <v>1</v>
      </c>
      <c r="AE93" s="24">
        <v>1</v>
      </c>
      <c r="AF93" s="24">
        <v>1</v>
      </c>
      <c r="AG93" s="23">
        <v>314</v>
      </c>
      <c r="AH93" s="23">
        <v>370</v>
      </c>
      <c r="AI93" s="23">
        <v>238</v>
      </c>
      <c r="AJ93" s="23">
        <v>496</v>
      </c>
      <c r="AK93" s="23">
        <v>615</v>
      </c>
      <c r="AL93" s="24">
        <v>1</v>
      </c>
      <c r="AM93" s="24">
        <v>1</v>
      </c>
      <c r="AN93" s="24">
        <v>1</v>
      </c>
      <c r="AO93" s="24">
        <v>1</v>
      </c>
      <c r="AP93" s="24">
        <v>1</v>
      </c>
      <c r="AQ93" s="39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</row>
  </sheetData>
  <mergeCells count="8">
    <mergeCell ref="AG5:AK5"/>
    <mergeCell ref="AL5:AP5"/>
    <mergeCell ref="B5:F5"/>
    <mergeCell ref="G5:K5"/>
    <mergeCell ref="L5:P5"/>
    <mergeCell ref="Q5:U5"/>
    <mergeCell ref="W5:AA5"/>
    <mergeCell ref="AB5:AF5"/>
  </mergeCells>
  <conditionalFormatting sqref="A6">
    <cfRule type="duplicateValues" dxfId="9" priority="1"/>
  </conditionalFormatting>
  <hyperlinks>
    <hyperlink ref="B1" location="Contents!A1" display="Back to Contents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M36"/>
  <sheetViews>
    <sheetView workbookViewId="0">
      <selection activeCell="F13" sqref="F13"/>
    </sheetView>
  </sheetViews>
  <sheetFormatPr defaultColWidth="8.7109375" defaultRowHeight="12.75" x14ac:dyDescent="0.2"/>
  <cols>
    <col min="1" max="16384" width="8.7109375" style="21"/>
  </cols>
  <sheetData>
    <row r="1" spans="2:13" x14ac:dyDescent="0.2">
      <c r="B1" s="87" t="s">
        <v>189</v>
      </c>
    </row>
    <row r="3" spans="2:13" s="23" customFormat="1" x14ac:dyDescent="0.2">
      <c r="B3" s="23" t="s">
        <v>202</v>
      </c>
    </row>
    <row r="4" spans="2:13" x14ac:dyDescent="0.2">
      <c r="B4" s="23"/>
      <c r="H4" s="23"/>
    </row>
    <row r="5" spans="2:13" x14ac:dyDescent="0.2">
      <c r="B5" s="123" t="s">
        <v>190</v>
      </c>
      <c r="C5" s="123"/>
      <c r="D5" s="123"/>
      <c r="E5" s="123"/>
      <c r="F5" s="123"/>
      <c r="G5" s="89"/>
      <c r="H5" s="123" t="s">
        <v>191</v>
      </c>
      <c r="I5" s="123"/>
      <c r="J5" s="123"/>
      <c r="K5" s="123"/>
      <c r="L5" s="123"/>
      <c r="M5" s="89"/>
    </row>
    <row r="6" spans="2:13" x14ac:dyDescent="0.2">
      <c r="B6" s="105" t="s">
        <v>192</v>
      </c>
      <c r="C6" s="106" t="s">
        <v>73</v>
      </c>
      <c r="D6" s="106" t="s">
        <v>71</v>
      </c>
      <c r="E6" s="106" t="s">
        <v>193</v>
      </c>
      <c r="F6" s="106" t="s">
        <v>75</v>
      </c>
      <c r="G6" s="107"/>
      <c r="H6" s="105" t="s">
        <v>192</v>
      </c>
      <c r="I6" s="108" t="s">
        <v>73</v>
      </c>
      <c r="J6" s="108" t="s">
        <v>194</v>
      </c>
      <c r="K6" s="108" t="s">
        <v>193</v>
      </c>
      <c r="L6" s="108" t="s">
        <v>75</v>
      </c>
    </row>
    <row r="7" spans="2:13" x14ac:dyDescent="0.2">
      <c r="B7" s="90">
        <v>42979</v>
      </c>
      <c r="C7" s="91">
        <v>4.0212457966193753</v>
      </c>
      <c r="D7" s="91">
        <v>5.0974551311752601</v>
      </c>
      <c r="E7" s="91">
        <v>7.5688894756150846</v>
      </c>
      <c r="F7" s="91">
        <v>4.6409143231099144</v>
      </c>
      <c r="H7" s="90">
        <v>42979</v>
      </c>
      <c r="I7" s="91">
        <v>2.6098982515064701</v>
      </c>
      <c r="J7" s="91">
        <v>4.3722114772768403</v>
      </c>
      <c r="K7" s="91">
        <v>5.8221106577960775</v>
      </c>
      <c r="L7" s="91">
        <v>3.3987664115885647</v>
      </c>
    </row>
    <row r="8" spans="2:13" x14ac:dyDescent="0.2">
      <c r="B8" s="90">
        <v>43070</v>
      </c>
      <c r="C8" s="91">
        <v>5.8645753989633453</v>
      </c>
      <c r="D8" s="91">
        <v>5.3081307514907001</v>
      </c>
      <c r="E8" s="91">
        <v>7.0255923645203433</v>
      </c>
      <c r="F8" s="91">
        <v>4.7742226312236795</v>
      </c>
      <c r="H8" s="90">
        <v>43070</v>
      </c>
      <c r="I8" s="91">
        <v>2.3410173515892132</v>
      </c>
      <c r="J8" s="91">
        <v>4.4035540261002462</v>
      </c>
      <c r="K8" s="91">
        <v>5.8846119895005877</v>
      </c>
      <c r="L8" s="91">
        <v>3.4902013559856884</v>
      </c>
    </row>
    <row r="9" spans="2:13" x14ac:dyDescent="0.2">
      <c r="B9" s="90">
        <v>43160</v>
      </c>
      <c r="C9" s="91">
        <v>5.4474461305927848</v>
      </c>
      <c r="D9" s="91">
        <v>4.9882203197598693</v>
      </c>
      <c r="E9" s="91">
        <v>7.3725833708343762</v>
      </c>
      <c r="F9" s="91">
        <v>5.3121976095691581</v>
      </c>
      <c r="H9" s="90">
        <v>43160</v>
      </c>
      <c r="I9" s="91">
        <v>2.4836991931651733</v>
      </c>
      <c r="J9" s="91">
        <v>4.2060471267044308</v>
      </c>
      <c r="K9" s="91">
        <v>6.0053024668748014</v>
      </c>
      <c r="L9" s="91">
        <v>3.8298492343770598</v>
      </c>
    </row>
    <row r="10" spans="2:13" x14ac:dyDescent="0.2">
      <c r="B10" s="90">
        <v>43252</v>
      </c>
      <c r="C10" s="91">
        <v>5.6066240707430746</v>
      </c>
      <c r="D10" s="91">
        <v>5.2171845239195962</v>
      </c>
      <c r="E10" s="91">
        <v>7.9242215755018286</v>
      </c>
      <c r="F10" s="91">
        <v>6.1200224575209496</v>
      </c>
      <c r="H10" s="90">
        <v>43252</v>
      </c>
      <c r="I10" s="91">
        <v>2.4554723485475565</v>
      </c>
      <c r="J10" s="91">
        <v>4.3045079129521335</v>
      </c>
      <c r="K10" s="91">
        <v>6.4971330130341007</v>
      </c>
      <c r="L10" s="91">
        <v>3.8039855655411769</v>
      </c>
    </row>
    <row r="11" spans="2:13" x14ac:dyDescent="0.2">
      <c r="B11" s="90">
        <v>43344</v>
      </c>
      <c r="C11" s="91">
        <v>4.7503916140274152</v>
      </c>
      <c r="D11" s="91">
        <v>6.1462253747896014</v>
      </c>
      <c r="E11" s="91">
        <v>9.1434946686042089</v>
      </c>
      <c r="F11" s="91">
        <v>5.4370505489068677</v>
      </c>
      <c r="H11" s="90">
        <v>43344</v>
      </c>
      <c r="I11" s="91">
        <v>2.6065800547531754</v>
      </c>
      <c r="J11" s="91">
        <v>4.7083679650229424</v>
      </c>
      <c r="K11" s="91">
        <v>7.7451505484013694</v>
      </c>
      <c r="L11" s="91">
        <v>4.2797992012018611</v>
      </c>
    </row>
    <row r="12" spans="2:13" x14ac:dyDescent="0.2">
      <c r="B12" s="90">
        <v>43435</v>
      </c>
      <c r="C12" s="92">
        <v>3.9310918433615512</v>
      </c>
      <c r="D12" s="92">
        <v>5.1484669209182821</v>
      </c>
      <c r="E12" s="92">
        <v>7.6016272212065878</v>
      </c>
      <c r="F12" s="92">
        <v>4.5133486496569999</v>
      </c>
      <c r="H12" s="90">
        <f>B12</f>
        <v>43435</v>
      </c>
      <c r="I12" s="92">
        <v>2.433625131453212</v>
      </c>
      <c r="J12" s="92">
        <v>4.4395731423657612</v>
      </c>
      <c r="K12" s="92">
        <v>6.9104963977484255</v>
      </c>
      <c r="L12" s="92">
        <v>3.84896106562051</v>
      </c>
    </row>
    <row r="13" spans="2:13" s="93" customFormat="1" x14ac:dyDescent="0.2">
      <c r="B13" s="90">
        <v>43525</v>
      </c>
      <c r="C13" s="92">
        <v>3.5597342062699475</v>
      </c>
      <c r="D13" s="92">
        <v>4.8806089585972128</v>
      </c>
      <c r="E13" s="92">
        <v>6.7944802429570226</v>
      </c>
      <c r="F13" s="92">
        <v>4.630720885663826</v>
      </c>
      <c r="H13" s="90">
        <v>43525</v>
      </c>
      <c r="I13" s="92">
        <v>2.7142276023621492</v>
      </c>
      <c r="J13" s="92">
        <v>4.2429467149968527</v>
      </c>
      <c r="K13" s="92">
        <v>5.6310673117739096</v>
      </c>
      <c r="L13" s="92">
        <v>3.2882339384244132</v>
      </c>
    </row>
    <row r="14" spans="2:13" x14ac:dyDescent="0.2">
      <c r="B14" s="20"/>
    </row>
    <row r="15" spans="2:13" x14ac:dyDescent="0.2">
      <c r="B15" s="20"/>
    </row>
    <row r="16" spans="2:13" x14ac:dyDescent="0.2">
      <c r="B16" s="124" t="s">
        <v>190</v>
      </c>
      <c r="C16" s="124"/>
      <c r="D16" s="124"/>
      <c r="E16" s="124"/>
      <c r="F16" s="124"/>
    </row>
    <row r="17" spans="2:11" x14ac:dyDescent="0.2">
      <c r="B17" s="30" t="s">
        <v>195</v>
      </c>
      <c r="C17" s="55" t="s">
        <v>196</v>
      </c>
      <c r="D17" s="55" t="s">
        <v>97</v>
      </c>
    </row>
    <row r="18" spans="2:11" x14ac:dyDescent="0.2">
      <c r="B18" s="90">
        <v>42979</v>
      </c>
      <c r="C18" s="94">
        <v>0.46269107275172205</v>
      </c>
      <c r="D18" s="94">
        <v>0.58917474161543104</v>
      </c>
      <c r="G18" s="21" t="s">
        <v>197</v>
      </c>
    </row>
    <row r="19" spans="2:11" x14ac:dyDescent="0.2">
      <c r="B19" s="90">
        <v>43009</v>
      </c>
      <c r="C19" s="94">
        <v>0.50714893383462778</v>
      </c>
      <c r="D19" s="94">
        <v>0.65289167294181905</v>
      </c>
      <c r="G19" s="95" t="s">
        <v>198</v>
      </c>
    </row>
    <row r="20" spans="2:11" x14ac:dyDescent="0.2">
      <c r="B20" s="90">
        <v>43040</v>
      </c>
      <c r="C20" s="94">
        <v>0.58892944372787404</v>
      </c>
      <c r="D20" s="94">
        <v>0.58763796961683534</v>
      </c>
      <c r="G20" s="95" t="s">
        <v>199</v>
      </c>
    </row>
    <row r="21" spans="2:11" x14ac:dyDescent="0.2">
      <c r="B21" s="90">
        <v>43070</v>
      </c>
      <c r="C21" s="94">
        <v>0.61568266894332435</v>
      </c>
      <c r="D21" s="94">
        <v>0.5529980347471678</v>
      </c>
    </row>
    <row r="22" spans="2:11" x14ac:dyDescent="0.2">
      <c r="B22" s="90">
        <v>43101</v>
      </c>
      <c r="C22" s="94">
        <v>0.75304831330312383</v>
      </c>
      <c r="D22" s="94">
        <v>0.63826823652795173</v>
      </c>
    </row>
    <row r="23" spans="2:11" x14ac:dyDescent="0.2">
      <c r="B23" s="90">
        <v>43132</v>
      </c>
      <c r="C23" s="94">
        <v>0.57901534554847756</v>
      </c>
      <c r="D23" s="94">
        <v>0.69901667129010259</v>
      </c>
      <c r="H23" s="96"/>
      <c r="I23" s="96"/>
      <c r="J23" s="96"/>
      <c r="K23" s="96"/>
    </row>
    <row r="24" spans="2:11" x14ac:dyDescent="0.2">
      <c r="B24" s="90">
        <v>43160</v>
      </c>
      <c r="C24" s="94">
        <v>0.70856907055284679</v>
      </c>
      <c r="D24" s="94">
        <v>0.67291441192198753</v>
      </c>
      <c r="G24" s="97"/>
      <c r="H24" s="98"/>
      <c r="I24" s="96"/>
      <c r="J24" s="96"/>
      <c r="K24" s="96"/>
    </row>
    <row r="25" spans="2:11" x14ac:dyDescent="0.2">
      <c r="B25" s="90">
        <v>43191</v>
      </c>
      <c r="C25" s="94">
        <v>0.58151530617785352</v>
      </c>
      <c r="D25" s="94">
        <v>0.53232274371832511</v>
      </c>
      <c r="G25" s="97"/>
      <c r="H25" s="98"/>
      <c r="I25" s="96"/>
      <c r="J25" s="96"/>
      <c r="K25" s="96"/>
    </row>
    <row r="26" spans="2:11" x14ac:dyDescent="0.2">
      <c r="B26" s="90">
        <v>43221</v>
      </c>
      <c r="C26" s="94">
        <v>0.54079294580125314</v>
      </c>
      <c r="D26" s="94">
        <v>0.60720056700666181</v>
      </c>
      <c r="G26" s="97"/>
      <c r="H26" s="99"/>
      <c r="I26" s="96"/>
      <c r="J26" s="96"/>
      <c r="K26" s="96"/>
    </row>
    <row r="27" spans="2:11" x14ac:dyDescent="0.2">
      <c r="B27" s="90">
        <v>43252</v>
      </c>
      <c r="C27" s="94">
        <v>0.59381461107842137</v>
      </c>
      <c r="D27" s="94">
        <v>0.60154556516273583</v>
      </c>
      <c r="E27" s="100"/>
      <c r="G27" s="97"/>
      <c r="H27" s="99"/>
      <c r="I27" s="96"/>
      <c r="J27" s="96"/>
      <c r="K27" s="96"/>
    </row>
    <row r="28" spans="2:11" x14ac:dyDescent="0.2">
      <c r="B28" s="90">
        <v>43282</v>
      </c>
      <c r="C28" s="94">
        <v>1.0051661871163824</v>
      </c>
      <c r="D28" s="94">
        <v>0.8298807729897929</v>
      </c>
      <c r="E28" s="100"/>
      <c r="F28" s="21" t="s">
        <v>200</v>
      </c>
      <c r="G28" s="97"/>
      <c r="H28" s="99"/>
      <c r="I28" s="96"/>
      <c r="J28" s="96"/>
      <c r="K28" s="96"/>
    </row>
    <row r="29" spans="2:11" x14ac:dyDescent="0.2">
      <c r="B29" s="90">
        <v>43313</v>
      </c>
      <c r="C29" s="94">
        <v>1.0246001198425851</v>
      </c>
      <c r="D29" s="94">
        <v>0.94793358651469661</v>
      </c>
      <c r="E29" s="100"/>
      <c r="G29" s="97"/>
      <c r="H29" s="99"/>
    </row>
    <row r="30" spans="2:11" x14ac:dyDescent="0.2">
      <c r="B30" s="90">
        <v>43344</v>
      </c>
      <c r="C30" s="94">
        <v>0.8271462649762793</v>
      </c>
      <c r="D30" s="94">
        <v>1.0917952809444065</v>
      </c>
      <c r="E30" s="100"/>
      <c r="G30" s="97"/>
      <c r="H30" s="99"/>
    </row>
    <row r="31" spans="2:11" x14ac:dyDescent="0.2">
      <c r="B31" s="90">
        <v>43374</v>
      </c>
      <c r="C31" s="101">
        <v>0.94829665764292803</v>
      </c>
      <c r="D31" s="101">
        <v>1.0413721501773681</v>
      </c>
      <c r="E31" s="100"/>
      <c r="G31" s="97"/>
      <c r="H31" s="99"/>
    </row>
    <row r="32" spans="2:11" x14ac:dyDescent="0.2">
      <c r="B32" s="90">
        <v>43405</v>
      </c>
      <c r="C32" s="101">
        <v>0.93007049237449413</v>
      </c>
      <c r="D32" s="101">
        <v>0.96668181459168734</v>
      </c>
      <c r="E32" s="100"/>
      <c r="G32" s="97"/>
      <c r="H32" s="99"/>
    </row>
    <row r="33" spans="1:8" x14ac:dyDescent="0.2">
      <c r="B33" s="90">
        <v>43435</v>
      </c>
      <c r="C33" s="101">
        <v>0.98016186551068785</v>
      </c>
      <c r="D33" s="102">
        <v>1.0211685574863749</v>
      </c>
      <c r="E33" s="100"/>
      <c r="G33" s="97"/>
      <c r="H33" s="99"/>
    </row>
    <row r="34" spans="1:8" s="93" customFormat="1" x14ac:dyDescent="0.2">
      <c r="A34" s="93" t="s">
        <v>200</v>
      </c>
      <c r="B34" s="90">
        <v>43466</v>
      </c>
      <c r="C34" s="101">
        <v>1.1394233926577788</v>
      </c>
      <c r="D34" s="102">
        <v>1.1608676546958014</v>
      </c>
      <c r="G34" s="103"/>
      <c r="H34" s="104"/>
    </row>
    <row r="35" spans="1:8" x14ac:dyDescent="0.2">
      <c r="B35" s="90">
        <v>43497</v>
      </c>
      <c r="C35" s="101">
        <v>0.97961953547426717</v>
      </c>
      <c r="D35" s="102">
        <v>1.0226501018655374</v>
      </c>
    </row>
    <row r="36" spans="1:8" x14ac:dyDescent="0.2">
      <c r="B36" s="90">
        <v>43525</v>
      </c>
      <c r="C36" s="101">
        <v>0.9068321621680786</v>
      </c>
      <c r="D36" s="102">
        <v>1.1081372588183602</v>
      </c>
    </row>
  </sheetData>
  <mergeCells count="3">
    <mergeCell ref="B5:F5"/>
    <mergeCell ref="H5:L5"/>
    <mergeCell ref="B16:F16"/>
  </mergeCells>
  <hyperlinks>
    <hyperlink ref="B1" location="Contents!A1" display="Back to Contents"/>
    <hyperlink ref="G19" r:id="rId1"/>
    <hyperlink ref="G20" r:id="rId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C20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" sqref="B1"/>
    </sheetView>
  </sheetViews>
  <sheetFormatPr defaultColWidth="8.7109375" defaultRowHeight="12.75" x14ac:dyDescent="0.2"/>
  <cols>
    <col min="1" max="1" width="26.42578125" style="21" customWidth="1"/>
    <col min="2" max="2" width="10" style="23" customWidth="1"/>
    <col min="3" max="5" width="10" style="21" customWidth="1"/>
    <col min="6" max="6" width="1.7109375" style="21" customWidth="1"/>
    <col min="7" max="9" width="10" style="22" customWidth="1"/>
    <col min="10" max="10" width="8.42578125" style="21" customWidth="1"/>
    <col min="11" max="11" width="10" style="23" customWidth="1"/>
    <col min="12" max="14" width="10" style="21" customWidth="1"/>
    <col min="15" max="15" width="1.7109375" style="21" customWidth="1"/>
    <col min="16" max="18" width="10" style="22" customWidth="1"/>
    <col min="19" max="19" width="8.42578125" style="21" customWidth="1"/>
    <col min="20" max="20" width="10" style="23" customWidth="1"/>
    <col min="21" max="23" width="10" style="21" customWidth="1"/>
    <col min="24" max="24" width="1.7109375" style="21" customWidth="1"/>
    <col min="25" max="27" width="10" style="22" customWidth="1"/>
    <col min="28" max="29" width="8.42578125" style="21" customWidth="1"/>
    <col min="30" max="30" width="10" style="23" customWidth="1"/>
    <col min="31" max="33" width="10" style="21" customWidth="1"/>
    <col min="34" max="34" width="1.7109375" style="21" customWidth="1"/>
    <col min="35" max="37" width="10" style="22" customWidth="1"/>
    <col min="38" max="38" width="8.85546875" style="21" customWidth="1"/>
    <col min="39" max="39" width="10" style="23" customWidth="1"/>
    <col min="40" max="42" width="10" style="21" customWidth="1"/>
    <col min="43" max="43" width="1.7109375" style="21" customWidth="1"/>
    <col min="44" max="46" width="10" style="22" customWidth="1"/>
    <col min="47" max="47" width="8.42578125" style="21" customWidth="1"/>
    <col min="48" max="48" width="10" style="23" customWidth="1"/>
    <col min="49" max="51" width="10" style="21" customWidth="1"/>
    <col min="52" max="52" width="1.7109375" style="21" customWidth="1"/>
    <col min="53" max="55" width="10" style="22" customWidth="1"/>
    <col min="56" max="16384" width="8.7109375" style="21"/>
  </cols>
  <sheetData>
    <row r="1" spans="1:55" customFormat="1" ht="15" x14ac:dyDescent="0.25">
      <c r="A1" s="32" t="s">
        <v>0</v>
      </c>
      <c r="B1" s="87" t="s">
        <v>189</v>
      </c>
      <c r="C1" s="4"/>
      <c r="G1" s="60"/>
      <c r="H1" s="60"/>
      <c r="I1" s="60"/>
      <c r="K1" s="47"/>
      <c r="P1" s="60"/>
      <c r="Q1" s="60"/>
      <c r="R1" s="60"/>
      <c r="T1" s="47"/>
      <c r="Y1" s="60"/>
      <c r="Z1" s="60"/>
      <c r="AA1" s="60"/>
      <c r="AD1" s="47"/>
      <c r="AI1" s="60"/>
      <c r="AJ1" s="60"/>
      <c r="AK1" s="60"/>
      <c r="AM1" s="47"/>
      <c r="AR1" s="60"/>
      <c r="AS1" s="60"/>
      <c r="AT1" s="60"/>
      <c r="AV1" s="47"/>
      <c r="BA1" s="60"/>
      <c r="BB1" s="60"/>
      <c r="BC1" s="60"/>
    </row>
    <row r="2" spans="1:55" customFormat="1" ht="15" x14ac:dyDescent="0.25">
      <c r="A2" s="44" t="s">
        <v>150</v>
      </c>
      <c r="B2" s="11"/>
      <c r="C2" s="4"/>
      <c r="G2" s="61"/>
      <c r="H2" s="61"/>
      <c r="I2" s="61"/>
      <c r="K2" s="47"/>
      <c r="P2" s="61"/>
      <c r="Q2" s="61"/>
      <c r="R2" s="61"/>
      <c r="T2" s="47"/>
      <c r="Y2" s="61"/>
      <c r="Z2" s="61"/>
      <c r="AA2" s="61"/>
      <c r="AD2" s="47"/>
      <c r="AI2" s="61"/>
      <c r="AJ2" s="61"/>
      <c r="AK2" s="61"/>
      <c r="AM2" s="47"/>
      <c r="AR2" s="61"/>
      <c r="AS2" s="61"/>
      <c r="AT2" s="61"/>
      <c r="AV2" s="47"/>
      <c r="BA2" s="61"/>
      <c r="BB2" s="61"/>
      <c r="BC2" s="61"/>
    </row>
    <row r="3" spans="1:55" customFormat="1" ht="15" x14ac:dyDescent="0.25">
      <c r="A3" s="42" t="s">
        <v>16</v>
      </c>
      <c r="B3" s="59"/>
      <c r="C3" s="46"/>
      <c r="D3" s="46"/>
      <c r="E3" s="46"/>
      <c r="F3" s="58"/>
      <c r="G3" s="62"/>
      <c r="H3" s="62"/>
      <c r="I3" s="62"/>
      <c r="J3" s="58"/>
      <c r="K3" s="58"/>
      <c r="L3" s="46"/>
      <c r="M3" s="46"/>
      <c r="O3" s="58"/>
      <c r="P3" s="62"/>
      <c r="Q3" s="62"/>
      <c r="R3" s="62"/>
      <c r="T3" s="47"/>
      <c r="X3" s="58"/>
      <c r="Y3" s="62"/>
      <c r="Z3" s="62"/>
      <c r="AA3" s="62"/>
      <c r="AD3" s="42" t="s">
        <v>16</v>
      </c>
      <c r="AH3" s="58"/>
      <c r="AI3" s="62"/>
      <c r="AJ3" s="62"/>
      <c r="AK3" s="62"/>
      <c r="AM3" s="47"/>
      <c r="AQ3" s="58"/>
      <c r="AR3" s="62"/>
      <c r="AS3" s="62"/>
      <c r="AT3" s="62"/>
      <c r="AV3" s="47"/>
      <c r="AZ3" s="58"/>
      <c r="BA3" s="62"/>
      <c r="BB3" s="62"/>
      <c r="BC3" s="62"/>
    </row>
    <row r="4" spans="1:55" s="27" customFormat="1" x14ac:dyDescent="0.2">
      <c r="B4" s="27" t="s">
        <v>3</v>
      </c>
      <c r="G4" s="61"/>
      <c r="H4" s="61"/>
      <c r="I4" s="61"/>
      <c r="K4" s="27" t="s">
        <v>3</v>
      </c>
      <c r="P4" s="61"/>
      <c r="Q4" s="61"/>
      <c r="R4" s="61"/>
      <c r="T4" s="27" t="s">
        <v>3</v>
      </c>
      <c r="Y4" s="61"/>
      <c r="Z4" s="61"/>
      <c r="AA4" s="61"/>
      <c r="AD4" s="27" t="s">
        <v>97</v>
      </c>
      <c r="AI4" s="61"/>
      <c r="AJ4" s="61"/>
      <c r="AK4" s="61"/>
      <c r="AM4" s="27" t="s">
        <v>97</v>
      </c>
      <c r="AR4" s="61"/>
      <c r="AS4" s="61"/>
      <c r="AT4" s="61"/>
      <c r="AV4" s="27" t="s">
        <v>97</v>
      </c>
      <c r="BA4" s="61"/>
      <c r="BB4" s="61"/>
      <c r="BC4" s="61"/>
    </row>
    <row r="5" spans="1:55" s="23" customFormat="1" x14ac:dyDescent="0.2">
      <c r="A5" s="23" t="s">
        <v>6</v>
      </c>
      <c r="B5" s="126" t="s">
        <v>117</v>
      </c>
      <c r="C5" s="126"/>
      <c r="D5" s="126"/>
      <c r="E5" s="126"/>
      <c r="G5" s="125" t="s">
        <v>141</v>
      </c>
      <c r="H5" s="125"/>
      <c r="I5" s="125"/>
      <c r="K5" s="126" t="s">
        <v>118</v>
      </c>
      <c r="L5" s="126"/>
      <c r="M5" s="126"/>
      <c r="N5" s="126"/>
      <c r="P5" s="125" t="s">
        <v>142</v>
      </c>
      <c r="Q5" s="125"/>
      <c r="R5" s="125"/>
      <c r="T5" s="23" t="s">
        <v>119</v>
      </c>
      <c r="Y5" s="125" t="s">
        <v>143</v>
      </c>
      <c r="Z5" s="125"/>
      <c r="AA5" s="125"/>
      <c r="AD5" s="23" t="s">
        <v>117</v>
      </c>
      <c r="AI5" s="125" t="s">
        <v>141</v>
      </c>
      <c r="AJ5" s="125"/>
      <c r="AK5" s="125"/>
      <c r="AM5" s="41" t="s">
        <v>118</v>
      </c>
      <c r="AR5" s="125" t="s">
        <v>142</v>
      </c>
      <c r="AS5" s="125"/>
      <c r="AT5" s="125"/>
      <c r="AV5" s="23" t="s">
        <v>119</v>
      </c>
      <c r="BA5" s="125" t="s">
        <v>143</v>
      </c>
      <c r="BB5" s="125"/>
      <c r="BC5" s="125"/>
    </row>
    <row r="6" spans="1:55" s="27" customFormat="1" x14ac:dyDescent="0.2">
      <c r="A6" s="10" t="s">
        <v>11</v>
      </c>
      <c r="B6" s="27" t="s">
        <v>82</v>
      </c>
      <c r="C6" s="27" t="s">
        <v>114</v>
      </c>
      <c r="D6" s="27" t="s">
        <v>115</v>
      </c>
      <c r="E6" s="27" t="s">
        <v>126</v>
      </c>
      <c r="G6" s="61" t="s">
        <v>114</v>
      </c>
      <c r="H6" s="61" t="s">
        <v>115</v>
      </c>
      <c r="I6" s="61" t="s">
        <v>126</v>
      </c>
      <c r="K6" s="27" t="s">
        <v>82</v>
      </c>
      <c r="L6" s="27" t="s">
        <v>114</v>
      </c>
      <c r="M6" s="27" t="s">
        <v>115</v>
      </c>
      <c r="N6" s="27" t="s">
        <v>126</v>
      </c>
      <c r="P6" s="61" t="s">
        <v>114</v>
      </c>
      <c r="Q6" s="61" t="s">
        <v>115</v>
      </c>
      <c r="R6" s="61" t="s">
        <v>126</v>
      </c>
      <c r="T6" s="27" t="s">
        <v>82</v>
      </c>
      <c r="U6" s="27" t="s">
        <v>114</v>
      </c>
      <c r="V6" s="27" t="s">
        <v>115</v>
      </c>
      <c r="W6" s="27" t="s">
        <v>126</v>
      </c>
      <c r="Y6" s="61" t="s">
        <v>114</v>
      </c>
      <c r="Z6" s="61" t="s">
        <v>115</v>
      </c>
      <c r="AA6" s="61" t="s">
        <v>126</v>
      </c>
      <c r="AD6" s="27" t="s">
        <v>82</v>
      </c>
      <c r="AE6" s="27" t="s">
        <v>114</v>
      </c>
      <c r="AF6" s="27" t="s">
        <v>115</v>
      </c>
      <c r="AG6" s="27" t="s">
        <v>126</v>
      </c>
      <c r="AI6" s="61" t="s">
        <v>114</v>
      </c>
      <c r="AJ6" s="61" t="s">
        <v>115</v>
      </c>
      <c r="AK6" s="61" t="s">
        <v>126</v>
      </c>
      <c r="AM6" s="27" t="s">
        <v>82</v>
      </c>
      <c r="AN6" s="27" t="s">
        <v>114</v>
      </c>
      <c r="AO6" s="27" t="s">
        <v>115</v>
      </c>
      <c r="AP6" s="27" t="s">
        <v>126</v>
      </c>
      <c r="AR6" s="61" t="s">
        <v>114</v>
      </c>
      <c r="AS6" s="61" t="s">
        <v>115</v>
      </c>
      <c r="AT6" s="61" t="s">
        <v>126</v>
      </c>
      <c r="AV6" s="27" t="s">
        <v>82</v>
      </c>
      <c r="AW6" s="27" t="s">
        <v>114</v>
      </c>
      <c r="AX6" s="27" t="s">
        <v>115</v>
      </c>
      <c r="AY6" s="27" t="s">
        <v>126</v>
      </c>
      <c r="BA6" s="61" t="s">
        <v>114</v>
      </c>
      <c r="BB6" s="61" t="s">
        <v>115</v>
      </c>
      <c r="BC6" s="61" t="s">
        <v>126</v>
      </c>
    </row>
    <row r="7" spans="1:55" s="64" customFormat="1" x14ac:dyDescent="0.2">
      <c r="A7" s="63" t="s">
        <v>22</v>
      </c>
      <c r="B7" s="29">
        <v>13760</v>
      </c>
      <c r="C7" s="64">
        <v>13169</v>
      </c>
      <c r="D7" s="64">
        <v>508</v>
      </c>
      <c r="E7" s="64">
        <v>83</v>
      </c>
      <c r="G7" s="65">
        <v>0.9570494186046512</v>
      </c>
      <c r="H7" s="65">
        <v>3.6918604651162791E-2</v>
      </c>
      <c r="I7" s="65">
        <v>6.0319767441860466E-3</v>
      </c>
      <c r="K7" s="29">
        <v>1356</v>
      </c>
      <c r="L7" s="64">
        <v>1225</v>
      </c>
      <c r="M7" s="64">
        <v>100</v>
      </c>
      <c r="N7" s="64">
        <v>31</v>
      </c>
      <c r="P7" s="65">
        <v>0.90339233038348088</v>
      </c>
      <c r="Q7" s="65">
        <v>7.3746312684365781E-2</v>
      </c>
      <c r="R7" s="65">
        <v>2.2861356932153392E-2</v>
      </c>
      <c r="T7" s="29">
        <v>29</v>
      </c>
      <c r="U7" s="64">
        <v>29</v>
      </c>
      <c r="V7" s="64">
        <v>0</v>
      </c>
      <c r="W7" s="64">
        <v>0</v>
      </c>
      <c r="Y7" s="65">
        <v>1</v>
      </c>
      <c r="Z7" s="65">
        <v>0</v>
      </c>
      <c r="AA7" s="65">
        <v>0</v>
      </c>
      <c r="AD7" s="29">
        <v>0</v>
      </c>
      <c r="AE7" s="64">
        <v>0</v>
      </c>
      <c r="AF7" s="64">
        <v>0</v>
      </c>
      <c r="AG7" s="64">
        <v>0</v>
      </c>
      <c r="AI7" s="65">
        <v>0</v>
      </c>
      <c r="AJ7" s="65">
        <v>0</v>
      </c>
      <c r="AK7" s="65">
        <v>0</v>
      </c>
      <c r="AM7" s="29">
        <v>0</v>
      </c>
      <c r="AN7" s="64">
        <v>0</v>
      </c>
      <c r="AO7" s="64">
        <v>0</v>
      </c>
      <c r="AP7" s="64">
        <v>0</v>
      </c>
      <c r="AR7" s="65">
        <v>0</v>
      </c>
      <c r="AS7" s="65">
        <v>0</v>
      </c>
      <c r="AT7" s="65">
        <v>0</v>
      </c>
      <c r="AV7" s="29">
        <v>0</v>
      </c>
      <c r="AW7" s="64">
        <v>0</v>
      </c>
      <c r="AX7" s="64">
        <v>0</v>
      </c>
      <c r="AY7" s="64">
        <v>0</v>
      </c>
      <c r="BA7" s="65">
        <v>0</v>
      </c>
      <c r="BB7" s="65">
        <v>0</v>
      </c>
      <c r="BC7" s="65">
        <v>0</v>
      </c>
    </row>
    <row r="8" spans="1:55" s="64" customFormat="1" x14ac:dyDescent="0.2">
      <c r="A8" s="63" t="s">
        <v>23</v>
      </c>
      <c r="B8" s="29">
        <v>173678</v>
      </c>
      <c r="C8" s="64">
        <v>68828</v>
      </c>
      <c r="D8" s="64">
        <v>104850</v>
      </c>
      <c r="E8" s="64">
        <v>0</v>
      </c>
      <c r="G8" s="65">
        <v>0.396296594847937</v>
      </c>
      <c r="H8" s="65">
        <v>0.603703405152063</v>
      </c>
      <c r="I8" s="65">
        <v>0</v>
      </c>
      <c r="K8" s="29">
        <v>11808</v>
      </c>
      <c r="L8" s="64">
        <v>2351</v>
      </c>
      <c r="M8" s="64">
        <v>9457</v>
      </c>
      <c r="N8" s="64">
        <v>0</v>
      </c>
      <c r="P8" s="65">
        <v>0.19910230352303523</v>
      </c>
      <c r="Q8" s="65">
        <v>0.80089769647696474</v>
      </c>
      <c r="R8" s="65">
        <v>0</v>
      </c>
      <c r="T8" s="29">
        <v>1544</v>
      </c>
      <c r="U8" s="64">
        <v>1544</v>
      </c>
      <c r="V8" s="64">
        <v>0</v>
      </c>
      <c r="W8" s="64">
        <v>0</v>
      </c>
      <c r="Y8" s="65">
        <v>1</v>
      </c>
      <c r="Z8" s="65">
        <v>0</v>
      </c>
      <c r="AA8" s="65">
        <v>0</v>
      </c>
      <c r="AD8" s="29">
        <v>123137</v>
      </c>
      <c r="AE8" s="64">
        <v>45674</v>
      </c>
      <c r="AF8" s="64">
        <v>77008</v>
      </c>
      <c r="AG8" s="64">
        <v>455</v>
      </c>
      <c r="AI8" s="65">
        <v>0.37092019458002062</v>
      </c>
      <c r="AJ8" s="65">
        <v>0.62538473407667883</v>
      </c>
      <c r="AK8" s="65">
        <v>3.6950713433005515E-3</v>
      </c>
      <c r="AM8" s="29">
        <v>2407</v>
      </c>
      <c r="AN8" s="64">
        <v>366</v>
      </c>
      <c r="AO8" s="64">
        <v>2036</v>
      </c>
      <c r="AP8" s="64">
        <v>5</v>
      </c>
      <c r="AR8" s="65">
        <v>0.15205650186954717</v>
      </c>
      <c r="AS8" s="65">
        <v>0.84586622351474861</v>
      </c>
      <c r="AT8" s="65">
        <v>2.077274615704196E-3</v>
      </c>
      <c r="AV8" s="29">
        <v>20</v>
      </c>
      <c r="AW8" s="64">
        <v>20</v>
      </c>
      <c r="AX8" s="64">
        <v>0</v>
      </c>
      <c r="AY8" s="64">
        <v>0</v>
      </c>
      <c r="BA8" s="65">
        <v>8.309098462816784E-3</v>
      </c>
      <c r="BB8" s="65">
        <v>8.309098462816784E-3</v>
      </c>
      <c r="BC8" s="65">
        <v>0</v>
      </c>
    </row>
    <row r="9" spans="1:55" s="64" customFormat="1" x14ac:dyDescent="0.2">
      <c r="A9" s="63" t="s">
        <v>24</v>
      </c>
      <c r="B9" s="29">
        <v>1381988</v>
      </c>
      <c r="C9" s="64">
        <v>1238710</v>
      </c>
      <c r="D9" s="64">
        <v>139688</v>
      </c>
      <c r="E9" s="64">
        <v>3590</v>
      </c>
      <c r="G9" s="65">
        <v>0.89632471483109843</v>
      </c>
      <c r="H9" s="65">
        <v>0.10107757809763905</v>
      </c>
      <c r="I9" s="65">
        <v>2.5977070712625578E-3</v>
      </c>
      <c r="K9" s="29">
        <v>118721</v>
      </c>
      <c r="L9" s="64">
        <v>94751</v>
      </c>
      <c r="M9" s="64">
        <v>22130</v>
      </c>
      <c r="N9" s="64">
        <v>1840</v>
      </c>
      <c r="P9" s="65">
        <v>0.79809806184247101</v>
      </c>
      <c r="Q9" s="65">
        <v>0.18640341641327146</v>
      </c>
      <c r="R9" s="65">
        <v>1.5498521744257546E-2</v>
      </c>
      <c r="T9" s="29">
        <v>12095</v>
      </c>
      <c r="U9" s="64">
        <v>11984</v>
      </c>
      <c r="V9" s="64">
        <v>104</v>
      </c>
      <c r="W9" s="64">
        <v>7</v>
      </c>
      <c r="Y9" s="65">
        <v>0.99082265398925173</v>
      </c>
      <c r="Z9" s="65">
        <v>8.598594460520876E-3</v>
      </c>
      <c r="AA9" s="65">
        <v>5.7875155022736667E-4</v>
      </c>
      <c r="AD9" s="29">
        <v>828162</v>
      </c>
      <c r="AE9" s="64">
        <v>683885</v>
      </c>
      <c r="AF9" s="64">
        <v>133000</v>
      </c>
      <c r="AG9" s="64">
        <v>11277</v>
      </c>
      <c r="AI9" s="65">
        <v>0.82578650070879855</v>
      </c>
      <c r="AJ9" s="65">
        <v>0.16059659825010084</v>
      </c>
      <c r="AK9" s="65">
        <v>1.3616901041100655E-2</v>
      </c>
      <c r="AM9" s="29">
        <v>23424</v>
      </c>
      <c r="AN9" s="64">
        <v>17280</v>
      </c>
      <c r="AO9" s="64">
        <v>5057</v>
      </c>
      <c r="AP9" s="64">
        <v>1087</v>
      </c>
      <c r="AR9" s="65">
        <v>0.73770491803278693</v>
      </c>
      <c r="AS9" s="65">
        <v>0.21588968579234974</v>
      </c>
      <c r="AT9" s="65">
        <v>4.6405396174863389E-2</v>
      </c>
      <c r="AV9" s="29">
        <v>1917</v>
      </c>
      <c r="AW9" s="64">
        <v>1605</v>
      </c>
      <c r="AX9" s="64">
        <v>305</v>
      </c>
      <c r="AY9" s="64">
        <v>7</v>
      </c>
      <c r="BA9" s="65">
        <v>8.1839139344262291E-2</v>
      </c>
      <c r="BB9" s="65">
        <v>6.8519467213114749E-2</v>
      </c>
      <c r="BC9" s="65">
        <v>1.3020833333333334E-2</v>
      </c>
    </row>
    <row r="10" spans="1:55" s="64" customFormat="1" x14ac:dyDescent="0.2">
      <c r="A10" s="63" t="s">
        <v>25</v>
      </c>
      <c r="B10" s="29">
        <v>299992</v>
      </c>
      <c r="C10" s="64">
        <v>296729</v>
      </c>
      <c r="D10" s="64">
        <v>1950</v>
      </c>
      <c r="E10" s="64">
        <v>1313</v>
      </c>
      <c r="G10" s="65">
        <v>0.98912304328115419</v>
      </c>
      <c r="H10" s="65">
        <v>6.5001733379556788E-3</v>
      </c>
      <c r="I10" s="65">
        <v>4.3767833808901575E-3</v>
      </c>
      <c r="K10" s="29">
        <v>28235</v>
      </c>
      <c r="L10" s="64">
        <v>27337</v>
      </c>
      <c r="M10" s="64">
        <v>496</v>
      </c>
      <c r="N10" s="64">
        <v>402</v>
      </c>
      <c r="P10" s="65">
        <v>0.96819550203647953</v>
      </c>
      <c r="Q10" s="65">
        <v>1.7566849654683903E-2</v>
      </c>
      <c r="R10" s="65">
        <v>1.423764830883655E-2</v>
      </c>
      <c r="T10" s="29">
        <v>294</v>
      </c>
      <c r="U10" s="64">
        <v>291</v>
      </c>
      <c r="V10" s="64">
        <v>0</v>
      </c>
      <c r="W10" s="64">
        <v>3</v>
      </c>
      <c r="Y10" s="65">
        <v>0.98979591836734693</v>
      </c>
      <c r="Z10" s="65">
        <v>0</v>
      </c>
      <c r="AA10" s="65">
        <v>1.020408163265306E-2</v>
      </c>
      <c r="AD10" s="29">
        <v>45237</v>
      </c>
      <c r="AE10" s="64">
        <v>43284</v>
      </c>
      <c r="AF10" s="64">
        <v>1290</v>
      </c>
      <c r="AG10" s="64">
        <v>663</v>
      </c>
      <c r="AI10" s="65">
        <v>0.95682737582067778</v>
      </c>
      <c r="AJ10" s="65">
        <v>2.85164798726706E-2</v>
      </c>
      <c r="AK10" s="65">
        <v>1.4656144306651634E-2</v>
      </c>
      <c r="AM10" s="29">
        <v>108</v>
      </c>
      <c r="AN10" s="64">
        <v>63</v>
      </c>
      <c r="AO10" s="64">
        <v>44</v>
      </c>
      <c r="AP10" s="64">
        <v>1</v>
      </c>
      <c r="AR10" s="65">
        <v>0.58333333333333337</v>
      </c>
      <c r="AS10" s="65">
        <v>0.40740740740740738</v>
      </c>
      <c r="AT10" s="65">
        <v>9.2592592592592587E-3</v>
      </c>
      <c r="AV10" s="29">
        <v>43</v>
      </c>
      <c r="AW10" s="64">
        <v>43</v>
      </c>
      <c r="AX10" s="64">
        <v>0</v>
      </c>
      <c r="AY10" s="64">
        <v>0</v>
      </c>
      <c r="BA10" s="65">
        <v>0.39814814814814814</v>
      </c>
      <c r="BB10" s="65">
        <v>0.39814814814814814</v>
      </c>
      <c r="BC10" s="65">
        <v>0</v>
      </c>
    </row>
    <row r="11" spans="1:55" s="64" customFormat="1" x14ac:dyDescent="0.2">
      <c r="A11" s="63" t="s">
        <v>26</v>
      </c>
      <c r="B11" s="29">
        <v>96273</v>
      </c>
      <c r="C11" s="64">
        <v>93626</v>
      </c>
      <c r="D11" s="64">
        <v>1781</v>
      </c>
      <c r="E11" s="64">
        <v>866</v>
      </c>
      <c r="G11" s="65">
        <v>0.97250527146759735</v>
      </c>
      <c r="H11" s="65">
        <v>1.8499475450022333E-2</v>
      </c>
      <c r="I11" s="65">
        <v>8.9952530823803143E-3</v>
      </c>
      <c r="K11" s="29">
        <v>3347</v>
      </c>
      <c r="L11" s="64">
        <v>2909</v>
      </c>
      <c r="M11" s="64">
        <v>247</v>
      </c>
      <c r="N11" s="64">
        <v>191</v>
      </c>
      <c r="P11" s="65">
        <v>0.86913654018524056</v>
      </c>
      <c r="Q11" s="65">
        <v>7.3797430534807293E-2</v>
      </c>
      <c r="R11" s="65">
        <v>5.7066029279952198E-2</v>
      </c>
      <c r="T11" s="29">
        <v>0</v>
      </c>
      <c r="U11" s="64">
        <v>0</v>
      </c>
      <c r="V11" s="64">
        <v>0</v>
      </c>
      <c r="W11" s="64">
        <v>0</v>
      </c>
      <c r="Y11" s="65">
        <v>0</v>
      </c>
      <c r="Z11" s="65">
        <v>0</v>
      </c>
      <c r="AA11" s="65">
        <v>0</v>
      </c>
      <c r="AD11" s="29">
        <v>19549</v>
      </c>
      <c r="AE11" s="64">
        <v>18591</v>
      </c>
      <c r="AF11" s="64">
        <v>667</v>
      </c>
      <c r="AG11" s="64">
        <v>291</v>
      </c>
      <c r="AI11" s="65">
        <v>0.95099493580234284</v>
      </c>
      <c r="AJ11" s="65">
        <v>3.4119392296281137E-2</v>
      </c>
      <c r="AK11" s="65">
        <v>1.4885671901376029E-2</v>
      </c>
      <c r="AM11" s="29">
        <v>343</v>
      </c>
      <c r="AN11" s="64">
        <v>282</v>
      </c>
      <c r="AO11" s="64">
        <v>34</v>
      </c>
      <c r="AP11" s="64">
        <v>27</v>
      </c>
      <c r="AR11" s="65">
        <v>0.82215743440233235</v>
      </c>
      <c r="AS11" s="65">
        <v>9.9125364431486881E-2</v>
      </c>
      <c r="AT11" s="65">
        <v>7.8717201166180764E-2</v>
      </c>
      <c r="AV11" s="29">
        <v>0</v>
      </c>
      <c r="AW11" s="64">
        <v>0</v>
      </c>
      <c r="AX11" s="64">
        <v>0</v>
      </c>
      <c r="AY11" s="64">
        <v>0</v>
      </c>
      <c r="BA11" s="65">
        <v>0</v>
      </c>
      <c r="BB11" s="65">
        <v>0</v>
      </c>
      <c r="BC11" s="65">
        <v>0</v>
      </c>
    </row>
    <row r="12" spans="1:55" s="64" customFormat="1" x14ac:dyDescent="0.2">
      <c r="A12" s="63" t="s">
        <v>27</v>
      </c>
      <c r="B12" s="29">
        <v>243938</v>
      </c>
      <c r="C12" s="64">
        <v>14549</v>
      </c>
      <c r="D12" s="64">
        <v>228741</v>
      </c>
      <c r="E12" s="64">
        <v>648</v>
      </c>
      <c r="G12" s="65">
        <v>5.9642204166632504E-2</v>
      </c>
      <c r="H12" s="65">
        <v>0.9377013831383384</v>
      </c>
      <c r="I12" s="65">
        <v>2.6564126950290646E-3</v>
      </c>
      <c r="K12" s="29">
        <v>35712</v>
      </c>
      <c r="L12" s="64">
        <v>3598</v>
      </c>
      <c r="M12" s="64">
        <v>31831</v>
      </c>
      <c r="N12" s="64">
        <v>283</v>
      </c>
      <c r="P12" s="65">
        <v>0.10075044802867383</v>
      </c>
      <c r="Q12" s="65">
        <v>0.89132504480286734</v>
      </c>
      <c r="R12" s="65">
        <v>7.9245071684587807E-3</v>
      </c>
      <c r="T12" s="29">
        <v>2111</v>
      </c>
      <c r="U12" s="64">
        <v>1994</v>
      </c>
      <c r="V12" s="64">
        <v>112</v>
      </c>
      <c r="W12" s="64">
        <v>5</v>
      </c>
      <c r="Y12" s="65">
        <v>0.94457603031738513</v>
      </c>
      <c r="Z12" s="65">
        <v>5.3055423969682616E-2</v>
      </c>
      <c r="AA12" s="65">
        <v>2.3685457129322598E-3</v>
      </c>
      <c r="AD12" s="29">
        <v>0</v>
      </c>
      <c r="AE12" s="64">
        <v>0</v>
      </c>
      <c r="AF12" s="64">
        <v>0</v>
      </c>
      <c r="AG12" s="64">
        <v>0</v>
      </c>
      <c r="AI12" s="65">
        <v>0</v>
      </c>
      <c r="AJ12" s="65">
        <v>0</v>
      </c>
      <c r="AK12" s="65">
        <v>0</v>
      </c>
      <c r="AM12" s="29">
        <v>0</v>
      </c>
      <c r="AN12" s="64">
        <v>0</v>
      </c>
      <c r="AO12" s="64">
        <v>0</v>
      </c>
      <c r="AP12" s="64">
        <v>0</v>
      </c>
      <c r="AR12" s="65">
        <v>0</v>
      </c>
      <c r="AS12" s="65">
        <v>0</v>
      </c>
      <c r="AT12" s="65">
        <v>0</v>
      </c>
      <c r="AV12" s="29">
        <v>0</v>
      </c>
      <c r="AW12" s="64">
        <v>0</v>
      </c>
      <c r="AX12" s="64">
        <v>0</v>
      </c>
      <c r="AY12" s="64">
        <v>0</v>
      </c>
      <c r="BA12" s="65">
        <v>0</v>
      </c>
      <c r="BB12" s="65">
        <v>0</v>
      </c>
      <c r="BC12" s="65">
        <v>0</v>
      </c>
    </row>
    <row r="13" spans="1:55" s="64" customFormat="1" x14ac:dyDescent="0.2">
      <c r="A13" s="63" t="s">
        <v>29</v>
      </c>
      <c r="B13" s="29">
        <v>0</v>
      </c>
      <c r="C13" s="64">
        <v>0</v>
      </c>
      <c r="D13" s="64">
        <v>0</v>
      </c>
      <c r="E13" s="64">
        <v>0</v>
      </c>
      <c r="G13" s="65">
        <v>0</v>
      </c>
      <c r="H13" s="65">
        <v>0</v>
      </c>
      <c r="I13" s="65">
        <v>0</v>
      </c>
      <c r="K13" s="29">
        <v>5159</v>
      </c>
      <c r="L13" s="64">
        <v>5064</v>
      </c>
      <c r="M13" s="64">
        <v>95</v>
      </c>
      <c r="N13" s="64">
        <v>0</v>
      </c>
      <c r="P13" s="65">
        <v>0.98158557860050399</v>
      </c>
      <c r="Q13" s="65">
        <v>1.8414421399496027E-2</v>
      </c>
      <c r="R13" s="65">
        <v>0</v>
      </c>
      <c r="T13" s="29">
        <v>338</v>
      </c>
      <c r="U13" s="64">
        <v>328</v>
      </c>
      <c r="V13" s="64">
        <v>10</v>
      </c>
      <c r="W13" s="64">
        <v>0</v>
      </c>
      <c r="Y13" s="65">
        <v>0.97041420118343191</v>
      </c>
      <c r="Z13" s="65">
        <v>2.9585798816568046E-2</v>
      </c>
      <c r="AA13" s="65">
        <v>0</v>
      </c>
      <c r="AD13" s="29">
        <v>0</v>
      </c>
      <c r="AE13" s="64">
        <v>0</v>
      </c>
      <c r="AF13" s="64">
        <v>0</v>
      </c>
      <c r="AG13" s="64">
        <v>0</v>
      </c>
      <c r="AI13" s="65">
        <v>0</v>
      </c>
      <c r="AJ13" s="65">
        <v>0</v>
      </c>
      <c r="AK13" s="65">
        <v>0</v>
      </c>
      <c r="AM13" s="29">
        <v>0</v>
      </c>
      <c r="AN13" s="64">
        <v>0</v>
      </c>
      <c r="AO13" s="64">
        <v>0</v>
      </c>
      <c r="AP13" s="64">
        <v>0</v>
      </c>
      <c r="AR13" s="65">
        <v>0</v>
      </c>
      <c r="AS13" s="65">
        <v>0</v>
      </c>
      <c r="AT13" s="65">
        <v>0</v>
      </c>
      <c r="AV13" s="29">
        <v>0</v>
      </c>
      <c r="AW13" s="64">
        <v>0</v>
      </c>
      <c r="AX13" s="64">
        <v>0</v>
      </c>
      <c r="AY13" s="64">
        <v>0</v>
      </c>
      <c r="BA13" s="65">
        <v>0</v>
      </c>
      <c r="BB13" s="65">
        <v>0</v>
      </c>
      <c r="BC13" s="65">
        <v>0</v>
      </c>
    </row>
    <row r="14" spans="1:55" s="64" customFormat="1" x14ac:dyDescent="0.2">
      <c r="A14" s="63" t="s">
        <v>30</v>
      </c>
      <c r="B14" s="29">
        <v>3639</v>
      </c>
      <c r="C14" s="64">
        <v>3528</v>
      </c>
      <c r="D14" s="64">
        <v>82</v>
      </c>
      <c r="E14" s="64">
        <v>29</v>
      </c>
      <c r="G14" s="65">
        <v>0.96949711459192089</v>
      </c>
      <c r="H14" s="65">
        <v>2.2533663094256664E-2</v>
      </c>
      <c r="I14" s="65">
        <v>7.9692223138224782E-3</v>
      </c>
      <c r="K14" s="29">
        <v>4952</v>
      </c>
      <c r="L14" s="64">
        <v>4639</v>
      </c>
      <c r="M14" s="64">
        <v>204</v>
      </c>
      <c r="N14" s="64">
        <v>109</v>
      </c>
      <c r="P14" s="65">
        <v>0.93679321486268174</v>
      </c>
      <c r="Q14" s="65">
        <v>4.1195476575121161E-2</v>
      </c>
      <c r="R14" s="65">
        <v>2.2011308562197091E-2</v>
      </c>
      <c r="T14" s="29">
        <v>0</v>
      </c>
      <c r="U14" s="64">
        <v>0</v>
      </c>
      <c r="V14" s="64">
        <v>0</v>
      </c>
      <c r="W14" s="64">
        <v>0</v>
      </c>
      <c r="Y14" s="65">
        <v>0</v>
      </c>
      <c r="Z14" s="65">
        <v>0</v>
      </c>
      <c r="AA14" s="65">
        <v>0</v>
      </c>
      <c r="AD14" s="29">
        <v>2198</v>
      </c>
      <c r="AE14" s="64">
        <v>2085</v>
      </c>
      <c r="AF14" s="64">
        <v>74</v>
      </c>
      <c r="AG14" s="64">
        <v>39</v>
      </c>
      <c r="AI14" s="65">
        <v>0.94858962693357596</v>
      </c>
      <c r="AJ14" s="65">
        <v>3.3666969972702458E-2</v>
      </c>
      <c r="AK14" s="65">
        <v>1.7743403093721567E-2</v>
      </c>
      <c r="AM14" s="29">
        <v>2487</v>
      </c>
      <c r="AN14" s="64">
        <v>2274</v>
      </c>
      <c r="AO14" s="64">
        <v>122</v>
      </c>
      <c r="AP14" s="64">
        <v>91</v>
      </c>
      <c r="AR14" s="65">
        <v>0.91435464414957779</v>
      </c>
      <c r="AS14" s="65">
        <v>4.9055086449537592E-2</v>
      </c>
      <c r="AT14" s="65">
        <v>3.6590269400884598E-2</v>
      </c>
      <c r="AV14" s="29">
        <v>0</v>
      </c>
      <c r="AW14" s="64">
        <v>0</v>
      </c>
      <c r="AX14" s="64">
        <v>0</v>
      </c>
      <c r="AY14" s="64">
        <v>0</v>
      </c>
      <c r="BA14" s="65">
        <v>0</v>
      </c>
      <c r="BB14" s="65">
        <v>0</v>
      </c>
      <c r="BC14" s="65">
        <v>0</v>
      </c>
    </row>
    <row r="15" spans="1:55" s="64" customFormat="1" x14ac:dyDescent="0.2">
      <c r="A15" s="63" t="s">
        <v>88</v>
      </c>
      <c r="B15" s="29">
        <v>0</v>
      </c>
      <c r="C15" s="64">
        <v>0</v>
      </c>
      <c r="D15" s="64">
        <v>0</v>
      </c>
      <c r="E15" s="64">
        <v>0</v>
      </c>
      <c r="G15" s="65">
        <v>0</v>
      </c>
      <c r="H15" s="65">
        <v>0</v>
      </c>
      <c r="I15" s="65">
        <v>0</v>
      </c>
      <c r="K15" s="29">
        <v>0</v>
      </c>
      <c r="L15" s="64">
        <v>0</v>
      </c>
      <c r="M15" s="64">
        <v>0</v>
      </c>
      <c r="N15" s="64">
        <v>0</v>
      </c>
      <c r="P15" s="65">
        <v>0</v>
      </c>
      <c r="Q15" s="65">
        <v>0</v>
      </c>
      <c r="R15" s="65">
        <v>0</v>
      </c>
      <c r="T15" s="29">
        <v>5</v>
      </c>
      <c r="U15" s="64">
        <v>5</v>
      </c>
      <c r="V15" s="64">
        <v>0</v>
      </c>
      <c r="W15" s="64">
        <v>0</v>
      </c>
      <c r="Y15" s="65">
        <v>1</v>
      </c>
      <c r="Z15" s="65">
        <v>0</v>
      </c>
      <c r="AA15" s="65">
        <v>0</v>
      </c>
      <c r="AD15" s="29">
        <v>0</v>
      </c>
      <c r="AE15" s="64">
        <v>0</v>
      </c>
      <c r="AF15" s="64">
        <v>0</v>
      </c>
      <c r="AG15" s="64">
        <v>0</v>
      </c>
      <c r="AI15" s="65">
        <v>0</v>
      </c>
      <c r="AJ15" s="65">
        <v>0</v>
      </c>
      <c r="AK15" s="65">
        <v>0</v>
      </c>
      <c r="AM15" s="29">
        <v>0</v>
      </c>
      <c r="AN15" s="64">
        <v>0</v>
      </c>
      <c r="AO15" s="64">
        <v>0</v>
      </c>
      <c r="AP15" s="64">
        <v>0</v>
      </c>
      <c r="AR15" s="65">
        <v>0</v>
      </c>
      <c r="AS15" s="65">
        <v>0</v>
      </c>
      <c r="AT15" s="65">
        <v>0</v>
      </c>
      <c r="AV15" s="29">
        <v>0</v>
      </c>
      <c r="AW15" s="64">
        <v>0</v>
      </c>
      <c r="AX15" s="64">
        <v>0</v>
      </c>
      <c r="AY15" s="64">
        <v>0</v>
      </c>
      <c r="BA15" s="65">
        <v>0</v>
      </c>
      <c r="BB15" s="65">
        <v>0</v>
      </c>
      <c r="BC15" s="65">
        <v>0</v>
      </c>
    </row>
    <row r="16" spans="1:55" s="64" customFormat="1" x14ac:dyDescent="0.2">
      <c r="A16" s="63" t="s">
        <v>89</v>
      </c>
      <c r="B16" s="29">
        <v>0</v>
      </c>
      <c r="C16" s="64">
        <v>0</v>
      </c>
      <c r="D16" s="64">
        <v>0</v>
      </c>
      <c r="E16" s="64">
        <v>0</v>
      </c>
      <c r="G16" s="65">
        <v>0</v>
      </c>
      <c r="H16" s="65">
        <v>0</v>
      </c>
      <c r="I16" s="65">
        <v>0</v>
      </c>
      <c r="K16" s="29">
        <v>0</v>
      </c>
      <c r="L16" s="64">
        <v>0</v>
      </c>
      <c r="M16" s="64">
        <v>0</v>
      </c>
      <c r="N16" s="64">
        <v>0</v>
      </c>
      <c r="P16" s="65">
        <v>0</v>
      </c>
      <c r="Q16" s="65">
        <v>0</v>
      </c>
      <c r="R16" s="65">
        <v>0</v>
      </c>
      <c r="T16" s="29">
        <v>4</v>
      </c>
      <c r="U16" s="64">
        <v>4</v>
      </c>
      <c r="V16" s="64">
        <v>0</v>
      </c>
      <c r="W16" s="64">
        <v>0</v>
      </c>
      <c r="Y16" s="65">
        <v>1</v>
      </c>
      <c r="Z16" s="65">
        <v>0</v>
      </c>
      <c r="AA16" s="65">
        <v>0</v>
      </c>
      <c r="AD16" s="29">
        <v>0</v>
      </c>
      <c r="AE16" s="64">
        <v>0</v>
      </c>
      <c r="AF16" s="64">
        <v>0</v>
      </c>
      <c r="AG16" s="64">
        <v>0</v>
      </c>
      <c r="AI16" s="65">
        <v>0</v>
      </c>
      <c r="AJ16" s="65">
        <v>0</v>
      </c>
      <c r="AK16" s="65">
        <v>0</v>
      </c>
      <c r="AM16" s="29">
        <v>0</v>
      </c>
      <c r="AN16" s="64">
        <v>0</v>
      </c>
      <c r="AO16" s="64">
        <v>0</v>
      </c>
      <c r="AP16" s="64">
        <v>0</v>
      </c>
      <c r="AR16" s="65">
        <v>0</v>
      </c>
      <c r="AS16" s="65">
        <v>0</v>
      </c>
      <c r="AT16" s="65">
        <v>0</v>
      </c>
      <c r="AV16" s="29">
        <v>0</v>
      </c>
      <c r="AW16" s="64">
        <v>0</v>
      </c>
      <c r="AX16" s="64">
        <v>0</v>
      </c>
      <c r="AY16" s="64">
        <v>0</v>
      </c>
      <c r="BA16" s="65">
        <v>0</v>
      </c>
      <c r="BB16" s="65">
        <v>0</v>
      </c>
      <c r="BC16" s="65">
        <v>0</v>
      </c>
    </row>
    <row r="17" spans="1:55" s="64" customFormat="1" x14ac:dyDescent="0.2">
      <c r="A17" s="63" t="s">
        <v>31</v>
      </c>
      <c r="B17" s="29">
        <v>10101</v>
      </c>
      <c r="C17" s="64">
        <v>6502</v>
      </c>
      <c r="D17" s="64">
        <v>3555</v>
      </c>
      <c r="E17" s="64">
        <v>44</v>
      </c>
      <c r="G17" s="65">
        <v>0.64369864369864371</v>
      </c>
      <c r="H17" s="65">
        <v>0.35194535194535193</v>
      </c>
      <c r="I17" s="65">
        <v>4.3560043560043563E-3</v>
      </c>
      <c r="K17" s="29">
        <v>775</v>
      </c>
      <c r="L17" s="64">
        <v>654</v>
      </c>
      <c r="M17" s="64">
        <v>121</v>
      </c>
      <c r="N17" s="64">
        <v>0</v>
      </c>
      <c r="P17" s="65">
        <v>0.84387096774193548</v>
      </c>
      <c r="Q17" s="65">
        <v>0.15612903225806452</v>
      </c>
      <c r="R17" s="65">
        <v>0</v>
      </c>
      <c r="T17" s="29">
        <v>43</v>
      </c>
      <c r="U17" s="64">
        <v>43</v>
      </c>
      <c r="V17" s="64">
        <v>0</v>
      </c>
      <c r="W17" s="64">
        <v>0</v>
      </c>
      <c r="Y17" s="65">
        <v>1</v>
      </c>
      <c r="Z17" s="65">
        <v>0</v>
      </c>
      <c r="AA17" s="65">
        <v>0</v>
      </c>
      <c r="AD17" s="29">
        <v>0</v>
      </c>
      <c r="AE17" s="64">
        <v>0</v>
      </c>
      <c r="AF17" s="64">
        <v>0</v>
      </c>
      <c r="AG17" s="64">
        <v>0</v>
      </c>
      <c r="AI17" s="65">
        <v>0</v>
      </c>
      <c r="AJ17" s="65">
        <v>0</v>
      </c>
      <c r="AK17" s="65">
        <v>0</v>
      </c>
      <c r="AM17" s="29">
        <v>0</v>
      </c>
      <c r="AN17" s="64">
        <v>0</v>
      </c>
      <c r="AO17" s="64">
        <v>0</v>
      </c>
      <c r="AP17" s="64">
        <v>0</v>
      </c>
      <c r="AR17" s="65">
        <v>0</v>
      </c>
      <c r="AS17" s="65">
        <v>0</v>
      </c>
      <c r="AT17" s="65">
        <v>0</v>
      </c>
      <c r="AV17" s="29">
        <v>0</v>
      </c>
      <c r="AW17" s="64">
        <v>0</v>
      </c>
      <c r="AX17" s="64">
        <v>0</v>
      </c>
      <c r="AY17" s="64">
        <v>0</v>
      </c>
      <c r="BA17" s="65">
        <v>0</v>
      </c>
      <c r="BB17" s="65">
        <v>0</v>
      </c>
      <c r="BC17" s="65">
        <v>0</v>
      </c>
    </row>
    <row r="18" spans="1:55" s="64" customFormat="1" x14ac:dyDescent="0.2">
      <c r="A18" s="63" t="s">
        <v>32</v>
      </c>
      <c r="B18" s="29">
        <v>2</v>
      </c>
      <c r="C18" s="64">
        <v>2</v>
      </c>
      <c r="D18" s="64">
        <v>0</v>
      </c>
      <c r="E18" s="64">
        <v>0</v>
      </c>
      <c r="G18" s="65">
        <v>1</v>
      </c>
      <c r="H18" s="65">
        <v>0</v>
      </c>
      <c r="I18" s="65">
        <v>0</v>
      </c>
      <c r="K18" s="29">
        <v>0</v>
      </c>
      <c r="L18" s="64">
        <v>0</v>
      </c>
      <c r="M18" s="64">
        <v>0</v>
      </c>
      <c r="N18" s="64">
        <v>0</v>
      </c>
      <c r="P18" s="65">
        <v>0</v>
      </c>
      <c r="Q18" s="65">
        <v>0</v>
      </c>
      <c r="R18" s="65">
        <v>0</v>
      </c>
      <c r="T18" s="29">
        <v>0</v>
      </c>
      <c r="U18" s="64">
        <v>0</v>
      </c>
      <c r="V18" s="64">
        <v>0</v>
      </c>
      <c r="W18" s="64">
        <v>0</v>
      </c>
      <c r="Y18" s="65">
        <v>0</v>
      </c>
      <c r="Z18" s="65">
        <v>0</v>
      </c>
      <c r="AA18" s="65">
        <v>0</v>
      </c>
      <c r="AD18" s="29">
        <v>0</v>
      </c>
      <c r="AE18" s="64">
        <v>0</v>
      </c>
      <c r="AF18" s="64">
        <v>0</v>
      </c>
      <c r="AG18" s="64">
        <v>0</v>
      </c>
      <c r="AI18" s="65">
        <v>0</v>
      </c>
      <c r="AJ18" s="65">
        <v>0</v>
      </c>
      <c r="AK18" s="65">
        <v>0</v>
      </c>
      <c r="AM18" s="29">
        <v>0</v>
      </c>
      <c r="AN18" s="64">
        <v>0</v>
      </c>
      <c r="AO18" s="64">
        <v>0</v>
      </c>
      <c r="AP18" s="64">
        <v>0</v>
      </c>
      <c r="AR18" s="65">
        <v>0</v>
      </c>
      <c r="AS18" s="65">
        <v>0</v>
      </c>
      <c r="AT18" s="65">
        <v>0</v>
      </c>
      <c r="AV18" s="29">
        <v>0</v>
      </c>
      <c r="AW18" s="64">
        <v>0</v>
      </c>
      <c r="AX18" s="64">
        <v>0</v>
      </c>
      <c r="AY18" s="64">
        <v>0</v>
      </c>
      <c r="BA18" s="65">
        <v>0</v>
      </c>
      <c r="BB18" s="65">
        <v>0</v>
      </c>
      <c r="BC18" s="65">
        <v>0</v>
      </c>
    </row>
    <row r="19" spans="1:55" s="64" customFormat="1" x14ac:dyDescent="0.2">
      <c r="A19" s="63" t="s">
        <v>33</v>
      </c>
      <c r="B19" s="29">
        <v>48095</v>
      </c>
      <c r="C19" s="64">
        <v>46897</v>
      </c>
      <c r="D19" s="64">
        <v>1198</v>
      </c>
      <c r="E19" s="64">
        <v>0</v>
      </c>
      <c r="G19" s="65">
        <v>0.97509096579686039</v>
      </c>
      <c r="H19" s="65">
        <v>2.490903420313962E-2</v>
      </c>
      <c r="I19" s="65">
        <v>0</v>
      </c>
      <c r="K19" s="29">
        <v>2336</v>
      </c>
      <c r="L19" s="64">
        <v>2187</v>
      </c>
      <c r="M19" s="64">
        <v>149</v>
      </c>
      <c r="N19" s="64">
        <v>0</v>
      </c>
      <c r="P19" s="65">
        <v>0.93621575342465757</v>
      </c>
      <c r="Q19" s="65">
        <v>6.3784246575342471E-2</v>
      </c>
      <c r="R19" s="65">
        <v>0</v>
      </c>
      <c r="T19" s="29">
        <v>0</v>
      </c>
      <c r="U19" s="64">
        <v>0</v>
      </c>
      <c r="V19" s="64">
        <v>0</v>
      </c>
      <c r="W19" s="64">
        <v>0</v>
      </c>
      <c r="Y19" s="65">
        <v>0</v>
      </c>
      <c r="Z19" s="65">
        <v>0</v>
      </c>
      <c r="AA19" s="65">
        <v>0</v>
      </c>
      <c r="AD19" s="29">
        <v>11451</v>
      </c>
      <c r="AE19" s="64">
        <v>10963</v>
      </c>
      <c r="AF19" s="64">
        <v>488</v>
      </c>
      <c r="AG19" s="64">
        <v>0</v>
      </c>
      <c r="AI19" s="65">
        <v>0.95738363461706399</v>
      </c>
      <c r="AJ19" s="65">
        <v>4.2616365382935985E-2</v>
      </c>
      <c r="AK19" s="65">
        <v>0</v>
      </c>
      <c r="AM19" s="29">
        <v>0</v>
      </c>
      <c r="AN19" s="64">
        <v>0</v>
      </c>
      <c r="AO19" s="64">
        <v>0</v>
      </c>
      <c r="AP19" s="64">
        <v>0</v>
      </c>
      <c r="AR19" s="65">
        <v>0</v>
      </c>
      <c r="AS19" s="65">
        <v>0</v>
      </c>
      <c r="AT19" s="65">
        <v>0</v>
      </c>
      <c r="AV19" s="29">
        <v>0</v>
      </c>
      <c r="AW19" s="64">
        <v>0</v>
      </c>
      <c r="AX19" s="64">
        <v>0</v>
      </c>
      <c r="AY19" s="64">
        <v>0</v>
      </c>
      <c r="BA19" s="65">
        <v>0</v>
      </c>
      <c r="BB19" s="65">
        <v>0</v>
      </c>
      <c r="BC19" s="65">
        <v>0</v>
      </c>
    </row>
    <row r="20" spans="1:55" s="64" customFormat="1" x14ac:dyDescent="0.2">
      <c r="A20" s="63" t="s">
        <v>34</v>
      </c>
      <c r="B20" s="29">
        <v>7804</v>
      </c>
      <c r="C20" s="64">
        <v>7725</v>
      </c>
      <c r="D20" s="64">
        <v>1</v>
      </c>
      <c r="E20" s="64">
        <v>78</v>
      </c>
      <c r="G20" s="65">
        <v>0.98987698616094311</v>
      </c>
      <c r="H20" s="65">
        <v>1.2813941568426448E-4</v>
      </c>
      <c r="I20" s="65">
        <v>9.9948744233726294E-3</v>
      </c>
      <c r="K20" s="29">
        <v>336</v>
      </c>
      <c r="L20" s="64">
        <v>336</v>
      </c>
      <c r="M20" s="64">
        <v>0</v>
      </c>
      <c r="N20" s="64">
        <v>0</v>
      </c>
      <c r="P20" s="65">
        <v>1</v>
      </c>
      <c r="Q20" s="65">
        <v>0</v>
      </c>
      <c r="R20" s="65">
        <v>0</v>
      </c>
      <c r="T20" s="29">
        <v>0</v>
      </c>
      <c r="U20" s="64">
        <v>0</v>
      </c>
      <c r="V20" s="64">
        <v>0</v>
      </c>
      <c r="W20" s="64">
        <v>0</v>
      </c>
      <c r="Y20" s="65">
        <v>0</v>
      </c>
      <c r="Z20" s="65">
        <v>0</v>
      </c>
      <c r="AA20" s="65">
        <v>0</v>
      </c>
      <c r="AD20" s="29">
        <v>0</v>
      </c>
      <c r="AE20" s="64">
        <v>0</v>
      </c>
      <c r="AF20" s="64">
        <v>0</v>
      </c>
      <c r="AG20" s="64">
        <v>0</v>
      </c>
      <c r="AI20" s="65">
        <v>0</v>
      </c>
      <c r="AJ20" s="65">
        <v>0</v>
      </c>
      <c r="AK20" s="65">
        <v>0</v>
      </c>
      <c r="AM20" s="29">
        <v>0</v>
      </c>
      <c r="AN20" s="64">
        <v>0</v>
      </c>
      <c r="AO20" s="64">
        <v>0</v>
      </c>
      <c r="AP20" s="64">
        <v>0</v>
      </c>
      <c r="AR20" s="65">
        <v>0</v>
      </c>
      <c r="AS20" s="65">
        <v>0</v>
      </c>
      <c r="AT20" s="65">
        <v>0</v>
      </c>
      <c r="AV20" s="29">
        <v>0</v>
      </c>
      <c r="AW20" s="64">
        <v>0</v>
      </c>
      <c r="AX20" s="64">
        <v>0</v>
      </c>
      <c r="AY20" s="64">
        <v>0</v>
      </c>
      <c r="BA20" s="65">
        <v>0</v>
      </c>
      <c r="BB20" s="65">
        <v>0</v>
      </c>
      <c r="BC20" s="65">
        <v>0</v>
      </c>
    </row>
    <row r="21" spans="1:55" s="64" customFormat="1" x14ac:dyDescent="0.2">
      <c r="A21" s="63" t="s">
        <v>35</v>
      </c>
      <c r="B21" s="29">
        <v>1051685</v>
      </c>
      <c r="C21" s="64">
        <v>905618</v>
      </c>
      <c r="D21" s="64">
        <v>146067</v>
      </c>
      <c r="E21" s="64">
        <v>0</v>
      </c>
      <c r="G21" s="65">
        <v>0.86111145447543702</v>
      </c>
      <c r="H21" s="65">
        <v>0.13888854552456295</v>
      </c>
      <c r="I21" s="65">
        <v>0</v>
      </c>
      <c r="K21" s="29">
        <v>89420</v>
      </c>
      <c r="L21" s="64">
        <v>65489</v>
      </c>
      <c r="M21" s="64">
        <v>23931</v>
      </c>
      <c r="N21" s="64">
        <v>0</v>
      </c>
      <c r="P21" s="65">
        <v>0.7323753075374636</v>
      </c>
      <c r="Q21" s="65">
        <v>0.26762469246253634</v>
      </c>
      <c r="R21" s="65">
        <v>0</v>
      </c>
      <c r="T21" s="29">
        <v>10562</v>
      </c>
      <c r="U21" s="64">
        <v>10218</v>
      </c>
      <c r="V21" s="64">
        <v>344</v>
      </c>
      <c r="W21" s="64">
        <v>0</v>
      </c>
      <c r="Y21" s="65">
        <v>0.9674304109070252</v>
      </c>
      <c r="Z21" s="65">
        <v>3.2569589092974818E-2</v>
      </c>
      <c r="AA21" s="65">
        <v>0</v>
      </c>
      <c r="AD21" s="29">
        <v>412954</v>
      </c>
      <c r="AE21" s="64">
        <v>393557</v>
      </c>
      <c r="AF21" s="64">
        <v>19397</v>
      </c>
      <c r="AG21" s="64">
        <v>0</v>
      </c>
      <c r="AI21" s="65">
        <v>0.95302866663115016</v>
      </c>
      <c r="AJ21" s="65">
        <v>4.6971333368849802E-2</v>
      </c>
      <c r="AK21" s="65">
        <v>0</v>
      </c>
      <c r="AM21" s="29">
        <v>6964</v>
      </c>
      <c r="AN21" s="64">
        <v>5410</v>
      </c>
      <c r="AO21" s="64">
        <v>1554</v>
      </c>
      <c r="AP21" s="64">
        <v>0</v>
      </c>
      <c r="AR21" s="65">
        <v>0.77685238368753595</v>
      </c>
      <c r="AS21" s="65">
        <v>0.2231476163124641</v>
      </c>
      <c r="AT21" s="65">
        <v>0</v>
      </c>
      <c r="AV21" s="29">
        <v>549</v>
      </c>
      <c r="AW21" s="64">
        <v>480</v>
      </c>
      <c r="AX21" s="64">
        <v>69</v>
      </c>
      <c r="AY21" s="64">
        <v>0</v>
      </c>
      <c r="BA21" s="65">
        <v>7.8834003446295237E-2</v>
      </c>
      <c r="BB21" s="65">
        <v>6.8925904652498565E-2</v>
      </c>
      <c r="BC21" s="65">
        <v>9.9080987937966679E-3</v>
      </c>
    </row>
    <row r="22" spans="1:55" s="64" customFormat="1" x14ac:dyDescent="0.2">
      <c r="A22" s="63" t="s">
        <v>36</v>
      </c>
      <c r="B22" s="29">
        <v>5217</v>
      </c>
      <c r="C22" s="64">
        <v>5169</v>
      </c>
      <c r="D22" s="64">
        <v>0</v>
      </c>
      <c r="E22" s="64">
        <v>48</v>
      </c>
      <c r="G22" s="65">
        <v>0.99079930994824617</v>
      </c>
      <c r="H22" s="65">
        <v>0</v>
      </c>
      <c r="I22" s="65">
        <v>9.2006900517538816E-3</v>
      </c>
      <c r="K22" s="29">
        <v>371</v>
      </c>
      <c r="L22" s="64">
        <v>355</v>
      </c>
      <c r="M22" s="64">
        <v>1</v>
      </c>
      <c r="N22" s="64">
        <v>15</v>
      </c>
      <c r="P22" s="65">
        <v>0.95687331536388143</v>
      </c>
      <c r="Q22" s="66">
        <v>2.6954177897574125E-3</v>
      </c>
      <c r="R22" s="65">
        <v>4.0431266846361183E-2</v>
      </c>
      <c r="T22" s="29">
        <v>0</v>
      </c>
      <c r="U22" s="64">
        <v>0</v>
      </c>
      <c r="V22" s="64">
        <v>0</v>
      </c>
      <c r="W22" s="64">
        <v>0</v>
      </c>
      <c r="Y22" s="65">
        <v>0</v>
      </c>
      <c r="Z22" s="65">
        <v>0</v>
      </c>
      <c r="AA22" s="65">
        <v>0</v>
      </c>
      <c r="AD22" s="29">
        <v>0</v>
      </c>
      <c r="AE22" s="64">
        <v>0</v>
      </c>
      <c r="AF22" s="64">
        <v>0</v>
      </c>
      <c r="AG22" s="64">
        <v>0</v>
      </c>
      <c r="AI22" s="65">
        <v>0</v>
      </c>
      <c r="AJ22" s="65">
        <v>0</v>
      </c>
      <c r="AK22" s="65">
        <v>0</v>
      </c>
      <c r="AM22" s="29">
        <v>0</v>
      </c>
      <c r="AN22" s="64">
        <v>0</v>
      </c>
      <c r="AO22" s="64">
        <v>0</v>
      </c>
      <c r="AP22" s="64">
        <v>0</v>
      </c>
      <c r="AR22" s="65">
        <v>0</v>
      </c>
      <c r="AS22" s="65">
        <v>0</v>
      </c>
      <c r="AT22" s="65">
        <v>0</v>
      </c>
      <c r="AV22" s="29">
        <v>0</v>
      </c>
      <c r="AW22" s="64">
        <v>0</v>
      </c>
      <c r="AX22" s="64">
        <v>0</v>
      </c>
      <c r="AY22" s="64">
        <v>0</v>
      </c>
      <c r="BA22" s="65">
        <v>0</v>
      </c>
      <c r="BB22" s="65">
        <v>0</v>
      </c>
      <c r="BC22" s="65">
        <v>0</v>
      </c>
    </row>
    <row r="23" spans="1:55" s="64" customFormat="1" x14ac:dyDescent="0.2">
      <c r="A23" s="63" t="s">
        <v>84</v>
      </c>
      <c r="B23" s="29">
        <v>0</v>
      </c>
      <c r="C23" s="64">
        <v>0</v>
      </c>
      <c r="D23" s="64">
        <v>0</v>
      </c>
      <c r="E23" s="64">
        <v>0</v>
      </c>
      <c r="G23" s="65">
        <v>0</v>
      </c>
      <c r="H23" s="65">
        <v>0</v>
      </c>
      <c r="I23" s="65">
        <v>0</v>
      </c>
      <c r="K23" s="29">
        <v>41</v>
      </c>
      <c r="L23" s="64">
        <v>41</v>
      </c>
      <c r="M23" s="64">
        <v>0</v>
      </c>
      <c r="N23" s="64">
        <v>0</v>
      </c>
      <c r="P23" s="65">
        <v>1</v>
      </c>
      <c r="Q23" s="65">
        <v>0</v>
      </c>
      <c r="R23" s="65">
        <v>0</v>
      </c>
      <c r="T23" s="29">
        <v>15</v>
      </c>
      <c r="U23" s="64">
        <v>15</v>
      </c>
      <c r="V23" s="64">
        <v>0</v>
      </c>
      <c r="W23" s="64">
        <v>0</v>
      </c>
      <c r="Y23" s="65">
        <v>1</v>
      </c>
      <c r="Z23" s="65">
        <v>0</v>
      </c>
      <c r="AA23" s="65">
        <v>0</v>
      </c>
      <c r="AD23" s="29">
        <v>0</v>
      </c>
      <c r="AE23" s="64">
        <v>0</v>
      </c>
      <c r="AF23" s="64">
        <v>0</v>
      </c>
      <c r="AG23" s="64">
        <v>0</v>
      </c>
      <c r="AI23" s="65">
        <v>0</v>
      </c>
      <c r="AJ23" s="65">
        <v>0</v>
      </c>
      <c r="AK23" s="65">
        <v>0</v>
      </c>
      <c r="AM23" s="29">
        <v>0</v>
      </c>
      <c r="AN23" s="64">
        <v>0</v>
      </c>
      <c r="AO23" s="64">
        <v>0</v>
      </c>
      <c r="AP23" s="64">
        <v>0</v>
      </c>
      <c r="AR23" s="65">
        <v>0</v>
      </c>
      <c r="AS23" s="65">
        <v>0</v>
      </c>
      <c r="AT23" s="65">
        <v>0</v>
      </c>
      <c r="AV23" s="29">
        <v>0</v>
      </c>
      <c r="AW23" s="64">
        <v>0</v>
      </c>
      <c r="AX23" s="64">
        <v>0</v>
      </c>
      <c r="AY23" s="64">
        <v>0</v>
      </c>
      <c r="BA23" s="65">
        <v>0</v>
      </c>
      <c r="BB23" s="65">
        <v>0</v>
      </c>
      <c r="BC23" s="65">
        <v>0</v>
      </c>
    </row>
    <row r="24" spans="1:55" s="64" customFormat="1" x14ac:dyDescent="0.2">
      <c r="A24" s="63" t="s">
        <v>37</v>
      </c>
      <c r="B24" s="29">
        <v>613919</v>
      </c>
      <c r="C24" s="64">
        <v>0</v>
      </c>
      <c r="D24" s="64">
        <v>613919</v>
      </c>
      <c r="E24" s="64">
        <v>0</v>
      </c>
      <c r="G24" s="65">
        <v>0</v>
      </c>
      <c r="H24" s="65">
        <v>1</v>
      </c>
      <c r="I24" s="65">
        <v>0</v>
      </c>
      <c r="K24" s="29">
        <v>88010</v>
      </c>
      <c r="L24" s="64">
        <v>0</v>
      </c>
      <c r="M24" s="64">
        <v>88010</v>
      </c>
      <c r="N24" s="64">
        <v>0</v>
      </c>
      <c r="P24" s="65">
        <v>0</v>
      </c>
      <c r="Q24" s="65">
        <v>1</v>
      </c>
      <c r="R24" s="65">
        <v>0</v>
      </c>
      <c r="T24" s="29">
        <v>5010</v>
      </c>
      <c r="U24" s="64">
        <v>0</v>
      </c>
      <c r="V24" s="64">
        <v>5010</v>
      </c>
      <c r="W24" s="64">
        <v>0</v>
      </c>
      <c r="Y24" s="65">
        <v>0</v>
      </c>
      <c r="Z24" s="65">
        <v>1</v>
      </c>
      <c r="AA24" s="65">
        <v>0</v>
      </c>
      <c r="AD24" s="29">
        <v>0</v>
      </c>
      <c r="AE24" s="64">
        <v>0</v>
      </c>
      <c r="AF24" s="64">
        <v>0</v>
      </c>
      <c r="AG24" s="64">
        <v>0</v>
      </c>
      <c r="AI24" s="65">
        <v>0</v>
      </c>
      <c r="AJ24" s="65">
        <v>0</v>
      </c>
      <c r="AK24" s="65">
        <v>0</v>
      </c>
      <c r="AM24" s="29">
        <v>0</v>
      </c>
      <c r="AN24" s="64">
        <v>0</v>
      </c>
      <c r="AO24" s="64">
        <v>0</v>
      </c>
      <c r="AP24" s="64">
        <v>0</v>
      </c>
      <c r="AR24" s="65">
        <v>0</v>
      </c>
      <c r="AS24" s="65">
        <v>0</v>
      </c>
      <c r="AT24" s="65">
        <v>0</v>
      </c>
      <c r="AV24" s="29">
        <v>0</v>
      </c>
      <c r="AW24" s="64">
        <v>0</v>
      </c>
      <c r="AX24" s="64">
        <v>0</v>
      </c>
      <c r="AY24" s="64">
        <v>0</v>
      </c>
      <c r="BA24" s="65">
        <v>0</v>
      </c>
      <c r="BB24" s="65">
        <v>0</v>
      </c>
      <c r="BC24" s="65">
        <v>0</v>
      </c>
    </row>
    <row r="25" spans="1:55" s="64" customFormat="1" x14ac:dyDescent="0.2">
      <c r="A25" s="63" t="s">
        <v>85</v>
      </c>
      <c r="B25" s="29">
        <v>0</v>
      </c>
      <c r="C25" s="64">
        <v>0</v>
      </c>
      <c r="D25" s="64">
        <v>0</v>
      </c>
      <c r="E25" s="64">
        <v>0</v>
      </c>
      <c r="G25" s="65">
        <v>0</v>
      </c>
      <c r="H25" s="65">
        <v>0</v>
      </c>
      <c r="I25" s="65">
        <v>0</v>
      </c>
      <c r="K25" s="29">
        <v>3020</v>
      </c>
      <c r="L25" s="64">
        <v>426</v>
      </c>
      <c r="M25" s="64">
        <v>1354</v>
      </c>
      <c r="N25" s="64">
        <v>1240</v>
      </c>
      <c r="P25" s="65">
        <v>0.14105960264900663</v>
      </c>
      <c r="Q25" s="65">
        <v>0.44834437086092715</v>
      </c>
      <c r="R25" s="65">
        <v>0.41059602649006621</v>
      </c>
      <c r="T25" s="29">
        <v>2793</v>
      </c>
      <c r="U25" s="64">
        <v>2788</v>
      </c>
      <c r="V25" s="64">
        <v>0</v>
      </c>
      <c r="W25" s="64">
        <v>5</v>
      </c>
      <c r="Y25" s="65">
        <v>0.99820981023988542</v>
      </c>
      <c r="Z25" s="65">
        <v>0</v>
      </c>
      <c r="AA25" s="65">
        <v>1.7901897601145722E-3</v>
      </c>
      <c r="AD25" s="29">
        <v>0</v>
      </c>
      <c r="AE25" s="64">
        <v>0</v>
      </c>
      <c r="AF25" s="64">
        <v>0</v>
      </c>
      <c r="AG25" s="64">
        <v>0</v>
      </c>
      <c r="AI25" s="65">
        <v>0</v>
      </c>
      <c r="AJ25" s="65">
        <v>0</v>
      </c>
      <c r="AK25" s="65">
        <v>0</v>
      </c>
      <c r="AM25" s="29">
        <v>0</v>
      </c>
      <c r="AN25" s="64">
        <v>0</v>
      </c>
      <c r="AO25" s="64">
        <v>0</v>
      </c>
      <c r="AP25" s="64">
        <v>0</v>
      </c>
      <c r="AR25" s="65">
        <v>0</v>
      </c>
      <c r="AS25" s="65">
        <v>0</v>
      </c>
      <c r="AT25" s="65">
        <v>0</v>
      </c>
      <c r="AV25" s="29">
        <v>0</v>
      </c>
      <c r="AW25" s="64">
        <v>0</v>
      </c>
      <c r="AX25" s="64">
        <v>0</v>
      </c>
      <c r="AY25" s="64">
        <v>0</v>
      </c>
      <c r="BA25" s="65">
        <v>0</v>
      </c>
      <c r="BB25" s="65">
        <v>0</v>
      </c>
      <c r="BC25" s="65">
        <v>0</v>
      </c>
    </row>
    <row r="26" spans="1:55" s="64" customFormat="1" x14ac:dyDescent="0.2">
      <c r="A26" s="63" t="s">
        <v>38</v>
      </c>
      <c r="B26" s="29">
        <v>601</v>
      </c>
      <c r="C26" s="64">
        <v>601</v>
      </c>
      <c r="D26" s="64">
        <v>0</v>
      </c>
      <c r="E26" s="64">
        <v>0</v>
      </c>
      <c r="G26" s="65">
        <v>1</v>
      </c>
      <c r="H26" s="65">
        <v>0</v>
      </c>
      <c r="I26" s="65">
        <v>0</v>
      </c>
      <c r="K26" s="29">
        <v>0</v>
      </c>
      <c r="L26" s="64">
        <v>0</v>
      </c>
      <c r="M26" s="64">
        <v>0</v>
      </c>
      <c r="N26" s="64">
        <v>0</v>
      </c>
      <c r="P26" s="65">
        <v>0</v>
      </c>
      <c r="Q26" s="65">
        <v>0</v>
      </c>
      <c r="R26" s="65">
        <v>0</v>
      </c>
      <c r="T26" s="29">
        <v>0</v>
      </c>
      <c r="U26" s="64">
        <v>0</v>
      </c>
      <c r="V26" s="64">
        <v>0</v>
      </c>
      <c r="W26" s="64">
        <v>0</v>
      </c>
      <c r="Y26" s="65">
        <v>0</v>
      </c>
      <c r="Z26" s="65">
        <v>0</v>
      </c>
      <c r="AA26" s="65">
        <v>0</v>
      </c>
      <c r="AD26" s="29">
        <v>0</v>
      </c>
      <c r="AE26" s="64">
        <v>0</v>
      </c>
      <c r="AF26" s="64">
        <v>0</v>
      </c>
      <c r="AG26" s="64">
        <v>0</v>
      </c>
      <c r="AI26" s="65">
        <v>0</v>
      </c>
      <c r="AJ26" s="65">
        <v>0</v>
      </c>
      <c r="AK26" s="65">
        <v>0</v>
      </c>
      <c r="AM26" s="29">
        <v>0</v>
      </c>
      <c r="AN26" s="64">
        <v>0</v>
      </c>
      <c r="AO26" s="64">
        <v>0</v>
      </c>
      <c r="AP26" s="64">
        <v>0</v>
      </c>
      <c r="AR26" s="65">
        <v>0</v>
      </c>
      <c r="AS26" s="65">
        <v>0</v>
      </c>
      <c r="AT26" s="65">
        <v>0</v>
      </c>
      <c r="AV26" s="29">
        <v>0</v>
      </c>
      <c r="AW26" s="64">
        <v>0</v>
      </c>
      <c r="AX26" s="64">
        <v>0</v>
      </c>
      <c r="AY26" s="64">
        <v>0</v>
      </c>
      <c r="BA26" s="65">
        <v>0</v>
      </c>
      <c r="BB26" s="65">
        <v>0</v>
      </c>
      <c r="BC26" s="65">
        <v>0</v>
      </c>
    </row>
    <row r="27" spans="1:55" s="64" customFormat="1" x14ac:dyDescent="0.2">
      <c r="A27" s="63" t="s">
        <v>39</v>
      </c>
      <c r="B27" s="29">
        <v>2819</v>
      </c>
      <c r="C27" s="64">
        <v>2453</v>
      </c>
      <c r="D27" s="64">
        <v>0</v>
      </c>
      <c r="E27" s="64">
        <v>366</v>
      </c>
      <c r="G27" s="65">
        <v>0.870166725789287</v>
      </c>
      <c r="H27" s="65">
        <v>0</v>
      </c>
      <c r="I27" s="65">
        <v>0.12983327421071303</v>
      </c>
      <c r="K27" s="29">
        <v>494</v>
      </c>
      <c r="L27" s="64">
        <v>394</v>
      </c>
      <c r="M27" s="64">
        <v>0</v>
      </c>
      <c r="N27" s="64">
        <v>100</v>
      </c>
      <c r="P27" s="65">
        <v>0.79757085020242913</v>
      </c>
      <c r="Q27" s="65">
        <v>0</v>
      </c>
      <c r="R27" s="65">
        <v>0.20242914979757085</v>
      </c>
      <c r="T27" s="29">
        <v>14</v>
      </c>
      <c r="U27" s="64">
        <v>14</v>
      </c>
      <c r="V27" s="64">
        <v>0</v>
      </c>
      <c r="W27" s="64">
        <v>0</v>
      </c>
      <c r="Y27" s="65">
        <v>1</v>
      </c>
      <c r="Z27" s="65">
        <v>0</v>
      </c>
      <c r="AA27" s="65">
        <v>0</v>
      </c>
      <c r="AD27" s="29">
        <v>0</v>
      </c>
      <c r="AE27" s="64">
        <v>0</v>
      </c>
      <c r="AF27" s="64">
        <v>0</v>
      </c>
      <c r="AG27" s="64">
        <v>0</v>
      </c>
      <c r="AI27" s="65">
        <v>0</v>
      </c>
      <c r="AJ27" s="65">
        <v>0</v>
      </c>
      <c r="AK27" s="65">
        <v>0</v>
      </c>
      <c r="AM27" s="29">
        <v>0</v>
      </c>
      <c r="AN27" s="64">
        <v>0</v>
      </c>
      <c r="AO27" s="64">
        <v>0</v>
      </c>
      <c r="AP27" s="64">
        <v>0</v>
      </c>
      <c r="AR27" s="65">
        <v>0</v>
      </c>
      <c r="AS27" s="65">
        <v>0</v>
      </c>
      <c r="AT27" s="65">
        <v>0</v>
      </c>
      <c r="AV27" s="29">
        <v>0</v>
      </c>
      <c r="AW27" s="64">
        <v>0</v>
      </c>
      <c r="AX27" s="64">
        <v>0</v>
      </c>
      <c r="AY27" s="64">
        <v>0</v>
      </c>
      <c r="BA27" s="65">
        <v>0</v>
      </c>
      <c r="BB27" s="65">
        <v>0</v>
      </c>
      <c r="BC27" s="65">
        <v>0</v>
      </c>
    </row>
    <row r="28" spans="1:55" s="64" customFormat="1" x14ac:dyDescent="0.2">
      <c r="A28" s="63" t="s">
        <v>41</v>
      </c>
      <c r="B28" s="29">
        <v>18671</v>
      </c>
      <c r="C28" s="64">
        <v>18671</v>
      </c>
      <c r="D28" s="64">
        <v>0</v>
      </c>
      <c r="E28" s="64">
        <v>0</v>
      </c>
      <c r="G28" s="65">
        <v>1</v>
      </c>
      <c r="H28" s="65">
        <v>0</v>
      </c>
      <c r="I28" s="65">
        <v>0</v>
      </c>
      <c r="K28" s="29">
        <v>685</v>
      </c>
      <c r="L28" s="64">
        <v>685</v>
      </c>
      <c r="M28" s="64">
        <v>0</v>
      </c>
      <c r="N28" s="64">
        <v>0</v>
      </c>
      <c r="P28" s="65">
        <v>1</v>
      </c>
      <c r="Q28" s="65">
        <v>0</v>
      </c>
      <c r="R28" s="65">
        <v>0</v>
      </c>
      <c r="T28" s="29">
        <v>33</v>
      </c>
      <c r="U28" s="64">
        <v>33</v>
      </c>
      <c r="V28" s="64">
        <v>0</v>
      </c>
      <c r="W28" s="64">
        <v>0</v>
      </c>
      <c r="Y28" s="65">
        <v>1</v>
      </c>
      <c r="Z28" s="65">
        <v>0</v>
      </c>
      <c r="AA28" s="65">
        <v>0</v>
      </c>
      <c r="AD28" s="29">
        <v>0</v>
      </c>
      <c r="AE28" s="64">
        <v>0</v>
      </c>
      <c r="AF28" s="64">
        <v>0</v>
      </c>
      <c r="AG28" s="64">
        <v>0</v>
      </c>
      <c r="AI28" s="65">
        <v>0</v>
      </c>
      <c r="AJ28" s="65">
        <v>0</v>
      </c>
      <c r="AK28" s="65">
        <v>0</v>
      </c>
      <c r="AM28" s="29">
        <v>0</v>
      </c>
      <c r="AN28" s="64">
        <v>0</v>
      </c>
      <c r="AO28" s="64">
        <v>0</v>
      </c>
      <c r="AP28" s="64">
        <v>0</v>
      </c>
      <c r="AR28" s="65">
        <v>0</v>
      </c>
      <c r="AS28" s="65">
        <v>0</v>
      </c>
      <c r="AT28" s="65">
        <v>0</v>
      </c>
      <c r="AV28" s="29">
        <v>0</v>
      </c>
      <c r="AW28" s="64">
        <v>0</v>
      </c>
      <c r="AX28" s="64">
        <v>0</v>
      </c>
      <c r="AY28" s="64">
        <v>0</v>
      </c>
      <c r="BA28" s="65">
        <v>0</v>
      </c>
      <c r="BB28" s="65">
        <v>0</v>
      </c>
      <c r="BC28" s="65">
        <v>0</v>
      </c>
    </row>
    <row r="29" spans="1:55" s="64" customFormat="1" x14ac:dyDescent="0.2">
      <c r="A29" s="63" t="s">
        <v>42</v>
      </c>
      <c r="B29" s="29">
        <v>35939</v>
      </c>
      <c r="C29" s="64">
        <v>35426</v>
      </c>
      <c r="D29" s="64">
        <v>503</v>
      </c>
      <c r="E29" s="64">
        <v>10</v>
      </c>
      <c r="G29" s="65">
        <v>0.98572581318344976</v>
      </c>
      <c r="H29" s="65">
        <v>1.3995937560867025E-2</v>
      </c>
      <c r="I29" s="65">
        <v>2.7824925568324107E-4</v>
      </c>
      <c r="K29" s="29">
        <v>3899</v>
      </c>
      <c r="L29" s="64">
        <v>3726</v>
      </c>
      <c r="M29" s="64">
        <v>158</v>
      </c>
      <c r="N29" s="64">
        <v>15</v>
      </c>
      <c r="P29" s="65">
        <v>0.95562964862785327</v>
      </c>
      <c r="Q29" s="65">
        <v>4.0523211079764039E-2</v>
      </c>
      <c r="R29" s="65">
        <v>3.8471402923826621E-3</v>
      </c>
      <c r="T29" s="29">
        <v>33</v>
      </c>
      <c r="U29" s="64">
        <v>33</v>
      </c>
      <c r="V29" s="64">
        <v>0</v>
      </c>
      <c r="W29" s="64">
        <v>0</v>
      </c>
      <c r="Y29" s="65">
        <v>1</v>
      </c>
      <c r="Z29" s="65">
        <v>0</v>
      </c>
      <c r="AA29" s="65">
        <v>0</v>
      </c>
      <c r="AD29" s="29">
        <v>6676</v>
      </c>
      <c r="AE29" s="64">
        <v>6664</v>
      </c>
      <c r="AF29" s="64">
        <v>7</v>
      </c>
      <c r="AG29" s="64">
        <v>5</v>
      </c>
      <c r="AI29" s="65">
        <v>0.99820251647693226</v>
      </c>
      <c r="AJ29" s="65">
        <v>1.048532055122828E-3</v>
      </c>
      <c r="AK29" s="65">
        <v>7.4895146794487716E-4</v>
      </c>
      <c r="AM29" s="29">
        <v>34</v>
      </c>
      <c r="AN29" s="64">
        <v>31</v>
      </c>
      <c r="AO29" s="64">
        <v>3</v>
      </c>
      <c r="AP29" s="64">
        <v>0</v>
      </c>
      <c r="AR29" s="65">
        <v>0.91176470588235292</v>
      </c>
      <c r="AS29" s="65">
        <v>8.8235294117647065E-2</v>
      </c>
      <c r="AT29" s="65">
        <v>0</v>
      </c>
      <c r="AV29" s="29">
        <v>0</v>
      </c>
      <c r="AW29" s="64">
        <v>0</v>
      </c>
      <c r="AX29" s="64">
        <v>0</v>
      </c>
      <c r="AY29" s="64">
        <v>0</v>
      </c>
      <c r="BA29" s="65">
        <v>0</v>
      </c>
      <c r="BB29" s="65">
        <v>0</v>
      </c>
      <c r="BC29" s="65">
        <v>0</v>
      </c>
    </row>
    <row r="30" spans="1:55" s="64" customFormat="1" x14ac:dyDescent="0.2">
      <c r="A30" s="63" t="s">
        <v>91</v>
      </c>
      <c r="B30" s="29">
        <v>0</v>
      </c>
      <c r="C30" s="64">
        <v>0</v>
      </c>
      <c r="D30" s="64">
        <v>0</v>
      </c>
      <c r="E30" s="64">
        <v>0</v>
      </c>
      <c r="G30" s="65">
        <v>0</v>
      </c>
      <c r="H30" s="65">
        <v>0</v>
      </c>
      <c r="I30" s="65">
        <v>0</v>
      </c>
      <c r="K30" s="29">
        <v>0</v>
      </c>
      <c r="L30" s="64">
        <v>0</v>
      </c>
      <c r="M30" s="64">
        <v>0</v>
      </c>
      <c r="N30" s="64">
        <v>0</v>
      </c>
      <c r="P30" s="65">
        <v>0</v>
      </c>
      <c r="Q30" s="65">
        <v>0</v>
      </c>
      <c r="R30" s="65">
        <v>0</v>
      </c>
      <c r="T30" s="29">
        <v>6</v>
      </c>
      <c r="U30" s="64">
        <v>6</v>
      </c>
      <c r="V30" s="64">
        <v>0</v>
      </c>
      <c r="W30" s="64">
        <v>0</v>
      </c>
      <c r="Y30" s="65">
        <v>1</v>
      </c>
      <c r="Z30" s="65">
        <v>0</v>
      </c>
      <c r="AA30" s="65">
        <v>0</v>
      </c>
      <c r="AD30" s="29">
        <v>0</v>
      </c>
      <c r="AE30" s="64">
        <v>0</v>
      </c>
      <c r="AF30" s="64">
        <v>0</v>
      </c>
      <c r="AG30" s="64">
        <v>0</v>
      </c>
      <c r="AI30" s="65">
        <v>0</v>
      </c>
      <c r="AJ30" s="65">
        <v>0</v>
      </c>
      <c r="AK30" s="65">
        <v>0</v>
      </c>
      <c r="AM30" s="29">
        <v>0</v>
      </c>
      <c r="AN30" s="64">
        <v>0</v>
      </c>
      <c r="AO30" s="64">
        <v>0</v>
      </c>
      <c r="AP30" s="64">
        <v>0</v>
      </c>
      <c r="AR30" s="65">
        <v>0</v>
      </c>
      <c r="AS30" s="65">
        <v>0</v>
      </c>
      <c r="AT30" s="65">
        <v>0</v>
      </c>
      <c r="AV30" s="29">
        <v>0</v>
      </c>
      <c r="AW30" s="64">
        <v>0</v>
      </c>
      <c r="AX30" s="64">
        <v>0</v>
      </c>
      <c r="AY30" s="64">
        <v>0</v>
      </c>
      <c r="BA30" s="65">
        <v>0</v>
      </c>
      <c r="BB30" s="65">
        <v>0</v>
      </c>
      <c r="BC30" s="65">
        <v>0</v>
      </c>
    </row>
    <row r="31" spans="1:55" s="64" customFormat="1" x14ac:dyDescent="0.2">
      <c r="A31" s="63" t="s">
        <v>43</v>
      </c>
      <c r="B31" s="29">
        <v>14002</v>
      </c>
      <c r="C31" s="64">
        <v>0</v>
      </c>
      <c r="D31" s="64">
        <v>14002</v>
      </c>
      <c r="E31" s="64">
        <v>0</v>
      </c>
      <c r="G31" s="65">
        <v>0</v>
      </c>
      <c r="H31" s="65">
        <v>1</v>
      </c>
      <c r="I31" s="65">
        <v>0</v>
      </c>
      <c r="K31" s="29">
        <v>298</v>
      </c>
      <c r="L31" s="64">
        <v>0</v>
      </c>
      <c r="M31" s="64">
        <v>298</v>
      </c>
      <c r="N31" s="64">
        <v>0</v>
      </c>
      <c r="P31" s="65">
        <v>0</v>
      </c>
      <c r="Q31" s="65">
        <v>1</v>
      </c>
      <c r="R31" s="65">
        <v>0</v>
      </c>
      <c r="T31" s="29">
        <v>0</v>
      </c>
      <c r="U31" s="64">
        <v>0</v>
      </c>
      <c r="V31" s="64">
        <v>0</v>
      </c>
      <c r="W31" s="64">
        <v>0</v>
      </c>
      <c r="Y31" s="65">
        <v>0</v>
      </c>
      <c r="Z31" s="65">
        <v>0</v>
      </c>
      <c r="AA31" s="65">
        <v>0</v>
      </c>
      <c r="AD31" s="29">
        <v>10136</v>
      </c>
      <c r="AE31" s="64">
        <v>0</v>
      </c>
      <c r="AF31" s="64">
        <v>10136</v>
      </c>
      <c r="AG31" s="64">
        <v>0</v>
      </c>
      <c r="AI31" s="65">
        <v>0</v>
      </c>
      <c r="AJ31" s="65">
        <v>1</v>
      </c>
      <c r="AK31" s="65">
        <v>0</v>
      </c>
      <c r="AM31" s="29">
        <v>0</v>
      </c>
      <c r="AN31" s="64">
        <v>0</v>
      </c>
      <c r="AO31" s="64">
        <v>0</v>
      </c>
      <c r="AP31" s="64">
        <v>0</v>
      </c>
      <c r="AR31" s="65">
        <v>0</v>
      </c>
      <c r="AS31" s="65">
        <v>0</v>
      </c>
      <c r="AT31" s="65">
        <v>0</v>
      </c>
      <c r="AV31" s="29">
        <v>0</v>
      </c>
      <c r="AW31" s="64">
        <v>0</v>
      </c>
      <c r="AX31" s="64">
        <v>0</v>
      </c>
      <c r="AY31" s="64">
        <v>0</v>
      </c>
      <c r="BA31" s="65">
        <v>0</v>
      </c>
      <c r="BB31" s="65">
        <v>0</v>
      </c>
      <c r="BC31" s="65">
        <v>0</v>
      </c>
    </row>
    <row r="32" spans="1:55" s="64" customFormat="1" x14ac:dyDescent="0.2">
      <c r="A32" s="63" t="s">
        <v>44</v>
      </c>
      <c r="B32" s="29">
        <v>2786</v>
      </c>
      <c r="C32" s="64">
        <v>2735</v>
      </c>
      <c r="D32" s="64">
        <v>51</v>
      </c>
      <c r="E32" s="64">
        <v>0</v>
      </c>
      <c r="G32" s="65">
        <v>0.9816941852117731</v>
      </c>
      <c r="H32" s="65">
        <v>1.8305814788226848E-2</v>
      </c>
      <c r="I32" s="65">
        <v>0</v>
      </c>
      <c r="K32" s="29">
        <v>7</v>
      </c>
      <c r="L32" s="64">
        <v>7</v>
      </c>
      <c r="M32" s="64">
        <v>0</v>
      </c>
      <c r="N32" s="64">
        <v>0</v>
      </c>
      <c r="P32" s="65">
        <v>1</v>
      </c>
      <c r="Q32" s="65">
        <v>0</v>
      </c>
      <c r="R32" s="65">
        <v>0</v>
      </c>
      <c r="T32" s="29">
        <v>0</v>
      </c>
      <c r="U32" s="64">
        <v>0</v>
      </c>
      <c r="V32" s="64">
        <v>0</v>
      </c>
      <c r="W32" s="64">
        <v>0</v>
      </c>
      <c r="Y32" s="65">
        <v>0</v>
      </c>
      <c r="Z32" s="65">
        <v>0</v>
      </c>
      <c r="AA32" s="65">
        <v>0</v>
      </c>
      <c r="AD32" s="29">
        <v>0</v>
      </c>
      <c r="AE32" s="64">
        <v>0</v>
      </c>
      <c r="AF32" s="64">
        <v>0</v>
      </c>
      <c r="AG32" s="64">
        <v>0</v>
      </c>
      <c r="AI32" s="65">
        <v>0</v>
      </c>
      <c r="AJ32" s="65">
        <v>0</v>
      </c>
      <c r="AK32" s="65">
        <v>0</v>
      </c>
      <c r="AM32" s="29">
        <v>0</v>
      </c>
      <c r="AN32" s="64">
        <v>0</v>
      </c>
      <c r="AO32" s="64">
        <v>0</v>
      </c>
      <c r="AP32" s="64">
        <v>0</v>
      </c>
      <c r="AR32" s="65">
        <v>0</v>
      </c>
      <c r="AS32" s="65">
        <v>0</v>
      </c>
      <c r="AT32" s="65">
        <v>0</v>
      </c>
      <c r="AV32" s="29">
        <v>0</v>
      </c>
      <c r="AW32" s="64">
        <v>0</v>
      </c>
      <c r="AX32" s="64">
        <v>0</v>
      </c>
      <c r="AY32" s="64">
        <v>0</v>
      </c>
      <c r="BA32" s="65">
        <v>0</v>
      </c>
      <c r="BB32" s="65">
        <v>0</v>
      </c>
      <c r="BC32" s="65">
        <v>0</v>
      </c>
    </row>
    <row r="33" spans="1:55" s="64" customFormat="1" x14ac:dyDescent="0.2">
      <c r="A33" s="63" t="s">
        <v>45</v>
      </c>
      <c r="B33" s="29">
        <v>15178</v>
      </c>
      <c r="C33" s="64">
        <v>15127</v>
      </c>
      <c r="D33" s="64">
        <v>5</v>
      </c>
      <c r="E33" s="64">
        <v>46</v>
      </c>
      <c r="G33" s="65">
        <v>0.99663987350112004</v>
      </c>
      <c r="H33" s="65">
        <v>3.2942416655685862E-4</v>
      </c>
      <c r="I33" s="65">
        <v>3.0307023323230993E-3</v>
      </c>
      <c r="K33" s="29">
        <v>8109</v>
      </c>
      <c r="L33" s="64">
        <v>7944</v>
      </c>
      <c r="M33" s="64">
        <v>21</v>
      </c>
      <c r="N33" s="64">
        <v>144</v>
      </c>
      <c r="P33" s="65">
        <v>0.97965223825379211</v>
      </c>
      <c r="Q33" s="65">
        <v>2.5897151313355529E-3</v>
      </c>
      <c r="R33" s="65">
        <v>1.7758046614872364E-2</v>
      </c>
      <c r="T33" s="29">
        <v>2820</v>
      </c>
      <c r="U33" s="64">
        <v>2820</v>
      </c>
      <c r="V33" s="64">
        <v>0</v>
      </c>
      <c r="W33" s="64">
        <v>0</v>
      </c>
      <c r="Y33" s="65">
        <v>1</v>
      </c>
      <c r="Z33" s="65">
        <v>0</v>
      </c>
      <c r="AA33" s="65">
        <v>0</v>
      </c>
      <c r="AD33" s="29">
        <v>0</v>
      </c>
      <c r="AE33" s="64">
        <v>0</v>
      </c>
      <c r="AF33" s="64">
        <v>0</v>
      </c>
      <c r="AG33" s="64">
        <v>0</v>
      </c>
      <c r="AI33" s="65">
        <v>0</v>
      </c>
      <c r="AJ33" s="65">
        <v>0</v>
      </c>
      <c r="AK33" s="65">
        <v>0</v>
      </c>
      <c r="AM33" s="29">
        <v>0</v>
      </c>
      <c r="AN33" s="64">
        <v>0</v>
      </c>
      <c r="AO33" s="64">
        <v>0</v>
      </c>
      <c r="AP33" s="64">
        <v>0</v>
      </c>
      <c r="AR33" s="65">
        <v>0</v>
      </c>
      <c r="AS33" s="65">
        <v>0</v>
      </c>
      <c r="AT33" s="65">
        <v>0</v>
      </c>
      <c r="AV33" s="29">
        <v>0</v>
      </c>
      <c r="AW33" s="64">
        <v>0</v>
      </c>
      <c r="AX33" s="64">
        <v>0</v>
      </c>
      <c r="AY33" s="64">
        <v>0</v>
      </c>
      <c r="BA33" s="65">
        <v>0</v>
      </c>
      <c r="BB33" s="65">
        <v>0</v>
      </c>
      <c r="BC33" s="65">
        <v>0</v>
      </c>
    </row>
    <row r="34" spans="1:55" s="64" customFormat="1" x14ac:dyDescent="0.2">
      <c r="A34" s="63" t="s">
        <v>46</v>
      </c>
      <c r="B34" s="29">
        <v>102</v>
      </c>
      <c r="C34" s="64">
        <v>98</v>
      </c>
      <c r="D34" s="64">
        <v>2</v>
      </c>
      <c r="E34" s="64">
        <v>2</v>
      </c>
      <c r="G34" s="65">
        <v>0.96078431372549022</v>
      </c>
      <c r="H34" s="65">
        <v>1.9607843137254902E-2</v>
      </c>
      <c r="I34" s="65">
        <v>1.9607843137254902E-2</v>
      </c>
      <c r="K34" s="29">
        <v>7208</v>
      </c>
      <c r="L34" s="64">
        <v>6934</v>
      </c>
      <c r="M34" s="64">
        <v>213</v>
      </c>
      <c r="N34" s="64">
        <v>61</v>
      </c>
      <c r="P34" s="65">
        <v>0.96198668146503885</v>
      </c>
      <c r="Q34" s="65">
        <v>2.9550499445061044E-2</v>
      </c>
      <c r="R34" s="65">
        <v>8.4628190899001116E-3</v>
      </c>
      <c r="T34" s="29">
        <v>631</v>
      </c>
      <c r="U34" s="64">
        <v>612</v>
      </c>
      <c r="V34" s="64">
        <v>10</v>
      </c>
      <c r="W34" s="64">
        <v>9</v>
      </c>
      <c r="Y34" s="65">
        <v>0.96988906497622818</v>
      </c>
      <c r="Z34" s="65">
        <v>1.5847860538827259E-2</v>
      </c>
      <c r="AA34" s="65">
        <v>1.4263074484944533E-2</v>
      </c>
      <c r="AD34" s="29">
        <v>0</v>
      </c>
      <c r="AE34" s="64">
        <v>0</v>
      </c>
      <c r="AF34" s="64">
        <v>0</v>
      </c>
      <c r="AG34" s="64">
        <v>0</v>
      </c>
      <c r="AI34" s="65">
        <v>0</v>
      </c>
      <c r="AJ34" s="65">
        <v>0</v>
      </c>
      <c r="AK34" s="65">
        <v>0</v>
      </c>
      <c r="AM34" s="29">
        <v>0</v>
      </c>
      <c r="AN34" s="64">
        <v>0</v>
      </c>
      <c r="AO34" s="64">
        <v>0</v>
      </c>
      <c r="AP34" s="64">
        <v>0</v>
      </c>
      <c r="AR34" s="65">
        <v>0</v>
      </c>
      <c r="AS34" s="65">
        <v>0</v>
      </c>
      <c r="AT34" s="65">
        <v>0</v>
      </c>
      <c r="AV34" s="29">
        <v>0</v>
      </c>
      <c r="AW34" s="64">
        <v>0</v>
      </c>
      <c r="AX34" s="64">
        <v>0</v>
      </c>
      <c r="AY34" s="64">
        <v>0</v>
      </c>
      <c r="BA34" s="65">
        <v>0</v>
      </c>
      <c r="BB34" s="65">
        <v>0</v>
      </c>
      <c r="BC34" s="65">
        <v>0</v>
      </c>
    </row>
    <row r="35" spans="1:55" s="64" customFormat="1" x14ac:dyDescent="0.2">
      <c r="A35" s="63" t="s">
        <v>47</v>
      </c>
      <c r="B35" s="29">
        <v>6284</v>
      </c>
      <c r="C35" s="64">
        <v>4596</v>
      </c>
      <c r="D35" s="64">
        <v>1688</v>
      </c>
      <c r="E35" s="64">
        <v>0</v>
      </c>
      <c r="G35" s="65">
        <v>0.73138128580521966</v>
      </c>
      <c r="H35" s="65">
        <v>0.26861871419478039</v>
      </c>
      <c r="I35" s="65">
        <v>0</v>
      </c>
      <c r="K35" s="29">
        <v>563</v>
      </c>
      <c r="L35" s="64">
        <v>355</v>
      </c>
      <c r="M35" s="64">
        <v>208</v>
      </c>
      <c r="N35" s="64">
        <v>0</v>
      </c>
      <c r="P35" s="65">
        <v>0.63055062166962694</v>
      </c>
      <c r="Q35" s="65">
        <v>0.369449378330373</v>
      </c>
      <c r="R35" s="65">
        <v>0</v>
      </c>
      <c r="T35" s="29">
        <v>56</v>
      </c>
      <c r="U35" s="64">
        <v>56</v>
      </c>
      <c r="V35" s="64">
        <v>0</v>
      </c>
      <c r="W35" s="64">
        <v>0</v>
      </c>
      <c r="Y35" s="65">
        <v>1</v>
      </c>
      <c r="Z35" s="65">
        <v>0</v>
      </c>
      <c r="AA35" s="65">
        <v>0</v>
      </c>
      <c r="AD35" s="29">
        <v>0</v>
      </c>
      <c r="AE35" s="64">
        <v>0</v>
      </c>
      <c r="AF35" s="64">
        <v>0</v>
      </c>
      <c r="AG35" s="64">
        <v>0</v>
      </c>
      <c r="AI35" s="65">
        <v>0</v>
      </c>
      <c r="AJ35" s="65">
        <v>0</v>
      </c>
      <c r="AK35" s="65">
        <v>0</v>
      </c>
      <c r="AM35" s="29">
        <v>0</v>
      </c>
      <c r="AN35" s="64">
        <v>0</v>
      </c>
      <c r="AO35" s="64">
        <v>0</v>
      </c>
      <c r="AP35" s="64">
        <v>0</v>
      </c>
      <c r="AR35" s="65">
        <v>0</v>
      </c>
      <c r="AS35" s="65">
        <v>0</v>
      </c>
      <c r="AT35" s="65">
        <v>0</v>
      </c>
      <c r="AV35" s="29">
        <v>0</v>
      </c>
      <c r="AW35" s="64">
        <v>0</v>
      </c>
      <c r="AX35" s="64">
        <v>0</v>
      </c>
      <c r="AY35" s="64">
        <v>0</v>
      </c>
      <c r="BA35" s="65">
        <v>0</v>
      </c>
      <c r="BB35" s="65">
        <v>0</v>
      </c>
      <c r="BC35" s="65">
        <v>0</v>
      </c>
    </row>
    <row r="36" spans="1:55" s="64" customFormat="1" x14ac:dyDescent="0.2">
      <c r="A36" s="63" t="s">
        <v>48</v>
      </c>
      <c r="B36" s="29">
        <v>1753239</v>
      </c>
      <c r="C36" s="64">
        <v>1444888</v>
      </c>
      <c r="D36" s="64">
        <v>302015</v>
      </c>
      <c r="E36" s="64">
        <v>6336</v>
      </c>
      <c r="G36" s="65">
        <v>0.82412494816736337</v>
      </c>
      <c r="H36" s="65">
        <v>0.17226116918457779</v>
      </c>
      <c r="I36" s="65">
        <v>3.6138826480588216E-3</v>
      </c>
      <c r="K36" s="29">
        <v>196422</v>
      </c>
      <c r="L36" s="64">
        <v>146027</v>
      </c>
      <c r="M36" s="64">
        <v>47437</v>
      </c>
      <c r="N36" s="64">
        <v>2958</v>
      </c>
      <c r="P36" s="65">
        <v>0.74343505309995828</v>
      </c>
      <c r="Q36" s="65">
        <v>0.24150553400331939</v>
      </c>
      <c r="R36" s="65">
        <v>1.5059412896722362E-2</v>
      </c>
      <c r="T36" s="29">
        <v>17221</v>
      </c>
      <c r="U36" s="64">
        <v>16652</v>
      </c>
      <c r="V36" s="64">
        <v>562</v>
      </c>
      <c r="W36" s="64">
        <v>7</v>
      </c>
      <c r="Y36" s="65">
        <v>0.96695894547354977</v>
      </c>
      <c r="Z36" s="65">
        <v>3.2634574066546657E-2</v>
      </c>
      <c r="AA36" s="65">
        <v>4.0648045990360605E-4</v>
      </c>
      <c r="AD36" s="29">
        <v>581722</v>
      </c>
      <c r="AE36" s="64">
        <v>491071</v>
      </c>
      <c r="AF36" s="64">
        <v>79852</v>
      </c>
      <c r="AG36" s="64">
        <v>10799</v>
      </c>
      <c r="AI36" s="65">
        <v>0.84416783274485063</v>
      </c>
      <c r="AJ36" s="65">
        <v>0.13726831716868196</v>
      </c>
      <c r="AK36" s="65">
        <v>1.856385008646742E-2</v>
      </c>
      <c r="AM36" s="29">
        <v>42481</v>
      </c>
      <c r="AN36" s="64">
        <v>32267</v>
      </c>
      <c r="AO36" s="64">
        <v>8225</v>
      </c>
      <c r="AP36" s="64">
        <v>1989</v>
      </c>
      <c r="AR36" s="65">
        <v>0.75956309879710926</v>
      </c>
      <c r="AS36" s="65">
        <v>0.19361596949224358</v>
      </c>
      <c r="AT36" s="65">
        <v>4.6820931710647114E-2</v>
      </c>
      <c r="AV36" s="29">
        <v>2290</v>
      </c>
      <c r="AW36" s="64">
        <v>1912</v>
      </c>
      <c r="AX36" s="64">
        <v>351</v>
      </c>
      <c r="AY36" s="64">
        <v>27</v>
      </c>
      <c r="BA36" s="65">
        <v>5.3906452296320705E-2</v>
      </c>
      <c r="BB36" s="65">
        <v>4.5008356677102707E-2</v>
      </c>
      <c r="BC36" s="65">
        <v>8.2625173607024319E-3</v>
      </c>
    </row>
    <row r="37" spans="1:55" s="64" customFormat="1" x14ac:dyDescent="0.2">
      <c r="A37" s="63" t="s">
        <v>92</v>
      </c>
      <c r="B37" s="29">
        <v>0</v>
      </c>
      <c r="C37" s="64">
        <v>0</v>
      </c>
      <c r="D37" s="64">
        <v>0</v>
      </c>
      <c r="E37" s="64">
        <v>0</v>
      </c>
      <c r="G37" s="65">
        <v>0</v>
      </c>
      <c r="H37" s="65">
        <v>0</v>
      </c>
      <c r="I37" s="65">
        <v>0</v>
      </c>
      <c r="K37" s="29">
        <v>0</v>
      </c>
      <c r="L37" s="64">
        <v>0</v>
      </c>
      <c r="M37" s="64">
        <v>0</v>
      </c>
      <c r="N37" s="64">
        <v>0</v>
      </c>
      <c r="P37" s="65">
        <v>0</v>
      </c>
      <c r="Q37" s="65">
        <v>0</v>
      </c>
      <c r="R37" s="65">
        <v>0</v>
      </c>
      <c r="T37" s="29">
        <v>12</v>
      </c>
      <c r="U37" s="64">
        <v>12</v>
      </c>
      <c r="V37" s="64">
        <v>0</v>
      </c>
      <c r="W37" s="64">
        <v>0</v>
      </c>
      <c r="Y37" s="65">
        <v>1</v>
      </c>
      <c r="Z37" s="65">
        <v>0</v>
      </c>
      <c r="AA37" s="65">
        <v>0</v>
      </c>
      <c r="AD37" s="29">
        <v>0</v>
      </c>
      <c r="AE37" s="64">
        <v>0</v>
      </c>
      <c r="AF37" s="64">
        <v>0</v>
      </c>
      <c r="AG37" s="64">
        <v>0</v>
      </c>
      <c r="AI37" s="65">
        <v>0</v>
      </c>
      <c r="AJ37" s="65">
        <v>0</v>
      </c>
      <c r="AK37" s="65">
        <v>0</v>
      </c>
      <c r="AM37" s="29">
        <v>0</v>
      </c>
      <c r="AN37" s="64">
        <v>0</v>
      </c>
      <c r="AO37" s="64">
        <v>0</v>
      </c>
      <c r="AP37" s="64">
        <v>0</v>
      </c>
      <c r="AR37" s="65">
        <v>0</v>
      </c>
      <c r="AS37" s="65">
        <v>0</v>
      </c>
      <c r="AT37" s="65">
        <v>0</v>
      </c>
      <c r="AV37" s="29">
        <v>0</v>
      </c>
      <c r="AW37" s="64">
        <v>0</v>
      </c>
      <c r="AX37" s="64">
        <v>0</v>
      </c>
      <c r="AY37" s="64">
        <v>0</v>
      </c>
      <c r="BA37" s="65">
        <v>0</v>
      </c>
      <c r="BB37" s="65">
        <v>0</v>
      </c>
      <c r="BC37" s="65">
        <v>0</v>
      </c>
    </row>
    <row r="38" spans="1:55" s="64" customFormat="1" x14ac:dyDescent="0.2">
      <c r="A38" s="63" t="s">
        <v>49</v>
      </c>
      <c r="B38" s="29">
        <v>510</v>
      </c>
      <c r="C38" s="64">
        <v>499</v>
      </c>
      <c r="D38" s="64">
        <v>11</v>
      </c>
      <c r="E38" s="64">
        <v>0</v>
      </c>
      <c r="G38" s="65">
        <v>0.97843137254901957</v>
      </c>
      <c r="H38" s="65">
        <v>2.1568627450980392E-2</v>
      </c>
      <c r="I38" s="65">
        <v>0</v>
      </c>
      <c r="K38" s="29">
        <v>29</v>
      </c>
      <c r="L38" s="64">
        <v>9</v>
      </c>
      <c r="M38" s="64">
        <v>20</v>
      </c>
      <c r="N38" s="64">
        <v>0</v>
      </c>
      <c r="P38" s="65">
        <v>0.31034482758620691</v>
      </c>
      <c r="Q38" s="65">
        <v>0.68965517241379315</v>
      </c>
      <c r="R38" s="65">
        <v>0</v>
      </c>
      <c r="T38" s="29">
        <v>1</v>
      </c>
      <c r="U38" s="64">
        <v>1</v>
      </c>
      <c r="V38" s="64">
        <v>0</v>
      </c>
      <c r="W38" s="64">
        <v>0</v>
      </c>
      <c r="Y38" s="65">
        <v>1</v>
      </c>
      <c r="Z38" s="65">
        <v>0</v>
      </c>
      <c r="AA38" s="65">
        <v>0</v>
      </c>
      <c r="AD38" s="29">
        <v>0</v>
      </c>
      <c r="AE38" s="64">
        <v>0</v>
      </c>
      <c r="AF38" s="64">
        <v>0</v>
      </c>
      <c r="AG38" s="64">
        <v>0</v>
      </c>
      <c r="AI38" s="65">
        <v>0</v>
      </c>
      <c r="AJ38" s="65">
        <v>0</v>
      </c>
      <c r="AK38" s="65">
        <v>0</v>
      </c>
      <c r="AM38" s="29">
        <v>0</v>
      </c>
      <c r="AN38" s="64">
        <v>0</v>
      </c>
      <c r="AO38" s="64">
        <v>0</v>
      </c>
      <c r="AP38" s="64">
        <v>0</v>
      </c>
      <c r="AR38" s="65">
        <v>0</v>
      </c>
      <c r="AS38" s="65">
        <v>0</v>
      </c>
      <c r="AT38" s="65">
        <v>0</v>
      </c>
      <c r="AV38" s="29">
        <v>0</v>
      </c>
      <c r="AW38" s="64">
        <v>0</v>
      </c>
      <c r="AX38" s="64">
        <v>0</v>
      </c>
      <c r="AY38" s="64">
        <v>0</v>
      </c>
      <c r="BA38" s="65">
        <v>0</v>
      </c>
      <c r="BB38" s="65">
        <v>0</v>
      </c>
      <c r="BC38" s="65">
        <v>0</v>
      </c>
    </row>
    <row r="39" spans="1:55" s="64" customFormat="1" x14ac:dyDescent="0.2">
      <c r="A39" s="63" t="s">
        <v>50</v>
      </c>
      <c r="B39" s="29">
        <v>1110</v>
      </c>
      <c r="C39" s="64">
        <v>1110</v>
      </c>
      <c r="D39" s="64">
        <v>0</v>
      </c>
      <c r="E39" s="64">
        <v>0</v>
      </c>
      <c r="G39" s="65">
        <v>1</v>
      </c>
      <c r="H39" s="65">
        <v>0</v>
      </c>
      <c r="I39" s="65">
        <v>0</v>
      </c>
      <c r="K39" s="29">
        <v>11</v>
      </c>
      <c r="L39" s="64">
        <v>11</v>
      </c>
      <c r="M39" s="64">
        <v>0</v>
      </c>
      <c r="N39" s="64">
        <v>0</v>
      </c>
      <c r="P39" s="65">
        <v>1</v>
      </c>
      <c r="Q39" s="65">
        <v>0</v>
      </c>
      <c r="R39" s="65">
        <v>0</v>
      </c>
      <c r="T39" s="29">
        <v>0</v>
      </c>
      <c r="U39" s="64">
        <v>0</v>
      </c>
      <c r="V39" s="64">
        <v>0</v>
      </c>
      <c r="W39" s="64">
        <v>0</v>
      </c>
      <c r="Y39" s="65">
        <v>0</v>
      </c>
      <c r="Z39" s="65">
        <v>0</v>
      </c>
      <c r="AA39" s="65">
        <v>0</v>
      </c>
      <c r="AD39" s="29">
        <v>0</v>
      </c>
      <c r="AE39" s="64">
        <v>0</v>
      </c>
      <c r="AF39" s="64">
        <v>0</v>
      </c>
      <c r="AG39" s="64">
        <v>0</v>
      </c>
      <c r="AI39" s="65">
        <v>0</v>
      </c>
      <c r="AJ39" s="65">
        <v>0</v>
      </c>
      <c r="AK39" s="65">
        <v>0</v>
      </c>
      <c r="AM39" s="29">
        <v>0</v>
      </c>
      <c r="AN39" s="64">
        <v>0</v>
      </c>
      <c r="AO39" s="64">
        <v>0</v>
      </c>
      <c r="AP39" s="64">
        <v>0</v>
      </c>
      <c r="AR39" s="65">
        <v>0</v>
      </c>
      <c r="AS39" s="65">
        <v>0</v>
      </c>
      <c r="AT39" s="65">
        <v>0</v>
      </c>
      <c r="AV39" s="29">
        <v>0</v>
      </c>
      <c r="AW39" s="64">
        <v>0</v>
      </c>
      <c r="AX39" s="64">
        <v>0</v>
      </c>
      <c r="AY39" s="64">
        <v>0</v>
      </c>
      <c r="BA39" s="65">
        <v>0</v>
      </c>
      <c r="BB39" s="65">
        <v>0</v>
      </c>
      <c r="BC39" s="65">
        <v>0</v>
      </c>
    </row>
    <row r="40" spans="1:55" s="64" customFormat="1" x14ac:dyDescent="0.2">
      <c r="A40" s="63" t="s">
        <v>139</v>
      </c>
      <c r="B40" s="29">
        <v>46969</v>
      </c>
      <c r="C40" s="64">
        <v>45798</v>
      </c>
      <c r="D40" s="64">
        <v>1036</v>
      </c>
      <c r="E40" s="64">
        <v>135</v>
      </c>
      <c r="G40" s="65">
        <v>0.97506866230918265</v>
      </c>
      <c r="H40" s="65">
        <v>2.2057101492473759E-2</v>
      </c>
      <c r="I40" s="65">
        <v>2.8742361983435881E-3</v>
      </c>
      <c r="K40" s="29">
        <v>13727</v>
      </c>
      <c r="L40" s="64">
        <v>11597</v>
      </c>
      <c r="M40" s="64">
        <v>1800</v>
      </c>
      <c r="N40" s="64">
        <v>330</v>
      </c>
      <c r="P40" s="65">
        <v>0.84483135426531653</v>
      </c>
      <c r="Q40" s="65">
        <v>0.13112843301522548</v>
      </c>
      <c r="R40" s="65">
        <v>2.4040212719458002E-2</v>
      </c>
      <c r="T40" s="29">
        <v>216</v>
      </c>
      <c r="U40" s="64">
        <v>195</v>
      </c>
      <c r="V40" s="64">
        <v>21</v>
      </c>
      <c r="W40" s="64">
        <v>0</v>
      </c>
      <c r="Y40" s="65">
        <v>0.90277777777777779</v>
      </c>
      <c r="Z40" s="65">
        <v>9.7222222222222224E-2</v>
      </c>
      <c r="AA40" s="65">
        <v>0</v>
      </c>
      <c r="AD40" s="29">
        <v>0</v>
      </c>
      <c r="AE40" s="64">
        <v>0</v>
      </c>
      <c r="AF40" s="64">
        <v>0</v>
      </c>
      <c r="AG40" s="64">
        <v>0</v>
      </c>
      <c r="AI40" s="65">
        <v>0</v>
      </c>
      <c r="AJ40" s="65">
        <v>0</v>
      </c>
      <c r="AK40" s="65">
        <v>0</v>
      </c>
      <c r="AM40" s="29">
        <v>0</v>
      </c>
      <c r="AN40" s="64">
        <v>0</v>
      </c>
      <c r="AO40" s="64">
        <v>0</v>
      </c>
      <c r="AP40" s="64">
        <v>0</v>
      </c>
      <c r="AR40" s="65">
        <v>0</v>
      </c>
      <c r="AS40" s="65">
        <v>0</v>
      </c>
      <c r="AT40" s="65">
        <v>0</v>
      </c>
      <c r="AV40" s="29">
        <v>0</v>
      </c>
      <c r="AW40" s="64">
        <v>0</v>
      </c>
      <c r="AX40" s="64">
        <v>0</v>
      </c>
      <c r="AY40" s="64">
        <v>0</v>
      </c>
      <c r="BA40" s="65">
        <v>0</v>
      </c>
      <c r="BB40" s="65">
        <v>0</v>
      </c>
      <c r="BC40" s="65">
        <v>0</v>
      </c>
    </row>
    <row r="41" spans="1:55" s="64" customFormat="1" x14ac:dyDescent="0.2">
      <c r="A41" s="63" t="s">
        <v>52</v>
      </c>
      <c r="B41" s="29">
        <v>40</v>
      </c>
      <c r="C41" s="64">
        <v>40</v>
      </c>
      <c r="D41" s="64">
        <v>0</v>
      </c>
      <c r="E41" s="64">
        <v>0</v>
      </c>
      <c r="G41" s="65">
        <v>1</v>
      </c>
      <c r="H41" s="65">
        <v>0</v>
      </c>
      <c r="I41" s="65">
        <v>0</v>
      </c>
      <c r="K41" s="29">
        <v>2</v>
      </c>
      <c r="L41" s="64">
        <v>2</v>
      </c>
      <c r="M41" s="64">
        <v>0</v>
      </c>
      <c r="N41" s="64">
        <v>0</v>
      </c>
      <c r="P41" s="65">
        <v>1</v>
      </c>
      <c r="Q41" s="65">
        <v>0</v>
      </c>
      <c r="R41" s="65">
        <v>0</v>
      </c>
      <c r="T41" s="29">
        <v>0</v>
      </c>
      <c r="U41" s="64">
        <v>0</v>
      </c>
      <c r="V41" s="64">
        <v>0</v>
      </c>
      <c r="W41" s="64">
        <v>0</v>
      </c>
      <c r="Y41" s="65">
        <v>0</v>
      </c>
      <c r="Z41" s="65">
        <v>0</v>
      </c>
      <c r="AA41" s="65">
        <v>0</v>
      </c>
      <c r="AD41" s="29">
        <v>0</v>
      </c>
      <c r="AE41" s="64">
        <v>0</v>
      </c>
      <c r="AF41" s="64">
        <v>0</v>
      </c>
      <c r="AG41" s="64">
        <v>0</v>
      </c>
      <c r="AI41" s="65">
        <v>0</v>
      </c>
      <c r="AJ41" s="65">
        <v>0</v>
      </c>
      <c r="AK41" s="65">
        <v>0</v>
      </c>
      <c r="AM41" s="29">
        <v>0</v>
      </c>
      <c r="AN41" s="64">
        <v>0</v>
      </c>
      <c r="AO41" s="64">
        <v>0</v>
      </c>
      <c r="AP41" s="64">
        <v>0</v>
      </c>
      <c r="AR41" s="65">
        <v>0</v>
      </c>
      <c r="AS41" s="65">
        <v>0</v>
      </c>
      <c r="AT41" s="65">
        <v>0</v>
      </c>
      <c r="AV41" s="29">
        <v>0</v>
      </c>
      <c r="AW41" s="64">
        <v>0</v>
      </c>
      <c r="AX41" s="64">
        <v>0</v>
      </c>
      <c r="AY41" s="64">
        <v>0</v>
      </c>
      <c r="BA41" s="65">
        <v>0</v>
      </c>
      <c r="BB41" s="65">
        <v>0</v>
      </c>
      <c r="BC41" s="65">
        <v>0</v>
      </c>
    </row>
    <row r="42" spans="1:55" s="64" customFormat="1" x14ac:dyDescent="0.2">
      <c r="A42" s="63" t="s">
        <v>53</v>
      </c>
      <c r="B42" s="29">
        <v>37520</v>
      </c>
      <c r="C42" s="64">
        <v>37364</v>
      </c>
      <c r="D42" s="64">
        <v>0</v>
      </c>
      <c r="E42" s="64">
        <v>156</v>
      </c>
      <c r="G42" s="65">
        <v>0.99584221748400847</v>
      </c>
      <c r="H42" s="65">
        <v>0</v>
      </c>
      <c r="I42" s="65">
        <v>4.1577825159914714E-3</v>
      </c>
      <c r="K42" s="29">
        <v>2443</v>
      </c>
      <c r="L42" s="64">
        <v>2379</v>
      </c>
      <c r="M42" s="64">
        <v>0</v>
      </c>
      <c r="N42" s="64">
        <v>64</v>
      </c>
      <c r="P42" s="65">
        <v>0.97380270159639792</v>
      </c>
      <c r="Q42" s="65">
        <v>0</v>
      </c>
      <c r="R42" s="65">
        <v>2.6197298403602128E-2</v>
      </c>
      <c r="T42" s="29">
        <v>70</v>
      </c>
      <c r="U42" s="64">
        <v>70</v>
      </c>
      <c r="V42" s="64">
        <v>0</v>
      </c>
      <c r="W42" s="64">
        <v>0</v>
      </c>
      <c r="Y42" s="65">
        <v>1</v>
      </c>
      <c r="Z42" s="65">
        <v>0</v>
      </c>
      <c r="AA42" s="65">
        <v>0</v>
      </c>
      <c r="AD42" s="29">
        <v>0</v>
      </c>
      <c r="AE42" s="64">
        <v>0</v>
      </c>
      <c r="AF42" s="64">
        <v>0</v>
      </c>
      <c r="AG42" s="64">
        <v>0</v>
      </c>
      <c r="AI42" s="65">
        <v>0</v>
      </c>
      <c r="AJ42" s="65">
        <v>0</v>
      </c>
      <c r="AK42" s="65">
        <v>0</v>
      </c>
      <c r="AM42" s="29">
        <v>0</v>
      </c>
      <c r="AN42" s="64">
        <v>0</v>
      </c>
      <c r="AO42" s="64">
        <v>0</v>
      </c>
      <c r="AP42" s="64">
        <v>0</v>
      </c>
      <c r="AR42" s="65">
        <v>0</v>
      </c>
      <c r="AS42" s="65">
        <v>0</v>
      </c>
      <c r="AT42" s="65">
        <v>0</v>
      </c>
      <c r="AV42" s="29">
        <v>0</v>
      </c>
      <c r="AW42" s="64">
        <v>0</v>
      </c>
      <c r="AX42" s="64">
        <v>0</v>
      </c>
      <c r="AY42" s="64">
        <v>0</v>
      </c>
      <c r="BA42" s="65">
        <v>0</v>
      </c>
      <c r="BB42" s="65">
        <v>0</v>
      </c>
      <c r="BC42" s="65">
        <v>0</v>
      </c>
    </row>
    <row r="43" spans="1:55" s="64" customFormat="1" x14ac:dyDescent="0.2">
      <c r="A43" s="63" t="s">
        <v>93</v>
      </c>
      <c r="B43" s="29">
        <v>0</v>
      </c>
      <c r="C43" s="64">
        <v>0</v>
      </c>
      <c r="D43" s="64">
        <v>0</v>
      </c>
      <c r="E43" s="64">
        <v>0</v>
      </c>
      <c r="G43" s="65">
        <v>0</v>
      </c>
      <c r="H43" s="65">
        <v>0</v>
      </c>
      <c r="I43" s="65">
        <v>0</v>
      </c>
      <c r="K43" s="29">
        <v>0</v>
      </c>
      <c r="L43" s="64">
        <v>0</v>
      </c>
      <c r="M43" s="64">
        <v>0</v>
      </c>
      <c r="N43" s="64">
        <v>0</v>
      </c>
      <c r="P43" s="65">
        <v>0</v>
      </c>
      <c r="Q43" s="65">
        <v>0</v>
      </c>
      <c r="R43" s="65">
        <v>0</v>
      </c>
      <c r="T43" s="29">
        <v>302</v>
      </c>
      <c r="U43" s="64">
        <v>302</v>
      </c>
      <c r="V43" s="64">
        <v>0</v>
      </c>
      <c r="W43" s="64">
        <v>0</v>
      </c>
      <c r="Y43" s="65">
        <v>1</v>
      </c>
      <c r="Z43" s="65">
        <v>0</v>
      </c>
      <c r="AA43" s="65">
        <v>0</v>
      </c>
      <c r="AD43" s="29">
        <v>0</v>
      </c>
      <c r="AE43" s="64">
        <v>0</v>
      </c>
      <c r="AF43" s="64">
        <v>0</v>
      </c>
      <c r="AG43" s="64">
        <v>0</v>
      </c>
      <c r="AI43" s="65">
        <v>0</v>
      </c>
      <c r="AJ43" s="65">
        <v>0</v>
      </c>
      <c r="AK43" s="65">
        <v>0</v>
      </c>
      <c r="AM43" s="29">
        <v>0</v>
      </c>
      <c r="AN43" s="64">
        <v>0</v>
      </c>
      <c r="AO43" s="64">
        <v>0</v>
      </c>
      <c r="AP43" s="64">
        <v>0</v>
      </c>
      <c r="AR43" s="65">
        <v>0</v>
      </c>
      <c r="AS43" s="65">
        <v>0</v>
      </c>
      <c r="AT43" s="65">
        <v>0</v>
      </c>
      <c r="AV43" s="29">
        <v>0</v>
      </c>
      <c r="AW43" s="64">
        <v>0</v>
      </c>
      <c r="AX43" s="64">
        <v>0</v>
      </c>
      <c r="AY43" s="64">
        <v>0</v>
      </c>
      <c r="BA43" s="65">
        <v>0</v>
      </c>
      <c r="BB43" s="65">
        <v>0</v>
      </c>
      <c r="BC43" s="65">
        <v>0</v>
      </c>
    </row>
    <row r="44" spans="1:55" s="64" customFormat="1" x14ac:dyDescent="0.2">
      <c r="A44" s="63" t="s">
        <v>54</v>
      </c>
      <c r="B44" s="29">
        <v>6021</v>
      </c>
      <c r="C44" s="64">
        <v>5565</v>
      </c>
      <c r="D44" s="64">
        <v>345</v>
      </c>
      <c r="E44" s="64">
        <v>111</v>
      </c>
      <c r="G44" s="65">
        <v>0.92426507224713506</v>
      </c>
      <c r="H44" s="65">
        <v>5.7299451918285997E-2</v>
      </c>
      <c r="I44" s="65">
        <v>1.8435475834578975E-2</v>
      </c>
      <c r="K44" s="29">
        <v>6935</v>
      </c>
      <c r="L44" s="64">
        <v>5235</v>
      </c>
      <c r="M44" s="64">
        <v>1240</v>
      </c>
      <c r="N44" s="64">
        <v>460</v>
      </c>
      <c r="P44" s="65">
        <v>0.75486661860129778</v>
      </c>
      <c r="Q44" s="65">
        <v>0.1788031723143475</v>
      </c>
      <c r="R44" s="65">
        <v>6.6330209084354719E-2</v>
      </c>
      <c r="T44" s="29">
        <v>45</v>
      </c>
      <c r="U44" s="64">
        <v>45</v>
      </c>
      <c r="V44" s="64">
        <v>0</v>
      </c>
      <c r="W44" s="64">
        <v>0</v>
      </c>
      <c r="Y44" s="65">
        <v>1</v>
      </c>
      <c r="Z44" s="65">
        <v>0</v>
      </c>
      <c r="AA44" s="65">
        <v>0</v>
      </c>
      <c r="AD44" s="29">
        <v>0</v>
      </c>
      <c r="AE44" s="64">
        <v>0</v>
      </c>
      <c r="AF44" s="64">
        <v>0</v>
      </c>
      <c r="AG44" s="64">
        <v>0</v>
      </c>
      <c r="AI44" s="65">
        <v>0</v>
      </c>
      <c r="AJ44" s="65">
        <v>0</v>
      </c>
      <c r="AK44" s="65">
        <v>0</v>
      </c>
      <c r="AM44" s="29">
        <v>0</v>
      </c>
      <c r="AN44" s="64">
        <v>0</v>
      </c>
      <c r="AO44" s="64">
        <v>0</v>
      </c>
      <c r="AP44" s="64">
        <v>0</v>
      </c>
      <c r="AR44" s="65">
        <v>0</v>
      </c>
      <c r="AS44" s="65">
        <v>0</v>
      </c>
      <c r="AT44" s="65">
        <v>0</v>
      </c>
      <c r="AV44" s="29">
        <v>0</v>
      </c>
      <c r="AW44" s="64">
        <v>0</v>
      </c>
      <c r="AX44" s="64">
        <v>0</v>
      </c>
      <c r="AY44" s="64">
        <v>0</v>
      </c>
      <c r="BA44" s="65">
        <v>0</v>
      </c>
      <c r="BB44" s="65">
        <v>0</v>
      </c>
      <c r="BC44" s="65">
        <v>0</v>
      </c>
    </row>
    <row r="45" spans="1:55" s="64" customFormat="1" x14ac:dyDescent="0.2">
      <c r="A45" s="63" t="s">
        <v>55</v>
      </c>
      <c r="B45" s="29">
        <v>598</v>
      </c>
      <c r="C45" s="64">
        <v>554</v>
      </c>
      <c r="D45" s="64">
        <v>0</v>
      </c>
      <c r="E45" s="64">
        <v>44</v>
      </c>
      <c r="G45" s="65">
        <v>0.9264214046822743</v>
      </c>
      <c r="H45" s="65">
        <v>0</v>
      </c>
      <c r="I45" s="65">
        <v>7.3578595317725759E-2</v>
      </c>
      <c r="K45" s="29">
        <v>4</v>
      </c>
      <c r="L45" s="64">
        <v>4</v>
      </c>
      <c r="M45" s="64">
        <v>0</v>
      </c>
      <c r="N45" s="64">
        <v>0</v>
      </c>
      <c r="P45" s="65">
        <v>1</v>
      </c>
      <c r="Q45" s="65">
        <v>0</v>
      </c>
      <c r="R45" s="65">
        <v>0</v>
      </c>
      <c r="T45" s="29">
        <v>0</v>
      </c>
      <c r="U45" s="64">
        <v>0</v>
      </c>
      <c r="V45" s="64">
        <v>0</v>
      </c>
      <c r="W45" s="64">
        <v>0</v>
      </c>
      <c r="Y45" s="65">
        <v>0</v>
      </c>
      <c r="Z45" s="65">
        <v>0</v>
      </c>
      <c r="AA45" s="65">
        <v>0</v>
      </c>
      <c r="AD45" s="29">
        <v>234</v>
      </c>
      <c r="AE45" s="64">
        <v>210</v>
      </c>
      <c r="AF45" s="64">
        <v>0</v>
      </c>
      <c r="AG45" s="64">
        <v>24</v>
      </c>
      <c r="AI45" s="65">
        <v>0.89743589743589747</v>
      </c>
      <c r="AJ45" s="65">
        <v>0</v>
      </c>
      <c r="AK45" s="65">
        <v>0.10256410256410256</v>
      </c>
      <c r="AM45" s="29">
        <v>0</v>
      </c>
      <c r="AN45" s="64">
        <v>0</v>
      </c>
      <c r="AO45" s="64">
        <v>0</v>
      </c>
      <c r="AP45" s="64">
        <v>0</v>
      </c>
      <c r="AR45" s="65">
        <v>0</v>
      </c>
      <c r="AS45" s="65">
        <v>0</v>
      </c>
      <c r="AT45" s="65">
        <v>0</v>
      </c>
      <c r="AV45" s="29">
        <v>0</v>
      </c>
      <c r="AW45" s="64">
        <v>0</v>
      </c>
      <c r="AX45" s="64">
        <v>0</v>
      </c>
      <c r="AY45" s="64">
        <v>0</v>
      </c>
      <c r="BA45" s="65">
        <v>0</v>
      </c>
      <c r="BB45" s="65">
        <v>0</v>
      </c>
      <c r="BC45" s="65">
        <v>0</v>
      </c>
    </row>
    <row r="46" spans="1:55" s="64" customFormat="1" x14ac:dyDescent="0.2">
      <c r="A46" s="63" t="s">
        <v>56</v>
      </c>
      <c r="B46" s="29">
        <v>397</v>
      </c>
      <c r="C46" s="64">
        <v>397</v>
      </c>
      <c r="D46" s="64">
        <v>0</v>
      </c>
      <c r="E46" s="64">
        <v>0</v>
      </c>
      <c r="G46" s="65">
        <v>1</v>
      </c>
      <c r="H46" s="65">
        <v>0</v>
      </c>
      <c r="I46" s="65">
        <v>0</v>
      </c>
      <c r="K46" s="29">
        <v>0</v>
      </c>
      <c r="L46" s="64">
        <v>0</v>
      </c>
      <c r="M46" s="64">
        <v>0</v>
      </c>
      <c r="N46" s="64">
        <v>0</v>
      </c>
      <c r="P46" s="65">
        <v>0</v>
      </c>
      <c r="Q46" s="65">
        <v>0</v>
      </c>
      <c r="R46" s="65">
        <v>0</v>
      </c>
      <c r="T46" s="29">
        <v>0</v>
      </c>
      <c r="U46" s="64">
        <v>0</v>
      </c>
      <c r="V46" s="64">
        <v>0</v>
      </c>
      <c r="W46" s="64">
        <v>0</v>
      </c>
      <c r="Y46" s="65">
        <v>0</v>
      </c>
      <c r="Z46" s="65">
        <v>0</v>
      </c>
      <c r="AA46" s="65">
        <v>0</v>
      </c>
      <c r="AD46" s="29">
        <v>0</v>
      </c>
      <c r="AE46" s="64">
        <v>0</v>
      </c>
      <c r="AF46" s="64">
        <v>0</v>
      </c>
      <c r="AG46" s="64">
        <v>0</v>
      </c>
      <c r="AI46" s="65">
        <v>0</v>
      </c>
      <c r="AJ46" s="65">
        <v>0</v>
      </c>
      <c r="AK46" s="65">
        <v>0</v>
      </c>
      <c r="AM46" s="29">
        <v>0</v>
      </c>
      <c r="AN46" s="64">
        <v>0</v>
      </c>
      <c r="AO46" s="64">
        <v>0</v>
      </c>
      <c r="AP46" s="64">
        <v>0</v>
      </c>
      <c r="AR46" s="65">
        <v>0</v>
      </c>
      <c r="AS46" s="65">
        <v>0</v>
      </c>
      <c r="AT46" s="65">
        <v>0</v>
      </c>
      <c r="AV46" s="29">
        <v>0</v>
      </c>
      <c r="AW46" s="64">
        <v>0</v>
      </c>
      <c r="AX46" s="64">
        <v>0</v>
      </c>
      <c r="AY46" s="64">
        <v>0</v>
      </c>
      <c r="BA46" s="65">
        <v>0</v>
      </c>
      <c r="BB46" s="65">
        <v>0</v>
      </c>
      <c r="BC46" s="65">
        <v>0</v>
      </c>
    </row>
    <row r="47" spans="1:55" s="64" customFormat="1" x14ac:dyDescent="0.2">
      <c r="A47" s="63" t="s">
        <v>57</v>
      </c>
      <c r="B47" s="29">
        <v>271879</v>
      </c>
      <c r="C47" s="64">
        <v>271176</v>
      </c>
      <c r="D47" s="64">
        <v>703</v>
      </c>
      <c r="E47" s="64">
        <v>0</v>
      </c>
      <c r="G47" s="65">
        <v>0.99741429091617961</v>
      </c>
      <c r="H47" s="65">
        <v>2.5857090838203758E-3</v>
      </c>
      <c r="I47" s="65">
        <v>0</v>
      </c>
      <c r="K47" s="29">
        <v>7332</v>
      </c>
      <c r="L47" s="64">
        <v>7186</v>
      </c>
      <c r="M47" s="64">
        <v>146</v>
      </c>
      <c r="N47" s="64">
        <v>0</v>
      </c>
      <c r="P47" s="65">
        <v>0.98008728859792693</v>
      </c>
      <c r="Q47" s="65">
        <v>1.9912711402073104E-2</v>
      </c>
      <c r="R47" s="65">
        <v>0</v>
      </c>
      <c r="T47" s="29">
        <v>531</v>
      </c>
      <c r="U47" s="64">
        <v>531</v>
      </c>
      <c r="V47" s="64">
        <v>0</v>
      </c>
      <c r="W47" s="64">
        <v>0</v>
      </c>
      <c r="Y47" s="65">
        <v>1</v>
      </c>
      <c r="Z47" s="65">
        <v>0</v>
      </c>
      <c r="AA47" s="65">
        <v>0</v>
      </c>
      <c r="AD47" s="29">
        <v>54121</v>
      </c>
      <c r="AE47" s="64">
        <v>54050</v>
      </c>
      <c r="AF47" s="64">
        <v>71</v>
      </c>
      <c r="AG47" s="64">
        <v>0</v>
      </c>
      <c r="AI47" s="65">
        <v>0.99868812475748781</v>
      </c>
      <c r="AJ47" s="65">
        <v>1.3118752425121487E-3</v>
      </c>
      <c r="AK47" s="65">
        <v>0</v>
      </c>
      <c r="AM47" s="29">
        <v>44</v>
      </c>
      <c r="AN47" s="64">
        <v>43</v>
      </c>
      <c r="AO47" s="64">
        <v>1</v>
      </c>
      <c r="AP47" s="64">
        <v>0</v>
      </c>
      <c r="AR47" s="65">
        <v>0.97727272727272729</v>
      </c>
      <c r="AS47" s="65">
        <v>2.2727272727272728E-2</v>
      </c>
      <c r="AT47" s="65">
        <v>0</v>
      </c>
      <c r="AV47" s="29">
        <v>1</v>
      </c>
      <c r="AW47" s="64">
        <v>1</v>
      </c>
      <c r="AX47" s="64">
        <v>0</v>
      </c>
      <c r="AY47" s="64">
        <v>0</v>
      </c>
      <c r="BA47" s="65">
        <v>2.2727272727272728E-2</v>
      </c>
      <c r="BB47" s="65">
        <v>2.2727272727272728E-2</v>
      </c>
      <c r="BC47" s="65">
        <v>0</v>
      </c>
    </row>
    <row r="48" spans="1:55" s="64" customFormat="1" x14ac:dyDescent="0.2">
      <c r="A48" s="63" t="s">
        <v>94</v>
      </c>
      <c r="B48" s="29">
        <v>0</v>
      </c>
      <c r="C48" s="64">
        <v>0</v>
      </c>
      <c r="D48" s="64">
        <v>0</v>
      </c>
      <c r="E48" s="64">
        <v>0</v>
      </c>
      <c r="G48" s="65">
        <v>0</v>
      </c>
      <c r="H48" s="65">
        <v>0</v>
      </c>
      <c r="I48" s="65">
        <v>0</v>
      </c>
      <c r="K48" s="29">
        <v>0</v>
      </c>
      <c r="L48" s="64">
        <v>0</v>
      </c>
      <c r="M48" s="64">
        <v>0</v>
      </c>
      <c r="N48" s="64">
        <v>0</v>
      </c>
      <c r="P48" s="65">
        <v>0</v>
      </c>
      <c r="Q48" s="65">
        <v>0</v>
      </c>
      <c r="R48" s="65">
        <v>0</v>
      </c>
      <c r="T48" s="29">
        <v>3</v>
      </c>
      <c r="U48" s="64">
        <v>3</v>
      </c>
      <c r="V48" s="64">
        <v>0</v>
      </c>
      <c r="W48" s="64">
        <v>0</v>
      </c>
      <c r="Y48" s="65">
        <v>1</v>
      </c>
      <c r="Z48" s="65">
        <v>0</v>
      </c>
      <c r="AA48" s="65">
        <v>0</v>
      </c>
      <c r="AD48" s="29">
        <v>0</v>
      </c>
      <c r="AE48" s="64">
        <v>0</v>
      </c>
      <c r="AF48" s="64">
        <v>0</v>
      </c>
      <c r="AG48" s="64">
        <v>0</v>
      </c>
      <c r="AI48" s="65">
        <v>0</v>
      </c>
      <c r="AJ48" s="65">
        <v>0</v>
      </c>
      <c r="AK48" s="65">
        <v>0</v>
      </c>
      <c r="AM48" s="29">
        <v>0</v>
      </c>
      <c r="AN48" s="64">
        <v>0</v>
      </c>
      <c r="AO48" s="64">
        <v>0</v>
      </c>
      <c r="AP48" s="64">
        <v>0</v>
      </c>
      <c r="AR48" s="65">
        <v>0</v>
      </c>
      <c r="AS48" s="65">
        <v>0</v>
      </c>
      <c r="AT48" s="65">
        <v>0</v>
      </c>
      <c r="AV48" s="29">
        <v>0</v>
      </c>
      <c r="AW48" s="64">
        <v>0</v>
      </c>
      <c r="AX48" s="64">
        <v>0</v>
      </c>
      <c r="AY48" s="64">
        <v>0</v>
      </c>
      <c r="BA48" s="65">
        <v>0</v>
      </c>
      <c r="BB48" s="65">
        <v>0</v>
      </c>
      <c r="BC48" s="65">
        <v>0</v>
      </c>
    </row>
    <row r="49" spans="1:55" s="64" customFormat="1" x14ac:dyDescent="0.2">
      <c r="A49" s="63" t="s">
        <v>58</v>
      </c>
      <c r="B49" s="29">
        <v>2387</v>
      </c>
      <c r="C49" s="64">
        <v>2078</v>
      </c>
      <c r="D49" s="64">
        <v>309</v>
      </c>
      <c r="E49" s="64">
        <v>0</v>
      </c>
      <c r="G49" s="65">
        <v>0.87054880603267704</v>
      </c>
      <c r="H49" s="65">
        <v>0.12945119396732299</v>
      </c>
      <c r="I49" s="65">
        <v>0</v>
      </c>
      <c r="K49" s="29">
        <v>0</v>
      </c>
      <c r="L49" s="64">
        <v>0</v>
      </c>
      <c r="M49" s="64">
        <v>0</v>
      </c>
      <c r="N49" s="64">
        <v>0</v>
      </c>
      <c r="P49" s="65">
        <v>0</v>
      </c>
      <c r="Q49" s="65">
        <v>0</v>
      </c>
      <c r="R49" s="65">
        <v>0</v>
      </c>
      <c r="T49" s="29">
        <v>0</v>
      </c>
      <c r="U49" s="64">
        <v>0</v>
      </c>
      <c r="V49" s="64">
        <v>0</v>
      </c>
      <c r="W49" s="64">
        <v>0</v>
      </c>
      <c r="Y49" s="65">
        <v>0</v>
      </c>
      <c r="Z49" s="65">
        <v>0</v>
      </c>
      <c r="AA49" s="65">
        <v>0</v>
      </c>
      <c r="AD49" s="29">
        <v>0</v>
      </c>
      <c r="AE49" s="64">
        <v>0</v>
      </c>
      <c r="AF49" s="64">
        <v>0</v>
      </c>
      <c r="AG49" s="64">
        <v>0</v>
      </c>
      <c r="AI49" s="65">
        <v>0</v>
      </c>
      <c r="AJ49" s="65">
        <v>0</v>
      </c>
      <c r="AK49" s="65">
        <v>0</v>
      </c>
      <c r="AM49" s="29">
        <v>0</v>
      </c>
      <c r="AN49" s="64">
        <v>0</v>
      </c>
      <c r="AO49" s="64">
        <v>0</v>
      </c>
      <c r="AP49" s="64">
        <v>0</v>
      </c>
      <c r="AR49" s="65">
        <v>0</v>
      </c>
      <c r="AS49" s="65">
        <v>0</v>
      </c>
      <c r="AT49" s="65">
        <v>0</v>
      </c>
      <c r="AV49" s="29">
        <v>0</v>
      </c>
      <c r="AW49" s="64">
        <v>0</v>
      </c>
      <c r="AX49" s="64">
        <v>0</v>
      </c>
      <c r="AY49" s="64">
        <v>0</v>
      </c>
      <c r="BA49" s="65">
        <v>0</v>
      </c>
      <c r="BB49" s="65">
        <v>0</v>
      </c>
      <c r="BC49" s="65">
        <v>0</v>
      </c>
    </row>
    <row r="50" spans="1:55" s="64" customFormat="1" x14ac:dyDescent="0.2">
      <c r="A50" s="63" t="s">
        <v>59</v>
      </c>
      <c r="B50" s="29">
        <v>2465</v>
      </c>
      <c r="C50" s="64">
        <v>2361</v>
      </c>
      <c r="D50" s="64">
        <v>0</v>
      </c>
      <c r="E50" s="64">
        <v>104</v>
      </c>
      <c r="G50" s="65">
        <v>0.95780933062880325</v>
      </c>
      <c r="H50" s="65">
        <v>0</v>
      </c>
      <c r="I50" s="65">
        <v>4.2190669371196754E-2</v>
      </c>
      <c r="K50" s="29">
        <v>177</v>
      </c>
      <c r="L50" s="64">
        <v>169</v>
      </c>
      <c r="M50" s="64">
        <v>0</v>
      </c>
      <c r="N50" s="64">
        <v>8</v>
      </c>
      <c r="P50" s="65">
        <v>0.95480225988700562</v>
      </c>
      <c r="Q50" s="65">
        <v>0</v>
      </c>
      <c r="R50" s="65">
        <v>4.519774011299435E-2</v>
      </c>
      <c r="T50" s="29">
        <v>0</v>
      </c>
      <c r="U50" s="64">
        <v>0</v>
      </c>
      <c r="V50" s="64">
        <v>0</v>
      </c>
      <c r="W50" s="64">
        <v>0</v>
      </c>
      <c r="Y50" s="65">
        <v>0</v>
      </c>
      <c r="Z50" s="65">
        <v>0</v>
      </c>
      <c r="AA50" s="65">
        <v>0</v>
      </c>
      <c r="AD50" s="29">
        <v>1051</v>
      </c>
      <c r="AE50" s="64">
        <v>1012</v>
      </c>
      <c r="AF50" s="64">
        <v>0</v>
      </c>
      <c r="AG50" s="64">
        <v>39</v>
      </c>
      <c r="AI50" s="65">
        <v>0.9628924833491912</v>
      </c>
      <c r="AJ50" s="65">
        <v>0</v>
      </c>
      <c r="AK50" s="65">
        <v>3.7107516650808754E-2</v>
      </c>
      <c r="AM50" s="29">
        <v>6</v>
      </c>
      <c r="AN50" s="64">
        <v>6</v>
      </c>
      <c r="AO50" s="64">
        <v>0</v>
      </c>
      <c r="AP50" s="64">
        <v>0</v>
      </c>
      <c r="AR50" s="65">
        <v>1</v>
      </c>
      <c r="AS50" s="65">
        <v>0</v>
      </c>
      <c r="AT50" s="65">
        <v>0</v>
      </c>
      <c r="AV50" s="29">
        <v>0</v>
      </c>
      <c r="AW50" s="64">
        <v>0</v>
      </c>
      <c r="AX50" s="64">
        <v>0</v>
      </c>
      <c r="AY50" s="64">
        <v>0</v>
      </c>
      <c r="BA50" s="65">
        <v>0</v>
      </c>
      <c r="BB50" s="65">
        <v>0</v>
      </c>
      <c r="BC50" s="65">
        <v>0</v>
      </c>
    </row>
    <row r="51" spans="1:55" s="64" customFormat="1" x14ac:dyDescent="0.2">
      <c r="A51" s="63" t="s">
        <v>95</v>
      </c>
      <c r="B51" s="29">
        <v>0</v>
      </c>
      <c r="C51" s="64">
        <v>0</v>
      </c>
      <c r="D51" s="64">
        <v>0</v>
      </c>
      <c r="E51" s="64">
        <v>0</v>
      </c>
      <c r="G51" s="65">
        <v>0</v>
      </c>
      <c r="H51" s="65">
        <v>0</v>
      </c>
      <c r="I51" s="65">
        <v>0</v>
      </c>
      <c r="K51" s="29">
        <v>0</v>
      </c>
      <c r="L51" s="64">
        <v>0</v>
      </c>
      <c r="M51" s="64">
        <v>0</v>
      </c>
      <c r="N51" s="64">
        <v>0</v>
      </c>
      <c r="P51" s="65">
        <v>0</v>
      </c>
      <c r="Q51" s="65">
        <v>0</v>
      </c>
      <c r="R51" s="65">
        <v>0</v>
      </c>
      <c r="T51" s="29">
        <v>5307</v>
      </c>
      <c r="U51" s="64">
        <v>5307</v>
      </c>
      <c r="V51" s="64">
        <v>0</v>
      </c>
      <c r="W51" s="64">
        <v>0</v>
      </c>
      <c r="Y51" s="65">
        <v>1</v>
      </c>
      <c r="Z51" s="65">
        <v>0</v>
      </c>
      <c r="AA51" s="65">
        <v>0</v>
      </c>
      <c r="AD51" s="29">
        <v>0</v>
      </c>
      <c r="AE51" s="64">
        <v>0</v>
      </c>
      <c r="AF51" s="64">
        <v>0</v>
      </c>
      <c r="AG51" s="64">
        <v>0</v>
      </c>
      <c r="AI51" s="65">
        <v>0</v>
      </c>
      <c r="AJ51" s="65">
        <v>0</v>
      </c>
      <c r="AK51" s="65">
        <v>0</v>
      </c>
      <c r="AM51" s="29">
        <v>0</v>
      </c>
      <c r="AN51" s="64">
        <v>0</v>
      </c>
      <c r="AO51" s="64">
        <v>0</v>
      </c>
      <c r="AP51" s="64">
        <v>0</v>
      </c>
      <c r="AR51" s="65">
        <v>0</v>
      </c>
      <c r="AS51" s="65">
        <v>0</v>
      </c>
      <c r="AT51" s="65">
        <v>0</v>
      </c>
      <c r="AV51" s="29">
        <v>0</v>
      </c>
      <c r="AW51" s="64">
        <v>0</v>
      </c>
      <c r="AX51" s="64">
        <v>0</v>
      </c>
      <c r="AY51" s="64">
        <v>0</v>
      </c>
      <c r="BA51" s="65">
        <v>0</v>
      </c>
      <c r="BB51" s="65">
        <v>0</v>
      </c>
      <c r="BC51" s="65">
        <v>0</v>
      </c>
    </row>
    <row r="52" spans="1:55" s="64" customFormat="1" x14ac:dyDescent="0.2">
      <c r="A52" s="63" t="s">
        <v>60</v>
      </c>
      <c r="B52" s="29">
        <v>125678</v>
      </c>
      <c r="C52" s="64">
        <v>124900</v>
      </c>
      <c r="D52" s="64">
        <v>630</v>
      </c>
      <c r="E52" s="64">
        <v>148</v>
      </c>
      <c r="G52" s="65">
        <v>0.99380957685513771</v>
      </c>
      <c r="H52" s="65">
        <v>5.0128105157625042E-3</v>
      </c>
      <c r="I52" s="65">
        <v>1.1776126290997629E-3</v>
      </c>
      <c r="K52" s="29">
        <v>6297</v>
      </c>
      <c r="L52" s="64">
        <v>6187</v>
      </c>
      <c r="M52" s="64">
        <v>45</v>
      </c>
      <c r="N52" s="64">
        <v>65</v>
      </c>
      <c r="P52" s="65">
        <v>0.98253136414165476</v>
      </c>
      <c r="Q52" s="65">
        <v>7.146260123868509E-3</v>
      </c>
      <c r="R52" s="65">
        <v>1.0322375734476735E-2</v>
      </c>
      <c r="T52" s="29">
        <v>378</v>
      </c>
      <c r="U52" s="64">
        <v>377</v>
      </c>
      <c r="V52" s="64">
        <v>0</v>
      </c>
      <c r="W52" s="64">
        <v>1</v>
      </c>
      <c r="Y52" s="65">
        <v>0.99735449735449733</v>
      </c>
      <c r="Z52" s="65">
        <v>0</v>
      </c>
      <c r="AA52" s="65">
        <v>2.6455026455026454E-3</v>
      </c>
      <c r="AD52" s="29">
        <v>47026</v>
      </c>
      <c r="AE52" s="64">
        <v>46650</v>
      </c>
      <c r="AF52" s="64">
        <v>296</v>
      </c>
      <c r="AG52" s="64">
        <v>80</v>
      </c>
      <c r="AI52" s="65">
        <v>0.99200442308510184</v>
      </c>
      <c r="AJ52" s="65">
        <v>6.2943903372602392E-3</v>
      </c>
      <c r="AK52" s="65">
        <v>1.7011865776379025E-3</v>
      </c>
      <c r="AM52" s="29">
        <v>286</v>
      </c>
      <c r="AN52" s="64">
        <v>281</v>
      </c>
      <c r="AO52" s="64">
        <v>4</v>
      </c>
      <c r="AP52" s="64">
        <v>1</v>
      </c>
      <c r="AR52" s="65">
        <v>0.9825174825174825</v>
      </c>
      <c r="AS52" s="65">
        <v>1.3986013986013986E-2</v>
      </c>
      <c r="AT52" s="65">
        <v>3.4965034965034965E-3</v>
      </c>
      <c r="AV52" s="29">
        <v>11</v>
      </c>
      <c r="AW52" s="64">
        <v>11</v>
      </c>
      <c r="AX52" s="64">
        <v>0</v>
      </c>
      <c r="AY52" s="64">
        <v>0</v>
      </c>
      <c r="BA52" s="65">
        <v>3.8461538461538464E-2</v>
      </c>
      <c r="BB52" s="65">
        <v>3.8461538461538464E-2</v>
      </c>
      <c r="BC52" s="65">
        <v>0</v>
      </c>
    </row>
    <row r="53" spans="1:55" s="64" customFormat="1" x14ac:dyDescent="0.2">
      <c r="A53" s="63" t="s">
        <v>96</v>
      </c>
      <c r="B53" s="29">
        <v>0</v>
      </c>
      <c r="C53" s="64">
        <v>0</v>
      </c>
      <c r="D53" s="64">
        <v>0</v>
      </c>
      <c r="E53" s="64">
        <v>0</v>
      </c>
      <c r="G53" s="65">
        <v>0</v>
      </c>
      <c r="H53" s="65">
        <v>0</v>
      </c>
      <c r="I53" s="65">
        <v>0</v>
      </c>
      <c r="K53" s="29">
        <v>0</v>
      </c>
      <c r="L53" s="64">
        <v>0</v>
      </c>
      <c r="M53" s="64">
        <v>0</v>
      </c>
      <c r="N53" s="64">
        <v>0</v>
      </c>
      <c r="P53" s="65">
        <v>0</v>
      </c>
      <c r="Q53" s="65">
        <v>0</v>
      </c>
      <c r="R53" s="65">
        <v>0</v>
      </c>
      <c r="T53" s="29">
        <v>1808</v>
      </c>
      <c r="U53" s="64">
        <v>1808</v>
      </c>
      <c r="V53" s="64">
        <v>0</v>
      </c>
      <c r="W53" s="64">
        <v>0</v>
      </c>
      <c r="Y53" s="65">
        <v>1</v>
      </c>
      <c r="Z53" s="65">
        <v>0</v>
      </c>
      <c r="AA53" s="65">
        <v>0</v>
      </c>
      <c r="AD53" s="29">
        <v>0</v>
      </c>
      <c r="AE53" s="64">
        <v>0</v>
      </c>
      <c r="AF53" s="64">
        <v>0</v>
      </c>
      <c r="AG53" s="64">
        <v>0</v>
      </c>
      <c r="AI53" s="65">
        <v>0</v>
      </c>
      <c r="AJ53" s="65">
        <v>0</v>
      </c>
      <c r="AK53" s="65">
        <v>0</v>
      </c>
      <c r="AM53" s="29">
        <v>0</v>
      </c>
      <c r="AN53" s="64">
        <v>0</v>
      </c>
      <c r="AO53" s="64">
        <v>0</v>
      </c>
      <c r="AP53" s="64">
        <v>0</v>
      </c>
      <c r="AR53" s="65">
        <v>0</v>
      </c>
      <c r="AS53" s="65">
        <v>0</v>
      </c>
      <c r="AT53" s="65">
        <v>0</v>
      </c>
      <c r="AV53" s="29">
        <v>0</v>
      </c>
      <c r="AW53" s="64">
        <v>0</v>
      </c>
      <c r="AX53" s="64">
        <v>0</v>
      </c>
      <c r="AY53" s="64">
        <v>0</v>
      </c>
      <c r="BA53" s="65">
        <v>0</v>
      </c>
      <c r="BB53" s="65">
        <v>0</v>
      </c>
      <c r="BC53" s="65">
        <v>0</v>
      </c>
    </row>
    <row r="54" spans="1:55" s="64" customFormat="1" x14ac:dyDescent="0.2">
      <c r="A54" s="63" t="s">
        <v>61</v>
      </c>
      <c r="B54" s="29">
        <v>5440</v>
      </c>
      <c r="C54" s="64">
        <v>5263</v>
      </c>
      <c r="D54" s="64">
        <v>0</v>
      </c>
      <c r="E54" s="64">
        <v>177</v>
      </c>
      <c r="G54" s="65">
        <v>0.9674632352941176</v>
      </c>
      <c r="H54" s="65">
        <v>0</v>
      </c>
      <c r="I54" s="65">
        <v>3.2536764705882355E-2</v>
      </c>
      <c r="K54" s="29">
        <v>0</v>
      </c>
      <c r="L54" s="64">
        <v>0</v>
      </c>
      <c r="M54" s="64">
        <v>0</v>
      </c>
      <c r="N54" s="64">
        <v>0</v>
      </c>
      <c r="P54" s="65">
        <v>0</v>
      </c>
      <c r="Q54" s="65">
        <v>0</v>
      </c>
      <c r="R54" s="65">
        <v>0</v>
      </c>
      <c r="T54" s="29">
        <v>0</v>
      </c>
      <c r="U54" s="64">
        <v>0</v>
      </c>
      <c r="V54" s="64">
        <v>0</v>
      </c>
      <c r="W54" s="64">
        <v>0</v>
      </c>
      <c r="Y54" s="65">
        <v>0</v>
      </c>
      <c r="Z54" s="65">
        <v>0</v>
      </c>
      <c r="AA54" s="65">
        <v>0</v>
      </c>
      <c r="AD54" s="29">
        <v>0</v>
      </c>
      <c r="AE54" s="64">
        <v>0</v>
      </c>
      <c r="AF54" s="64">
        <v>0</v>
      </c>
      <c r="AG54" s="64">
        <v>0</v>
      </c>
      <c r="AI54" s="65">
        <v>0</v>
      </c>
      <c r="AJ54" s="65">
        <v>0</v>
      </c>
      <c r="AK54" s="65">
        <v>0</v>
      </c>
      <c r="AM54" s="29">
        <v>0</v>
      </c>
      <c r="AN54" s="64">
        <v>0</v>
      </c>
      <c r="AO54" s="64">
        <v>0</v>
      </c>
      <c r="AP54" s="64">
        <v>0</v>
      </c>
      <c r="AR54" s="65">
        <v>0</v>
      </c>
      <c r="AS54" s="65">
        <v>0</v>
      </c>
      <c r="AT54" s="65">
        <v>0</v>
      </c>
      <c r="AV54" s="29">
        <v>0</v>
      </c>
      <c r="AW54" s="64">
        <v>0</v>
      </c>
      <c r="AX54" s="64">
        <v>0</v>
      </c>
      <c r="AY54" s="64">
        <v>0</v>
      </c>
      <c r="BA54" s="65">
        <v>0</v>
      </c>
      <c r="BB54" s="65">
        <v>0</v>
      </c>
      <c r="BC54" s="65">
        <v>0</v>
      </c>
    </row>
    <row r="55" spans="1:55" s="64" customFormat="1" x14ac:dyDescent="0.2">
      <c r="A55" s="63" t="s">
        <v>62</v>
      </c>
      <c r="B55" s="29">
        <v>79134</v>
      </c>
      <c r="C55" s="64">
        <v>36635</v>
      </c>
      <c r="D55" s="64">
        <v>42286</v>
      </c>
      <c r="E55" s="64">
        <v>213</v>
      </c>
      <c r="G55" s="65">
        <v>0.4629489220815326</v>
      </c>
      <c r="H55" s="65">
        <v>0.53435944094826493</v>
      </c>
      <c r="I55" s="65">
        <v>2.6916369702024412E-3</v>
      </c>
      <c r="K55" s="29">
        <v>8084</v>
      </c>
      <c r="L55" s="64">
        <v>2395</v>
      </c>
      <c r="M55" s="64">
        <v>5603</v>
      </c>
      <c r="N55" s="64">
        <v>86</v>
      </c>
      <c r="P55" s="65">
        <v>0.29626422563087579</v>
      </c>
      <c r="Q55" s="65">
        <v>0.69309747649678377</v>
      </c>
      <c r="R55" s="65">
        <v>1.0638297872340425E-2</v>
      </c>
      <c r="T55" s="29">
        <v>132</v>
      </c>
      <c r="U55" s="64">
        <v>68</v>
      </c>
      <c r="V55" s="64">
        <v>63</v>
      </c>
      <c r="W55" s="64">
        <v>1</v>
      </c>
      <c r="Y55" s="65">
        <v>0.51515151515151514</v>
      </c>
      <c r="Z55" s="65">
        <v>0.47727272727272729</v>
      </c>
      <c r="AA55" s="65">
        <v>7.575757575757576E-3</v>
      </c>
      <c r="AD55" s="29">
        <v>0</v>
      </c>
      <c r="AE55" s="64">
        <v>0</v>
      </c>
      <c r="AF55" s="64">
        <v>0</v>
      </c>
      <c r="AG55" s="64">
        <v>0</v>
      </c>
      <c r="AI55" s="65">
        <v>0</v>
      </c>
      <c r="AJ55" s="65">
        <v>0</v>
      </c>
      <c r="AK55" s="65">
        <v>0</v>
      </c>
      <c r="AM55" s="29">
        <v>0</v>
      </c>
      <c r="AN55" s="64">
        <v>0</v>
      </c>
      <c r="AO55" s="64">
        <v>0</v>
      </c>
      <c r="AP55" s="64">
        <v>0</v>
      </c>
      <c r="AR55" s="65">
        <v>0</v>
      </c>
      <c r="AS55" s="65">
        <v>0</v>
      </c>
      <c r="AT55" s="65">
        <v>0</v>
      </c>
      <c r="AV55" s="29">
        <v>0</v>
      </c>
      <c r="AW55" s="64">
        <v>0</v>
      </c>
      <c r="AX55" s="64">
        <v>0</v>
      </c>
      <c r="AY55" s="64">
        <v>0</v>
      </c>
      <c r="BA55" s="65">
        <v>0</v>
      </c>
      <c r="BB55" s="65">
        <v>0</v>
      </c>
      <c r="BC55" s="65">
        <v>0</v>
      </c>
    </row>
    <row r="56" spans="1:55" s="64" customFormat="1" x14ac:dyDescent="0.2">
      <c r="A56" s="63" t="s">
        <v>63</v>
      </c>
      <c r="B56" s="29">
        <v>39</v>
      </c>
      <c r="C56" s="64">
        <v>28</v>
      </c>
      <c r="D56" s="64">
        <v>11</v>
      </c>
      <c r="E56" s="64">
        <v>0</v>
      </c>
      <c r="G56" s="65">
        <v>0.71794871794871795</v>
      </c>
      <c r="H56" s="65">
        <v>0.28205128205128205</v>
      </c>
      <c r="I56" s="65">
        <v>0</v>
      </c>
      <c r="K56" s="29">
        <v>54</v>
      </c>
      <c r="L56" s="64">
        <v>30</v>
      </c>
      <c r="M56" s="64">
        <v>24</v>
      </c>
      <c r="N56" s="64">
        <v>0</v>
      </c>
      <c r="P56" s="65">
        <v>0.55555555555555558</v>
      </c>
      <c r="Q56" s="65">
        <v>0.44444444444444442</v>
      </c>
      <c r="R56" s="65">
        <v>0</v>
      </c>
      <c r="T56" s="29">
        <v>514</v>
      </c>
      <c r="U56" s="64">
        <v>514</v>
      </c>
      <c r="V56" s="64">
        <v>0</v>
      </c>
      <c r="W56" s="64">
        <v>0</v>
      </c>
      <c r="Y56" s="65">
        <v>1</v>
      </c>
      <c r="Z56" s="65">
        <v>0</v>
      </c>
      <c r="AA56" s="65">
        <v>0</v>
      </c>
      <c r="AD56" s="29">
        <v>0</v>
      </c>
      <c r="AE56" s="64">
        <v>0</v>
      </c>
      <c r="AF56" s="64">
        <v>0</v>
      </c>
      <c r="AG56" s="64">
        <v>0</v>
      </c>
      <c r="AI56" s="65">
        <v>0</v>
      </c>
      <c r="AJ56" s="65">
        <v>0</v>
      </c>
      <c r="AK56" s="65">
        <v>0</v>
      </c>
      <c r="AM56" s="29">
        <v>0</v>
      </c>
      <c r="AN56" s="64">
        <v>0</v>
      </c>
      <c r="AO56" s="64">
        <v>0</v>
      </c>
      <c r="AP56" s="64">
        <v>0</v>
      </c>
      <c r="AR56" s="65">
        <v>0</v>
      </c>
      <c r="AS56" s="65">
        <v>0</v>
      </c>
      <c r="AT56" s="65">
        <v>0</v>
      </c>
      <c r="AV56" s="29">
        <v>0</v>
      </c>
      <c r="AW56" s="64">
        <v>0</v>
      </c>
      <c r="AX56" s="64">
        <v>0</v>
      </c>
      <c r="AY56" s="64">
        <v>0</v>
      </c>
      <c r="BA56" s="65">
        <v>0</v>
      </c>
      <c r="BB56" s="65">
        <v>0</v>
      </c>
      <c r="BC56" s="65">
        <v>0</v>
      </c>
    </row>
    <row r="57" spans="1:55" s="64" customFormat="1" x14ac:dyDescent="0.2">
      <c r="A57" s="63" t="s">
        <v>64</v>
      </c>
      <c r="B57" s="29">
        <v>4</v>
      </c>
      <c r="C57" s="64">
        <v>4</v>
      </c>
      <c r="D57" s="64">
        <v>0</v>
      </c>
      <c r="E57" s="64">
        <v>0</v>
      </c>
      <c r="G57" s="65">
        <v>1</v>
      </c>
      <c r="H57" s="65">
        <v>0</v>
      </c>
      <c r="I57" s="65">
        <v>0</v>
      </c>
      <c r="K57" s="29">
        <v>1</v>
      </c>
      <c r="L57" s="64">
        <v>1</v>
      </c>
      <c r="M57" s="64">
        <v>0</v>
      </c>
      <c r="N57" s="64">
        <v>0</v>
      </c>
      <c r="P57" s="65">
        <v>1</v>
      </c>
      <c r="Q57" s="65">
        <v>0</v>
      </c>
      <c r="R57" s="65">
        <v>0</v>
      </c>
      <c r="T57" s="29">
        <v>0</v>
      </c>
      <c r="U57" s="64">
        <v>0</v>
      </c>
      <c r="V57" s="64">
        <v>0</v>
      </c>
      <c r="W57" s="64">
        <v>0</v>
      </c>
      <c r="Y57" s="65">
        <v>0</v>
      </c>
      <c r="Z57" s="65">
        <v>0</v>
      </c>
      <c r="AA57" s="65">
        <v>0</v>
      </c>
      <c r="AD57" s="29">
        <v>0</v>
      </c>
      <c r="AE57" s="64">
        <v>0</v>
      </c>
      <c r="AF57" s="64">
        <v>0</v>
      </c>
      <c r="AG57" s="64">
        <v>0</v>
      </c>
      <c r="AI57" s="65">
        <v>0</v>
      </c>
      <c r="AJ57" s="65">
        <v>0</v>
      </c>
      <c r="AK57" s="65">
        <v>0</v>
      </c>
      <c r="AM57" s="29">
        <v>0</v>
      </c>
      <c r="AN57" s="64">
        <v>0</v>
      </c>
      <c r="AO57" s="64">
        <v>0</v>
      </c>
      <c r="AP57" s="64">
        <v>0</v>
      </c>
      <c r="AR57" s="65">
        <v>0</v>
      </c>
      <c r="AS57" s="65">
        <v>0</v>
      </c>
      <c r="AT57" s="65">
        <v>0</v>
      </c>
      <c r="AV57" s="29">
        <v>0</v>
      </c>
      <c r="AW57" s="64">
        <v>0</v>
      </c>
      <c r="AX57" s="64">
        <v>0</v>
      </c>
      <c r="AY57" s="64">
        <v>0</v>
      </c>
      <c r="BA57" s="65">
        <v>0</v>
      </c>
      <c r="BB57" s="65">
        <v>0</v>
      </c>
      <c r="BC57" s="65">
        <v>0</v>
      </c>
    </row>
    <row r="58" spans="1:55" s="64" customFormat="1" x14ac:dyDescent="0.2">
      <c r="A58" s="63" t="s">
        <v>98</v>
      </c>
      <c r="B58" s="29">
        <v>0</v>
      </c>
      <c r="C58" s="64">
        <v>0</v>
      </c>
      <c r="D58" s="64">
        <v>0</v>
      </c>
      <c r="E58" s="64">
        <v>0</v>
      </c>
      <c r="G58" s="65">
        <v>0</v>
      </c>
      <c r="H58" s="65">
        <v>0</v>
      </c>
      <c r="I58" s="65">
        <v>0</v>
      </c>
      <c r="K58" s="29">
        <v>0</v>
      </c>
      <c r="L58" s="64">
        <v>0</v>
      </c>
      <c r="M58" s="64">
        <v>0</v>
      </c>
      <c r="N58" s="64">
        <v>0</v>
      </c>
      <c r="P58" s="65">
        <v>0</v>
      </c>
      <c r="Q58" s="65">
        <v>0</v>
      </c>
      <c r="R58" s="65">
        <v>0</v>
      </c>
      <c r="T58" s="29">
        <v>0</v>
      </c>
      <c r="U58" s="64">
        <v>0</v>
      </c>
      <c r="V58" s="64">
        <v>0</v>
      </c>
      <c r="W58" s="64">
        <v>0</v>
      </c>
      <c r="Y58" s="65">
        <v>0</v>
      </c>
      <c r="Z58" s="65">
        <v>0</v>
      </c>
      <c r="AA58" s="65">
        <v>0</v>
      </c>
      <c r="AD58" s="29">
        <v>0</v>
      </c>
      <c r="AE58" s="64">
        <v>0</v>
      </c>
      <c r="AF58" s="64">
        <v>0</v>
      </c>
      <c r="AG58" s="64">
        <v>0</v>
      </c>
      <c r="AI58" s="65">
        <v>0</v>
      </c>
      <c r="AJ58" s="65">
        <v>0</v>
      </c>
      <c r="AK58" s="65">
        <v>0</v>
      </c>
      <c r="AM58" s="29">
        <v>0</v>
      </c>
      <c r="AN58" s="64">
        <v>0</v>
      </c>
      <c r="AO58" s="64">
        <v>0</v>
      </c>
      <c r="AP58" s="64">
        <v>0</v>
      </c>
      <c r="AR58" s="65">
        <v>0</v>
      </c>
      <c r="AS58" s="65">
        <v>0</v>
      </c>
      <c r="AT58" s="65">
        <v>0</v>
      </c>
      <c r="AV58" s="29">
        <v>79</v>
      </c>
      <c r="AW58" s="64">
        <v>79</v>
      </c>
      <c r="AX58" s="64">
        <v>0</v>
      </c>
      <c r="AY58" s="64">
        <v>0</v>
      </c>
      <c r="BA58" s="65">
        <v>0</v>
      </c>
      <c r="BB58" s="65">
        <v>0</v>
      </c>
      <c r="BC58" s="65">
        <v>0</v>
      </c>
    </row>
    <row r="59" spans="1:55" s="64" customFormat="1" x14ac:dyDescent="0.2">
      <c r="A59" s="63" t="s">
        <v>66</v>
      </c>
      <c r="B59" s="29">
        <v>1532</v>
      </c>
      <c r="C59" s="64">
        <v>1532</v>
      </c>
      <c r="D59" s="64">
        <v>0</v>
      </c>
      <c r="E59" s="64">
        <v>0</v>
      </c>
      <c r="G59" s="65">
        <v>1</v>
      </c>
      <c r="H59" s="65">
        <v>0</v>
      </c>
      <c r="I59" s="65">
        <v>0</v>
      </c>
      <c r="K59" s="29">
        <v>150</v>
      </c>
      <c r="L59" s="64">
        <v>150</v>
      </c>
      <c r="M59" s="64">
        <v>0</v>
      </c>
      <c r="N59" s="64">
        <v>0</v>
      </c>
      <c r="P59" s="65">
        <v>1</v>
      </c>
      <c r="Q59" s="65">
        <v>0</v>
      </c>
      <c r="R59" s="65">
        <v>0</v>
      </c>
      <c r="T59" s="29">
        <v>84</v>
      </c>
      <c r="U59" s="64">
        <v>84</v>
      </c>
      <c r="V59" s="64">
        <v>0</v>
      </c>
      <c r="W59" s="64">
        <v>0</v>
      </c>
      <c r="Y59" s="65">
        <v>1</v>
      </c>
      <c r="Z59" s="65">
        <v>0</v>
      </c>
      <c r="AA59" s="65">
        <v>0</v>
      </c>
      <c r="AD59" s="29">
        <v>0</v>
      </c>
      <c r="AE59" s="64">
        <v>0</v>
      </c>
      <c r="AF59" s="64">
        <v>0</v>
      </c>
      <c r="AG59" s="64">
        <v>0</v>
      </c>
      <c r="AI59" s="65">
        <v>0</v>
      </c>
      <c r="AJ59" s="65">
        <v>0</v>
      </c>
      <c r="AK59" s="65">
        <v>0</v>
      </c>
      <c r="AM59" s="29">
        <v>2</v>
      </c>
      <c r="AN59" s="64">
        <v>2</v>
      </c>
      <c r="AO59" s="64">
        <v>0</v>
      </c>
      <c r="AP59" s="64">
        <v>0</v>
      </c>
      <c r="AR59" s="65">
        <v>1</v>
      </c>
      <c r="AS59" s="65">
        <v>0</v>
      </c>
      <c r="AT59" s="65">
        <v>0</v>
      </c>
      <c r="AV59" s="29">
        <v>0</v>
      </c>
      <c r="AW59" s="64">
        <v>0</v>
      </c>
      <c r="AX59" s="64">
        <v>0</v>
      </c>
      <c r="AY59" s="64">
        <v>0</v>
      </c>
      <c r="BA59" s="65">
        <v>0</v>
      </c>
      <c r="BB59" s="65">
        <v>0</v>
      </c>
      <c r="BC59" s="65">
        <v>0</v>
      </c>
    </row>
    <row r="60" spans="1:55" s="23" customFormat="1" x14ac:dyDescent="0.2">
      <c r="A60" s="1" t="s">
        <v>67</v>
      </c>
      <c r="B60" s="23">
        <v>6381435</v>
      </c>
      <c r="C60" s="23">
        <v>4760951</v>
      </c>
      <c r="D60" s="23">
        <v>1605937</v>
      </c>
      <c r="E60" s="23">
        <v>14547</v>
      </c>
      <c r="G60" s="24">
        <v>0.74606275861150351</v>
      </c>
      <c r="H60" s="24">
        <v>0.251657660071755</v>
      </c>
      <c r="I60" s="24">
        <v>2.279581316741454E-3</v>
      </c>
      <c r="K60" s="23">
        <v>656530</v>
      </c>
      <c r="L60" s="23">
        <v>412789</v>
      </c>
      <c r="M60" s="23">
        <v>235339</v>
      </c>
      <c r="N60" s="23">
        <v>8402</v>
      </c>
      <c r="P60" s="24">
        <v>0.62874354561101553</v>
      </c>
      <c r="Q60" s="24">
        <v>0.35845886707385799</v>
      </c>
      <c r="R60" s="24">
        <v>1.2797587315126499E-2</v>
      </c>
      <c r="T60" s="23">
        <v>65060</v>
      </c>
      <c r="U60" s="23">
        <v>58786</v>
      </c>
      <c r="V60" s="23">
        <v>6236</v>
      </c>
      <c r="W60" s="23">
        <v>38</v>
      </c>
      <c r="Y60" s="24">
        <v>0.9035659391331079</v>
      </c>
      <c r="Z60" s="24">
        <v>9.5849984629572699E-2</v>
      </c>
      <c r="AA60" s="24">
        <v>5.8407623731939753E-4</v>
      </c>
      <c r="AD60" s="23">
        <v>2143654</v>
      </c>
      <c r="AE60" s="23">
        <v>1797696</v>
      </c>
      <c r="AF60" s="23">
        <v>322286</v>
      </c>
      <c r="AG60" s="23">
        <v>23672</v>
      </c>
      <c r="AI60" s="24">
        <v>0.83861294779847873</v>
      </c>
      <c r="AJ60" s="24">
        <v>0.15034422532740824</v>
      </c>
      <c r="AK60" s="24">
        <v>1.1042826874113079E-2</v>
      </c>
      <c r="AM60" s="23">
        <v>78586</v>
      </c>
      <c r="AN60" s="23">
        <v>58305</v>
      </c>
      <c r="AO60" s="23">
        <v>17080</v>
      </c>
      <c r="AP60" s="23">
        <v>3201</v>
      </c>
      <c r="AR60" s="24">
        <v>0.74192604280660679</v>
      </c>
      <c r="AS60" s="24">
        <v>0.21734151121064821</v>
      </c>
      <c r="AT60" s="24">
        <v>4.0732445982745016E-2</v>
      </c>
      <c r="AV60" s="23">
        <v>4910</v>
      </c>
      <c r="AW60" s="23">
        <v>4151</v>
      </c>
      <c r="AX60" s="23">
        <v>725</v>
      </c>
      <c r="AY60" s="23">
        <v>34</v>
      </c>
      <c r="BA60" s="24">
        <v>6.2479322016644183E-2</v>
      </c>
      <c r="BB60" s="24">
        <v>5.2821113175374745E-2</v>
      </c>
      <c r="BC60" s="24">
        <v>9.2255618049016368E-3</v>
      </c>
    </row>
    <row r="61" spans="1:55" x14ac:dyDescent="0.2">
      <c r="A61" s="25"/>
      <c r="G61" s="21"/>
      <c r="H61" s="21"/>
      <c r="I61" s="21"/>
      <c r="P61" s="21"/>
      <c r="Q61" s="21"/>
      <c r="R61" s="21"/>
      <c r="Y61" s="21"/>
      <c r="Z61" s="21"/>
      <c r="AA61" s="21"/>
      <c r="AI61" s="21"/>
      <c r="AJ61" s="21"/>
      <c r="AK61" s="21"/>
      <c r="AR61" s="21"/>
      <c r="AS61" s="21"/>
      <c r="AT61" s="21"/>
      <c r="BA61" s="21"/>
      <c r="BB61" s="21"/>
      <c r="BC61" s="21"/>
    </row>
    <row r="62" spans="1:55" s="23" customFormat="1" ht="15" x14ac:dyDescent="0.25">
      <c r="A62" s="1" t="s">
        <v>68</v>
      </c>
      <c r="G62" s="67"/>
      <c r="H62" s="67"/>
      <c r="I62" s="67"/>
      <c r="P62" s="67"/>
      <c r="Q62" s="67"/>
      <c r="R62" s="67"/>
      <c r="Y62" s="67"/>
      <c r="Z62" s="67"/>
      <c r="AA62" s="67"/>
      <c r="AI62" s="67"/>
      <c r="AJ62" s="67"/>
      <c r="AK62" s="67"/>
      <c r="AR62" s="67"/>
      <c r="AS62" s="67"/>
      <c r="AT62" s="67"/>
      <c r="BA62" s="67"/>
      <c r="BB62" s="67"/>
      <c r="BC62" s="67"/>
    </row>
    <row r="63" spans="1:55" s="23" customFormat="1" x14ac:dyDescent="0.2">
      <c r="A63" s="26" t="s">
        <v>69</v>
      </c>
      <c r="B63" s="27" t="s">
        <v>82</v>
      </c>
      <c r="C63" s="27" t="s">
        <v>114</v>
      </c>
      <c r="D63" s="27" t="s">
        <v>115</v>
      </c>
      <c r="E63" s="27" t="s">
        <v>126</v>
      </c>
      <c r="F63" s="27"/>
      <c r="G63" s="61" t="s">
        <v>114</v>
      </c>
      <c r="H63" s="61" t="s">
        <v>115</v>
      </c>
      <c r="I63" s="61" t="s">
        <v>126</v>
      </c>
      <c r="J63" s="27"/>
      <c r="K63" s="27" t="s">
        <v>82</v>
      </c>
      <c r="L63" s="27" t="s">
        <v>114</v>
      </c>
      <c r="M63" s="27" t="s">
        <v>115</v>
      </c>
      <c r="N63" s="27" t="s">
        <v>126</v>
      </c>
      <c r="O63" s="27"/>
      <c r="P63" s="61" t="s">
        <v>114</v>
      </c>
      <c r="Q63" s="61" t="s">
        <v>115</v>
      </c>
      <c r="R63" s="61" t="s">
        <v>126</v>
      </c>
      <c r="S63" s="27"/>
      <c r="T63" s="27" t="s">
        <v>82</v>
      </c>
      <c r="U63" s="27" t="s">
        <v>114</v>
      </c>
      <c r="V63" s="27" t="s">
        <v>115</v>
      </c>
      <c r="W63" s="27" t="s">
        <v>126</v>
      </c>
      <c r="X63" s="27"/>
      <c r="Y63" s="61" t="s">
        <v>114</v>
      </c>
      <c r="Z63" s="61" t="s">
        <v>115</v>
      </c>
      <c r="AA63" s="61" t="s">
        <v>126</v>
      </c>
      <c r="AB63" s="27"/>
      <c r="AC63" s="27"/>
      <c r="AD63" s="27" t="s">
        <v>82</v>
      </c>
      <c r="AE63" s="27" t="s">
        <v>114</v>
      </c>
      <c r="AF63" s="27" t="s">
        <v>115</v>
      </c>
      <c r="AG63" s="27" t="s">
        <v>126</v>
      </c>
      <c r="AH63" s="27"/>
      <c r="AI63" s="61" t="s">
        <v>114</v>
      </c>
      <c r="AJ63" s="61" t="s">
        <v>115</v>
      </c>
      <c r="AK63" s="61" t="s">
        <v>126</v>
      </c>
      <c r="AL63" s="27"/>
      <c r="AM63" s="27" t="s">
        <v>82</v>
      </c>
      <c r="AN63" s="27" t="s">
        <v>114</v>
      </c>
      <c r="AO63" s="27" t="s">
        <v>115</v>
      </c>
      <c r="AP63" s="27" t="s">
        <v>126</v>
      </c>
      <c r="AQ63" s="27"/>
      <c r="AR63" s="61" t="s">
        <v>114</v>
      </c>
      <c r="AS63" s="61" t="s">
        <v>115</v>
      </c>
      <c r="AT63" s="61" t="s">
        <v>126</v>
      </c>
      <c r="AU63" s="27"/>
      <c r="AV63" s="27" t="s">
        <v>82</v>
      </c>
      <c r="AW63" s="27" t="s">
        <v>114</v>
      </c>
      <c r="AX63" s="27" t="s">
        <v>115</v>
      </c>
      <c r="AY63" s="27" t="s">
        <v>126</v>
      </c>
      <c r="AZ63" s="27"/>
      <c r="BA63" s="61" t="s">
        <v>114</v>
      </c>
      <c r="BB63" s="61" t="s">
        <v>115</v>
      </c>
      <c r="BC63" s="61" t="s">
        <v>126</v>
      </c>
    </row>
    <row r="64" spans="1:55" s="64" customFormat="1" x14ac:dyDescent="0.2">
      <c r="A64" s="63" t="s">
        <v>23</v>
      </c>
      <c r="B64" s="29">
        <v>146008</v>
      </c>
      <c r="C64" s="64">
        <v>51211</v>
      </c>
      <c r="D64" s="64">
        <v>94797</v>
      </c>
      <c r="E64" s="64">
        <v>0</v>
      </c>
      <c r="G64" s="65">
        <v>0.35074105528464194</v>
      </c>
      <c r="H64" s="65">
        <v>0.64925894471535806</v>
      </c>
      <c r="I64" s="65">
        <v>0</v>
      </c>
      <c r="K64" s="29">
        <v>10538</v>
      </c>
      <c r="L64" s="64">
        <v>1734</v>
      </c>
      <c r="M64" s="64">
        <v>8804</v>
      </c>
      <c r="N64" s="64">
        <v>0</v>
      </c>
      <c r="P64" s="65">
        <v>0.16454735243879293</v>
      </c>
      <c r="Q64" s="65">
        <v>0.83545264756120707</v>
      </c>
      <c r="R64" s="65">
        <v>0</v>
      </c>
      <c r="T64" s="29">
        <v>1353</v>
      </c>
      <c r="U64" s="64">
        <v>1353</v>
      </c>
      <c r="V64" s="64">
        <v>0</v>
      </c>
      <c r="W64" s="64">
        <v>0</v>
      </c>
      <c r="Y64" s="65">
        <v>1</v>
      </c>
      <c r="Z64" s="65">
        <v>0</v>
      </c>
      <c r="AA64" s="65">
        <v>0</v>
      </c>
      <c r="AD64" s="29">
        <v>104009</v>
      </c>
      <c r="AE64" s="64">
        <v>37383</v>
      </c>
      <c r="AF64" s="64">
        <v>66260</v>
      </c>
      <c r="AG64" s="64">
        <v>366</v>
      </c>
      <c r="AI64" s="65">
        <v>0.35942081935217146</v>
      </c>
      <c r="AJ64" s="65">
        <v>0.6370602544010614</v>
      </c>
      <c r="AK64" s="65">
        <v>3.5189262467671067E-3</v>
      </c>
      <c r="AM64" s="29">
        <v>1808</v>
      </c>
      <c r="AN64" s="64">
        <v>309</v>
      </c>
      <c r="AO64" s="64">
        <v>1495</v>
      </c>
      <c r="AP64" s="64">
        <v>4</v>
      </c>
      <c r="AR64" s="65">
        <v>0.1709070796460177</v>
      </c>
      <c r="AS64" s="65">
        <v>0.82688053097345138</v>
      </c>
      <c r="AT64" s="65">
        <v>2.2123893805309734E-3</v>
      </c>
      <c r="AV64" s="29">
        <v>18</v>
      </c>
      <c r="AW64" s="64">
        <v>18</v>
      </c>
      <c r="AX64" s="64">
        <v>0</v>
      </c>
      <c r="AY64" s="64">
        <v>0</v>
      </c>
      <c r="BA64" s="65">
        <v>1</v>
      </c>
      <c r="BB64" s="65">
        <v>0</v>
      </c>
      <c r="BC64" s="65">
        <v>0</v>
      </c>
    </row>
    <row r="65" spans="1:55" s="64" customFormat="1" x14ac:dyDescent="0.2">
      <c r="A65" s="63" t="s">
        <v>24</v>
      </c>
      <c r="B65" s="29">
        <v>0</v>
      </c>
      <c r="C65" s="64">
        <v>0</v>
      </c>
      <c r="D65" s="64">
        <v>0</v>
      </c>
      <c r="E65" s="64">
        <v>0</v>
      </c>
      <c r="G65" s="65">
        <v>0</v>
      </c>
      <c r="H65" s="65">
        <v>0</v>
      </c>
      <c r="I65" s="65">
        <v>0</v>
      </c>
      <c r="K65" s="29">
        <v>0</v>
      </c>
      <c r="L65" s="64">
        <v>0</v>
      </c>
      <c r="M65" s="64">
        <v>0</v>
      </c>
      <c r="N65" s="64">
        <v>0</v>
      </c>
      <c r="P65" s="65">
        <v>0</v>
      </c>
      <c r="Q65" s="65">
        <v>0</v>
      </c>
      <c r="R65" s="65">
        <v>0</v>
      </c>
      <c r="T65" s="29">
        <v>5</v>
      </c>
      <c r="U65" s="64">
        <v>5</v>
      </c>
      <c r="V65" s="64">
        <v>0</v>
      </c>
      <c r="W65" s="64">
        <v>0</v>
      </c>
      <c r="Y65" s="65">
        <v>1</v>
      </c>
      <c r="Z65" s="65">
        <v>0</v>
      </c>
      <c r="AA65" s="65">
        <v>0</v>
      </c>
      <c r="AD65" s="29">
        <v>0</v>
      </c>
      <c r="AE65" s="64">
        <v>0</v>
      </c>
      <c r="AF65" s="64">
        <v>0</v>
      </c>
      <c r="AG65" s="64">
        <v>0</v>
      </c>
      <c r="AI65" s="65">
        <v>0</v>
      </c>
      <c r="AJ65" s="65">
        <v>0</v>
      </c>
      <c r="AK65" s="65">
        <v>0</v>
      </c>
      <c r="AM65" s="29">
        <v>0</v>
      </c>
      <c r="AN65" s="64">
        <v>0</v>
      </c>
      <c r="AO65" s="64">
        <v>0</v>
      </c>
      <c r="AP65" s="64">
        <v>0</v>
      </c>
      <c r="AR65" s="65">
        <v>0</v>
      </c>
      <c r="AS65" s="65">
        <v>0</v>
      </c>
      <c r="AT65" s="65">
        <v>0</v>
      </c>
      <c r="AV65" s="29">
        <v>0</v>
      </c>
      <c r="AW65" s="64">
        <v>0</v>
      </c>
      <c r="AX65" s="64">
        <v>0</v>
      </c>
      <c r="AY65" s="64">
        <v>0</v>
      </c>
      <c r="BA65" s="65">
        <v>0</v>
      </c>
      <c r="BB65" s="65">
        <v>0</v>
      </c>
      <c r="BC65" s="65">
        <v>0</v>
      </c>
    </row>
    <row r="66" spans="1:55" s="64" customFormat="1" x14ac:dyDescent="0.2">
      <c r="A66" s="63" t="s">
        <v>34</v>
      </c>
      <c r="B66" s="29">
        <v>259</v>
      </c>
      <c r="C66" s="64">
        <v>257</v>
      </c>
      <c r="D66" s="64">
        <v>1</v>
      </c>
      <c r="E66" s="64">
        <v>1</v>
      </c>
      <c r="G66" s="65">
        <v>0.99227799227799229</v>
      </c>
      <c r="H66" s="65">
        <v>3.8610038610038611E-3</v>
      </c>
      <c r="I66" s="65">
        <v>3.8610038610038611E-3</v>
      </c>
      <c r="K66" s="29">
        <v>1</v>
      </c>
      <c r="L66" s="64">
        <v>1</v>
      </c>
      <c r="M66" s="64">
        <v>0</v>
      </c>
      <c r="N66" s="64">
        <v>0</v>
      </c>
      <c r="P66" s="65">
        <v>1</v>
      </c>
      <c r="Q66" s="65">
        <v>0</v>
      </c>
      <c r="R66" s="65">
        <v>0</v>
      </c>
      <c r="T66" s="29">
        <v>0</v>
      </c>
      <c r="U66" s="64">
        <v>0</v>
      </c>
      <c r="V66" s="64">
        <v>0</v>
      </c>
      <c r="W66" s="64">
        <v>0</v>
      </c>
      <c r="Y66" s="65">
        <v>0</v>
      </c>
      <c r="Z66" s="65">
        <v>0</v>
      </c>
      <c r="AA66" s="65">
        <v>0</v>
      </c>
      <c r="AD66" s="29">
        <v>0</v>
      </c>
      <c r="AE66" s="64">
        <v>0</v>
      </c>
      <c r="AF66" s="64">
        <v>0</v>
      </c>
      <c r="AG66" s="64">
        <v>0</v>
      </c>
      <c r="AI66" s="65">
        <v>0</v>
      </c>
      <c r="AJ66" s="65">
        <v>0</v>
      </c>
      <c r="AK66" s="65">
        <v>0</v>
      </c>
      <c r="AM66" s="29">
        <v>0</v>
      </c>
      <c r="AN66" s="64">
        <v>0</v>
      </c>
      <c r="AO66" s="64">
        <v>0</v>
      </c>
      <c r="AP66" s="64">
        <v>0</v>
      </c>
      <c r="AR66" s="65">
        <v>0</v>
      </c>
      <c r="AS66" s="65">
        <v>0</v>
      </c>
      <c r="AT66" s="65">
        <v>0</v>
      </c>
      <c r="AV66" s="29">
        <v>0</v>
      </c>
      <c r="AW66" s="64">
        <v>0</v>
      </c>
      <c r="AX66" s="64">
        <v>0</v>
      </c>
      <c r="AY66" s="64">
        <v>0</v>
      </c>
      <c r="BA66" s="65">
        <v>0</v>
      </c>
      <c r="BB66" s="65">
        <v>0</v>
      </c>
      <c r="BC66" s="65">
        <v>0</v>
      </c>
    </row>
    <row r="67" spans="1:55" s="64" customFormat="1" x14ac:dyDescent="0.2">
      <c r="A67" s="63" t="s">
        <v>35</v>
      </c>
      <c r="B67" s="29">
        <v>6912</v>
      </c>
      <c r="C67" s="64">
        <v>6666</v>
      </c>
      <c r="D67" s="64">
        <v>246</v>
      </c>
      <c r="E67" s="64">
        <v>0</v>
      </c>
      <c r="G67" s="65">
        <v>0.96440972222222221</v>
      </c>
      <c r="H67" s="65">
        <v>3.5590277777777776E-2</v>
      </c>
      <c r="I67" s="65">
        <v>0</v>
      </c>
      <c r="K67" s="29">
        <v>390</v>
      </c>
      <c r="L67" s="64">
        <v>380</v>
      </c>
      <c r="M67" s="64">
        <v>10</v>
      </c>
      <c r="N67" s="64">
        <v>0</v>
      </c>
      <c r="P67" s="65">
        <v>0.97435897435897434</v>
      </c>
      <c r="Q67" s="65">
        <v>2.564102564102564E-2</v>
      </c>
      <c r="R67" s="65">
        <v>0</v>
      </c>
      <c r="T67" s="29">
        <v>239</v>
      </c>
      <c r="U67" s="64">
        <v>165</v>
      </c>
      <c r="V67" s="64">
        <v>74</v>
      </c>
      <c r="W67" s="64">
        <v>0</v>
      </c>
      <c r="Y67" s="65">
        <v>0.69037656903765687</v>
      </c>
      <c r="Z67" s="65">
        <v>0.30962343096234307</v>
      </c>
      <c r="AA67" s="65">
        <v>0</v>
      </c>
      <c r="AD67" s="29">
        <v>5100</v>
      </c>
      <c r="AE67" s="64">
        <v>4873</v>
      </c>
      <c r="AF67" s="64">
        <v>227</v>
      </c>
      <c r="AG67" s="64">
        <v>0</v>
      </c>
      <c r="AI67" s="65">
        <v>0.95549019607843133</v>
      </c>
      <c r="AJ67" s="65">
        <v>4.4509803921568628E-2</v>
      </c>
      <c r="AK67" s="65">
        <v>0</v>
      </c>
      <c r="AM67" s="29">
        <v>74</v>
      </c>
      <c r="AN67" s="64">
        <v>69</v>
      </c>
      <c r="AO67" s="64">
        <v>5</v>
      </c>
      <c r="AP67" s="64">
        <v>0</v>
      </c>
      <c r="AR67" s="65">
        <v>0.93243243243243246</v>
      </c>
      <c r="AS67" s="65">
        <v>6.7567567567567571E-2</v>
      </c>
      <c r="AT67" s="65">
        <v>0</v>
      </c>
      <c r="AV67" s="29">
        <v>15</v>
      </c>
      <c r="AW67" s="64">
        <v>15</v>
      </c>
      <c r="AX67" s="64">
        <v>0</v>
      </c>
      <c r="AY67" s="64">
        <v>0</v>
      </c>
      <c r="BA67" s="65">
        <v>1</v>
      </c>
      <c r="BB67" s="65">
        <v>0</v>
      </c>
      <c r="BC67" s="65">
        <v>0</v>
      </c>
    </row>
    <row r="68" spans="1:55" s="64" customFormat="1" x14ac:dyDescent="0.2">
      <c r="A68" s="63" t="s">
        <v>85</v>
      </c>
      <c r="B68" s="29">
        <v>0</v>
      </c>
      <c r="C68" s="64">
        <v>0</v>
      </c>
      <c r="D68" s="64">
        <v>0</v>
      </c>
      <c r="E68" s="64">
        <v>0</v>
      </c>
      <c r="G68" s="65">
        <v>0</v>
      </c>
      <c r="H68" s="65">
        <v>0</v>
      </c>
      <c r="I68" s="65">
        <v>0</v>
      </c>
      <c r="K68" s="29">
        <v>38</v>
      </c>
      <c r="L68" s="64">
        <v>26</v>
      </c>
      <c r="M68" s="64">
        <v>6</v>
      </c>
      <c r="N68" s="64">
        <v>6</v>
      </c>
      <c r="P68" s="65">
        <v>0.68421052631578949</v>
      </c>
      <c r="Q68" s="65">
        <v>0.15789473684210525</v>
      </c>
      <c r="R68" s="65">
        <v>0.15789473684210525</v>
      </c>
      <c r="T68" s="29">
        <v>59</v>
      </c>
      <c r="U68" s="64">
        <v>58</v>
      </c>
      <c r="V68" s="64">
        <v>0</v>
      </c>
      <c r="W68" s="64">
        <v>1</v>
      </c>
      <c r="Y68" s="65">
        <v>0.98305084745762716</v>
      </c>
      <c r="Z68" s="65">
        <v>0</v>
      </c>
      <c r="AA68" s="65">
        <v>1.6949152542372881E-2</v>
      </c>
      <c r="AD68" s="29">
        <v>0</v>
      </c>
      <c r="AE68" s="64">
        <v>0</v>
      </c>
      <c r="AF68" s="64">
        <v>0</v>
      </c>
      <c r="AG68" s="64">
        <v>0</v>
      </c>
      <c r="AI68" s="65">
        <v>0</v>
      </c>
      <c r="AJ68" s="65">
        <v>0</v>
      </c>
      <c r="AK68" s="65">
        <v>0</v>
      </c>
      <c r="AM68" s="29">
        <v>0</v>
      </c>
      <c r="AN68" s="64">
        <v>0</v>
      </c>
      <c r="AO68" s="64">
        <v>0</v>
      </c>
      <c r="AP68" s="64">
        <v>0</v>
      </c>
      <c r="AR68" s="65">
        <v>0</v>
      </c>
      <c r="AS68" s="65">
        <v>0</v>
      </c>
      <c r="AT68" s="65">
        <v>0</v>
      </c>
      <c r="AV68" s="29">
        <v>0</v>
      </c>
      <c r="AW68" s="64">
        <v>0</v>
      </c>
      <c r="AX68" s="64">
        <v>0</v>
      </c>
      <c r="AY68" s="64">
        <v>0</v>
      </c>
      <c r="BA68" s="65">
        <v>0</v>
      </c>
      <c r="BB68" s="65">
        <v>0</v>
      </c>
      <c r="BC68" s="65">
        <v>0</v>
      </c>
    </row>
    <row r="69" spans="1:55" s="64" customFormat="1" x14ac:dyDescent="0.2">
      <c r="A69" s="63" t="s">
        <v>45</v>
      </c>
      <c r="B69" s="29">
        <v>1</v>
      </c>
      <c r="C69" s="64">
        <v>1</v>
      </c>
      <c r="D69" s="64">
        <v>0</v>
      </c>
      <c r="E69" s="64">
        <v>0</v>
      </c>
      <c r="G69" s="65">
        <v>1</v>
      </c>
      <c r="H69" s="65">
        <v>0</v>
      </c>
      <c r="I69" s="65">
        <v>0</v>
      </c>
      <c r="K69" s="29">
        <v>0</v>
      </c>
      <c r="L69" s="64">
        <v>0</v>
      </c>
      <c r="M69" s="64">
        <v>0</v>
      </c>
      <c r="N69" s="64">
        <v>0</v>
      </c>
      <c r="P69" s="65">
        <v>0</v>
      </c>
      <c r="Q69" s="65">
        <v>0</v>
      </c>
      <c r="R69" s="65">
        <v>0</v>
      </c>
      <c r="T69" s="29">
        <v>62</v>
      </c>
      <c r="U69" s="64">
        <v>62</v>
      </c>
      <c r="V69" s="64">
        <v>0</v>
      </c>
      <c r="W69" s="64">
        <v>0</v>
      </c>
      <c r="Y69" s="65">
        <v>1</v>
      </c>
      <c r="Z69" s="65">
        <v>0</v>
      </c>
      <c r="AA69" s="65">
        <v>0</v>
      </c>
      <c r="AD69" s="29">
        <v>0</v>
      </c>
      <c r="AE69" s="64">
        <v>0</v>
      </c>
      <c r="AF69" s="64">
        <v>0</v>
      </c>
      <c r="AG69" s="64">
        <v>0</v>
      </c>
      <c r="AI69" s="65">
        <v>0</v>
      </c>
      <c r="AJ69" s="65">
        <v>0</v>
      </c>
      <c r="AK69" s="65">
        <v>0</v>
      </c>
      <c r="AM69" s="29">
        <v>0</v>
      </c>
      <c r="AN69" s="64">
        <v>0</v>
      </c>
      <c r="AO69" s="64">
        <v>0</v>
      </c>
      <c r="AP69" s="64">
        <v>0</v>
      </c>
      <c r="AR69" s="65">
        <v>0</v>
      </c>
      <c r="AS69" s="65">
        <v>0</v>
      </c>
      <c r="AT69" s="65">
        <v>0</v>
      </c>
      <c r="AV69" s="29">
        <v>0</v>
      </c>
      <c r="AW69" s="64">
        <v>0</v>
      </c>
      <c r="AX69" s="64">
        <v>0</v>
      </c>
      <c r="AY69" s="64">
        <v>0</v>
      </c>
      <c r="BA69" s="65">
        <v>0</v>
      </c>
      <c r="BB69" s="65">
        <v>0</v>
      </c>
      <c r="BC69" s="65">
        <v>0</v>
      </c>
    </row>
    <row r="70" spans="1:55" s="64" customFormat="1" x14ac:dyDescent="0.2">
      <c r="A70" s="63" t="s">
        <v>46</v>
      </c>
      <c r="B70" s="29">
        <v>0</v>
      </c>
      <c r="C70" s="64">
        <v>0</v>
      </c>
      <c r="D70" s="64">
        <v>0</v>
      </c>
      <c r="E70" s="64">
        <v>0</v>
      </c>
      <c r="G70" s="65">
        <v>0</v>
      </c>
      <c r="H70" s="65">
        <v>0</v>
      </c>
      <c r="I70" s="65">
        <v>0</v>
      </c>
      <c r="K70" s="29">
        <v>89</v>
      </c>
      <c r="L70" s="64">
        <v>86</v>
      </c>
      <c r="M70" s="64">
        <v>2</v>
      </c>
      <c r="N70" s="64">
        <v>1</v>
      </c>
      <c r="P70" s="65">
        <v>0.9662921348314607</v>
      </c>
      <c r="Q70" s="65">
        <v>2.247191011235955E-2</v>
      </c>
      <c r="R70" s="65">
        <v>1.1235955056179775E-2</v>
      </c>
      <c r="T70" s="29">
        <v>3</v>
      </c>
      <c r="U70" s="64">
        <v>3</v>
      </c>
      <c r="V70" s="64">
        <v>0</v>
      </c>
      <c r="W70" s="64">
        <v>0</v>
      </c>
      <c r="Y70" s="65">
        <v>1</v>
      </c>
      <c r="Z70" s="65">
        <v>0</v>
      </c>
      <c r="AA70" s="65">
        <v>0</v>
      </c>
      <c r="AD70" s="29">
        <v>0</v>
      </c>
      <c r="AE70" s="64">
        <v>0</v>
      </c>
      <c r="AF70" s="64">
        <v>0</v>
      </c>
      <c r="AG70" s="64">
        <v>0</v>
      </c>
      <c r="AI70" s="65">
        <v>0</v>
      </c>
      <c r="AJ70" s="65">
        <v>0</v>
      </c>
      <c r="AK70" s="65">
        <v>0</v>
      </c>
      <c r="AM70" s="29">
        <v>0</v>
      </c>
      <c r="AN70" s="64">
        <v>0</v>
      </c>
      <c r="AO70" s="64">
        <v>0</v>
      </c>
      <c r="AP70" s="64">
        <v>0</v>
      </c>
      <c r="AR70" s="65">
        <v>0</v>
      </c>
      <c r="AS70" s="65">
        <v>0</v>
      </c>
      <c r="AT70" s="65">
        <v>0</v>
      </c>
      <c r="AV70" s="29">
        <v>0</v>
      </c>
      <c r="AW70" s="64">
        <v>0</v>
      </c>
      <c r="AX70" s="64">
        <v>0</v>
      </c>
      <c r="AY70" s="64">
        <v>0</v>
      </c>
      <c r="BA70" s="65">
        <v>0</v>
      </c>
      <c r="BB70" s="65">
        <v>0</v>
      </c>
      <c r="BC70" s="65">
        <v>0</v>
      </c>
    </row>
    <row r="71" spans="1:55" s="64" customFormat="1" x14ac:dyDescent="0.2">
      <c r="A71" s="63" t="s">
        <v>48</v>
      </c>
      <c r="B71" s="29">
        <v>21515</v>
      </c>
      <c r="C71" s="64">
        <v>20593</v>
      </c>
      <c r="D71" s="64">
        <v>856</v>
      </c>
      <c r="E71" s="64">
        <v>66</v>
      </c>
      <c r="G71" s="65">
        <v>0.95714617708575411</v>
      </c>
      <c r="H71" s="65">
        <v>3.9786195677434348E-2</v>
      </c>
      <c r="I71" s="65">
        <v>3.0676272368115268E-3</v>
      </c>
      <c r="K71" s="29">
        <v>1816</v>
      </c>
      <c r="L71" s="64">
        <v>1674</v>
      </c>
      <c r="M71" s="64">
        <v>115</v>
      </c>
      <c r="N71" s="64">
        <v>27</v>
      </c>
      <c r="P71" s="65">
        <v>0.92180616740088106</v>
      </c>
      <c r="Q71" s="65">
        <v>6.3325991189427319E-2</v>
      </c>
      <c r="R71" s="65">
        <v>1.4867841409691629E-2</v>
      </c>
      <c r="T71" s="29">
        <v>239</v>
      </c>
      <c r="U71" s="64">
        <v>234</v>
      </c>
      <c r="V71" s="64">
        <v>5</v>
      </c>
      <c r="W71" s="64">
        <v>0</v>
      </c>
      <c r="Y71" s="65">
        <v>0.97907949790794979</v>
      </c>
      <c r="Z71" s="65">
        <v>2.0920502092050208E-2</v>
      </c>
      <c r="AA71" s="65">
        <v>0</v>
      </c>
      <c r="AD71" s="29">
        <v>14483</v>
      </c>
      <c r="AE71" s="64">
        <v>13960</v>
      </c>
      <c r="AF71" s="64">
        <v>331</v>
      </c>
      <c r="AG71" s="64">
        <v>192</v>
      </c>
      <c r="AI71" s="65">
        <v>0.96388869709314373</v>
      </c>
      <c r="AJ71" s="65">
        <v>2.285438099841193E-2</v>
      </c>
      <c r="AK71" s="65">
        <v>1.3256921908444384E-2</v>
      </c>
      <c r="AM71" s="29">
        <v>773</v>
      </c>
      <c r="AN71" s="64">
        <v>701</v>
      </c>
      <c r="AO71" s="64">
        <v>45</v>
      </c>
      <c r="AP71" s="64">
        <v>27</v>
      </c>
      <c r="AR71" s="65">
        <v>0.90685640362225095</v>
      </c>
      <c r="AS71" s="65">
        <v>5.8214747736093142E-2</v>
      </c>
      <c r="AT71" s="65">
        <v>3.4928848641655887E-2</v>
      </c>
      <c r="AV71" s="29">
        <v>74</v>
      </c>
      <c r="AW71" s="64">
        <v>73</v>
      </c>
      <c r="AX71" s="64">
        <v>1</v>
      </c>
      <c r="AY71" s="64">
        <v>0</v>
      </c>
      <c r="BA71" s="65">
        <v>0.98648648648648651</v>
      </c>
      <c r="BB71" s="65">
        <v>1.3513513513513514E-2</v>
      </c>
      <c r="BC71" s="65">
        <v>0</v>
      </c>
    </row>
    <row r="72" spans="1:55" s="64" customFormat="1" x14ac:dyDescent="0.2">
      <c r="A72" s="63" t="s">
        <v>139</v>
      </c>
      <c r="B72" s="29">
        <v>0</v>
      </c>
      <c r="C72" s="64">
        <v>0</v>
      </c>
      <c r="D72" s="64">
        <v>0</v>
      </c>
      <c r="E72" s="64">
        <v>0</v>
      </c>
      <c r="G72" s="65">
        <v>0</v>
      </c>
      <c r="H72" s="65">
        <v>0</v>
      </c>
      <c r="I72" s="65">
        <v>0</v>
      </c>
      <c r="K72" s="29">
        <v>55</v>
      </c>
      <c r="L72" s="64">
        <v>50</v>
      </c>
      <c r="M72" s="64">
        <v>5</v>
      </c>
      <c r="N72" s="64">
        <v>0</v>
      </c>
      <c r="P72" s="65">
        <v>0.90909090909090906</v>
      </c>
      <c r="Q72" s="65">
        <v>9.0909090909090912E-2</v>
      </c>
      <c r="R72" s="65">
        <v>0</v>
      </c>
      <c r="T72" s="29">
        <v>2</v>
      </c>
      <c r="U72" s="64">
        <v>2</v>
      </c>
      <c r="V72" s="64">
        <v>0</v>
      </c>
      <c r="W72" s="64">
        <v>0</v>
      </c>
      <c r="Y72" s="65">
        <v>1</v>
      </c>
      <c r="Z72" s="65">
        <v>0</v>
      </c>
      <c r="AA72" s="65">
        <v>0</v>
      </c>
      <c r="AD72" s="29">
        <v>0</v>
      </c>
      <c r="AE72" s="64">
        <v>0</v>
      </c>
      <c r="AF72" s="64">
        <v>0</v>
      </c>
      <c r="AG72" s="64">
        <v>0</v>
      </c>
      <c r="AI72" s="65">
        <v>0</v>
      </c>
      <c r="AJ72" s="65">
        <v>0</v>
      </c>
      <c r="AK72" s="65">
        <v>0</v>
      </c>
      <c r="AM72" s="29">
        <v>0</v>
      </c>
      <c r="AN72" s="64">
        <v>0</v>
      </c>
      <c r="AO72" s="64">
        <v>0</v>
      </c>
      <c r="AP72" s="64">
        <v>0</v>
      </c>
      <c r="AR72" s="65">
        <v>0</v>
      </c>
      <c r="AS72" s="65">
        <v>0</v>
      </c>
      <c r="AT72" s="65">
        <v>0</v>
      </c>
      <c r="AV72" s="29">
        <v>0</v>
      </c>
      <c r="AW72" s="64">
        <v>0</v>
      </c>
      <c r="AX72" s="64">
        <v>0</v>
      </c>
      <c r="AY72" s="64">
        <v>0</v>
      </c>
      <c r="BA72" s="65">
        <v>0</v>
      </c>
      <c r="BB72" s="65">
        <v>0</v>
      </c>
      <c r="BC72" s="65">
        <v>0</v>
      </c>
    </row>
    <row r="73" spans="1:55" s="64" customFormat="1" x14ac:dyDescent="0.2">
      <c r="A73" s="63" t="s">
        <v>57</v>
      </c>
      <c r="B73" s="29">
        <v>4</v>
      </c>
      <c r="C73" s="64">
        <v>4</v>
      </c>
      <c r="D73" s="64">
        <v>0</v>
      </c>
      <c r="E73" s="64">
        <v>0</v>
      </c>
      <c r="G73" s="65">
        <v>1</v>
      </c>
      <c r="H73" s="65">
        <v>0</v>
      </c>
      <c r="I73" s="65">
        <v>0</v>
      </c>
      <c r="K73" s="29">
        <v>13</v>
      </c>
      <c r="L73" s="64">
        <v>13</v>
      </c>
      <c r="M73" s="64">
        <v>0</v>
      </c>
      <c r="N73" s="64">
        <v>0</v>
      </c>
      <c r="P73" s="65">
        <v>1</v>
      </c>
      <c r="Q73" s="65">
        <v>0</v>
      </c>
      <c r="R73" s="65">
        <v>0</v>
      </c>
      <c r="T73" s="29">
        <v>25</v>
      </c>
      <c r="U73" s="64">
        <v>25</v>
      </c>
      <c r="V73" s="64">
        <v>0</v>
      </c>
      <c r="W73" s="64">
        <v>0</v>
      </c>
      <c r="Y73" s="65">
        <v>1</v>
      </c>
      <c r="Z73" s="65">
        <v>0</v>
      </c>
      <c r="AA73" s="65">
        <v>0</v>
      </c>
      <c r="AD73" s="29">
        <v>0</v>
      </c>
      <c r="AE73" s="64">
        <v>0</v>
      </c>
      <c r="AF73" s="64">
        <v>0</v>
      </c>
      <c r="AG73" s="64">
        <v>0</v>
      </c>
      <c r="AI73" s="65">
        <v>0</v>
      </c>
      <c r="AJ73" s="65">
        <v>0</v>
      </c>
      <c r="AK73" s="65">
        <v>0</v>
      </c>
      <c r="AM73" s="29">
        <v>0</v>
      </c>
      <c r="AN73" s="64">
        <v>0</v>
      </c>
      <c r="AO73" s="64">
        <v>0</v>
      </c>
      <c r="AP73" s="64">
        <v>0</v>
      </c>
      <c r="AR73" s="65">
        <v>0</v>
      </c>
      <c r="AS73" s="65">
        <v>0</v>
      </c>
      <c r="AT73" s="65">
        <v>0</v>
      </c>
      <c r="AV73" s="29">
        <v>0</v>
      </c>
      <c r="AW73" s="64">
        <v>0</v>
      </c>
      <c r="AX73" s="64">
        <v>0</v>
      </c>
      <c r="AY73" s="64">
        <v>0</v>
      </c>
      <c r="BA73" s="65">
        <v>0</v>
      </c>
      <c r="BB73" s="65">
        <v>0</v>
      </c>
      <c r="BC73" s="65">
        <v>0</v>
      </c>
    </row>
    <row r="74" spans="1:55" s="64" customFormat="1" x14ac:dyDescent="0.2">
      <c r="A74" s="63" t="s">
        <v>60</v>
      </c>
      <c r="B74" s="29">
        <v>40</v>
      </c>
      <c r="C74" s="64">
        <v>40</v>
      </c>
      <c r="D74" s="64">
        <v>0</v>
      </c>
      <c r="E74" s="64">
        <v>0</v>
      </c>
      <c r="G74" s="65">
        <v>1</v>
      </c>
      <c r="H74" s="65">
        <v>0</v>
      </c>
      <c r="I74" s="65">
        <v>0</v>
      </c>
      <c r="K74" s="29">
        <v>4</v>
      </c>
      <c r="L74" s="64">
        <v>4</v>
      </c>
      <c r="M74" s="64">
        <v>0</v>
      </c>
      <c r="N74" s="64">
        <v>0</v>
      </c>
      <c r="P74" s="65">
        <v>1</v>
      </c>
      <c r="Q74" s="65">
        <v>0</v>
      </c>
      <c r="R74" s="65">
        <v>0</v>
      </c>
      <c r="T74" s="29">
        <v>2</v>
      </c>
      <c r="U74" s="64">
        <v>2</v>
      </c>
      <c r="V74" s="64">
        <v>0</v>
      </c>
      <c r="W74" s="64">
        <v>0</v>
      </c>
      <c r="Y74" s="65">
        <v>1</v>
      </c>
      <c r="Z74" s="65">
        <v>0</v>
      </c>
      <c r="AA74" s="65">
        <v>0</v>
      </c>
      <c r="AD74" s="29">
        <v>0</v>
      </c>
      <c r="AE74" s="64">
        <v>0</v>
      </c>
      <c r="AF74" s="64">
        <v>0</v>
      </c>
      <c r="AG74" s="64">
        <v>0</v>
      </c>
      <c r="AI74" s="65">
        <v>0</v>
      </c>
      <c r="AJ74" s="65">
        <v>0</v>
      </c>
      <c r="AK74" s="65">
        <v>0</v>
      </c>
      <c r="AM74" s="29">
        <v>0</v>
      </c>
      <c r="AN74" s="64">
        <v>0</v>
      </c>
      <c r="AO74" s="64">
        <v>0</v>
      </c>
      <c r="AP74" s="64">
        <v>0</v>
      </c>
      <c r="AR74" s="65">
        <v>0</v>
      </c>
      <c r="AS74" s="65">
        <v>0</v>
      </c>
      <c r="AT74" s="65">
        <v>0</v>
      </c>
      <c r="AV74" s="29">
        <v>0</v>
      </c>
      <c r="AW74" s="64">
        <v>0</v>
      </c>
      <c r="AX74" s="64">
        <v>0</v>
      </c>
      <c r="AY74" s="64">
        <v>0</v>
      </c>
      <c r="BA74" s="65">
        <v>0</v>
      </c>
      <c r="BB74" s="65">
        <v>0</v>
      </c>
      <c r="BC74" s="65">
        <v>0</v>
      </c>
    </row>
    <row r="75" spans="1:55" s="64" customFormat="1" x14ac:dyDescent="0.2">
      <c r="A75" s="63" t="s">
        <v>96</v>
      </c>
      <c r="B75" s="29">
        <v>0</v>
      </c>
      <c r="C75" s="64">
        <v>0</v>
      </c>
      <c r="D75" s="64">
        <v>0</v>
      </c>
      <c r="E75" s="64">
        <v>0</v>
      </c>
      <c r="G75" s="65">
        <v>0</v>
      </c>
      <c r="H75" s="65">
        <v>0</v>
      </c>
      <c r="I75" s="65">
        <v>0</v>
      </c>
      <c r="K75" s="29">
        <v>0</v>
      </c>
      <c r="L75" s="64">
        <v>0</v>
      </c>
      <c r="M75" s="64">
        <v>0</v>
      </c>
      <c r="N75" s="64">
        <v>0</v>
      </c>
      <c r="P75" s="65">
        <v>0</v>
      </c>
      <c r="Q75" s="65">
        <v>0</v>
      </c>
      <c r="R75" s="65">
        <v>0</v>
      </c>
      <c r="T75" s="29">
        <v>5</v>
      </c>
      <c r="U75" s="64">
        <v>5</v>
      </c>
      <c r="V75" s="64">
        <v>0</v>
      </c>
      <c r="W75" s="64">
        <v>0</v>
      </c>
      <c r="Y75" s="65">
        <v>1</v>
      </c>
      <c r="Z75" s="65">
        <v>0</v>
      </c>
      <c r="AA75" s="65">
        <v>0</v>
      </c>
      <c r="AD75" s="29">
        <v>0</v>
      </c>
      <c r="AE75" s="64">
        <v>0</v>
      </c>
      <c r="AF75" s="64">
        <v>0</v>
      </c>
      <c r="AG75" s="64">
        <v>0</v>
      </c>
      <c r="AI75" s="65">
        <v>0</v>
      </c>
      <c r="AJ75" s="65">
        <v>0</v>
      </c>
      <c r="AK75" s="65">
        <v>0</v>
      </c>
      <c r="AM75" s="29">
        <v>0</v>
      </c>
      <c r="AN75" s="64">
        <v>0</v>
      </c>
      <c r="AO75" s="64">
        <v>0</v>
      </c>
      <c r="AP75" s="64">
        <v>0</v>
      </c>
      <c r="AR75" s="65">
        <v>0</v>
      </c>
      <c r="AS75" s="65">
        <v>0</v>
      </c>
      <c r="AT75" s="65">
        <v>0</v>
      </c>
      <c r="AV75" s="29">
        <v>0</v>
      </c>
      <c r="AW75" s="64">
        <v>0</v>
      </c>
      <c r="AX75" s="64">
        <v>0</v>
      </c>
      <c r="AY75" s="64">
        <v>0</v>
      </c>
      <c r="BA75" s="65">
        <v>0</v>
      </c>
      <c r="BB75" s="65">
        <v>0</v>
      </c>
      <c r="BC75" s="65">
        <v>0</v>
      </c>
    </row>
    <row r="76" spans="1:55" s="64" customFormat="1" x14ac:dyDescent="0.2">
      <c r="A76" s="63" t="s">
        <v>63</v>
      </c>
      <c r="B76" s="29">
        <v>0</v>
      </c>
      <c r="C76" s="64">
        <v>0</v>
      </c>
      <c r="D76" s="64">
        <v>0</v>
      </c>
      <c r="E76" s="64">
        <v>0</v>
      </c>
      <c r="G76" s="65">
        <v>0</v>
      </c>
      <c r="H76" s="65">
        <v>0</v>
      </c>
      <c r="I76" s="65">
        <v>0</v>
      </c>
      <c r="K76" s="29">
        <v>0</v>
      </c>
      <c r="L76" s="64">
        <v>0</v>
      </c>
      <c r="M76" s="64">
        <v>0</v>
      </c>
      <c r="N76" s="64">
        <v>0</v>
      </c>
      <c r="P76" s="65">
        <v>0</v>
      </c>
      <c r="Q76" s="65">
        <v>0</v>
      </c>
      <c r="R76" s="65">
        <v>0</v>
      </c>
      <c r="T76" s="29">
        <v>1</v>
      </c>
      <c r="U76" s="64">
        <v>1</v>
      </c>
      <c r="V76" s="64">
        <v>0</v>
      </c>
      <c r="W76" s="64">
        <v>0</v>
      </c>
      <c r="Y76" s="65">
        <v>1</v>
      </c>
      <c r="Z76" s="65">
        <v>0</v>
      </c>
      <c r="AA76" s="65">
        <v>0</v>
      </c>
      <c r="AD76" s="29">
        <v>0</v>
      </c>
      <c r="AE76" s="64">
        <v>0</v>
      </c>
      <c r="AF76" s="64">
        <v>0</v>
      </c>
      <c r="AG76" s="64">
        <v>0</v>
      </c>
      <c r="AI76" s="65">
        <v>0</v>
      </c>
      <c r="AJ76" s="65">
        <v>0</v>
      </c>
      <c r="AK76" s="65">
        <v>0</v>
      </c>
      <c r="AM76" s="29">
        <v>0</v>
      </c>
      <c r="AN76" s="64">
        <v>0</v>
      </c>
      <c r="AO76" s="64">
        <v>0</v>
      </c>
      <c r="AP76" s="64">
        <v>0</v>
      </c>
      <c r="AR76" s="65">
        <v>0</v>
      </c>
      <c r="AS76" s="65">
        <v>0</v>
      </c>
      <c r="AT76" s="65">
        <v>0</v>
      </c>
      <c r="AV76" s="29">
        <v>0</v>
      </c>
      <c r="AW76" s="64">
        <v>0</v>
      </c>
      <c r="AX76" s="64">
        <v>0</v>
      </c>
      <c r="AY76" s="64">
        <v>0</v>
      </c>
      <c r="BA76" s="65">
        <v>0</v>
      </c>
      <c r="BB76" s="65">
        <v>0</v>
      </c>
      <c r="BC76" s="65">
        <v>0</v>
      </c>
    </row>
    <row r="77" spans="1:55" s="64" customFormat="1" x14ac:dyDescent="0.2">
      <c r="A77" s="63" t="s">
        <v>98</v>
      </c>
      <c r="B77" s="29">
        <v>0</v>
      </c>
      <c r="C77" s="64">
        <v>0</v>
      </c>
      <c r="D77" s="64">
        <v>0</v>
      </c>
      <c r="E77" s="64">
        <v>0</v>
      </c>
      <c r="G77" s="65">
        <v>0</v>
      </c>
      <c r="H77" s="65">
        <v>0</v>
      </c>
      <c r="I77" s="65">
        <v>0</v>
      </c>
      <c r="K77" s="29">
        <v>0</v>
      </c>
      <c r="L77" s="64">
        <v>0</v>
      </c>
      <c r="M77" s="64">
        <v>0</v>
      </c>
      <c r="N77" s="64">
        <v>0</v>
      </c>
      <c r="P77" s="65">
        <v>0</v>
      </c>
      <c r="Q77" s="65">
        <v>0</v>
      </c>
      <c r="R77" s="65">
        <v>0</v>
      </c>
      <c r="T77" s="29">
        <v>0</v>
      </c>
      <c r="U77" s="64">
        <v>0</v>
      </c>
      <c r="V77" s="64">
        <v>0</v>
      </c>
      <c r="W77" s="64">
        <v>0</v>
      </c>
      <c r="Y77" s="65">
        <v>0</v>
      </c>
      <c r="Z77" s="65">
        <v>0</v>
      </c>
      <c r="AA77" s="65">
        <v>0</v>
      </c>
      <c r="AD77" s="29">
        <v>0</v>
      </c>
      <c r="AE77" s="64">
        <v>0</v>
      </c>
      <c r="AF77" s="64">
        <v>0</v>
      </c>
      <c r="AG77" s="64">
        <v>0</v>
      </c>
      <c r="AI77" s="65">
        <v>0</v>
      </c>
      <c r="AJ77" s="65">
        <v>0</v>
      </c>
      <c r="AK77" s="65">
        <v>0</v>
      </c>
      <c r="AM77" s="29">
        <v>0</v>
      </c>
      <c r="AN77" s="64">
        <v>0</v>
      </c>
      <c r="AO77" s="64">
        <v>0</v>
      </c>
      <c r="AP77" s="64">
        <v>0</v>
      </c>
      <c r="AR77" s="65">
        <v>0</v>
      </c>
      <c r="AS77" s="65">
        <v>0</v>
      </c>
      <c r="AT77" s="65">
        <v>0</v>
      </c>
      <c r="AV77" s="29">
        <v>6</v>
      </c>
      <c r="AW77" s="64">
        <v>6</v>
      </c>
      <c r="AX77" s="64">
        <v>0</v>
      </c>
      <c r="AY77" s="64">
        <v>0</v>
      </c>
      <c r="BA77" s="65">
        <v>1</v>
      </c>
      <c r="BB77" s="65">
        <v>0</v>
      </c>
      <c r="BC77" s="65">
        <v>0</v>
      </c>
    </row>
    <row r="78" spans="1:55" s="23" customFormat="1" x14ac:dyDescent="0.2">
      <c r="A78" s="28" t="s">
        <v>70</v>
      </c>
      <c r="B78" s="29">
        <v>174739</v>
      </c>
      <c r="C78" s="29">
        <v>78772</v>
      </c>
      <c r="D78" s="29">
        <v>95900</v>
      </c>
      <c r="E78" s="23">
        <v>67</v>
      </c>
      <c r="G78" s="24">
        <v>0.45079804737351137</v>
      </c>
      <c r="H78" s="24">
        <v>0.54881852362666605</v>
      </c>
      <c r="I78" s="24">
        <v>3.8342899982259256E-4</v>
      </c>
      <c r="K78" s="29">
        <v>12944</v>
      </c>
      <c r="L78" s="29">
        <v>3968</v>
      </c>
      <c r="M78" s="29">
        <v>8942</v>
      </c>
      <c r="N78" s="23">
        <v>34</v>
      </c>
      <c r="P78" s="24">
        <v>0.30655129789864027</v>
      </c>
      <c r="Q78" s="24">
        <v>0.69082200247218783</v>
      </c>
      <c r="R78" s="24">
        <v>2.6266996291718172E-3</v>
      </c>
      <c r="T78" s="29">
        <v>1995</v>
      </c>
      <c r="U78" s="29">
        <v>1915</v>
      </c>
      <c r="V78" s="29">
        <v>79</v>
      </c>
      <c r="W78" s="23">
        <v>1</v>
      </c>
      <c r="Y78" s="24">
        <v>0.95989974937343359</v>
      </c>
      <c r="Z78" s="24">
        <v>3.9598997493734335E-2</v>
      </c>
      <c r="AA78" s="24">
        <v>5.0125313283208019E-4</v>
      </c>
      <c r="AD78" s="29">
        <v>123592</v>
      </c>
      <c r="AE78" s="29">
        <v>56216</v>
      </c>
      <c r="AF78" s="29">
        <v>66818</v>
      </c>
      <c r="AG78" s="23">
        <v>558</v>
      </c>
      <c r="AI78" s="24">
        <v>0.45485144669557898</v>
      </c>
      <c r="AJ78" s="24">
        <v>0.54063369797397887</v>
      </c>
      <c r="AK78" s="24">
        <v>4.5148553304420998E-3</v>
      </c>
      <c r="AM78" s="29">
        <v>2655</v>
      </c>
      <c r="AN78" s="29">
        <v>1079</v>
      </c>
      <c r="AO78" s="29">
        <v>1545</v>
      </c>
      <c r="AP78" s="23">
        <v>31</v>
      </c>
      <c r="AR78" s="24">
        <v>0.40640301318267419</v>
      </c>
      <c r="AS78" s="24">
        <v>0.58192090395480223</v>
      </c>
      <c r="AT78" s="24">
        <v>1.1676082862523541E-2</v>
      </c>
      <c r="AV78" s="29">
        <v>113</v>
      </c>
      <c r="AW78" s="29">
        <v>112</v>
      </c>
      <c r="AX78" s="29">
        <v>1</v>
      </c>
      <c r="AY78" s="23">
        <v>0</v>
      </c>
      <c r="BA78" s="24">
        <v>0.99115044247787609</v>
      </c>
      <c r="BB78" s="24">
        <v>8.8495575221238937E-3</v>
      </c>
      <c r="BC78" s="24">
        <v>0</v>
      </c>
    </row>
    <row r="79" spans="1:55" ht="15" x14ac:dyDescent="0.25">
      <c r="A79" s="20"/>
      <c r="G79" s="68"/>
      <c r="H79" s="68"/>
      <c r="I79" s="68"/>
      <c r="P79" s="68"/>
      <c r="Q79" s="68"/>
      <c r="R79" s="68"/>
      <c r="Y79" s="68"/>
      <c r="Z79" s="68"/>
      <c r="AA79" s="68"/>
      <c r="AI79" s="68"/>
      <c r="AJ79" s="68"/>
      <c r="AK79" s="68"/>
      <c r="AR79" s="68"/>
      <c r="AS79" s="68"/>
      <c r="AT79" s="68"/>
      <c r="BA79" s="68"/>
      <c r="BB79" s="68"/>
      <c r="BC79" s="68"/>
    </row>
    <row r="80" spans="1:55" s="23" customFormat="1" x14ac:dyDescent="0.2">
      <c r="A80" s="30" t="s">
        <v>71</v>
      </c>
      <c r="B80" s="27" t="s">
        <v>82</v>
      </c>
      <c r="C80" s="27" t="s">
        <v>114</v>
      </c>
      <c r="D80" s="27" t="s">
        <v>115</v>
      </c>
      <c r="E80" s="27" t="s">
        <v>126</v>
      </c>
      <c r="F80" s="27"/>
      <c r="G80" s="61" t="s">
        <v>114</v>
      </c>
      <c r="H80" s="61" t="s">
        <v>115</v>
      </c>
      <c r="I80" s="61" t="s">
        <v>126</v>
      </c>
      <c r="J80" s="27"/>
      <c r="K80" s="27" t="s">
        <v>82</v>
      </c>
      <c r="L80" s="27" t="s">
        <v>114</v>
      </c>
      <c r="M80" s="27" t="s">
        <v>115</v>
      </c>
      <c r="N80" s="27" t="s">
        <v>126</v>
      </c>
      <c r="O80" s="27"/>
      <c r="P80" s="61" t="s">
        <v>114</v>
      </c>
      <c r="Q80" s="61" t="s">
        <v>115</v>
      </c>
      <c r="R80" s="61" t="s">
        <v>126</v>
      </c>
      <c r="S80" s="27"/>
      <c r="T80" s="27" t="s">
        <v>82</v>
      </c>
      <c r="U80" s="27" t="s">
        <v>114</v>
      </c>
      <c r="V80" s="27" t="s">
        <v>115</v>
      </c>
      <c r="W80" s="27" t="s">
        <v>126</v>
      </c>
      <c r="X80" s="27"/>
      <c r="Y80" s="61" t="s">
        <v>114</v>
      </c>
      <c r="Z80" s="61" t="s">
        <v>115</v>
      </c>
      <c r="AA80" s="61" t="s">
        <v>126</v>
      </c>
      <c r="AB80" s="27"/>
      <c r="AC80" s="27"/>
      <c r="AD80" s="27" t="s">
        <v>82</v>
      </c>
      <c r="AE80" s="27" t="s">
        <v>114</v>
      </c>
      <c r="AF80" s="27" t="s">
        <v>115</v>
      </c>
      <c r="AG80" s="27" t="s">
        <v>126</v>
      </c>
      <c r="AH80" s="27"/>
      <c r="AI80" s="61" t="s">
        <v>114</v>
      </c>
      <c r="AJ80" s="61" t="s">
        <v>115</v>
      </c>
      <c r="AK80" s="61" t="s">
        <v>126</v>
      </c>
      <c r="AL80" s="27"/>
      <c r="AM80" s="27" t="s">
        <v>82</v>
      </c>
      <c r="AN80" s="27" t="s">
        <v>114</v>
      </c>
      <c r="AO80" s="27" t="s">
        <v>115</v>
      </c>
      <c r="AP80" s="27" t="s">
        <v>126</v>
      </c>
      <c r="AQ80" s="27"/>
      <c r="AR80" s="61" t="s">
        <v>114</v>
      </c>
      <c r="AS80" s="61" t="s">
        <v>115</v>
      </c>
      <c r="AT80" s="61" t="s">
        <v>126</v>
      </c>
      <c r="AU80" s="27"/>
      <c r="AV80" s="27" t="s">
        <v>82</v>
      </c>
      <c r="AW80" s="27" t="s">
        <v>114</v>
      </c>
      <c r="AX80" s="27" t="s">
        <v>115</v>
      </c>
      <c r="AY80" s="27" t="s">
        <v>126</v>
      </c>
      <c r="AZ80" s="27"/>
      <c r="BA80" s="61" t="s">
        <v>114</v>
      </c>
      <c r="BB80" s="61" t="s">
        <v>115</v>
      </c>
      <c r="BC80" s="61" t="s">
        <v>126</v>
      </c>
    </row>
    <row r="81" spans="1:55" s="64" customFormat="1" x14ac:dyDescent="0.2">
      <c r="A81" s="63" t="s">
        <v>22</v>
      </c>
      <c r="B81" s="29">
        <v>8875</v>
      </c>
      <c r="C81" s="64">
        <v>8399</v>
      </c>
      <c r="D81" s="64">
        <v>409</v>
      </c>
      <c r="E81" s="64">
        <v>67</v>
      </c>
      <c r="G81" s="65">
        <v>0.94636619718309856</v>
      </c>
      <c r="H81" s="65">
        <v>4.6084507042253524E-2</v>
      </c>
      <c r="I81" s="65">
        <v>7.5492957746478876E-3</v>
      </c>
      <c r="K81" s="29">
        <v>1262</v>
      </c>
      <c r="L81" s="64">
        <v>1136</v>
      </c>
      <c r="M81" s="64">
        <v>95</v>
      </c>
      <c r="N81" s="64">
        <v>31</v>
      </c>
      <c r="P81" s="65">
        <v>0.90015847860538822</v>
      </c>
      <c r="Q81" s="65">
        <v>7.5277337559429475E-2</v>
      </c>
      <c r="R81" s="65">
        <v>2.456418383518225E-2</v>
      </c>
      <c r="T81" s="29">
        <v>26</v>
      </c>
      <c r="U81" s="64">
        <v>26</v>
      </c>
      <c r="V81" s="64">
        <v>0</v>
      </c>
      <c r="W81" s="64">
        <v>0</v>
      </c>
      <c r="Y81" s="65">
        <v>1</v>
      </c>
      <c r="Z81" s="65">
        <v>0</v>
      </c>
      <c r="AA81" s="65">
        <v>0</v>
      </c>
      <c r="AD81" s="29">
        <v>0</v>
      </c>
      <c r="AE81" s="64">
        <v>0</v>
      </c>
      <c r="AF81" s="64">
        <v>0</v>
      </c>
      <c r="AG81" s="64">
        <v>0</v>
      </c>
      <c r="AI81" s="65">
        <v>0</v>
      </c>
      <c r="AJ81" s="65">
        <v>0</v>
      </c>
      <c r="AK81" s="65">
        <v>0</v>
      </c>
      <c r="AM81" s="29">
        <v>0</v>
      </c>
      <c r="AN81" s="64">
        <v>0</v>
      </c>
      <c r="AO81" s="64">
        <v>0</v>
      </c>
      <c r="AP81" s="64">
        <v>0</v>
      </c>
      <c r="AR81" s="65">
        <v>0</v>
      </c>
      <c r="AS81" s="65">
        <v>0</v>
      </c>
      <c r="AT81" s="65">
        <v>0</v>
      </c>
      <c r="AV81" s="29">
        <v>0</v>
      </c>
      <c r="AW81" s="64">
        <v>0</v>
      </c>
      <c r="AX81" s="64">
        <v>0</v>
      </c>
      <c r="AY81" s="64">
        <v>0</v>
      </c>
      <c r="BA81" s="65">
        <v>0</v>
      </c>
      <c r="BB81" s="65">
        <v>0</v>
      </c>
      <c r="BC81" s="65">
        <v>0</v>
      </c>
    </row>
    <row r="82" spans="1:55" s="64" customFormat="1" x14ac:dyDescent="0.2">
      <c r="A82" s="63" t="s">
        <v>23</v>
      </c>
      <c r="B82" s="29">
        <v>27670</v>
      </c>
      <c r="C82" s="64">
        <v>17617</v>
      </c>
      <c r="D82" s="64">
        <v>10053</v>
      </c>
      <c r="E82" s="64">
        <v>0</v>
      </c>
      <c r="G82" s="65">
        <v>0.63668232743043007</v>
      </c>
      <c r="H82" s="65">
        <v>0.36331767256956993</v>
      </c>
      <c r="I82" s="65">
        <v>0</v>
      </c>
      <c r="K82" s="29">
        <v>1270</v>
      </c>
      <c r="L82" s="64">
        <v>617</v>
      </c>
      <c r="M82" s="64">
        <v>653</v>
      </c>
      <c r="N82" s="64">
        <v>0</v>
      </c>
      <c r="P82" s="65">
        <v>0.48582677165354332</v>
      </c>
      <c r="Q82" s="65">
        <v>0.51417322834645673</v>
      </c>
      <c r="R82" s="65">
        <v>0</v>
      </c>
      <c r="T82" s="29">
        <v>191</v>
      </c>
      <c r="U82" s="64">
        <v>191</v>
      </c>
      <c r="V82" s="64">
        <v>0</v>
      </c>
      <c r="W82" s="64">
        <v>0</v>
      </c>
      <c r="Y82" s="65">
        <v>1</v>
      </c>
      <c r="Z82" s="65">
        <v>0</v>
      </c>
      <c r="AA82" s="65">
        <v>0</v>
      </c>
      <c r="AD82" s="29">
        <v>19128</v>
      </c>
      <c r="AE82" s="64">
        <v>8291</v>
      </c>
      <c r="AF82" s="64">
        <v>10748</v>
      </c>
      <c r="AG82" s="64">
        <v>89</v>
      </c>
      <c r="AI82" s="65">
        <v>0.43344834797156001</v>
      </c>
      <c r="AJ82" s="65">
        <v>0.5618987871183605</v>
      </c>
      <c r="AK82" s="65">
        <v>4.6528649100794645E-3</v>
      </c>
      <c r="AM82" s="29">
        <v>599</v>
      </c>
      <c r="AN82" s="64">
        <v>57</v>
      </c>
      <c r="AO82" s="64">
        <v>541</v>
      </c>
      <c r="AP82" s="64">
        <v>1</v>
      </c>
      <c r="AR82" s="65">
        <v>9.515859766277128E-2</v>
      </c>
      <c r="AS82" s="65">
        <v>0.90317195325542576</v>
      </c>
      <c r="AT82" s="65">
        <v>1.6694490818030051E-3</v>
      </c>
      <c r="AV82" s="29">
        <v>2</v>
      </c>
      <c r="AW82" s="64">
        <v>2</v>
      </c>
      <c r="AX82" s="64">
        <v>0</v>
      </c>
      <c r="AY82" s="64">
        <v>0</v>
      </c>
      <c r="BA82" s="65">
        <v>1</v>
      </c>
      <c r="BB82" s="65">
        <v>0</v>
      </c>
      <c r="BC82" s="65">
        <v>0</v>
      </c>
    </row>
    <row r="83" spans="1:55" s="64" customFormat="1" x14ac:dyDescent="0.2">
      <c r="A83" s="63" t="s">
        <v>24</v>
      </c>
      <c r="B83" s="29">
        <v>747957</v>
      </c>
      <c r="C83" s="64">
        <v>708001</v>
      </c>
      <c r="D83" s="64">
        <v>37465</v>
      </c>
      <c r="E83" s="64">
        <v>2491</v>
      </c>
      <c r="G83" s="65">
        <v>0.94657981675417169</v>
      </c>
      <c r="H83" s="65">
        <v>5.0089777888301067E-2</v>
      </c>
      <c r="I83" s="65">
        <v>3.3304053575272377E-3</v>
      </c>
      <c r="K83" s="29">
        <v>59867</v>
      </c>
      <c r="L83" s="64">
        <v>52813</v>
      </c>
      <c r="M83" s="64">
        <v>5866</v>
      </c>
      <c r="N83" s="64">
        <v>1188</v>
      </c>
      <c r="P83" s="65">
        <v>0.88217214826198076</v>
      </c>
      <c r="Q83" s="65">
        <v>9.7983864232381784E-2</v>
      </c>
      <c r="R83" s="65">
        <v>1.9843987505637498E-2</v>
      </c>
      <c r="T83" s="29">
        <v>6303</v>
      </c>
      <c r="U83" s="64">
        <v>6254</v>
      </c>
      <c r="V83" s="64">
        <v>45</v>
      </c>
      <c r="W83" s="64">
        <v>4</v>
      </c>
      <c r="Y83" s="65">
        <v>0.99222592416309696</v>
      </c>
      <c r="Z83" s="65">
        <v>7.139457401237506E-3</v>
      </c>
      <c r="AA83" s="65">
        <v>6.3461843566555614E-4</v>
      </c>
      <c r="AD83" s="29">
        <v>621721</v>
      </c>
      <c r="AE83" s="64">
        <v>499866</v>
      </c>
      <c r="AF83" s="64">
        <v>111609</v>
      </c>
      <c r="AG83" s="64">
        <v>10246</v>
      </c>
      <c r="AI83" s="65">
        <v>0.80400372514359331</v>
      </c>
      <c r="AJ83" s="65">
        <v>0.17951621386441829</v>
      </c>
      <c r="AK83" s="65">
        <v>1.6480060991988368E-2</v>
      </c>
      <c r="AM83" s="29">
        <v>18004</v>
      </c>
      <c r="AN83" s="64">
        <v>13467</v>
      </c>
      <c r="AO83" s="64">
        <v>3567</v>
      </c>
      <c r="AP83" s="64">
        <v>970</v>
      </c>
      <c r="AR83" s="65">
        <v>0.74800044434570101</v>
      </c>
      <c r="AS83" s="65">
        <v>0.19812263941346367</v>
      </c>
      <c r="AT83" s="65">
        <v>5.3876916240835369E-2</v>
      </c>
      <c r="AV83" s="29">
        <v>1342</v>
      </c>
      <c r="AW83" s="64">
        <v>1186</v>
      </c>
      <c r="AX83" s="64">
        <v>151</v>
      </c>
      <c r="AY83" s="64">
        <v>5</v>
      </c>
      <c r="BA83" s="65">
        <v>0.88375558867362147</v>
      </c>
      <c r="BB83" s="65">
        <v>0.11251862891207154</v>
      </c>
      <c r="BC83" s="65">
        <v>3.7257824143070045E-3</v>
      </c>
    </row>
    <row r="84" spans="1:55" s="64" customFormat="1" x14ac:dyDescent="0.2">
      <c r="A84" s="63" t="s">
        <v>25</v>
      </c>
      <c r="B84" s="29">
        <v>81399</v>
      </c>
      <c r="C84" s="64">
        <v>79249</v>
      </c>
      <c r="D84" s="64">
        <v>1205</v>
      </c>
      <c r="E84" s="64">
        <v>945</v>
      </c>
      <c r="G84" s="65">
        <v>0.97358689910195462</v>
      </c>
      <c r="H84" s="65">
        <v>1.4803621666113834E-2</v>
      </c>
      <c r="I84" s="65">
        <v>1.1609479231931596E-2</v>
      </c>
      <c r="K84" s="29">
        <v>10148</v>
      </c>
      <c r="L84" s="64">
        <v>9658</v>
      </c>
      <c r="M84" s="64">
        <v>254</v>
      </c>
      <c r="N84" s="64">
        <v>236</v>
      </c>
      <c r="P84" s="65">
        <v>0.951714623571147</v>
      </c>
      <c r="Q84" s="65">
        <v>2.5029562475364604E-2</v>
      </c>
      <c r="R84" s="65">
        <v>2.3255813953488372E-2</v>
      </c>
      <c r="T84" s="29">
        <v>80</v>
      </c>
      <c r="U84" s="64">
        <v>79</v>
      </c>
      <c r="V84" s="64">
        <v>0</v>
      </c>
      <c r="W84" s="64">
        <v>1</v>
      </c>
      <c r="Y84" s="65">
        <v>0.98750000000000004</v>
      </c>
      <c r="Z84" s="65">
        <v>0</v>
      </c>
      <c r="AA84" s="65">
        <v>1.2500000000000001E-2</v>
      </c>
      <c r="AD84" s="29">
        <v>21781</v>
      </c>
      <c r="AE84" s="64">
        <v>20817</v>
      </c>
      <c r="AF84" s="64">
        <v>593</v>
      </c>
      <c r="AG84" s="64">
        <v>371</v>
      </c>
      <c r="AI84" s="65">
        <v>0.95574124236720082</v>
      </c>
      <c r="AJ84" s="65">
        <v>2.7225563564574628E-2</v>
      </c>
      <c r="AK84" s="65">
        <v>1.7033194068224601E-2</v>
      </c>
      <c r="AM84" s="29">
        <v>95</v>
      </c>
      <c r="AN84" s="64">
        <v>60</v>
      </c>
      <c r="AO84" s="64">
        <v>35</v>
      </c>
      <c r="AP84" s="64">
        <v>0</v>
      </c>
      <c r="AR84" s="65">
        <v>0.63157894736842102</v>
      </c>
      <c r="AS84" s="65">
        <v>0.36842105263157893</v>
      </c>
      <c r="AT84" s="65">
        <v>0</v>
      </c>
      <c r="AV84" s="29">
        <v>35</v>
      </c>
      <c r="AW84" s="64">
        <v>35</v>
      </c>
      <c r="AX84" s="64">
        <v>0</v>
      </c>
      <c r="AY84" s="64">
        <v>0</v>
      </c>
      <c r="BA84" s="65">
        <v>1</v>
      </c>
      <c r="BB84" s="65">
        <v>0</v>
      </c>
      <c r="BC84" s="65">
        <v>0</v>
      </c>
    </row>
    <row r="85" spans="1:55" s="64" customFormat="1" x14ac:dyDescent="0.2">
      <c r="A85" s="63" t="s">
        <v>26</v>
      </c>
      <c r="B85" s="29">
        <v>50604</v>
      </c>
      <c r="C85" s="64">
        <v>49054</v>
      </c>
      <c r="D85" s="64">
        <v>1062</v>
      </c>
      <c r="E85" s="64">
        <v>488</v>
      </c>
      <c r="G85" s="65">
        <v>0.96937001027586756</v>
      </c>
      <c r="H85" s="65">
        <v>2.0986483281953995E-2</v>
      </c>
      <c r="I85" s="65">
        <v>9.6435064421784844E-3</v>
      </c>
      <c r="K85" s="29">
        <v>1744</v>
      </c>
      <c r="L85" s="64">
        <v>1568</v>
      </c>
      <c r="M85" s="64">
        <v>102</v>
      </c>
      <c r="N85" s="64">
        <v>74</v>
      </c>
      <c r="P85" s="65">
        <v>0.8990825688073395</v>
      </c>
      <c r="Q85" s="65">
        <v>5.8486238532110095E-2</v>
      </c>
      <c r="R85" s="65">
        <v>4.2431192660550461E-2</v>
      </c>
      <c r="T85" s="29">
        <v>0</v>
      </c>
      <c r="U85" s="64">
        <v>0</v>
      </c>
      <c r="V85" s="64">
        <v>0</v>
      </c>
      <c r="W85" s="64">
        <v>0</v>
      </c>
      <c r="Y85" s="65">
        <v>0</v>
      </c>
      <c r="Z85" s="65">
        <v>0</v>
      </c>
      <c r="AA85" s="65">
        <v>0</v>
      </c>
      <c r="AD85" s="29">
        <v>19549</v>
      </c>
      <c r="AE85" s="64">
        <v>18591</v>
      </c>
      <c r="AF85" s="64">
        <v>667</v>
      </c>
      <c r="AG85" s="64">
        <v>291</v>
      </c>
      <c r="AI85" s="65">
        <v>0.95099493580234284</v>
      </c>
      <c r="AJ85" s="65">
        <v>3.4119392296281137E-2</v>
      </c>
      <c r="AK85" s="65">
        <v>1.4885671901376029E-2</v>
      </c>
      <c r="AM85" s="29">
        <v>343</v>
      </c>
      <c r="AN85" s="64">
        <v>282</v>
      </c>
      <c r="AO85" s="64">
        <v>34</v>
      </c>
      <c r="AP85" s="64">
        <v>27</v>
      </c>
      <c r="AR85" s="65">
        <v>0.82215743440233235</v>
      </c>
      <c r="AS85" s="65">
        <v>9.9125364431486881E-2</v>
      </c>
      <c r="AT85" s="65">
        <v>7.8717201166180764E-2</v>
      </c>
      <c r="AV85" s="29">
        <v>0</v>
      </c>
      <c r="AW85" s="64">
        <v>0</v>
      </c>
      <c r="AX85" s="64">
        <v>0</v>
      </c>
      <c r="AY85" s="64">
        <v>0</v>
      </c>
      <c r="BA85" s="65">
        <v>0</v>
      </c>
      <c r="BB85" s="65">
        <v>0</v>
      </c>
      <c r="BC85" s="65">
        <v>0</v>
      </c>
    </row>
    <row r="86" spans="1:55" s="64" customFormat="1" x14ac:dyDescent="0.2">
      <c r="A86" s="63" t="s">
        <v>29</v>
      </c>
      <c r="B86" s="29">
        <v>0</v>
      </c>
      <c r="C86" s="64">
        <v>0</v>
      </c>
      <c r="D86" s="64">
        <v>0</v>
      </c>
      <c r="E86" s="64">
        <v>0</v>
      </c>
      <c r="G86" s="65">
        <v>0</v>
      </c>
      <c r="H86" s="65">
        <v>0</v>
      </c>
      <c r="I86" s="65">
        <v>0</v>
      </c>
      <c r="K86" s="29">
        <v>5026</v>
      </c>
      <c r="L86" s="64">
        <v>4931</v>
      </c>
      <c r="M86" s="64">
        <v>95</v>
      </c>
      <c r="N86" s="64">
        <v>0</v>
      </c>
      <c r="P86" s="65">
        <v>0.98109828889773176</v>
      </c>
      <c r="Q86" s="65">
        <v>1.8901711102268206E-2</v>
      </c>
      <c r="R86" s="65">
        <v>0</v>
      </c>
      <c r="T86" s="29">
        <v>336</v>
      </c>
      <c r="U86" s="64">
        <v>326</v>
      </c>
      <c r="V86" s="64">
        <v>10</v>
      </c>
      <c r="W86" s="64">
        <v>0</v>
      </c>
      <c r="Y86" s="65">
        <v>0.97023809523809523</v>
      </c>
      <c r="Z86" s="65">
        <v>2.976190476190476E-2</v>
      </c>
      <c r="AA86" s="65">
        <v>0</v>
      </c>
      <c r="AD86" s="29">
        <v>0</v>
      </c>
      <c r="AE86" s="64">
        <v>0</v>
      </c>
      <c r="AF86" s="64">
        <v>0</v>
      </c>
      <c r="AG86" s="64">
        <v>0</v>
      </c>
      <c r="AI86" s="65">
        <v>0</v>
      </c>
      <c r="AJ86" s="65">
        <v>0</v>
      </c>
      <c r="AK86" s="65">
        <v>0</v>
      </c>
      <c r="AM86" s="29">
        <v>0</v>
      </c>
      <c r="AN86" s="64">
        <v>0</v>
      </c>
      <c r="AO86" s="64">
        <v>0</v>
      </c>
      <c r="AP86" s="64">
        <v>0</v>
      </c>
      <c r="AR86" s="65">
        <v>0</v>
      </c>
      <c r="AS86" s="65">
        <v>0</v>
      </c>
      <c r="AT86" s="65">
        <v>0</v>
      </c>
      <c r="AV86" s="29">
        <v>0</v>
      </c>
      <c r="AW86" s="64">
        <v>0</v>
      </c>
      <c r="AX86" s="64">
        <v>0</v>
      </c>
      <c r="AY86" s="64">
        <v>0</v>
      </c>
      <c r="BA86" s="65">
        <v>0</v>
      </c>
      <c r="BB86" s="65">
        <v>0</v>
      </c>
      <c r="BC86" s="65">
        <v>0</v>
      </c>
    </row>
    <row r="87" spans="1:55" s="64" customFormat="1" x14ac:dyDescent="0.2">
      <c r="A87" s="63" t="s">
        <v>30</v>
      </c>
      <c r="B87" s="29">
        <v>3639</v>
      </c>
      <c r="C87" s="64">
        <v>3528</v>
      </c>
      <c r="D87" s="64">
        <v>82</v>
      </c>
      <c r="E87" s="64">
        <v>29</v>
      </c>
      <c r="G87" s="65">
        <v>0.96949711459192089</v>
      </c>
      <c r="H87" s="65">
        <v>2.2533663094256664E-2</v>
      </c>
      <c r="I87" s="65">
        <v>7.9692223138224782E-3</v>
      </c>
      <c r="K87" s="29">
        <v>4952</v>
      </c>
      <c r="L87" s="64">
        <v>4639</v>
      </c>
      <c r="M87" s="64">
        <v>204</v>
      </c>
      <c r="N87" s="64">
        <v>109</v>
      </c>
      <c r="P87" s="65">
        <v>0.93679321486268174</v>
      </c>
      <c r="Q87" s="65">
        <v>4.1195476575121161E-2</v>
      </c>
      <c r="R87" s="65">
        <v>2.2011308562197091E-2</v>
      </c>
      <c r="T87" s="29">
        <v>0</v>
      </c>
      <c r="U87" s="64">
        <v>0</v>
      </c>
      <c r="V87" s="64">
        <v>0</v>
      </c>
      <c r="W87" s="64">
        <v>0</v>
      </c>
      <c r="Y87" s="65">
        <v>0</v>
      </c>
      <c r="Z87" s="65">
        <v>0</v>
      </c>
      <c r="AA87" s="65">
        <v>0</v>
      </c>
      <c r="AD87" s="29">
        <v>2198</v>
      </c>
      <c r="AE87" s="64">
        <v>2085</v>
      </c>
      <c r="AF87" s="64">
        <v>74</v>
      </c>
      <c r="AG87" s="64">
        <v>39</v>
      </c>
      <c r="AI87" s="65">
        <v>0.94858962693357596</v>
      </c>
      <c r="AJ87" s="65">
        <v>3.3666969972702458E-2</v>
      </c>
      <c r="AK87" s="65">
        <v>1.7743403093721567E-2</v>
      </c>
      <c r="AM87" s="29">
        <v>2487</v>
      </c>
      <c r="AN87" s="64">
        <v>2274</v>
      </c>
      <c r="AO87" s="64">
        <v>122</v>
      </c>
      <c r="AP87" s="64">
        <v>91</v>
      </c>
      <c r="AR87" s="65">
        <v>0.91435464414957779</v>
      </c>
      <c r="AS87" s="65">
        <v>4.9055086449537592E-2</v>
      </c>
      <c r="AT87" s="65">
        <v>3.6590269400884598E-2</v>
      </c>
      <c r="AV87" s="29">
        <v>0</v>
      </c>
      <c r="AW87" s="64">
        <v>0</v>
      </c>
      <c r="AX87" s="64">
        <v>0</v>
      </c>
      <c r="AY87" s="64">
        <v>0</v>
      </c>
      <c r="BA87" s="65">
        <v>0</v>
      </c>
      <c r="BB87" s="65">
        <v>0</v>
      </c>
      <c r="BC87" s="65">
        <v>0</v>
      </c>
    </row>
    <row r="88" spans="1:55" s="64" customFormat="1" x14ac:dyDescent="0.2">
      <c r="A88" s="63" t="s">
        <v>89</v>
      </c>
      <c r="B88" s="29">
        <v>0</v>
      </c>
      <c r="C88" s="64">
        <v>0</v>
      </c>
      <c r="D88" s="64">
        <v>0</v>
      </c>
      <c r="E88" s="64">
        <v>0</v>
      </c>
      <c r="G88" s="65">
        <v>0</v>
      </c>
      <c r="H88" s="65">
        <v>0</v>
      </c>
      <c r="I88" s="65">
        <v>0</v>
      </c>
      <c r="K88" s="29">
        <v>0</v>
      </c>
      <c r="L88" s="64">
        <v>0</v>
      </c>
      <c r="M88" s="64">
        <v>0</v>
      </c>
      <c r="N88" s="64">
        <v>0</v>
      </c>
      <c r="P88" s="65">
        <v>0</v>
      </c>
      <c r="Q88" s="65">
        <v>0</v>
      </c>
      <c r="R88" s="65">
        <v>0</v>
      </c>
      <c r="T88" s="29">
        <v>3</v>
      </c>
      <c r="U88" s="64">
        <v>3</v>
      </c>
      <c r="V88" s="64">
        <v>0</v>
      </c>
      <c r="W88" s="64">
        <v>0</v>
      </c>
      <c r="Y88" s="65">
        <v>1</v>
      </c>
      <c r="Z88" s="65">
        <v>0</v>
      </c>
      <c r="AA88" s="65">
        <v>0</v>
      </c>
      <c r="AD88" s="29">
        <v>0</v>
      </c>
      <c r="AE88" s="64">
        <v>0</v>
      </c>
      <c r="AF88" s="64">
        <v>0</v>
      </c>
      <c r="AG88" s="64">
        <v>0</v>
      </c>
      <c r="AI88" s="65">
        <v>0</v>
      </c>
      <c r="AJ88" s="65">
        <v>0</v>
      </c>
      <c r="AK88" s="65">
        <v>0</v>
      </c>
      <c r="AM88" s="29">
        <v>0</v>
      </c>
      <c r="AN88" s="64">
        <v>0</v>
      </c>
      <c r="AO88" s="64">
        <v>0</v>
      </c>
      <c r="AP88" s="64">
        <v>0</v>
      </c>
      <c r="AR88" s="65">
        <v>0</v>
      </c>
      <c r="AS88" s="65">
        <v>0</v>
      </c>
      <c r="AT88" s="65">
        <v>0</v>
      </c>
      <c r="AV88" s="29">
        <v>0</v>
      </c>
      <c r="AW88" s="64">
        <v>0</v>
      </c>
      <c r="AX88" s="64">
        <v>0</v>
      </c>
      <c r="AY88" s="64">
        <v>0</v>
      </c>
      <c r="BA88" s="65">
        <v>0</v>
      </c>
      <c r="BB88" s="65">
        <v>0</v>
      </c>
      <c r="BC88" s="65">
        <v>0</v>
      </c>
    </row>
    <row r="89" spans="1:55" s="64" customFormat="1" x14ac:dyDescent="0.2">
      <c r="A89" s="63" t="s">
        <v>31</v>
      </c>
      <c r="B89" s="29">
        <v>3591</v>
      </c>
      <c r="C89" s="64">
        <v>3531</v>
      </c>
      <c r="D89" s="64">
        <v>30</v>
      </c>
      <c r="E89" s="64">
        <v>30</v>
      </c>
      <c r="G89" s="65">
        <v>0.98329156223893066</v>
      </c>
      <c r="H89" s="65">
        <v>8.3542188805346695E-3</v>
      </c>
      <c r="I89" s="65">
        <v>8.3542188805346695E-3</v>
      </c>
      <c r="K89" s="29">
        <v>47</v>
      </c>
      <c r="L89" s="64">
        <v>47</v>
      </c>
      <c r="M89" s="64">
        <v>0</v>
      </c>
      <c r="N89" s="64">
        <v>0</v>
      </c>
      <c r="P89" s="65">
        <v>1</v>
      </c>
      <c r="Q89" s="65">
        <v>0</v>
      </c>
      <c r="R89" s="65">
        <v>0</v>
      </c>
      <c r="T89" s="29">
        <v>1</v>
      </c>
      <c r="U89" s="64">
        <v>1</v>
      </c>
      <c r="V89" s="64">
        <v>0</v>
      </c>
      <c r="W89" s="64">
        <v>0</v>
      </c>
      <c r="Y89" s="65">
        <v>1</v>
      </c>
      <c r="Z89" s="65">
        <v>0</v>
      </c>
      <c r="AA89" s="65">
        <v>0</v>
      </c>
      <c r="AD89" s="29">
        <v>0</v>
      </c>
      <c r="AE89" s="64">
        <v>0</v>
      </c>
      <c r="AF89" s="64">
        <v>0</v>
      </c>
      <c r="AG89" s="64">
        <v>0</v>
      </c>
      <c r="AI89" s="65">
        <v>0</v>
      </c>
      <c r="AJ89" s="65">
        <v>0</v>
      </c>
      <c r="AK89" s="65">
        <v>0</v>
      </c>
      <c r="AM89" s="29">
        <v>0</v>
      </c>
      <c r="AN89" s="64">
        <v>0</v>
      </c>
      <c r="AO89" s="64">
        <v>0</v>
      </c>
      <c r="AP89" s="64">
        <v>0</v>
      </c>
      <c r="AR89" s="65">
        <v>0</v>
      </c>
      <c r="AS89" s="65">
        <v>0</v>
      </c>
      <c r="AT89" s="65">
        <v>0</v>
      </c>
      <c r="AV89" s="29">
        <v>0</v>
      </c>
      <c r="AW89" s="64">
        <v>0</v>
      </c>
      <c r="AX89" s="64">
        <v>0</v>
      </c>
      <c r="AY89" s="64">
        <v>0</v>
      </c>
      <c r="BA89" s="65">
        <v>0</v>
      </c>
      <c r="BB89" s="65">
        <v>0</v>
      </c>
      <c r="BC89" s="65">
        <v>0</v>
      </c>
    </row>
    <row r="90" spans="1:55" s="64" customFormat="1" x14ac:dyDescent="0.2">
      <c r="A90" s="63" t="s">
        <v>33</v>
      </c>
      <c r="B90" s="29">
        <v>32036</v>
      </c>
      <c r="C90" s="64">
        <v>31208</v>
      </c>
      <c r="D90" s="64">
        <v>828</v>
      </c>
      <c r="E90" s="64">
        <v>0</v>
      </c>
      <c r="G90" s="65">
        <v>0.97415407666375331</v>
      </c>
      <c r="H90" s="65">
        <v>2.5845923336246721E-2</v>
      </c>
      <c r="I90" s="65">
        <v>0</v>
      </c>
      <c r="K90" s="29">
        <v>1534</v>
      </c>
      <c r="L90" s="64">
        <v>1411</v>
      </c>
      <c r="M90" s="64">
        <v>123</v>
      </c>
      <c r="N90" s="64">
        <v>0</v>
      </c>
      <c r="P90" s="65">
        <v>0.91981747066492825</v>
      </c>
      <c r="Q90" s="65">
        <v>8.0182529335071709E-2</v>
      </c>
      <c r="R90" s="65">
        <v>0</v>
      </c>
      <c r="T90" s="29">
        <v>0</v>
      </c>
      <c r="U90" s="64">
        <v>0</v>
      </c>
      <c r="V90" s="64">
        <v>0</v>
      </c>
      <c r="W90" s="64">
        <v>0</v>
      </c>
      <c r="Y90" s="65">
        <v>0</v>
      </c>
      <c r="Z90" s="65">
        <v>0</v>
      </c>
      <c r="AA90" s="65">
        <v>0</v>
      </c>
      <c r="AD90" s="29">
        <v>11451</v>
      </c>
      <c r="AE90" s="64">
        <v>10963</v>
      </c>
      <c r="AF90" s="64">
        <v>488</v>
      </c>
      <c r="AG90" s="64">
        <v>0</v>
      </c>
      <c r="AI90" s="65">
        <v>0.95738363461706399</v>
      </c>
      <c r="AJ90" s="65">
        <v>4.2616365382935985E-2</v>
      </c>
      <c r="AK90" s="65">
        <v>0</v>
      </c>
      <c r="AM90" s="29">
        <v>0</v>
      </c>
      <c r="AN90" s="64">
        <v>0</v>
      </c>
      <c r="AO90" s="64">
        <v>0</v>
      </c>
      <c r="AP90" s="64">
        <v>0</v>
      </c>
      <c r="AR90" s="65">
        <v>0</v>
      </c>
      <c r="AS90" s="65">
        <v>0</v>
      </c>
      <c r="AT90" s="65">
        <v>0</v>
      </c>
      <c r="AV90" s="29">
        <v>0</v>
      </c>
      <c r="AW90" s="64">
        <v>0</v>
      </c>
      <c r="AX90" s="64">
        <v>0</v>
      </c>
      <c r="AY90" s="64">
        <v>0</v>
      </c>
      <c r="BA90" s="65">
        <v>0</v>
      </c>
      <c r="BB90" s="65">
        <v>0</v>
      </c>
      <c r="BC90" s="65">
        <v>0</v>
      </c>
    </row>
    <row r="91" spans="1:55" s="64" customFormat="1" x14ac:dyDescent="0.2">
      <c r="A91" s="63" t="s">
        <v>34</v>
      </c>
      <c r="B91" s="29">
        <v>4594</v>
      </c>
      <c r="C91" s="64">
        <v>4535</v>
      </c>
      <c r="D91" s="64">
        <v>0</v>
      </c>
      <c r="E91" s="64">
        <v>59</v>
      </c>
      <c r="G91" s="65">
        <v>0.98715716151501964</v>
      </c>
      <c r="H91" s="65">
        <v>0</v>
      </c>
      <c r="I91" s="65">
        <v>1.2842838484980409E-2</v>
      </c>
      <c r="K91" s="29">
        <v>258</v>
      </c>
      <c r="L91" s="64">
        <v>258</v>
      </c>
      <c r="M91" s="64">
        <v>0</v>
      </c>
      <c r="N91" s="64">
        <v>0</v>
      </c>
      <c r="P91" s="65">
        <v>1</v>
      </c>
      <c r="Q91" s="65">
        <v>0</v>
      </c>
      <c r="R91" s="65">
        <v>0</v>
      </c>
      <c r="T91" s="29">
        <v>0</v>
      </c>
      <c r="U91" s="64">
        <v>0</v>
      </c>
      <c r="V91" s="64">
        <v>0</v>
      </c>
      <c r="W91" s="64">
        <v>0</v>
      </c>
      <c r="Y91" s="65">
        <v>0</v>
      </c>
      <c r="Z91" s="65">
        <v>0</v>
      </c>
      <c r="AA91" s="65">
        <v>0</v>
      </c>
      <c r="AD91" s="29">
        <v>0</v>
      </c>
      <c r="AE91" s="64">
        <v>0</v>
      </c>
      <c r="AF91" s="64">
        <v>0</v>
      </c>
      <c r="AG91" s="64">
        <v>0</v>
      </c>
      <c r="AI91" s="65">
        <v>0</v>
      </c>
      <c r="AJ91" s="65">
        <v>0</v>
      </c>
      <c r="AK91" s="65">
        <v>0</v>
      </c>
      <c r="AM91" s="29">
        <v>0</v>
      </c>
      <c r="AN91" s="64">
        <v>0</v>
      </c>
      <c r="AO91" s="64">
        <v>0</v>
      </c>
      <c r="AP91" s="64">
        <v>0</v>
      </c>
      <c r="AR91" s="65">
        <v>0</v>
      </c>
      <c r="AS91" s="65">
        <v>0</v>
      </c>
      <c r="AT91" s="65">
        <v>0</v>
      </c>
      <c r="AV91" s="29">
        <v>0</v>
      </c>
      <c r="AW91" s="64">
        <v>0</v>
      </c>
      <c r="AX91" s="64">
        <v>0</v>
      </c>
      <c r="AY91" s="64">
        <v>0</v>
      </c>
      <c r="BA91" s="65">
        <v>0</v>
      </c>
      <c r="BB91" s="65">
        <v>0</v>
      </c>
      <c r="BC91" s="65">
        <v>0</v>
      </c>
    </row>
    <row r="92" spans="1:55" s="64" customFormat="1" x14ac:dyDescent="0.2">
      <c r="A92" s="63" t="s">
        <v>35</v>
      </c>
      <c r="B92" s="29">
        <v>881589</v>
      </c>
      <c r="C92" s="64">
        <v>737968</v>
      </c>
      <c r="D92" s="64">
        <v>143621</v>
      </c>
      <c r="E92" s="64">
        <v>0</v>
      </c>
      <c r="G92" s="65">
        <v>0.83708848454325091</v>
      </c>
      <c r="H92" s="65">
        <v>0.16291151545674912</v>
      </c>
      <c r="I92" s="65">
        <v>0</v>
      </c>
      <c r="K92" s="29">
        <v>77710</v>
      </c>
      <c r="L92" s="64">
        <v>54486</v>
      </c>
      <c r="M92" s="64">
        <v>23224</v>
      </c>
      <c r="N92" s="64">
        <v>0</v>
      </c>
      <c r="P92" s="65">
        <v>0.70114528374726548</v>
      </c>
      <c r="Q92" s="65">
        <v>0.29885471625273452</v>
      </c>
      <c r="R92" s="65">
        <v>0</v>
      </c>
      <c r="T92" s="29">
        <v>8102</v>
      </c>
      <c r="U92" s="64">
        <v>7848</v>
      </c>
      <c r="V92" s="64">
        <v>254</v>
      </c>
      <c r="W92" s="64">
        <v>0</v>
      </c>
      <c r="Y92" s="65">
        <v>0.9686497161194767</v>
      </c>
      <c r="Z92" s="65">
        <v>3.1350283880523327E-2</v>
      </c>
      <c r="AA92" s="65">
        <v>0</v>
      </c>
      <c r="AD92" s="29">
        <v>361193</v>
      </c>
      <c r="AE92" s="64">
        <v>342687</v>
      </c>
      <c r="AF92" s="64">
        <v>18506</v>
      </c>
      <c r="AG92" s="64">
        <v>0</v>
      </c>
      <c r="AI92" s="65">
        <v>0.94876423407984101</v>
      </c>
      <c r="AJ92" s="65">
        <v>5.1235765920159028E-2</v>
      </c>
      <c r="AK92" s="65">
        <v>0</v>
      </c>
      <c r="AM92" s="29">
        <v>6342</v>
      </c>
      <c r="AN92" s="64">
        <v>4843</v>
      </c>
      <c r="AO92" s="64">
        <v>1499</v>
      </c>
      <c r="AP92" s="64">
        <v>0</v>
      </c>
      <c r="AR92" s="65">
        <v>0.76363923052664773</v>
      </c>
      <c r="AS92" s="65">
        <v>0.23636076947335224</v>
      </c>
      <c r="AT92" s="65">
        <v>0</v>
      </c>
      <c r="AV92" s="29">
        <v>472</v>
      </c>
      <c r="AW92" s="64">
        <v>407</v>
      </c>
      <c r="AX92" s="64">
        <v>65</v>
      </c>
      <c r="AY92" s="64">
        <v>0</v>
      </c>
      <c r="BA92" s="65">
        <v>0.86228813559322037</v>
      </c>
      <c r="BB92" s="65">
        <v>0.13771186440677965</v>
      </c>
      <c r="BC92" s="65">
        <v>0</v>
      </c>
    </row>
    <row r="93" spans="1:55" s="64" customFormat="1" x14ac:dyDescent="0.2">
      <c r="A93" s="63" t="s">
        <v>36</v>
      </c>
      <c r="B93" s="29">
        <v>5217</v>
      </c>
      <c r="C93" s="64">
        <v>5169</v>
      </c>
      <c r="D93" s="64">
        <v>0</v>
      </c>
      <c r="E93" s="64">
        <v>48</v>
      </c>
      <c r="G93" s="65">
        <v>0.99079930994824617</v>
      </c>
      <c r="H93" s="65">
        <v>0</v>
      </c>
      <c r="I93" s="65">
        <v>9.2006900517538816E-3</v>
      </c>
      <c r="K93" s="29">
        <v>371</v>
      </c>
      <c r="L93" s="64">
        <v>355</v>
      </c>
      <c r="M93" s="64">
        <v>1</v>
      </c>
      <c r="N93" s="64">
        <v>15</v>
      </c>
      <c r="P93" s="65">
        <v>0.95687331536388143</v>
      </c>
      <c r="Q93" s="65">
        <v>2.6954177897574125E-3</v>
      </c>
      <c r="R93" s="65">
        <v>4.0431266846361183E-2</v>
      </c>
      <c r="T93" s="29">
        <v>0</v>
      </c>
      <c r="U93" s="64">
        <v>0</v>
      </c>
      <c r="V93" s="64">
        <v>0</v>
      </c>
      <c r="W93" s="64">
        <v>0</v>
      </c>
      <c r="Y93" s="65">
        <v>0</v>
      </c>
      <c r="Z93" s="65">
        <v>0</v>
      </c>
      <c r="AA93" s="65">
        <v>0</v>
      </c>
      <c r="AD93" s="29">
        <v>0</v>
      </c>
      <c r="AE93" s="64">
        <v>0</v>
      </c>
      <c r="AF93" s="64">
        <v>0</v>
      </c>
      <c r="AG93" s="64">
        <v>0</v>
      </c>
      <c r="AI93" s="65">
        <v>0</v>
      </c>
      <c r="AJ93" s="65">
        <v>0</v>
      </c>
      <c r="AK93" s="65">
        <v>0</v>
      </c>
      <c r="AM93" s="29">
        <v>0</v>
      </c>
      <c r="AN93" s="64">
        <v>0</v>
      </c>
      <c r="AO93" s="64">
        <v>0</v>
      </c>
      <c r="AP93" s="64">
        <v>0</v>
      </c>
      <c r="AR93" s="65">
        <v>0</v>
      </c>
      <c r="AS93" s="65">
        <v>0</v>
      </c>
      <c r="AT93" s="65">
        <v>0</v>
      </c>
      <c r="AV93" s="29">
        <v>0</v>
      </c>
      <c r="AW93" s="64">
        <v>0</v>
      </c>
      <c r="AX93" s="64">
        <v>0</v>
      </c>
      <c r="AY93" s="64">
        <v>0</v>
      </c>
      <c r="BA93" s="65">
        <v>0</v>
      </c>
      <c r="BB93" s="65">
        <v>0</v>
      </c>
      <c r="BC93" s="65">
        <v>0</v>
      </c>
    </row>
    <row r="94" spans="1:55" s="64" customFormat="1" x14ac:dyDescent="0.2">
      <c r="A94" s="63" t="s">
        <v>84</v>
      </c>
      <c r="B94" s="29">
        <v>0</v>
      </c>
      <c r="C94" s="64">
        <v>0</v>
      </c>
      <c r="D94" s="64">
        <v>0</v>
      </c>
      <c r="E94" s="64">
        <v>0</v>
      </c>
      <c r="G94" s="65">
        <v>0</v>
      </c>
      <c r="H94" s="65">
        <v>0</v>
      </c>
      <c r="I94" s="65">
        <v>0</v>
      </c>
      <c r="K94" s="29">
        <v>15</v>
      </c>
      <c r="L94" s="64">
        <v>15</v>
      </c>
      <c r="M94" s="64">
        <v>0</v>
      </c>
      <c r="N94" s="64">
        <v>0</v>
      </c>
      <c r="P94" s="65">
        <v>1</v>
      </c>
      <c r="Q94" s="65">
        <v>0</v>
      </c>
      <c r="R94" s="65">
        <v>0</v>
      </c>
      <c r="T94" s="29">
        <v>3</v>
      </c>
      <c r="U94" s="64">
        <v>3</v>
      </c>
      <c r="V94" s="64">
        <v>0</v>
      </c>
      <c r="W94" s="64">
        <v>0</v>
      </c>
      <c r="Y94" s="65">
        <v>1</v>
      </c>
      <c r="Z94" s="65">
        <v>0</v>
      </c>
      <c r="AA94" s="65">
        <v>0</v>
      </c>
      <c r="AD94" s="29">
        <v>0</v>
      </c>
      <c r="AE94" s="64">
        <v>0</v>
      </c>
      <c r="AF94" s="64">
        <v>0</v>
      </c>
      <c r="AG94" s="64">
        <v>0</v>
      </c>
      <c r="AI94" s="65">
        <v>0</v>
      </c>
      <c r="AJ94" s="65">
        <v>0</v>
      </c>
      <c r="AK94" s="65">
        <v>0</v>
      </c>
      <c r="AM94" s="29">
        <v>0</v>
      </c>
      <c r="AN94" s="64">
        <v>0</v>
      </c>
      <c r="AO94" s="64">
        <v>0</v>
      </c>
      <c r="AP94" s="64">
        <v>0</v>
      </c>
      <c r="AR94" s="65">
        <v>0</v>
      </c>
      <c r="AS94" s="65">
        <v>0</v>
      </c>
      <c r="AT94" s="65">
        <v>0</v>
      </c>
      <c r="AV94" s="29">
        <v>0</v>
      </c>
      <c r="AW94" s="64">
        <v>0</v>
      </c>
      <c r="AX94" s="64">
        <v>0</v>
      </c>
      <c r="AY94" s="64">
        <v>0</v>
      </c>
      <c r="BA94" s="65">
        <v>0</v>
      </c>
      <c r="BB94" s="65">
        <v>0</v>
      </c>
      <c r="BC94" s="65">
        <v>0</v>
      </c>
    </row>
    <row r="95" spans="1:55" s="64" customFormat="1" x14ac:dyDescent="0.2">
      <c r="A95" s="63" t="s">
        <v>85</v>
      </c>
      <c r="B95" s="29">
        <v>0</v>
      </c>
      <c r="C95" s="64">
        <v>0</v>
      </c>
      <c r="D95" s="64">
        <v>0</v>
      </c>
      <c r="E95" s="64">
        <v>0</v>
      </c>
      <c r="G95" s="65">
        <v>0</v>
      </c>
      <c r="H95" s="65">
        <v>0</v>
      </c>
      <c r="I95" s="65">
        <v>0</v>
      </c>
      <c r="K95" s="29">
        <v>2634</v>
      </c>
      <c r="L95" s="64">
        <v>168</v>
      </c>
      <c r="M95" s="64">
        <v>1279</v>
      </c>
      <c r="N95" s="64">
        <v>1187</v>
      </c>
      <c r="P95" s="65">
        <v>6.3781321184510256E-2</v>
      </c>
      <c r="Q95" s="65">
        <v>0.4855732725892179</v>
      </c>
      <c r="R95" s="65">
        <v>0.45064540622627181</v>
      </c>
      <c r="T95" s="29">
        <v>1475</v>
      </c>
      <c r="U95" s="64">
        <v>1474</v>
      </c>
      <c r="V95" s="64">
        <v>0</v>
      </c>
      <c r="W95" s="64">
        <v>1</v>
      </c>
      <c r="Y95" s="65">
        <v>0.9993220338983051</v>
      </c>
      <c r="Z95" s="65">
        <v>0</v>
      </c>
      <c r="AA95" s="65">
        <v>6.779661016949153E-4</v>
      </c>
      <c r="AD95" s="29">
        <v>0</v>
      </c>
      <c r="AE95" s="64">
        <v>0</v>
      </c>
      <c r="AF95" s="64">
        <v>0</v>
      </c>
      <c r="AG95" s="64">
        <v>0</v>
      </c>
      <c r="AI95" s="65">
        <v>0</v>
      </c>
      <c r="AJ95" s="65">
        <v>0</v>
      </c>
      <c r="AK95" s="65">
        <v>0</v>
      </c>
      <c r="AM95" s="29">
        <v>0</v>
      </c>
      <c r="AN95" s="64">
        <v>0</v>
      </c>
      <c r="AO95" s="64">
        <v>0</v>
      </c>
      <c r="AP95" s="64">
        <v>0</v>
      </c>
      <c r="AR95" s="65">
        <v>0</v>
      </c>
      <c r="AS95" s="65">
        <v>0</v>
      </c>
      <c r="AT95" s="65">
        <v>0</v>
      </c>
      <c r="AV95" s="29">
        <v>0</v>
      </c>
      <c r="AW95" s="64">
        <v>0</v>
      </c>
      <c r="AX95" s="64">
        <v>0</v>
      </c>
      <c r="AY95" s="64">
        <v>0</v>
      </c>
      <c r="BA95" s="65">
        <v>0</v>
      </c>
      <c r="BB95" s="65">
        <v>0</v>
      </c>
      <c r="BC95" s="65">
        <v>0</v>
      </c>
    </row>
    <row r="96" spans="1:55" s="64" customFormat="1" x14ac:dyDescent="0.2">
      <c r="A96" s="63" t="s">
        <v>38</v>
      </c>
      <c r="B96" s="29">
        <v>601</v>
      </c>
      <c r="C96" s="64">
        <v>601</v>
      </c>
      <c r="D96" s="64">
        <v>0</v>
      </c>
      <c r="E96" s="64">
        <v>0</v>
      </c>
      <c r="G96" s="65">
        <v>1</v>
      </c>
      <c r="H96" s="65">
        <v>0</v>
      </c>
      <c r="I96" s="65">
        <v>0</v>
      </c>
      <c r="K96" s="29">
        <v>0</v>
      </c>
      <c r="L96" s="64">
        <v>0</v>
      </c>
      <c r="M96" s="64">
        <v>0</v>
      </c>
      <c r="N96" s="64">
        <v>0</v>
      </c>
      <c r="P96" s="65">
        <v>0</v>
      </c>
      <c r="Q96" s="65">
        <v>0</v>
      </c>
      <c r="R96" s="65">
        <v>0</v>
      </c>
      <c r="T96" s="29">
        <v>0</v>
      </c>
      <c r="U96" s="64">
        <v>0</v>
      </c>
      <c r="V96" s="64">
        <v>0</v>
      </c>
      <c r="W96" s="64">
        <v>0</v>
      </c>
      <c r="Y96" s="65">
        <v>0</v>
      </c>
      <c r="Z96" s="65">
        <v>0</v>
      </c>
      <c r="AA96" s="65">
        <v>0</v>
      </c>
      <c r="AD96" s="29">
        <v>0</v>
      </c>
      <c r="AE96" s="64">
        <v>0</v>
      </c>
      <c r="AF96" s="64">
        <v>0</v>
      </c>
      <c r="AG96" s="64">
        <v>0</v>
      </c>
      <c r="AI96" s="65">
        <v>0</v>
      </c>
      <c r="AJ96" s="65">
        <v>0</v>
      </c>
      <c r="AK96" s="65">
        <v>0</v>
      </c>
      <c r="AM96" s="29">
        <v>0</v>
      </c>
      <c r="AN96" s="64">
        <v>0</v>
      </c>
      <c r="AO96" s="64">
        <v>0</v>
      </c>
      <c r="AP96" s="64">
        <v>0</v>
      </c>
      <c r="AR96" s="65">
        <v>0</v>
      </c>
      <c r="AS96" s="65">
        <v>0</v>
      </c>
      <c r="AT96" s="65">
        <v>0</v>
      </c>
      <c r="AV96" s="29">
        <v>0</v>
      </c>
      <c r="AW96" s="64">
        <v>0</v>
      </c>
      <c r="AX96" s="64">
        <v>0</v>
      </c>
      <c r="AY96" s="64">
        <v>0</v>
      </c>
      <c r="BA96" s="65">
        <v>0</v>
      </c>
      <c r="BB96" s="65">
        <v>0</v>
      </c>
      <c r="BC96" s="65">
        <v>0</v>
      </c>
    </row>
    <row r="97" spans="1:55" s="64" customFormat="1" x14ac:dyDescent="0.2">
      <c r="A97" s="63" t="s">
        <v>39</v>
      </c>
      <c r="B97" s="29">
        <v>515</v>
      </c>
      <c r="C97" s="64">
        <v>468</v>
      </c>
      <c r="D97" s="64">
        <v>0</v>
      </c>
      <c r="E97" s="64">
        <v>47</v>
      </c>
      <c r="G97" s="65">
        <v>0.90873786407766988</v>
      </c>
      <c r="H97" s="65">
        <v>0</v>
      </c>
      <c r="I97" s="65">
        <v>9.1262135922330095E-2</v>
      </c>
      <c r="K97" s="29">
        <v>9</v>
      </c>
      <c r="L97" s="64">
        <v>9</v>
      </c>
      <c r="M97" s="64">
        <v>0</v>
      </c>
      <c r="N97" s="64">
        <v>0</v>
      </c>
      <c r="P97" s="65">
        <v>1</v>
      </c>
      <c r="Q97" s="65">
        <v>0</v>
      </c>
      <c r="R97" s="65">
        <v>0</v>
      </c>
      <c r="T97" s="29">
        <v>8</v>
      </c>
      <c r="U97" s="64">
        <v>8</v>
      </c>
      <c r="V97" s="64">
        <v>0</v>
      </c>
      <c r="W97" s="64">
        <v>0</v>
      </c>
      <c r="Y97" s="65">
        <v>1</v>
      </c>
      <c r="Z97" s="65">
        <v>0</v>
      </c>
      <c r="AA97" s="65">
        <v>0</v>
      </c>
      <c r="AD97" s="29">
        <v>0</v>
      </c>
      <c r="AE97" s="64">
        <v>0</v>
      </c>
      <c r="AF97" s="64">
        <v>0</v>
      </c>
      <c r="AG97" s="64">
        <v>0</v>
      </c>
      <c r="AI97" s="65">
        <v>0</v>
      </c>
      <c r="AJ97" s="65">
        <v>0</v>
      </c>
      <c r="AK97" s="65">
        <v>0</v>
      </c>
      <c r="AM97" s="29">
        <v>0</v>
      </c>
      <c r="AN97" s="64">
        <v>0</v>
      </c>
      <c r="AO97" s="64">
        <v>0</v>
      </c>
      <c r="AP97" s="64">
        <v>0</v>
      </c>
      <c r="AR97" s="65">
        <v>0</v>
      </c>
      <c r="AS97" s="65">
        <v>0</v>
      </c>
      <c r="AT97" s="65">
        <v>0</v>
      </c>
      <c r="AV97" s="29">
        <v>0</v>
      </c>
      <c r="AW97" s="64">
        <v>0</v>
      </c>
      <c r="AX97" s="64">
        <v>0</v>
      </c>
      <c r="AY97" s="64">
        <v>0</v>
      </c>
      <c r="BA97" s="65">
        <v>0</v>
      </c>
      <c r="BB97" s="65">
        <v>0</v>
      </c>
      <c r="BC97" s="65">
        <v>0</v>
      </c>
    </row>
    <row r="98" spans="1:55" s="64" customFormat="1" x14ac:dyDescent="0.2">
      <c r="A98" s="63" t="s">
        <v>41</v>
      </c>
      <c r="B98" s="29">
        <v>467</v>
      </c>
      <c r="C98" s="64">
        <v>467</v>
      </c>
      <c r="D98" s="64">
        <v>0</v>
      </c>
      <c r="E98" s="64">
        <v>0</v>
      </c>
      <c r="G98" s="65">
        <v>1</v>
      </c>
      <c r="H98" s="65">
        <v>0</v>
      </c>
      <c r="I98" s="65">
        <v>0</v>
      </c>
      <c r="K98" s="29">
        <v>7</v>
      </c>
      <c r="L98" s="64">
        <v>7</v>
      </c>
      <c r="M98" s="64">
        <v>0</v>
      </c>
      <c r="N98" s="64">
        <v>0</v>
      </c>
      <c r="P98" s="65">
        <v>1</v>
      </c>
      <c r="Q98" s="65">
        <v>0</v>
      </c>
      <c r="R98" s="65">
        <v>0</v>
      </c>
      <c r="T98" s="29">
        <v>1</v>
      </c>
      <c r="U98" s="64">
        <v>1</v>
      </c>
      <c r="V98" s="64">
        <v>0</v>
      </c>
      <c r="W98" s="64">
        <v>0</v>
      </c>
      <c r="Y98" s="65">
        <v>1</v>
      </c>
      <c r="Z98" s="65">
        <v>0</v>
      </c>
      <c r="AA98" s="65">
        <v>0</v>
      </c>
      <c r="AD98" s="29">
        <v>0</v>
      </c>
      <c r="AE98" s="64">
        <v>0</v>
      </c>
      <c r="AF98" s="64">
        <v>0</v>
      </c>
      <c r="AG98" s="64">
        <v>0</v>
      </c>
      <c r="AI98" s="65">
        <v>0</v>
      </c>
      <c r="AJ98" s="65">
        <v>0</v>
      </c>
      <c r="AK98" s="65">
        <v>0</v>
      </c>
      <c r="AM98" s="29">
        <v>0</v>
      </c>
      <c r="AN98" s="64">
        <v>0</v>
      </c>
      <c r="AO98" s="64">
        <v>0</v>
      </c>
      <c r="AP98" s="64">
        <v>0</v>
      </c>
      <c r="AR98" s="65">
        <v>0</v>
      </c>
      <c r="AS98" s="65">
        <v>0</v>
      </c>
      <c r="AT98" s="65">
        <v>0</v>
      </c>
      <c r="AV98" s="29">
        <v>0</v>
      </c>
      <c r="AW98" s="64">
        <v>0</v>
      </c>
      <c r="AX98" s="64">
        <v>0</v>
      </c>
      <c r="AY98" s="64">
        <v>0</v>
      </c>
      <c r="BA98" s="65">
        <v>0</v>
      </c>
      <c r="BB98" s="65">
        <v>0</v>
      </c>
      <c r="BC98" s="65">
        <v>0</v>
      </c>
    </row>
    <row r="99" spans="1:55" s="64" customFormat="1" x14ac:dyDescent="0.2">
      <c r="A99" s="63" t="s">
        <v>42</v>
      </c>
      <c r="B99" s="29">
        <v>76</v>
      </c>
      <c r="C99" s="64">
        <v>65</v>
      </c>
      <c r="D99" s="64">
        <v>11</v>
      </c>
      <c r="E99" s="64">
        <v>0</v>
      </c>
      <c r="G99" s="65">
        <v>0.85526315789473684</v>
      </c>
      <c r="H99" s="65">
        <v>0.14473684210526316</v>
      </c>
      <c r="I99" s="65">
        <v>0</v>
      </c>
      <c r="K99" s="29">
        <v>672</v>
      </c>
      <c r="L99" s="64">
        <v>644</v>
      </c>
      <c r="M99" s="64">
        <v>27</v>
      </c>
      <c r="N99" s="64">
        <v>1</v>
      </c>
      <c r="P99" s="65">
        <v>0.95833333333333337</v>
      </c>
      <c r="Q99" s="65">
        <v>4.0178571428571432E-2</v>
      </c>
      <c r="R99" s="65">
        <v>1.488095238095238E-3</v>
      </c>
      <c r="T99" s="29">
        <v>0</v>
      </c>
      <c r="U99" s="64">
        <v>0</v>
      </c>
      <c r="V99" s="64">
        <v>0</v>
      </c>
      <c r="W99" s="64">
        <v>0</v>
      </c>
      <c r="Y99" s="65">
        <v>0</v>
      </c>
      <c r="Z99" s="65">
        <v>0</v>
      </c>
      <c r="AA99" s="65">
        <v>0</v>
      </c>
      <c r="AD99" s="29">
        <v>31</v>
      </c>
      <c r="AE99" s="64">
        <v>19</v>
      </c>
      <c r="AF99" s="64">
        <v>7</v>
      </c>
      <c r="AG99" s="64">
        <v>5</v>
      </c>
      <c r="AI99" s="65">
        <v>0.61290322580645162</v>
      </c>
      <c r="AJ99" s="65">
        <v>0.22580645161290322</v>
      </c>
      <c r="AK99" s="65">
        <v>0.16129032258064516</v>
      </c>
      <c r="AM99" s="29">
        <v>21</v>
      </c>
      <c r="AN99" s="64">
        <v>18</v>
      </c>
      <c r="AO99" s="64">
        <v>3</v>
      </c>
      <c r="AP99" s="64">
        <v>0</v>
      </c>
      <c r="AR99" s="65">
        <v>0.8571428571428571</v>
      </c>
      <c r="AS99" s="65">
        <v>0.14285714285714285</v>
      </c>
      <c r="AT99" s="65">
        <v>0</v>
      </c>
      <c r="AV99" s="29">
        <v>0</v>
      </c>
      <c r="AW99" s="64">
        <v>0</v>
      </c>
      <c r="AX99" s="64">
        <v>0</v>
      </c>
      <c r="AY99" s="64">
        <v>0</v>
      </c>
      <c r="BA99" s="65">
        <v>0</v>
      </c>
      <c r="BB99" s="65">
        <v>0</v>
      </c>
      <c r="BC99" s="65">
        <v>0</v>
      </c>
    </row>
    <row r="100" spans="1:55" s="64" customFormat="1" x14ac:dyDescent="0.2">
      <c r="A100" s="63" t="s">
        <v>91</v>
      </c>
      <c r="B100" s="29">
        <v>0</v>
      </c>
      <c r="C100" s="64">
        <v>0</v>
      </c>
      <c r="D100" s="64">
        <v>0</v>
      </c>
      <c r="E100" s="64">
        <v>0</v>
      </c>
      <c r="G100" s="65">
        <v>0</v>
      </c>
      <c r="H100" s="65">
        <v>0</v>
      </c>
      <c r="I100" s="65">
        <v>0</v>
      </c>
      <c r="K100" s="29">
        <v>0</v>
      </c>
      <c r="L100" s="64">
        <v>0</v>
      </c>
      <c r="M100" s="64">
        <v>0</v>
      </c>
      <c r="N100" s="64">
        <v>0</v>
      </c>
      <c r="P100" s="65">
        <v>0</v>
      </c>
      <c r="Q100" s="65">
        <v>0</v>
      </c>
      <c r="R100" s="65">
        <v>0</v>
      </c>
      <c r="T100" s="29">
        <v>2</v>
      </c>
      <c r="U100" s="64">
        <v>2</v>
      </c>
      <c r="V100" s="64">
        <v>0</v>
      </c>
      <c r="W100" s="64">
        <v>0</v>
      </c>
      <c r="Y100" s="65">
        <v>1</v>
      </c>
      <c r="Z100" s="65">
        <v>0</v>
      </c>
      <c r="AA100" s="65">
        <v>0</v>
      </c>
      <c r="AD100" s="29">
        <v>0</v>
      </c>
      <c r="AE100" s="64">
        <v>0</v>
      </c>
      <c r="AF100" s="64">
        <v>0</v>
      </c>
      <c r="AG100" s="64">
        <v>0</v>
      </c>
      <c r="AI100" s="65">
        <v>0</v>
      </c>
      <c r="AJ100" s="65">
        <v>0</v>
      </c>
      <c r="AK100" s="65">
        <v>0</v>
      </c>
      <c r="AM100" s="29">
        <v>0</v>
      </c>
      <c r="AN100" s="64">
        <v>0</v>
      </c>
      <c r="AO100" s="64">
        <v>0</v>
      </c>
      <c r="AP100" s="64">
        <v>0</v>
      </c>
      <c r="AR100" s="65">
        <v>0</v>
      </c>
      <c r="AS100" s="65">
        <v>0</v>
      </c>
      <c r="AT100" s="65">
        <v>0</v>
      </c>
      <c r="AV100" s="29">
        <v>0</v>
      </c>
      <c r="AW100" s="64">
        <v>0</v>
      </c>
      <c r="AX100" s="64">
        <v>0</v>
      </c>
      <c r="AY100" s="64">
        <v>0</v>
      </c>
      <c r="BA100" s="65">
        <v>0</v>
      </c>
      <c r="BB100" s="65">
        <v>0</v>
      </c>
      <c r="BC100" s="65">
        <v>0</v>
      </c>
    </row>
    <row r="101" spans="1:55" s="64" customFormat="1" x14ac:dyDescent="0.2">
      <c r="A101" s="63" t="s">
        <v>44</v>
      </c>
      <c r="B101" s="29">
        <v>2234</v>
      </c>
      <c r="C101" s="64">
        <v>2195</v>
      </c>
      <c r="D101" s="64">
        <v>39</v>
      </c>
      <c r="E101" s="64">
        <v>0</v>
      </c>
      <c r="G101" s="65">
        <v>0.98254252461951652</v>
      </c>
      <c r="H101" s="65">
        <v>1.7457475380483437E-2</v>
      </c>
      <c r="I101" s="65">
        <v>0</v>
      </c>
      <c r="K101" s="29">
        <v>7</v>
      </c>
      <c r="L101" s="64">
        <v>7</v>
      </c>
      <c r="M101" s="64">
        <v>0</v>
      </c>
      <c r="N101" s="64">
        <v>0</v>
      </c>
      <c r="P101" s="65">
        <v>1</v>
      </c>
      <c r="Q101" s="65">
        <v>0</v>
      </c>
      <c r="R101" s="65">
        <v>0</v>
      </c>
      <c r="T101" s="29">
        <v>0</v>
      </c>
      <c r="U101" s="64">
        <v>0</v>
      </c>
      <c r="V101" s="64">
        <v>0</v>
      </c>
      <c r="W101" s="64">
        <v>0</v>
      </c>
      <c r="Y101" s="65">
        <v>0</v>
      </c>
      <c r="Z101" s="65">
        <v>0</v>
      </c>
      <c r="AA101" s="65">
        <v>0</v>
      </c>
      <c r="AD101" s="29">
        <v>0</v>
      </c>
      <c r="AE101" s="64">
        <v>0</v>
      </c>
      <c r="AF101" s="64">
        <v>0</v>
      </c>
      <c r="AG101" s="64">
        <v>0</v>
      </c>
      <c r="AI101" s="65">
        <v>0</v>
      </c>
      <c r="AJ101" s="65">
        <v>0</v>
      </c>
      <c r="AK101" s="65">
        <v>0</v>
      </c>
      <c r="AM101" s="29">
        <v>0</v>
      </c>
      <c r="AN101" s="64">
        <v>0</v>
      </c>
      <c r="AO101" s="64">
        <v>0</v>
      </c>
      <c r="AP101" s="64">
        <v>0</v>
      </c>
      <c r="AR101" s="65">
        <v>0</v>
      </c>
      <c r="AS101" s="65">
        <v>0</v>
      </c>
      <c r="AT101" s="65">
        <v>0</v>
      </c>
      <c r="AV101" s="29">
        <v>0</v>
      </c>
      <c r="AW101" s="64">
        <v>0</v>
      </c>
      <c r="AX101" s="64">
        <v>0</v>
      </c>
      <c r="AY101" s="64">
        <v>0</v>
      </c>
      <c r="BA101" s="65">
        <v>0</v>
      </c>
      <c r="BB101" s="65">
        <v>0</v>
      </c>
      <c r="BC101" s="65">
        <v>0</v>
      </c>
    </row>
    <row r="102" spans="1:55" s="64" customFormat="1" x14ac:dyDescent="0.2">
      <c r="A102" s="63" t="s">
        <v>45</v>
      </c>
      <c r="B102" s="29">
        <v>11477</v>
      </c>
      <c r="C102" s="64">
        <v>11439</v>
      </c>
      <c r="D102" s="64">
        <v>3</v>
      </c>
      <c r="E102" s="64">
        <v>35</v>
      </c>
      <c r="G102" s="65">
        <v>0.99668903023438182</v>
      </c>
      <c r="H102" s="65">
        <v>2.6139234991722578E-4</v>
      </c>
      <c r="I102" s="65">
        <v>3.0495774157009671E-3</v>
      </c>
      <c r="K102" s="29">
        <v>5146</v>
      </c>
      <c r="L102" s="64">
        <v>5037</v>
      </c>
      <c r="M102" s="64">
        <v>1</v>
      </c>
      <c r="N102" s="64">
        <v>108</v>
      </c>
      <c r="P102" s="65">
        <v>0.97881849980567426</v>
      </c>
      <c r="Q102" s="65">
        <v>1.9432568985619899E-4</v>
      </c>
      <c r="R102" s="65">
        <v>2.0987174504469491E-2</v>
      </c>
      <c r="T102" s="29">
        <v>2171</v>
      </c>
      <c r="U102" s="64">
        <v>2171</v>
      </c>
      <c r="V102" s="64">
        <v>0</v>
      </c>
      <c r="W102" s="64">
        <v>0</v>
      </c>
      <c r="Y102" s="65">
        <v>1</v>
      </c>
      <c r="Z102" s="65">
        <v>0</v>
      </c>
      <c r="AA102" s="65">
        <v>0</v>
      </c>
      <c r="AD102" s="29">
        <v>0</v>
      </c>
      <c r="AE102" s="64">
        <v>0</v>
      </c>
      <c r="AF102" s="64">
        <v>0</v>
      </c>
      <c r="AG102" s="64">
        <v>0</v>
      </c>
      <c r="AI102" s="65">
        <v>0</v>
      </c>
      <c r="AJ102" s="65">
        <v>0</v>
      </c>
      <c r="AK102" s="65">
        <v>0</v>
      </c>
      <c r="AM102" s="29">
        <v>0</v>
      </c>
      <c r="AN102" s="64">
        <v>0</v>
      </c>
      <c r="AO102" s="64">
        <v>0</v>
      </c>
      <c r="AP102" s="64">
        <v>0</v>
      </c>
      <c r="AR102" s="65">
        <v>0</v>
      </c>
      <c r="AS102" s="65">
        <v>0</v>
      </c>
      <c r="AT102" s="65">
        <v>0</v>
      </c>
      <c r="AV102" s="29">
        <v>0</v>
      </c>
      <c r="AW102" s="64">
        <v>0</v>
      </c>
      <c r="AX102" s="64">
        <v>0</v>
      </c>
      <c r="AY102" s="64">
        <v>0</v>
      </c>
      <c r="BA102" s="65">
        <v>0</v>
      </c>
      <c r="BB102" s="65">
        <v>0</v>
      </c>
      <c r="BC102" s="65">
        <v>0</v>
      </c>
    </row>
    <row r="103" spans="1:55" s="64" customFormat="1" x14ac:dyDescent="0.2">
      <c r="A103" s="63" t="s">
        <v>46</v>
      </c>
      <c r="B103" s="29">
        <v>102</v>
      </c>
      <c r="C103" s="64">
        <v>98</v>
      </c>
      <c r="D103" s="64">
        <v>2</v>
      </c>
      <c r="E103" s="64">
        <v>2</v>
      </c>
      <c r="G103" s="65">
        <v>0.96078431372549022</v>
      </c>
      <c r="H103" s="65">
        <v>1.9607843137254902E-2</v>
      </c>
      <c r="I103" s="65">
        <v>1.9607843137254902E-2</v>
      </c>
      <c r="K103" s="29">
        <v>6163</v>
      </c>
      <c r="L103" s="64">
        <v>5926</v>
      </c>
      <c r="M103" s="64">
        <v>189</v>
      </c>
      <c r="N103" s="64">
        <v>48</v>
      </c>
      <c r="P103" s="65">
        <v>0.96154470225539512</v>
      </c>
      <c r="Q103" s="65">
        <v>3.0666883011520363E-2</v>
      </c>
      <c r="R103" s="65">
        <v>7.7884147330845371E-3</v>
      </c>
      <c r="T103" s="29">
        <v>549</v>
      </c>
      <c r="U103" s="64">
        <v>530</v>
      </c>
      <c r="V103" s="64">
        <v>10</v>
      </c>
      <c r="W103" s="64">
        <v>9</v>
      </c>
      <c r="Y103" s="65">
        <v>0.96539162112932608</v>
      </c>
      <c r="Z103" s="65">
        <v>1.8214936247723135E-2</v>
      </c>
      <c r="AA103" s="65">
        <v>1.6393442622950821E-2</v>
      </c>
      <c r="AD103" s="29">
        <v>0</v>
      </c>
      <c r="AE103" s="64">
        <v>0</v>
      </c>
      <c r="AF103" s="64">
        <v>0</v>
      </c>
      <c r="AG103" s="64">
        <v>0</v>
      </c>
      <c r="AI103" s="65">
        <v>0</v>
      </c>
      <c r="AJ103" s="65">
        <v>0</v>
      </c>
      <c r="AK103" s="65">
        <v>0</v>
      </c>
      <c r="AM103" s="29">
        <v>0</v>
      </c>
      <c r="AN103" s="64">
        <v>0</v>
      </c>
      <c r="AO103" s="64">
        <v>0</v>
      </c>
      <c r="AP103" s="64">
        <v>0</v>
      </c>
      <c r="AR103" s="65">
        <v>0</v>
      </c>
      <c r="AS103" s="65">
        <v>0</v>
      </c>
      <c r="AT103" s="65">
        <v>0</v>
      </c>
      <c r="AV103" s="29">
        <v>0</v>
      </c>
      <c r="AW103" s="64">
        <v>0</v>
      </c>
      <c r="AX103" s="64">
        <v>0</v>
      </c>
      <c r="AY103" s="64">
        <v>0</v>
      </c>
      <c r="BA103" s="65">
        <v>0</v>
      </c>
      <c r="BB103" s="65">
        <v>0</v>
      </c>
      <c r="BC103" s="65">
        <v>0</v>
      </c>
    </row>
    <row r="104" spans="1:55" s="64" customFormat="1" x14ac:dyDescent="0.2">
      <c r="A104" s="63" t="s">
        <v>47</v>
      </c>
      <c r="B104" s="29">
        <v>5342</v>
      </c>
      <c r="C104" s="64">
        <v>3785</v>
      </c>
      <c r="D104" s="64">
        <v>1557</v>
      </c>
      <c r="E104" s="64">
        <v>0</v>
      </c>
      <c r="G104" s="65">
        <v>0.70853612879071504</v>
      </c>
      <c r="H104" s="65">
        <v>0.29146387120928491</v>
      </c>
      <c r="I104" s="65">
        <v>0</v>
      </c>
      <c r="K104" s="29">
        <v>493</v>
      </c>
      <c r="L104" s="64">
        <v>290</v>
      </c>
      <c r="M104" s="64">
        <v>203</v>
      </c>
      <c r="N104" s="64">
        <v>0</v>
      </c>
      <c r="P104" s="65">
        <v>0.58823529411764708</v>
      </c>
      <c r="Q104" s="65">
        <v>0.41176470588235292</v>
      </c>
      <c r="R104" s="65">
        <v>0</v>
      </c>
      <c r="T104" s="29">
        <v>48</v>
      </c>
      <c r="U104" s="64">
        <v>48</v>
      </c>
      <c r="V104" s="64">
        <v>0</v>
      </c>
      <c r="W104" s="64">
        <v>0</v>
      </c>
      <c r="Y104" s="65">
        <v>1</v>
      </c>
      <c r="Z104" s="65">
        <v>0</v>
      </c>
      <c r="AA104" s="65">
        <v>0</v>
      </c>
      <c r="AD104" s="29">
        <v>0</v>
      </c>
      <c r="AE104" s="64">
        <v>0</v>
      </c>
      <c r="AF104" s="64">
        <v>0</v>
      </c>
      <c r="AG104" s="64">
        <v>0</v>
      </c>
      <c r="AI104" s="65">
        <v>0</v>
      </c>
      <c r="AJ104" s="65">
        <v>0</v>
      </c>
      <c r="AK104" s="65">
        <v>0</v>
      </c>
      <c r="AM104" s="29">
        <v>0</v>
      </c>
      <c r="AN104" s="64">
        <v>0</v>
      </c>
      <c r="AO104" s="64">
        <v>0</v>
      </c>
      <c r="AP104" s="64">
        <v>0</v>
      </c>
      <c r="AR104" s="65">
        <v>0</v>
      </c>
      <c r="AS104" s="65">
        <v>0</v>
      </c>
      <c r="AT104" s="65">
        <v>0</v>
      </c>
      <c r="AV104" s="29">
        <v>0</v>
      </c>
      <c r="AW104" s="64">
        <v>0</v>
      </c>
      <c r="AX104" s="64">
        <v>0</v>
      </c>
      <c r="AY104" s="64">
        <v>0</v>
      </c>
      <c r="BA104" s="65">
        <v>0</v>
      </c>
      <c r="BB104" s="65">
        <v>0</v>
      </c>
      <c r="BC104" s="65">
        <v>0</v>
      </c>
    </row>
    <row r="105" spans="1:55" s="64" customFormat="1" x14ac:dyDescent="0.2">
      <c r="A105" s="63" t="s">
        <v>48</v>
      </c>
      <c r="B105" s="29">
        <v>1001769</v>
      </c>
      <c r="C105" s="64">
        <v>782390</v>
      </c>
      <c r="D105" s="64">
        <v>214740</v>
      </c>
      <c r="E105" s="64">
        <v>4639</v>
      </c>
      <c r="G105" s="65">
        <v>0.78100839614721562</v>
      </c>
      <c r="H105" s="65">
        <v>0.21436079575231415</v>
      </c>
      <c r="I105" s="65">
        <v>4.6308081004702677E-3</v>
      </c>
      <c r="K105" s="29">
        <v>128763</v>
      </c>
      <c r="L105" s="64">
        <v>91225</v>
      </c>
      <c r="M105" s="64">
        <v>35263</v>
      </c>
      <c r="N105" s="64">
        <v>2275</v>
      </c>
      <c r="P105" s="65">
        <v>0.70847215426791854</v>
      </c>
      <c r="Q105" s="65">
        <v>0.27385972678486831</v>
      </c>
      <c r="R105" s="65">
        <v>1.7668118947213096E-2</v>
      </c>
      <c r="T105" s="29">
        <v>10307</v>
      </c>
      <c r="U105" s="64">
        <v>9981</v>
      </c>
      <c r="V105" s="64">
        <v>321</v>
      </c>
      <c r="W105" s="64">
        <v>5</v>
      </c>
      <c r="Y105" s="65">
        <v>0.96837100999320846</v>
      </c>
      <c r="Z105" s="65">
        <v>3.114388279809838E-2</v>
      </c>
      <c r="AA105" s="65">
        <v>4.8510720869312119E-4</v>
      </c>
      <c r="AD105" s="29">
        <v>277944</v>
      </c>
      <c r="AE105" s="64">
        <v>249334</v>
      </c>
      <c r="AF105" s="64">
        <v>22229</v>
      </c>
      <c r="AG105" s="64">
        <v>6381</v>
      </c>
      <c r="AI105" s="65">
        <v>0.89706559594738511</v>
      </c>
      <c r="AJ105" s="65">
        <v>7.9976542037244913E-2</v>
      </c>
      <c r="AK105" s="65">
        <v>2.2957862015370003E-2</v>
      </c>
      <c r="AM105" s="29">
        <v>20992</v>
      </c>
      <c r="AN105" s="64">
        <v>17361</v>
      </c>
      <c r="AO105" s="64">
        <v>2519</v>
      </c>
      <c r="AP105" s="64">
        <v>1112</v>
      </c>
      <c r="AR105" s="65">
        <v>0.82702934451219512</v>
      </c>
      <c r="AS105" s="65">
        <v>0.11999809451219512</v>
      </c>
      <c r="AT105" s="65">
        <v>5.2972560975609755E-2</v>
      </c>
      <c r="AV105" s="29">
        <v>1237</v>
      </c>
      <c r="AW105" s="64">
        <v>1166</v>
      </c>
      <c r="AX105" s="64">
        <v>63</v>
      </c>
      <c r="AY105" s="64">
        <v>8</v>
      </c>
      <c r="BA105" s="65">
        <v>0.94260307194826187</v>
      </c>
      <c r="BB105" s="65">
        <v>5.092966855295069E-2</v>
      </c>
      <c r="BC105" s="65">
        <v>6.4672594987873885E-3</v>
      </c>
    </row>
    <row r="106" spans="1:55" s="64" customFormat="1" x14ac:dyDescent="0.2">
      <c r="A106" s="63" t="s">
        <v>49</v>
      </c>
      <c r="B106" s="29">
        <v>398</v>
      </c>
      <c r="C106" s="64">
        <v>387</v>
      </c>
      <c r="D106" s="64">
        <v>11</v>
      </c>
      <c r="E106" s="64">
        <v>0</v>
      </c>
      <c r="G106" s="65">
        <v>0.97236180904522618</v>
      </c>
      <c r="H106" s="65">
        <v>2.7638190954773871E-2</v>
      </c>
      <c r="I106" s="65">
        <v>0</v>
      </c>
      <c r="K106" s="29">
        <v>17</v>
      </c>
      <c r="L106" s="64">
        <v>9</v>
      </c>
      <c r="M106" s="64">
        <v>8</v>
      </c>
      <c r="N106" s="64">
        <v>0</v>
      </c>
      <c r="P106" s="65">
        <v>0.52941176470588236</v>
      </c>
      <c r="Q106" s="65">
        <v>0.47058823529411764</v>
      </c>
      <c r="R106" s="65">
        <v>0</v>
      </c>
      <c r="T106" s="29">
        <v>0</v>
      </c>
      <c r="U106" s="64">
        <v>0</v>
      </c>
      <c r="V106" s="64">
        <v>0</v>
      </c>
      <c r="W106" s="64">
        <v>0</v>
      </c>
      <c r="Y106" s="65">
        <v>0</v>
      </c>
      <c r="Z106" s="65">
        <v>0</v>
      </c>
      <c r="AA106" s="65">
        <v>0</v>
      </c>
      <c r="AD106" s="29">
        <v>0</v>
      </c>
      <c r="AE106" s="64">
        <v>0</v>
      </c>
      <c r="AF106" s="64">
        <v>0</v>
      </c>
      <c r="AG106" s="64">
        <v>0</v>
      </c>
      <c r="AI106" s="65">
        <v>0</v>
      </c>
      <c r="AJ106" s="65">
        <v>0</v>
      </c>
      <c r="AK106" s="65">
        <v>0</v>
      </c>
      <c r="AM106" s="29">
        <v>0</v>
      </c>
      <c r="AN106" s="64">
        <v>0</v>
      </c>
      <c r="AO106" s="64">
        <v>0</v>
      </c>
      <c r="AP106" s="64">
        <v>0</v>
      </c>
      <c r="AR106" s="65">
        <v>0</v>
      </c>
      <c r="AS106" s="65">
        <v>0</v>
      </c>
      <c r="AT106" s="65">
        <v>0</v>
      </c>
      <c r="AV106" s="29">
        <v>0</v>
      </c>
      <c r="AW106" s="64">
        <v>0</v>
      </c>
      <c r="AX106" s="64">
        <v>0</v>
      </c>
      <c r="AY106" s="64">
        <v>0</v>
      </c>
      <c r="BA106" s="65">
        <v>0</v>
      </c>
      <c r="BB106" s="65">
        <v>0</v>
      </c>
      <c r="BC106" s="65">
        <v>0</v>
      </c>
    </row>
    <row r="107" spans="1:55" s="64" customFormat="1" x14ac:dyDescent="0.2">
      <c r="A107" s="63" t="s">
        <v>50</v>
      </c>
      <c r="B107" s="29">
        <v>1110</v>
      </c>
      <c r="C107" s="64">
        <v>1110</v>
      </c>
      <c r="D107" s="64">
        <v>0</v>
      </c>
      <c r="E107" s="64">
        <v>0</v>
      </c>
      <c r="G107" s="65">
        <v>1</v>
      </c>
      <c r="H107" s="65">
        <v>0</v>
      </c>
      <c r="I107" s="65">
        <v>0</v>
      </c>
      <c r="K107" s="29">
        <v>11</v>
      </c>
      <c r="L107" s="64">
        <v>11</v>
      </c>
      <c r="M107" s="64">
        <v>0</v>
      </c>
      <c r="N107" s="64">
        <v>0</v>
      </c>
      <c r="P107" s="65">
        <v>1</v>
      </c>
      <c r="Q107" s="65">
        <v>0</v>
      </c>
      <c r="R107" s="65">
        <v>0</v>
      </c>
      <c r="T107" s="29">
        <v>0</v>
      </c>
      <c r="U107" s="64">
        <v>0</v>
      </c>
      <c r="V107" s="64">
        <v>0</v>
      </c>
      <c r="W107" s="64">
        <v>0</v>
      </c>
      <c r="Y107" s="65">
        <v>0</v>
      </c>
      <c r="Z107" s="65">
        <v>0</v>
      </c>
      <c r="AA107" s="65">
        <v>0</v>
      </c>
      <c r="AD107" s="29">
        <v>0</v>
      </c>
      <c r="AE107" s="64">
        <v>0</v>
      </c>
      <c r="AF107" s="64">
        <v>0</v>
      </c>
      <c r="AG107" s="64">
        <v>0</v>
      </c>
      <c r="AI107" s="65">
        <v>0</v>
      </c>
      <c r="AJ107" s="65">
        <v>0</v>
      </c>
      <c r="AK107" s="65">
        <v>0</v>
      </c>
      <c r="AM107" s="29">
        <v>0</v>
      </c>
      <c r="AN107" s="64">
        <v>0</v>
      </c>
      <c r="AO107" s="64">
        <v>0</v>
      </c>
      <c r="AP107" s="64">
        <v>0</v>
      </c>
      <c r="AR107" s="65">
        <v>0</v>
      </c>
      <c r="AS107" s="65">
        <v>0</v>
      </c>
      <c r="AT107" s="65">
        <v>0</v>
      </c>
      <c r="AV107" s="29">
        <v>0</v>
      </c>
      <c r="AW107" s="64">
        <v>0</v>
      </c>
      <c r="AX107" s="64">
        <v>0</v>
      </c>
      <c r="AY107" s="64">
        <v>0</v>
      </c>
      <c r="BA107" s="65">
        <v>0</v>
      </c>
      <c r="BB107" s="65">
        <v>0</v>
      </c>
      <c r="BC107" s="65">
        <v>0</v>
      </c>
    </row>
    <row r="108" spans="1:55" s="64" customFormat="1" x14ac:dyDescent="0.2">
      <c r="A108" s="63" t="s">
        <v>139</v>
      </c>
      <c r="B108" s="29">
        <v>17472</v>
      </c>
      <c r="C108" s="64">
        <v>16972</v>
      </c>
      <c r="D108" s="64">
        <v>421</v>
      </c>
      <c r="E108" s="64">
        <v>79</v>
      </c>
      <c r="G108" s="65">
        <v>0.97138278388278387</v>
      </c>
      <c r="H108" s="65">
        <v>2.4095695970695972E-2</v>
      </c>
      <c r="I108" s="65">
        <v>4.5215201465201469E-3</v>
      </c>
      <c r="K108" s="29">
        <v>4165</v>
      </c>
      <c r="L108" s="64">
        <v>3515</v>
      </c>
      <c r="M108" s="64">
        <v>456</v>
      </c>
      <c r="N108" s="64">
        <v>194</v>
      </c>
      <c r="P108" s="65">
        <v>0.84393757503001199</v>
      </c>
      <c r="Q108" s="65">
        <v>0.10948379351740696</v>
      </c>
      <c r="R108" s="65">
        <v>4.657863145258103E-2</v>
      </c>
      <c r="T108" s="29">
        <v>117</v>
      </c>
      <c r="U108" s="64">
        <v>110</v>
      </c>
      <c r="V108" s="64">
        <v>7</v>
      </c>
      <c r="W108" s="64">
        <v>0</v>
      </c>
      <c r="Y108" s="65">
        <v>0.94017094017094016</v>
      </c>
      <c r="Z108" s="65">
        <v>5.9829059829059832E-2</v>
      </c>
      <c r="AA108" s="65">
        <v>0</v>
      </c>
      <c r="AD108" s="29">
        <v>0</v>
      </c>
      <c r="AE108" s="64">
        <v>0</v>
      </c>
      <c r="AF108" s="64">
        <v>0</v>
      </c>
      <c r="AG108" s="64">
        <v>0</v>
      </c>
      <c r="AI108" s="65">
        <v>0</v>
      </c>
      <c r="AJ108" s="65">
        <v>0</v>
      </c>
      <c r="AK108" s="65">
        <v>0</v>
      </c>
      <c r="AM108" s="29">
        <v>0</v>
      </c>
      <c r="AN108" s="64">
        <v>0</v>
      </c>
      <c r="AO108" s="64">
        <v>0</v>
      </c>
      <c r="AP108" s="64">
        <v>0</v>
      </c>
      <c r="AR108" s="65">
        <v>0</v>
      </c>
      <c r="AS108" s="65">
        <v>0</v>
      </c>
      <c r="AT108" s="65">
        <v>0</v>
      </c>
      <c r="AV108" s="29">
        <v>0</v>
      </c>
      <c r="AW108" s="64">
        <v>0</v>
      </c>
      <c r="AX108" s="64">
        <v>0</v>
      </c>
      <c r="AY108" s="64">
        <v>0</v>
      </c>
      <c r="BA108" s="65">
        <v>0</v>
      </c>
      <c r="BB108" s="65">
        <v>0</v>
      </c>
      <c r="BC108" s="65">
        <v>0</v>
      </c>
    </row>
    <row r="109" spans="1:55" s="64" customFormat="1" x14ac:dyDescent="0.2">
      <c r="A109" s="63" t="s">
        <v>53</v>
      </c>
      <c r="B109" s="29">
        <v>29976</v>
      </c>
      <c r="C109" s="64">
        <v>29835</v>
      </c>
      <c r="D109" s="64">
        <v>0</v>
      </c>
      <c r="E109" s="64">
        <v>141</v>
      </c>
      <c r="G109" s="65">
        <v>0.99529623698959169</v>
      </c>
      <c r="H109" s="65">
        <v>0</v>
      </c>
      <c r="I109" s="65">
        <v>4.7037630104083267E-3</v>
      </c>
      <c r="K109" s="29">
        <v>1844</v>
      </c>
      <c r="L109" s="64">
        <v>1782</v>
      </c>
      <c r="M109" s="64">
        <v>0</v>
      </c>
      <c r="N109" s="64">
        <v>62</v>
      </c>
      <c r="P109" s="65">
        <v>0.96637744034707163</v>
      </c>
      <c r="Q109" s="65">
        <v>0</v>
      </c>
      <c r="R109" s="65">
        <v>3.3622559652928416E-2</v>
      </c>
      <c r="T109" s="29">
        <v>60</v>
      </c>
      <c r="U109" s="64">
        <v>60</v>
      </c>
      <c r="V109" s="64">
        <v>0</v>
      </c>
      <c r="W109" s="64">
        <v>0</v>
      </c>
      <c r="Y109" s="65">
        <v>1</v>
      </c>
      <c r="Z109" s="65">
        <v>0</v>
      </c>
      <c r="AA109" s="65">
        <v>0</v>
      </c>
      <c r="AD109" s="29">
        <v>0</v>
      </c>
      <c r="AE109" s="64">
        <v>0</v>
      </c>
      <c r="AF109" s="64">
        <v>0</v>
      </c>
      <c r="AG109" s="64">
        <v>0</v>
      </c>
      <c r="AI109" s="65">
        <v>0</v>
      </c>
      <c r="AJ109" s="65">
        <v>0</v>
      </c>
      <c r="AK109" s="65">
        <v>0</v>
      </c>
      <c r="AM109" s="29">
        <v>0</v>
      </c>
      <c r="AN109" s="64">
        <v>0</v>
      </c>
      <c r="AO109" s="64">
        <v>0</v>
      </c>
      <c r="AP109" s="64">
        <v>0</v>
      </c>
      <c r="AR109" s="65">
        <v>0</v>
      </c>
      <c r="AS109" s="65">
        <v>0</v>
      </c>
      <c r="AT109" s="65">
        <v>0</v>
      </c>
      <c r="AV109" s="29">
        <v>0</v>
      </c>
      <c r="AW109" s="64">
        <v>0</v>
      </c>
      <c r="AX109" s="64">
        <v>0</v>
      </c>
      <c r="AY109" s="64">
        <v>0</v>
      </c>
      <c r="BA109" s="65">
        <v>0</v>
      </c>
      <c r="BB109" s="65">
        <v>0</v>
      </c>
      <c r="BC109" s="65">
        <v>0</v>
      </c>
    </row>
    <row r="110" spans="1:55" s="64" customFormat="1" x14ac:dyDescent="0.2">
      <c r="A110" s="63" t="s">
        <v>93</v>
      </c>
      <c r="B110" s="29">
        <v>0</v>
      </c>
      <c r="C110" s="64">
        <v>0</v>
      </c>
      <c r="D110" s="64">
        <v>0</v>
      </c>
      <c r="E110" s="64">
        <v>0</v>
      </c>
      <c r="G110" s="65">
        <v>0</v>
      </c>
      <c r="H110" s="65">
        <v>0</v>
      </c>
      <c r="I110" s="65">
        <v>0</v>
      </c>
      <c r="K110" s="29">
        <v>0</v>
      </c>
      <c r="L110" s="64">
        <v>0</v>
      </c>
      <c r="M110" s="64">
        <v>0</v>
      </c>
      <c r="N110" s="64">
        <v>0</v>
      </c>
      <c r="P110" s="65">
        <v>0</v>
      </c>
      <c r="Q110" s="65">
        <v>0</v>
      </c>
      <c r="R110" s="65">
        <v>0</v>
      </c>
      <c r="T110" s="29">
        <v>123</v>
      </c>
      <c r="U110" s="64">
        <v>123</v>
      </c>
      <c r="V110" s="64">
        <v>0</v>
      </c>
      <c r="W110" s="64">
        <v>0</v>
      </c>
      <c r="Y110" s="65">
        <v>1</v>
      </c>
      <c r="Z110" s="65">
        <v>0</v>
      </c>
      <c r="AA110" s="65">
        <v>0</v>
      </c>
      <c r="AD110" s="29">
        <v>0</v>
      </c>
      <c r="AE110" s="64">
        <v>0</v>
      </c>
      <c r="AF110" s="64">
        <v>0</v>
      </c>
      <c r="AG110" s="64">
        <v>0</v>
      </c>
      <c r="AI110" s="65">
        <v>0</v>
      </c>
      <c r="AJ110" s="65">
        <v>0</v>
      </c>
      <c r="AK110" s="65">
        <v>0</v>
      </c>
      <c r="AM110" s="29">
        <v>0</v>
      </c>
      <c r="AN110" s="64">
        <v>0</v>
      </c>
      <c r="AO110" s="64">
        <v>0</v>
      </c>
      <c r="AP110" s="64">
        <v>0</v>
      </c>
      <c r="AR110" s="65">
        <v>0</v>
      </c>
      <c r="AS110" s="65">
        <v>0</v>
      </c>
      <c r="AT110" s="65">
        <v>0</v>
      </c>
      <c r="AV110" s="29">
        <v>0</v>
      </c>
      <c r="AW110" s="64">
        <v>0</v>
      </c>
      <c r="AX110" s="64">
        <v>0</v>
      </c>
      <c r="AY110" s="64">
        <v>0</v>
      </c>
      <c r="BA110" s="65">
        <v>0</v>
      </c>
      <c r="BB110" s="65">
        <v>0</v>
      </c>
      <c r="BC110" s="65">
        <v>0</v>
      </c>
    </row>
    <row r="111" spans="1:55" s="64" customFormat="1" x14ac:dyDescent="0.2">
      <c r="A111" s="63" t="s">
        <v>54</v>
      </c>
      <c r="B111" s="29">
        <v>3757</v>
      </c>
      <c r="C111" s="64">
        <v>3614</v>
      </c>
      <c r="D111" s="64">
        <v>79</v>
      </c>
      <c r="E111" s="64">
        <v>64</v>
      </c>
      <c r="G111" s="65">
        <v>0.96193771626297575</v>
      </c>
      <c r="H111" s="65">
        <v>2.102741549108331E-2</v>
      </c>
      <c r="I111" s="65">
        <v>1.7034868245940912E-2</v>
      </c>
      <c r="K111" s="29">
        <v>3098</v>
      </c>
      <c r="L111" s="64">
        <v>2637</v>
      </c>
      <c r="M111" s="64">
        <v>265</v>
      </c>
      <c r="N111" s="64">
        <v>196</v>
      </c>
      <c r="P111" s="65">
        <v>0.85119431891542929</v>
      </c>
      <c r="Q111" s="65">
        <v>8.5539057456423498E-2</v>
      </c>
      <c r="R111" s="65">
        <v>6.3266623628147195E-2</v>
      </c>
      <c r="T111" s="29">
        <v>13</v>
      </c>
      <c r="U111" s="64">
        <v>13</v>
      </c>
      <c r="V111" s="64">
        <v>0</v>
      </c>
      <c r="W111" s="64">
        <v>0</v>
      </c>
      <c r="Y111" s="65">
        <v>1</v>
      </c>
      <c r="Z111" s="65">
        <v>0</v>
      </c>
      <c r="AA111" s="65">
        <v>0</v>
      </c>
      <c r="AD111" s="29">
        <v>0</v>
      </c>
      <c r="AE111" s="64">
        <v>0</v>
      </c>
      <c r="AF111" s="64">
        <v>0</v>
      </c>
      <c r="AG111" s="64">
        <v>0</v>
      </c>
      <c r="AI111" s="65">
        <v>0</v>
      </c>
      <c r="AJ111" s="65">
        <v>0</v>
      </c>
      <c r="AK111" s="65">
        <v>0</v>
      </c>
      <c r="AM111" s="29">
        <v>0</v>
      </c>
      <c r="AN111" s="64">
        <v>0</v>
      </c>
      <c r="AO111" s="64">
        <v>0</v>
      </c>
      <c r="AP111" s="64">
        <v>0</v>
      </c>
      <c r="AR111" s="65">
        <v>0</v>
      </c>
      <c r="AS111" s="65">
        <v>0</v>
      </c>
      <c r="AT111" s="65">
        <v>0</v>
      </c>
      <c r="AV111" s="29">
        <v>0</v>
      </c>
      <c r="AW111" s="64">
        <v>0</v>
      </c>
      <c r="AX111" s="64">
        <v>0</v>
      </c>
      <c r="AY111" s="64">
        <v>0</v>
      </c>
      <c r="BA111" s="65">
        <v>0</v>
      </c>
      <c r="BB111" s="65">
        <v>0</v>
      </c>
      <c r="BC111" s="65">
        <v>0</v>
      </c>
    </row>
    <row r="112" spans="1:55" s="64" customFormat="1" x14ac:dyDescent="0.2">
      <c r="A112" s="63" t="s">
        <v>55</v>
      </c>
      <c r="B112" s="29">
        <v>598</v>
      </c>
      <c r="C112" s="64">
        <v>554</v>
      </c>
      <c r="D112" s="64">
        <v>0</v>
      </c>
      <c r="E112" s="64">
        <v>44</v>
      </c>
      <c r="G112" s="65">
        <v>0.9264214046822743</v>
      </c>
      <c r="H112" s="65">
        <v>0</v>
      </c>
      <c r="I112" s="65">
        <v>7.3578595317725759E-2</v>
      </c>
      <c r="K112" s="29">
        <v>4</v>
      </c>
      <c r="L112" s="64">
        <v>4</v>
      </c>
      <c r="M112" s="64">
        <v>0</v>
      </c>
      <c r="N112" s="64">
        <v>0</v>
      </c>
      <c r="P112" s="65">
        <v>1</v>
      </c>
      <c r="Q112" s="65">
        <v>0</v>
      </c>
      <c r="R112" s="65">
        <v>0</v>
      </c>
      <c r="T112" s="29">
        <v>0</v>
      </c>
      <c r="U112" s="64">
        <v>0</v>
      </c>
      <c r="V112" s="64">
        <v>0</v>
      </c>
      <c r="W112" s="64">
        <v>0</v>
      </c>
      <c r="Y112" s="65">
        <v>0</v>
      </c>
      <c r="Z112" s="65">
        <v>0</v>
      </c>
      <c r="AA112" s="65">
        <v>0</v>
      </c>
      <c r="AD112" s="29">
        <v>234</v>
      </c>
      <c r="AE112" s="64">
        <v>210</v>
      </c>
      <c r="AF112" s="64">
        <v>0</v>
      </c>
      <c r="AG112" s="64">
        <v>24</v>
      </c>
      <c r="AI112" s="65">
        <v>0.89743589743589747</v>
      </c>
      <c r="AJ112" s="65">
        <v>0</v>
      </c>
      <c r="AK112" s="65">
        <v>0.10256410256410256</v>
      </c>
      <c r="AM112" s="29">
        <v>0</v>
      </c>
      <c r="AN112" s="64">
        <v>0</v>
      </c>
      <c r="AO112" s="64">
        <v>0</v>
      </c>
      <c r="AP112" s="64">
        <v>0</v>
      </c>
      <c r="AR112" s="65">
        <v>0</v>
      </c>
      <c r="AS112" s="65">
        <v>0</v>
      </c>
      <c r="AT112" s="65">
        <v>0</v>
      </c>
      <c r="AV112" s="29">
        <v>0</v>
      </c>
      <c r="AW112" s="64">
        <v>0</v>
      </c>
      <c r="AX112" s="64">
        <v>0</v>
      </c>
      <c r="AY112" s="64">
        <v>0</v>
      </c>
      <c r="BA112" s="65">
        <v>0</v>
      </c>
      <c r="BB112" s="65">
        <v>0</v>
      </c>
      <c r="BC112" s="65">
        <v>0</v>
      </c>
    </row>
    <row r="113" spans="1:55" s="64" customFormat="1" x14ac:dyDescent="0.2">
      <c r="A113" s="63" t="s">
        <v>56</v>
      </c>
      <c r="B113" s="29">
        <v>173</v>
      </c>
      <c r="C113" s="64">
        <v>173</v>
      </c>
      <c r="D113" s="64">
        <v>0</v>
      </c>
      <c r="E113" s="64">
        <v>0</v>
      </c>
      <c r="G113" s="65">
        <v>1</v>
      </c>
      <c r="H113" s="65">
        <v>0</v>
      </c>
      <c r="I113" s="65">
        <v>0</v>
      </c>
      <c r="K113" s="29">
        <v>0</v>
      </c>
      <c r="L113" s="64">
        <v>0</v>
      </c>
      <c r="M113" s="64">
        <v>0</v>
      </c>
      <c r="N113" s="64">
        <v>0</v>
      </c>
      <c r="P113" s="65">
        <v>0</v>
      </c>
      <c r="Q113" s="65">
        <v>0</v>
      </c>
      <c r="R113" s="65">
        <v>0</v>
      </c>
      <c r="T113" s="29">
        <v>0</v>
      </c>
      <c r="U113" s="64">
        <v>0</v>
      </c>
      <c r="V113" s="64">
        <v>0</v>
      </c>
      <c r="W113" s="64">
        <v>0</v>
      </c>
      <c r="Y113" s="65">
        <v>0</v>
      </c>
      <c r="Z113" s="65">
        <v>0</v>
      </c>
      <c r="AA113" s="65">
        <v>0</v>
      </c>
      <c r="AD113" s="29">
        <v>0</v>
      </c>
      <c r="AE113" s="64">
        <v>0</v>
      </c>
      <c r="AF113" s="64">
        <v>0</v>
      </c>
      <c r="AG113" s="64">
        <v>0</v>
      </c>
      <c r="AI113" s="65">
        <v>0</v>
      </c>
      <c r="AJ113" s="65">
        <v>0</v>
      </c>
      <c r="AK113" s="65">
        <v>0</v>
      </c>
      <c r="AM113" s="29">
        <v>0</v>
      </c>
      <c r="AN113" s="64">
        <v>0</v>
      </c>
      <c r="AO113" s="64">
        <v>0</v>
      </c>
      <c r="AP113" s="64">
        <v>0</v>
      </c>
      <c r="AR113" s="65">
        <v>0</v>
      </c>
      <c r="AS113" s="65">
        <v>0</v>
      </c>
      <c r="AT113" s="65">
        <v>0</v>
      </c>
      <c r="AV113" s="29">
        <v>0</v>
      </c>
      <c r="AW113" s="64">
        <v>0</v>
      </c>
      <c r="AX113" s="64">
        <v>0</v>
      </c>
      <c r="AY113" s="64">
        <v>0</v>
      </c>
      <c r="BA113" s="65">
        <v>0</v>
      </c>
      <c r="BB113" s="65">
        <v>0</v>
      </c>
      <c r="BC113" s="65">
        <v>0</v>
      </c>
    </row>
    <row r="114" spans="1:55" s="64" customFormat="1" x14ac:dyDescent="0.2">
      <c r="A114" s="63" t="s">
        <v>57</v>
      </c>
      <c r="B114" s="29">
        <v>220363</v>
      </c>
      <c r="C114" s="64">
        <v>219895</v>
      </c>
      <c r="D114" s="64">
        <v>468</v>
      </c>
      <c r="E114" s="64">
        <v>0</v>
      </c>
      <c r="G114" s="65">
        <v>0.99787623149076754</v>
      </c>
      <c r="H114" s="65">
        <v>2.1237685092324937E-3</v>
      </c>
      <c r="I114" s="65">
        <v>0</v>
      </c>
      <c r="K114" s="29">
        <v>5470</v>
      </c>
      <c r="L114" s="64">
        <v>5352</v>
      </c>
      <c r="M114" s="64">
        <v>118</v>
      </c>
      <c r="N114" s="64">
        <v>0</v>
      </c>
      <c r="P114" s="65">
        <v>0.9784277879341865</v>
      </c>
      <c r="Q114" s="65">
        <v>2.1572212065813529E-2</v>
      </c>
      <c r="R114" s="65">
        <v>0</v>
      </c>
      <c r="T114" s="29">
        <v>459</v>
      </c>
      <c r="U114" s="64">
        <v>459</v>
      </c>
      <c r="V114" s="64">
        <v>0</v>
      </c>
      <c r="W114" s="64">
        <v>0</v>
      </c>
      <c r="Y114" s="65">
        <v>1</v>
      </c>
      <c r="Z114" s="65">
        <v>0</v>
      </c>
      <c r="AA114" s="65">
        <v>0</v>
      </c>
      <c r="AD114" s="29">
        <v>50099</v>
      </c>
      <c r="AE114" s="64">
        <v>50028</v>
      </c>
      <c r="AF114" s="64">
        <v>71</v>
      </c>
      <c r="AG114" s="64">
        <v>0</v>
      </c>
      <c r="AI114" s="65">
        <v>0.99858280604403282</v>
      </c>
      <c r="AJ114" s="65">
        <v>1.4171939559671849E-3</v>
      </c>
      <c r="AK114" s="65">
        <v>0</v>
      </c>
      <c r="AM114" s="29">
        <v>41</v>
      </c>
      <c r="AN114" s="64">
        <v>40</v>
      </c>
      <c r="AO114" s="64">
        <v>1</v>
      </c>
      <c r="AP114" s="64">
        <v>0</v>
      </c>
      <c r="AR114" s="65">
        <v>0.97560975609756095</v>
      </c>
      <c r="AS114" s="65">
        <v>2.4390243902439025E-2</v>
      </c>
      <c r="AT114" s="65">
        <v>0</v>
      </c>
      <c r="AV114" s="29">
        <v>1</v>
      </c>
      <c r="AW114" s="64">
        <v>1</v>
      </c>
      <c r="AX114" s="64">
        <v>0</v>
      </c>
      <c r="AY114" s="64">
        <v>0</v>
      </c>
      <c r="BA114" s="65">
        <v>1</v>
      </c>
      <c r="BB114" s="65">
        <v>0</v>
      </c>
      <c r="BC114" s="65">
        <v>0</v>
      </c>
    </row>
    <row r="115" spans="1:55" s="64" customFormat="1" x14ac:dyDescent="0.2">
      <c r="A115" s="63" t="s">
        <v>94</v>
      </c>
      <c r="B115" s="29">
        <v>0</v>
      </c>
      <c r="C115" s="64">
        <v>0</v>
      </c>
      <c r="D115" s="64">
        <v>0</v>
      </c>
      <c r="E115" s="64">
        <v>0</v>
      </c>
      <c r="G115" s="65">
        <v>0</v>
      </c>
      <c r="H115" s="65">
        <v>0</v>
      </c>
      <c r="I115" s="65">
        <v>0</v>
      </c>
      <c r="K115" s="29">
        <v>0</v>
      </c>
      <c r="L115" s="64">
        <v>0</v>
      </c>
      <c r="M115" s="64">
        <v>0</v>
      </c>
      <c r="N115" s="64">
        <v>0</v>
      </c>
      <c r="P115" s="65">
        <v>0</v>
      </c>
      <c r="Q115" s="65">
        <v>0</v>
      </c>
      <c r="R115" s="65">
        <v>0</v>
      </c>
      <c r="T115" s="29">
        <v>1</v>
      </c>
      <c r="U115" s="64">
        <v>1</v>
      </c>
      <c r="V115" s="64">
        <v>0</v>
      </c>
      <c r="W115" s="64">
        <v>0</v>
      </c>
      <c r="Y115" s="65">
        <v>1</v>
      </c>
      <c r="Z115" s="65">
        <v>0</v>
      </c>
      <c r="AA115" s="65">
        <v>0</v>
      </c>
      <c r="AD115" s="29">
        <v>0</v>
      </c>
      <c r="AE115" s="64">
        <v>0</v>
      </c>
      <c r="AF115" s="64">
        <v>0</v>
      </c>
      <c r="AG115" s="64">
        <v>0</v>
      </c>
      <c r="AI115" s="65">
        <v>0</v>
      </c>
      <c r="AJ115" s="65">
        <v>0</v>
      </c>
      <c r="AK115" s="65">
        <v>0</v>
      </c>
      <c r="AM115" s="29">
        <v>0</v>
      </c>
      <c r="AN115" s="64">
        <v>0</v>
      </c>
      <c r="AO115" s="64">
        <v>0</v>
      </c>
      <c r="AP115" s="64">
        <v>0</v>
      </c>
      <c r="AR115" s="65">
        <v>0</v>
      </c>
      <c r="AS115" s="65">
        <v>0</v>
      </c>
      <c r="AT115" s="65">
        <v>0</v>
      </c>
      <c r="AV115" s="29">
        <v>0</v>
      </c>
      <c r="AW115" s="64">
        <v>0</v>
      </c>
      <c r="AX115" s="64">
        <v>0</v>
      </c>
      <c r="AY115" s="64">
        <v>0</v>
      </c>
      <c r="BA115" s="65">
        <v>0</v>
      </c>
      <c r="BB115" s="65">
        <v>0</v>
      </c>
      <c r="BC115" s="65">
        <v>0</v>
      </c>
    </row>
    <row r="116" spans="1:55" s="64" customFormat="1" x14ac:dyDescent="0.2">
      <c r="A116" s="63" t="s">
        <v>58</v>
      </c>
      <c r="B116" s="29">
        <v>1217</v>
      </c>
      <c r="C116" s="64">
        <v>1124</v>
      </c>
      <c r="D116" s="64">
        <v>93</v>
      </c>
      <c r="E116" s="64">
        <v>0</v>
      </c>
      <c r="G116" s="65">
        <v>0.92358258011503702</v>
      </c>
      <c r="H116" s="65">
        <v>7.641741988496302E-2</v>
      </c>
      <c r="I116" s="65">
        <v>0</v>
      </c>
      <c r="K116" s="29">
        <v>0</v>
      </c>
      <c r="L116" s="64">
        <v>0</v>
      </c>
      <c r="M116" s="64">
        <v>0</v>
      </c>
      <c r="N116" s="64">
        <v>0</v>
      </c>
      <c r="P116" s="65">
        <v>0</v>
      </c>
      <c r="Q116" s="65">
        <v>0</v>
      </c>
      <c r="R116" s="65">
        <v>0</v>
      </c>
      <c r="T116" s="29">
        <v>0</v>
      </c>
      <c r="U116" s="64">
        <v>0</v>
      </c>
      <c r="V116" s="64">
        <v>0</v>
      </c>
      <c r="W116" s="64">
        <v>0</v>
      </c>
      <c r="Y116" s="65">
        <v>0</v>
      </c>
      <c r="Z116" s="65">
        <v>0</v>
      </c>
      <c r="AA116" s="65">
        <v>0</v>
      </c>
      <c r="AD116" s="29">
        <v>0</v>
      </c>
      <c r="AE116" s="64">
        <v>0</v>
      </c>
      <c r="AF116" s="64">
        <v>0</v>
      </c>
      <c r="AG116" s="64">
        <v>0</v>
      </c>
      <c r="AI116" s="65">
        <v>0</v>
      </c>
      <c r="AJ116" s="65">
        <v>0</v>
      </c>
      <c r="AK116" s="65">
        <v>0</v>
      </c>
      <c r="AM116" s="29">
        <v>0</v>
      </c>
      <c r="AN116" s="64">
        <v>0</v>
      </c>
      <c r="AO116" s="64">
        <v>0</v>
      </c>
      <c r="AP116" s="64">
        <v>0</v>
      </c>
      <c r="AR116" s="65">
        <v>0</v>
      </c>
      <c r="AS116" s="65">
        <v>0</v>
      </c>
      <c r="AT116" s="65">
        <v>0</v>
      </c>
      <c r="AV116" s="29">
        <v>0</v>
      </c>
      <c r="AW116" s="64">
        <v>0</v>
      </c>
      <c r="AX116" s="64">
        <v>0</v>
      </c>
      <c r="AY116" s="64">
        <v>0</v>
      </c>
      <c r="BA116" s="65">
        <v>0</v>
      </c>
      <c r="BB116" s="65">
        <v>0</v>
      </c>
      <c r="BC116" s="65">
        <v>0</v>
      </c>
    </row>
    <row r="117" spans="1:55" s="64" customFormat="1" x14ac:dyDescent="0.2">
      <c r="A117" s="63" t="s">
        <v>59</v>
      </c>
      <c r="B117" s="29">
        <v>128</v>
      </c>
      <c r="C117" s="64">
        <v>128</v>
      </c>
      <c r="D117" s="64">
        <v>0</v>
      </c>
      <c r="E117" s="64">
        <v>0</v>
      </c>
      <c r="G117" s="65">
        <v>1</v>
      </c>
      <c r="H117" s="65">
        <v>0</v>
      </c>
      <c r="I117" s="65">
        <v>0</v>
      </c>
      <c r="K117" s="29">
        <v>4</v>
      </c>
      <c r="L117" s="64">
        <v>4</v>
      </c>
      <c r="M117" s="64">
        <v>0</v>
      </c>
      <c r="N117" s="64">
        <v>0</v>
      </c>
      <c r="P117" s="65">
        <v>1</v>
      </c>
      <c r="Q117" s="65">
        <v>0</v>
      </c>
      <c r="R117" s="65">
        <v>0</v>
      </c>
      <c r="T117" s="29">
        <v>0</v>
      </c>
      <c r="U117" s="64">
        <v>0</v>
      </c>
      <c r="V117" s="64">
        <v>0</v>
      </c>
      <c r="W117" s="64">
        <v>0</v>
      </c>
      <c r="Y117" s="65">
        <v>0</v>
      </c>
      <c r="Z117" s="65">
        <v>0</v>
      </c>
      <c r="AA117" s="65">
        <v>0</v>
      </c>
      <c r="AD117" s="29">
        <v>0</v>
      </c>
      <c r="AE117" s="64">
        <v>0</v>
      </c>
      <c r="AF117" s="64">
        <v>0</v>
      </c>
      <c r="AG117" s="64">
        <v>0</v>
      </c>
      <c r="AI117" s="65">
        <v>0</v>
      </c>
      <c r="AJ117" s="65">
        <v>0</v>
      </c>
      <c r="AK117" s="65">
        <v>0</v>
      </c>
      <c r="AM117" s="29">
        <v>0</v>
      </c>
      <c r="AN117" s="64">
        <v>0</v>
      </c>
      <c r="AO117" s="64">
        <v>0</v>
      </c>
      <c r="AP117" s="64">
        <v>0</v>
      </c>
      <c r="AR117" s="65">
        <v>0</v>
      </c>
      <c r="AS117" s="65">
        <v>0</v>
      </c>
      <c r="AT117" s="65">
        <v>0</v>
      </c>
      <c r="AV117" s="29">
        <v>0</v>
      </c>
      <c r="AW117" s="64">
        <v>0</v>
      </c>
      <c r="AX117" s="64">
        <v>0</v>
      </c>
      <c r="AY117" s="64">
        <v>0</v>
      </c>
      <c r="BA117" s="65">
        <v>0</v>
      </c>
      <c r="BB117" s="65">
        <v>0</v>
      </c>
      <c r="BC117" s="65">
        <v>0</v>
      </c>
    </row>
    <row r="118" spans="1:55" s="64" customFormat="1" x14ac:dyDescent="0.2">
      <c r="A118" s="63" t="s">
        <v>60</v>
      </c>
      <c r="B118" s="29">
        <v>30874</v>
      </c>
      <c r="C118" s="64">
        <v>30665</v>
      </c>
      <c r="D118" s="64">
        <v>116</v>
      </c>
      <c r="E118" s="64">
        <v>93</v>
      </c>
      <c r="G118" s="65">
        <v>0.99323054997732718</v>
      </c>
      <c r="H118" s="65">
        <v>3.7572067111485393E-3</v>
      </c>
      <c r="I118" s="65">
        <v>3.0122433115242599E-3</v>
      </c>
      <c r="K118" s="29">
        <v>2372</v>
      </c>
      <c r="L118" s="64">
        <v>2320</v>
      </c>
      <c r="M118" s="64">
        <v>4</v>
      </c>
      <c r="N118" s="64">
        <v>48</v>
      </c>
      <c r="P118" s="65">
        <v>0.97807757166947729</v>
      </c>
      <c r="Q118" s="65">
        <v>1.6863406408094434E-3</v>
      </c>
      <c r="R118" s="65">
        <v>2.0236087689713321E-2</v>
      </c>
      <c r="T118" s="29">
        <v>106</v>
      </c>
      <c r="U118" s="64">
        <v>105</v>
      </c>
      <c r="V118" s="64">
        <v>0</v>
      </c>
      <c r="W118" s="64">
        <v>1</v>
      </c>
      <c r="Y118" s="65">
        <v>0.99056603773584906</v>
      </c>
      <c r="Z118" s="65">
        <v>0</v>
      </c>
      <c r="AA118" s="65">
        <v>9.433962264150943E-3</v>
      </c>
      <c r="AD118" s="29">
        <v>5196</v>
      </c>
      <c r="AE118" s="64">
        <v>5155</v>
      </c>
      <c r="AF118" s="64">
        <v>3</v>
      </c>
      <c r="AG118" s="64">
        <v>38</v>
      </c>
      <c r="AI118" s="65">
        <v>0.9921093148575828</v>
      </c>
      <c r="AJ118" s="65">
        <v>5.7736720554272516E-4</v>
      </c>
      <c r="AK118" s="65">
        <v>7.3133179368745187E-3</v>
      </c>
      <c r="AM118" s="29">
        <v>93</v>
      </c>
      <c r="AN118" s="64">
        <v>92</v>
      </c>
      <c r="AO118" s="64">
        <v>0</v>
      </c>
      <c r="AP118" s="64">
        <v>1</v>
      </c>
      <c r="AR118" s="65">
        <v>0.989247311827957</v>
      </c>
      <c r="AS118" s="65">
        <v>0</v>
      </c>
      <c r="AT118" s="65">
        <v>1.0752688172043012E-2</v>
      </c>
      <c r="AV118" s="29">
        <v>0</v>
      </c>
      <c r="AW118" s="64">
        <v>0</v>
      </c>
      <c r="AX118" s="64">
        <v>0</v>
      </c>
      <c r="AY118" s="64">
        <v>0</v>
      </c>
      <c r="BA118" s="65">
        <v>0</v>
      </c>
      <c r="BB118" s="65">
        <v>0</v>
      </c>
      <c r="BC118" s="65">
        <v>0</v>
      </c>
    </row>
    <row r="119" spans="1:55" s="64" customFormat="1" x14ac:dyDescent="0.2">
      <c r="A119" s="63" t="s">
        <v>96</v>
      </c>
      <c r="B119" s="29">
        <v>0</v>
      </c>
      <c r="C119" s="64">
        <v>0</v>
      </c>
      <c r="D119" s="64">
        <v>0</v>
      </c>
      <c r="E119" s="64">
        <v>0</v>
      </c>
      <c r="G119" s="65">
        <v>0</v>
      </c>
      <c r="H119" s="65">
        <v>0</v>
      </c>
      <c r="I119" s="65">
        <v>0</v>
      </c>
      <c r="K119" s="29">
        <v>0</v>
      </c>
      <c r="L119" s="64">
        <v>0</v>
      </c>
      <c r="M119" s="64">
        <v>0</v>
      </c>
      <c r="N119" s="64">
        <v>0</v>
      </c>
      <c r="P119" s="65">
        <v>0</v>
      </c>
      <c r="Q119" s="65">
        <v>0</v>
      </c>
      <c r="R119" s="65">
        <v>0</v>
      </c>
      <c r="T119" s="29">
        <v>515</v>
      </c>
      <c r="U119" s="64">
        <v>515</v>
      </c>
      <c r="V119" s="64">
        <v>0</v>
      </c>
      <c r="W119" s="64">
        <v>0</v>
      </c>
      <c r="Y119" s="65">
        <v>1</v>
      </c>
      <c r="Z119" s="65">
        <v>0</v>
      </c>
      <c r="AA119" s="65">
        <v>0</v>
      </c>
      <c r="AD119" s="29">
        <v>0</v>
      </c>
      <c r="AE119" s="64">
        <v>0</v>
      </c>
      <c r="AF119" s="64">
        <v>0</v>
      </c>
      <c r="AG119" s="64">
        <v>0</v>
      </c>
      <c r="AI119" s="65">
        <v>0</v>
      </c>
      <c r="AJ119" s="65">
        <v>0</v>
      </c>
      <c r="AK119" s="65">
        <v>0</v>
      </c>
      <c r="AM119" s="29">
        <v>0</v>
      </c>
      <c r="AN119" s="64">
        <v>0</v>
      </c>
      <c r="AO119" s="64">
        <v>0</v>
      </c>
      <c r="AP119" s="64">
        <v>0</v>
      </c>
      <c r="AR119" s="65">
        <v>0</v>
      </c>
      <c r="AS119" s="65">
        <v>0</v>
      </c>
      <c r="AT119" s="65">
        <v>0</v>
      </c>
      <c r="AV119" s="29">
        <v>0</v>
      </c>
      <c r="AW119" s="64">
        <v>0</v>
      </c>
      <c r="AX119" s="64">
        <v>0</v>
      </c>
      <c r="AY119" s="64">
        <v>0</v>
      </c>
      <c r="BA119" s="65">
        <v>0</v>
      </c>
      <c r="BB119" s="65">
        <v>0</v>
      </c>
      <c r="BC119" s="65">
        <v>0</v>
      </c>
    </row>
    <row r="120" spans="1:55" s="64" customFormat="1" x14ac:dyDescent="0.2">
      <c r="A120" s="63" t="s">
        <v>61</v>
      </c>
      <c r="B120" s="29">
        <v>5440</v>
      </c>
      <c r="C120" s="64">
        <v>5263</v>
      </c>
      <c r="D120" s="64">
        <v>0</v>
      </c>
      <c r="E120" s="64">
        <v>177</v>
      </c>
      <c r="G120" s="65">
        <v>0.9674632352941176</v>
      </c>
      <c r="H120" s="65">
        <v>0</v>
      </c>
      <c r="I120" s="65">
        <v>3.2536764705882355E-2</v>
      </c>
      <c r="K120" s="29">
        <v>0</v>
      </c>
      <c r="L120" s="64">
        <v>0</v>
      </c>
      <c r="M120" s="64">
        <v>0</v>
      </c>
      <c r="N120" s="64">
        <v>0</v>
      </c>
      <c r="P120" s="65">
        <v>0</v>
      </c>
      <c r="Q120" s="65">
        <v>0</v>
      </c>
      <c r="R120" s="65">
        <v>0</v>
      </c>
      <c r="T120" s="29">
        <v>0</v>
      </c>
      <c r="U120" s="64">
        <v>0</v>
      </c>
      <c r="V120" s="64">
        <v>0</v>
      </c>
      <c r="W120" s="64">
        <v>0</v>
      </c>
      <c r="Y120" s="65">
        <v>0</v>
      </c>
      <c r="Z120" s="65">
        <v>0</v>
      </c>
      <c r="AA120" s="65">
        <v>0</v>
      </c>
      <c r="AD120" s="29">
        <v>0</v>
      </c>
      <c r="AE120" s="64">
        <v>0</v>
      </c>
      <c r="AF120" s="64">
        <v>0</v>
      </c>
      <c r="AG120" s="64">
        <v>0</v>
      </c>
      <c r="AI120" s="65">
        <v>0</v>
      </c>
      <c r="AJ120" s="65">
        <v>0</v>
      </c>
      <c r="AK120" s="65">
        <v>0</v>
      </c>
      <c r="AM120" s="29">
        <v>0</v>
      </c>
      <c r="AN120" s="64">
        <v>0</v>
      </c>
      <c r="AO120" s="64">
        <v>0</v>
      </c>
      <c r="AP120" s="64">
        <v>0</v>
      </c>
      <c r="AR120" s="65">
        <v>0</v>
      </c>
      <c r="AS120" s="65">
        <v>0</v>
      </c>
      <c r="AT120" s="65">
        <v>0</v>
      </c>
      <c r="AV120" s="29">
        <v>0</v>
      </c>
      <c r="AW120" s="64">
        <v>0</v>
      </c>
      <c r="AX120" s="64">
        <v>0</v>
      </c>
      <c r="AY120" s="64">
        <v>0</v>
      </c>
      <c r="BA120" s="65">
        <v>0</v>
      </c>
      <c r="BB120" s="65">
        <v>0</v>
      </c>
      <c r="BC120" s="65">
        <v>0</v>
      </c>
    </row>
    <row r="121" spans="1:55" s="64" customFormat="1" x14ac:dyDescent="0.2">
      <c r="A121" s="63" t="s">
        <v>62</v>
      </c>
      <c r="B121" s="29">
        <v>0</v>
      </c>
      <c r="C121" s="64">
        <v>0</v>
      </c>
      <c r="D121" s="64">
        <v>0</v>
      </c>
      <c r="E121" s="64">
        <v>0</v>
      </c>
      <c r="G121" s="65">
        <v>0</v>
      </c>
      <c r="H121" s="65">
        <v>0</v>
      </c>
      <c r="I121" s="65">
        <v>0</v>
      </c>
      <c r="K121" s="29">
        <v>1</v>
      </c>
      <c r="L121" s="64">
        <v>1</v>
      </c>
      <c r="M121" s="64">
        <v>0</v>
      </c>
      <c r="N121" s="64">
        <v>0</v>
      </c>
      <c r="P121" s="65">
        <v>1</v>
      </c>
      <c r="Q121" s="65">
        <v>0</v>
      </c>
      <c r="R121" s="65">
        <v>0</v>
      </c>
      <c r="T121" s="29">
        <v>0</v>
      </c>
      <c r="U121" s="64">
        <v>0</v>
      </c>
      <c r="V121" s="64">
        <v>0</v>
      </c>
      <c r="W121" s="64">
        <v>0</v>
      </c>
      <c r="Y121" s="65">
        <v>0</v>
      </c>
      <c r="Z121" s="65">
        <v>0</v>
      </c>
      <c r="AA121" s="65">
        <v>0</v>
      </c>
      <c r="AD121" s="29">
        <v>0</v>
      </c>
      <c r="AE121" s="64">
        <v>0</v>
      </c>
      <c r="AF121" s="64">
        <v>0</v>
      </c>
      <c r="AG121" s="64">
        <v>0</v>
      </c>
      <c r="AI121" s="65">
        <v>0</v>
      </c>
      <c r="AJ121" s="65">
        <v>0</v>
      </c>
      <c r="AK121" s="65">
        <v>0</v>
      </c>
      <c r="AM121" s="29">
        <v>0</v>
      </c>
      <c r="AN121" s="64">
        <v>0</v>
      </c>
      <c r="AO121" s="64">
        <v>0</v>
      </c>
      <c r="AP121" s="64">
        <v>0</v>
      </c>
      <c r="AR121" s="65">
        <v>0</v>
      </c>
      <c r="AS121" s="65">
        <v>0</v>
      </c>
      <c r="AT121" s="65">
        <v>0</v>
      </c>
      <c r="AV121" s="29">
        <v>0</v>
      </c>
      <c r="AW121" s="64">
        <v>0</v>
      </c>
      <c r="AX121" s="64">
        <v>0</v>
      </c>
      <c r="AY121" s="64">
        <v>0</v>
      </c>
      <c r="BA121" s="65">
        <v>0</v>
      </c>
      <c r="BB121" s="65">
        <v>0</v>
      </c>
      <c r="BC121" s="65">
        <v>0</v>
      </c>
    </row>
    <row r="122" spans="1:55" s="64" customFormat="1" x14ac:dyDescent="0.2">
      <c r="A122" s="63" t="s">
        <v>63</v>
      </c>
      <c r="B122" s="29">
        <v>0</v>
      </c>
      <c r="C122" s="64">
        <v>0</v>
      </c>
      <c r="D122" s="64">
        <v>0</v>
      </c>
      <c r="E122" s="64">
        <v>0</v>
      </c>
      <c r="G122" s="65">
        <v>0</v>
      </c>
      <c r="H122" s="65">
        <v>0</v>
      </c>
      <c r="I122" s="65">
        <v>0</v>
      </c>
      <c r="K122" s="29">
        <v>0</v>
      </c>
      <c r="L122" s="64">
        <v>0</v>
      </c>
      <c r="M122" s="64">
        <v>0</v>
      </c>
      <c r="N122" s="64">
        <v>0</v>
      </c>
      <c r="P122" s="65">
        <v>0</v>
      </c>
      <c r="Q122" s="65">
        <v>0</v>
      </c>
      <c r="R122" s="65">
        <v>0</v>
      </c>
      <c r="T122" s="29">
        <v>168</v>
      </c>
      <c r="U122" s="64">
        <v>168</v>
      </c>
      <c r="V122" s="64">
        <v>0</v>
      </c>
      <c r="W122" s="64">
        <v>0</v>
      </c>
      <c r="Y122" s="65">
        <v>1</v>
      </c>
      <c r="Z122" s="65">
        <v>0</v>
      </c>
      <c r="AA122" s="65">
        <v>0</v>
      </c>
      <c r="AD122" s="29">
        <v>0</v>
      </c>
      <c r="AE122" s="64">
        <v>0</v>
      </c>
      <c r="AF122" s="64">
        <v>0</v>
      </c>
      <c r="AG122" s="64">
        <v>0</v>
      </c>
      <c r="AI122" s="65">
        <v>0</v>
      </c>
      <c r="AJ122" s="65">
        <v>0</v>
      </c>
      <c r="AK122" s="65">
        <v>0</v>
      </c>
      <c r="AM122" s="29">
        <v>0</v>
      </c>
      <c r="AN122" s="64">
        <v>0</v>
      </c>
      <c r="AO122" s="64">
        <v>0</v>
      </c>
      <c r="AP122" s="64">
        <v>0</v>
      </c>
      <c r="AR122" s="65">
        <v>0</v>
      </c>
      <c r="AS122" s="65">
        <v>0</v>
      </c>
      <c r="AT122" s="65">
        <v>0</v>
      </c>
      <c r="AV122" s="29">
        <v>0</v>
      </c>
      <c r="AW122" s="64">
        <v>0</v>
      </c>
      <c r="AX122" s="64">
        <v>0</v>
      </c>
      <c r="AY122" s="64">
        <v>0</v>
      </c>
      <c r="BA122" s="65">
        <v>0</v>
      </c>
      <c r="BB122" s="65">
        <v>0</v>
      </c>
      <c r="BC122" s="65">
        <v>0</v>
      </c>
    </row>
    <row r="123" spans="1:55" s="64" customFormat="1" x14ac:dyDescent="0.2">
      <c r="A123" s="63" t="s">
        <v>98</v>
      </c>
      <c r="B123" s="29">
        <v>0</v>
      </c>
      <c r="C123" s="64">
        <v>0</v>
      </c>
      <c r="D123" s="64">
        <v>0</v>
      </c>
      <c r="E123" s="64">
        <v>0</v>
      </c>
      <c r="G123" s="65">
        <v>0</v>
      </c>
      <c r="H123" s="65">
        <v>0</v>
      </c>
      <c r="I123" s="65">
        <v>0</v>
      </c>
      <c r="K123" s="29">
        <v>0</v>
      </c>
      <c r="L123" s="64">
        <v>0</v>
      </c>
      <c r="M123" s="64">
        <v>0</v>
      </c>
      <c r="N123" s="64">
        <v>0</v>
      </c>
      <c r="P123" s="65">
        <v>0</v>
      </c>
      <c r="Q123" s="65">
        <v>0</v>
      </c>
      <c r="R123" s="65">
        <v>0</v>
      </c>
      <c r="T123" s="29">
        <v>0</v>
      </c>
      <c r="U123" s="64">
        <v>0</v>
      </c>
      <c r="V123" s="64">
        <v>0</v>
      </c>
      <c r="W123" s="64">
        <v>0</v>
      </c>
      <c r="Y123" s="65">
        <v>0</v>
      </c>
      <c r="Z123" s="65">
        <v>0</v>
      </c>
      <c r="AA123" s="65">
        <v>0</v>
      </c>
      <c r="AD123" s="29">
        <v>0</v>
      </c>
      <c r="AE123" s="64">
        <v>0</v>
      </c>
      <c r="AF123" s="64">
        <v>0</v>
      </c>
      <c r="AG123" s="64">
        <v>0</v>
      </c>
      <c r="AI123" s="65">
        <v>0</v>
      </c>
      <c r="AJ123" s="65">
        <v>0</v>
      </c>
      <c r="AK123" s="65">
        <v>0</v>
      </c>
      <c r="AM123" s="29">
        <v>0</v>
      </c>
      <c r="AN123" s="64">
        <v>0</v>
      </c>
      <c r="AO123" s="64">
        <v>0</v>
      </c>
      <c r="AP123" s="64">
        <v>0</v>
      </c>
      <c r="AR123" s="65">
        <v>0</v>
      </c>
      <c r="AS123" s="65">
        <v>0</v>
      </c>
      <c r="AT123" s="65">
        <v>0</v>
      </c>
      <c r="AV123" s="29">
        <v>51</v>
      </c>
      <c r="AW123" s="64">
        <v>51</v>
      </c>
      <c r="AX123" s="64">
        <v>0</v>
      </c>
      <c r="AY123" s="64">
        <v>0</v>
      </c>
      <c r="BA123" s="65">
        <v>1</v>
      </c>
      <c r="BB123" s="65">
        <v>0</v>
      </c>
      <c r="BC123" s="65">
        <v>0</v>
      </c>
    </row>
    <row r="124" spans="1:55" s="64" customFormat="1" x14ac:dyDescent="0.2">
      <c r="A124" s="63" t="s">
        <v>66</v>
      </c>
      <c r="B124" s="29">
        <v>1331</v>
      </c>
      <c r="C124" s="64">
        <v>1331</v>
      </c>
      <c r="D124" s="64">
        <v>0</v>
      </c>
      <c r="E124" s="64">
        <v>0</v>
      </c>
      <c r="G124" s="65">
        <v>1</v>
      </c>
      <c r="H124" s="65">
        <v>0</v>
      </c>
      <c r="I124" s="65">
        <v>0</v>
      </c>
      <c r="K124" s="29">
        <v>84</v>
      </c>
      <c r="L124" s="64">
        <v>84</v>
      </c>
      <c r="M124" s="64">
        <v>0</v>
      </c>
      <c r="N124" s="64">
        <v>0</v>
      </c>
      <c r="P124" s="65">
        <v>1</v>
      </c>
      <c r="Q124" s="65">
        <v>0</v>
      </c>
      <c r="R124" s="65">
        <v>0</v>
      </c>
      <c r="T124" s="29">
        <v>71</v>
      </c>
      <c r="U124" s="64">
        <v>71</v>
      </c>
      <c r="V124" s="64">
        <v>0</v>
      </c>
      <c r="W124" s="64">
        <v>0</v>
      </c>
      <c r="Y124" s="65">
        <v>1</v>
      </c>
      <c r="Z124" s="65">
        <v>0</v>
      </c>
      <c r="AA124" s="65">
        <v>0</v>
      </c>
      <c r="AD124" s="29">
        <v>0</v>
      </c>
      <c r="AE124" s="64">
        <v>0</v>
      </c>
      <c r="AF124" s="64">
        <v>0</v>
      </c>
      <c r="AG124" s="64">
        <v>0</v>
      </c>
      <c r="AI124" s="65">
        <v>0</v>
      </c>
      <c r="AJ124" s="65">
        <v>0</v>
      </c>
      <c r="AK124" s="65">
        <v>0</v>
      </c>
      <c r="AM124" s="29">
        <v>0</v>
      </c>
      <c r="AN124" s="64">
        <v>0</v>
      </c>
      <c r="AO124" s="64">
        <v>0</v>
      </c>
      <c r="AP124" s="64">
        <v>0</v>
      </c>
      <c r="AR124" s="65">
        <v>0</v>
      </c>
      <c r="AS124" s="65">
        <v>0</v>
      </c>
      <c r="AT124" s="65">
        <v>0</v>
      </c>
      <c r="AV124" s="29">
        <v>0</v>
      </c>
      <c r="AW124" s="64">
        <v>0</v>
      </c>
      <c r="AX124" s="64">
        <v>0</v>
      </c>
      <c r="AY124" s="64">
        <v>0</v>
      </c>
      <c r="BA124" s="65">
        <v>0</v>
      </c>
      <c r="BB124" s="65">
        <v>0</v>
      </c>
      <c r="BC124" s="65">
        <v>0</v>
      </c>
    </row>
    <row r="125" spans="1:55" s="23" customFormat="1" x14ac:dyDescent="0.2">
      <c r="A125" s="31" t="s">
        <v>72</v>
      </c>
      <c r="B125" s="29">
        <v>3182591</v>
      </c>
      <c r="C125" s="29">
        <v>2760818</v>
      </c>
      <c r="D125" s="29">
        <v>412295</v>
      </c>
      <c r="E125" s="23">
        <v>9478</v>
      </c>
      <c r="G125" s="24">
        <v>0.8674749598676047</v>
      </c>
      <c r="H125" s="24">
        <v>0.1295469634646739</v>
      </c>
      <c r="I125" s="24">
        <v>2.9780766677213631E-3</v>
      </c>
      <c r="K125" s="29">
        <v>325168</v>
      </c>
      <c r="L125" s="29">
        <v>250966</v>
      </c>
      <c r="M125" s="29">
        <v>68430</v>
      </c>
      <c r="N125" s="23">
        <v>5772</v>
      </c>
      <c r="P125" s="24">
        <v>0.7718041135659105</v>
      </c>
      <c r="Q125" s="24">
        <v>0.21044506224474732</v>
      </c>
      <c r="R125" s="24">
        <v>1.7750824189342124E-2</v>
      </c>
      <c r="T125" s="29">
        <v>31239</v>
      </c>
      <c r="U125" s="29">
        <v>30571</v>
      </c>
      <c r="V125" s="29">
        <v>647</v>
      </c>
      <c r="W125" s="23">
        <v>21</v>
      </c>
      <c r="Y125" s="24">
        <v>0.97861647299849552</v>
      </c>
      <c r="Z125" s="24">
        <v>2.0711290374211721E-2</v>
      </c>
      <c r="AA125" s="24">
        <v>6.722366272928071E-4</v>
      </c>
      <c r="AD125" s="29">
        <v>1390525</v>
      </c>
      <c r="AE125" s="29">
        <v>1208046</v>
      </c>
      <c r="AF125" s="29">
        <v>164995</v>
      </c>
      <c r="AG125" s="23">
        <v>17484</v>
      </c>
      <c r="AI125" s="24">
        <v>0.86876970928246522</v>
      </c>
      <c r="AJ125" s="24">
        <v>0.11865662249869653</v>
      </c>
      <c r="AK125" s="24">
        <v>1.2573668218838209E-2</v>
      </c>
      <c r="AM125" s="29">
        <v>49017</v>
      </c>
      <c r="AN125" s="29">
        <v>38494</v>
      </c>
      <c r="AO125" s="29">
        <v>8321</v>
      </c>
      <c r="AP125" s="23">
        <v>2202</v>
      </c>
      <c r="AR125" s="24">
        <v>0.78531937899096227</v>
      </c>
      <c r="AS125" s="24">
        <v>0.16975743109533428</v>
      </c>
      <c r="AT125" s="24">
        <v>4.4923189913703407E-2</v>
      </c>
      <c r="AV125" s="29">
        <v>3140</v>
      </c>
      <c r="AW125" s="29">
        <v>2848</v>
      </c>
      <c r="AX125" s="29">
        <v>279</v>
      </c>
      <c r="AY125" s="23">
        <v>13</v>
      </c>
      <c r="BA125" s="24">
        <v>0.90700636942675161</v>
      </c>
      <c r="BB125" s="24">
        <v>8.885350318471337E-2</v>
      </c>
      <c r="BC125" s="24">
        <v>4.1401273885350318E-3</v>
      </c>
    </row>
    <row r="126" spans="1:55" ht="15" x14ac:dyDescent="0.25">
      <c r="A126" s="20"/>
      <c r="G126" s="68"/>
      <c r="H126" s="68"/>
      <c r="I126" s="68"/>
      <c r="P126" s="68"/>
      <c r="Q126" s="68"/>
      <c r="R126" s="68"/>
      <c r="Y126" s="68"/>
      <c r="Z126" s="68"/>
      <c r="AA126" s="68"/>
      <c r="AI126" s="68"/>
      <c r="AJ126" s="68"/>
      <c r="AK126" s="68"/>
      <c r="AR126" s="68"/>
      <c r="AS126" s="68"/>
      <c r="AT126" s="68"/>
      <c r="BA126" s="68"/>
      <c r="BB126" s="68"/>
      <c r="BC126" s="68"/>
    </row>
    <row r="127" spans="1:55" s="23" customFormat="1" x14ac:dyDescent="0.2">
      <c r="A127" s="30" t="s">
        <v>73</v>
      </c>
      <c r="B127" s="27" t="s">
        <v>82</v>
      </c>
      <c r="C127" s="27" t="s">
        <v>114</v>
      </c>
      <c r="D127" s="27" t="s">
        <v>115</v>
      </c>
      <c r="E127" s="27" t="s">
        <v>126</v>
      </c>
      <c r="F127" s="27"/>
      <c r="G127" s="61" t="s">
        <v>114</v>
      </c>
      <c r="H127" s="61" t="s">
        <v>115</v>
      </c>
      <c r="I127" s="61" t="s">
        <v>126</v>
      </c>
      <c r="J127" s="27"/>
      <c r="K127" s="27" t="s">
        <v>82</v>
      </c>
      <c r="L127" s="27" t="s">
        <v>114</v>
      </c>
      <c r="M127" s="27" t="s">
        <v>115</v>
      </c>
      <c r="N127" s="27" t="s">
        <v>116</v>
      </c>
      <c r="O127" s="27"/>
      <c r="P127" s="61" t="s">
        <v>114</v>
      </c>
      <c r="Q127" s="61" t="s">
        <v>115</v>
      </c>
      <c r="R127" s="61" t="s">
        <v>126</v>
      </c>
      <c r="S127" s="27"/>
      <c r="T127" s="27" t="s">
        <v>82</v>
      </c>
      <c r="U127" s="27" t="s">
        <v>114</v>
      </c>
      <c r="V127" s="27" t="s">
        <v>115</v>
      </c>
      <c r="W127" s="27" t="s">
        <v>126</v>
      </c>
      <c r="X127" s="27"/>
      <c r="Y127" s="61" t="s">
        <v>114</v>
      </c>
      <c r="Z127" s="61" t="s">
        <v>115</v>
      </c>
      <c r="AA127" s="61" t="s">
        <v>126</v>
      </c>
      <c r="AB127" s="27"/>
      <c r="AC127" s="27"/>
      <c r="AD127" s="27" t="s">
        <v>82</v>
      </c>
      <c r="AE127" s="27" t="s">
        <v>114</v>
      </c>
      <c r="AF127" s="27" t="s">
        <v>115</v>
      </c>
      <c r="AG127" s="27" t="s">
        <v>126</v>
      </c>
      <c r="AH127" s="27"/>
      <c r="AI127" s="61" t="s">
        <v>114</v>
      </c>
      <c r="AJ127" s="61" t="s">
        <v>115</v>
      </c>
      <c r="AK127" s="61" t="s">
        <v>126</v>
      </c>
      <c r="AL127" s="27"/>
      <c r="AM127" s="27" t="s">
        <v>82</v>
      </c>
      <c r="AN127" s="27" t="s">
        <v>114</v>
      </c>
      <c r="AO127" s="27" t="s">
        <v>115</v>
      </c>
      <c r="AP127" s="27" t="s">
        <v>126</v>
      </c>
      <c r="AQ127" s="27"/>
      <c r="AR127" s="61" t="s">
        <v>114</v>
      </c>
      <c r="AS127" s="61" t="s">
        <v>115</v>
      </c>
      <c r="AT127" s="61" t="s">
        <v>126</v>
      </c>
      <c r="AU127" s="27"/>
      <c r="AV127" s="27" t="s">
        <v>82</v>
      </c>
      <c r="AW127" s="27" t="s">
        <v>114</v>
      </c>
      <c r="AX127" s="27" t="s">
        <v>115</v>
      </c>
      <c r="AY127" s="27" t="s">
        <v>126</v>
      </c>
      <c r="AZ127" s="27"/>
      <c r="BA127" s="61" t="s">
        <v>114</v>
      </c>
      <c r="BB127" s="61" t="s">
        <v>115</v>
      </c>
      <c r="BC127" s="61" t="s">
        <v>126</v>
      </c>
    </row>
    <row r="128" spans="1:55" s="64" customFormat="1" x14ac:dyDescent="0.2">
      <c r="A128" s="63" t="s">
        <v>22</v>
      </c>
      <c r="B128" s="29">
        <v>4816</v>
      </c>
      <c r="C128" s="64">
        <v>4701</v>
      </c>
      <c r="D128" s="64">
        <v>99</v>
      </c>
      <c r="E128" s="64">
        <v>16</v>
      </c>
      <c r="G128" s="65">
        <v>0.97612126245847175</v>
      </c>
      <c r="H128" s="65">
        <v>2.0556478405315614E-2</v>
      </c>
      <c r="I128" s="65">
        <v>3.3222591362126247E-3</v>
      </c>
      <c r="K128" s="29">
        <v>87</v>
      </c>
      <c r="L128" s="64">
        <v>82</v>
      </c>
      <c r="M128" s="64">
        <v>5</v>
      </c>
      <c r="N128" s="64">
        <v>0</v>
      </c>
      <c r="P128" s="65">
        <v>0.94252873563218387</v>
      </c>
      <c r="Q128" s="65">
        <v>5.7471264367816091E-2</v>
      </c>
      <c r="R128" s="65">
        <v>0</v>
      </c>
      <c r="T128" s="29">
        <v>2</v>
      </c>
      <c r="U128" s="64">
        <v>2</v>
      </c>
      <c r="V128" s="64">
        <v>0</v>
      </c>
      <c r="W128" s="64">
        <v>0</v>
      </c>
      <c r="Y128" s="65">
        <v>1</v>
      </c>
      <c r="Z128" s="65">
        <v>0</v>
      </c>
      <c r="AA128" s="65">
        <v>0</v>
      </c>
      <c r="AD128" s="29">
        <v>0</v>
      </c>
      <c r="AE128" s="64">
        <v>0</v>
      </c>
      <c r="AF128" s="64">
        <v>0</v>
      </c>
      <c r="AG128" s="64">
        <v>0</v>
      </c>
      <c r="AI128" s="65">
        <v>0</v>
      </c>
      <c r="AJ128" s="65">
        <v>0</v>
      </c>
      <c r="AK128" s="65">
        <v>0</v>
      </c>
      <c r="AM128" s="29">
        <v>0</v>
      </c>
      <c r="AN128" s="64">
        <v>0</v>
      </c>
      <c r="AO128" s="64">
        <v>0</v>
      </c>
      <c r="AP128" s="64">
        <v>0</v>
      </c>
      <c r="AR128" s="65">
        <v>0</v>
      </c>
      <c r="AS128" s="65">
        <v>0</v>
      </c>
      <c r="AT128" s="65">
        <v>0</v>
      </c>
      <c r="AV128" s="29">
        <v>0</v>
      </c>
      <c r="AW128" s="64">
        <v>0</v>
      </c>
      <c r="AX128" s="64">
        <v>0</v>
      </c>
      <c r="AY128" s="64">
        <v>0</v>
      </c>
      <c r="BA128" s="65">
        <v>0</v>
      </c>
      <c r="BB128" s="65">
        <v>0</v>
      </c>
      <c r="BC128" s="65">
        <v>0</v>
      </c>
    </row>
    <row r="129" spans="1:55" s="64" customFormat="1" x14ac:dyDescent="0.2">
      <c r="A129" s="63" t="s">
        <v>24</v>
      </c>
      <c r="B129" s="29">
        <v>335497</v>
      </c>
      <c r="C129" s="64">
        <v>288634</v>
      </c>
      <c r="D129" s="64">
        <v>46296</v>
      </c>
      <c r="E129" s="64">
        <v>567</v>
      </c>
      <c r="G129" s="65">
        <v>0.86031767795241088</v>
      </c>
      <c r="H129" s="65">
        <v>0.13799229203241759</v>
      </c>
      <c r="I129" s="65">
        <v>1.6900300151715217E-3</v>
      </c>
      <c r="K129" s="29">
        <v>20441</v>
      </c>
      <c r="L129" s="64">
        <v>14936</v>
      </c>
      <c r="M129" s="64">
        <v>5296</v>
      </c>
      <c r="N129" s="64">
        <v>209</v>
      </c>
      <c r="P129" s="65">
        <v>0.73068832248911497</v>
      </c>
      <c r="Q129" s="65">
        <v>0.2590871288097451</v>
      </c>
      <c r="R129" s="65">
        <v>1.0224548701139867E-2</v>
      </c>
      <c r="T129" s="29">
        <v>4268</v>
      </c>
      <c r="U129" s="64">
        <v>4218</v>
      </c>
      <c r="V129" s="64">
        <v>47</v>
      </c>
      <c r="W129" s="64">
        <v>3</v>
      </c>
      <c r="Y129" s="65">
        <v>0.98828491096532334</v>
      </c>
      <c r="Z129" s="65">
        <v>1.1012183692596064E-2</v>
      </c>
      <c r="AA129" s="65">
        <v>7.0290534208059983E-4</v>
      </c>
      <c r="AD129" s="29">
        <v>79879</v>
      </c>
      <c r="AE129" s="64">
        <v>66948</v>
      </c>
      <c r="AF129" s="64">
        <v>12265</v>
      </c>
      <c r="AG129" s="64">
        <v>666</v>
      </c>
      <c r="AI129" s="65">
        <v>0.838117652950087</v>
      </c>
      <c r="AJ129" s="65">
        <v>0.15354473641382591</v>
      </c>
      <c r="AK129" s="65">
        <v>8.3376106360870811E-3</v>
      </c>
      <c r="AM129" s="29">
        <v>2990</v>
      </c>
      <c r="AN129" s="64">
        <v>1708</v>
      </c>
      <c r="AO129" s="64">
        <v>1207</v>
      </c>
      <c r="AP129" s="64">
        <v>75</v>
      </c>
      <c r="AR129" s="65">
        <v>0.57123745819397997</v>
      </c>
      <c r="AS129" s="65">
        <v>0.40367892976588626</v>
      </c>
      <c r="AT129" s="65">
        <v>2.508361204013378E-2</v>
      </c>
      <c r="AV129" s="29">
        <v>387</v>
      </c>
      <c r="AW129" s="64">
        <v>236</v>
      </c>
      <c r="AX129" s="64">
        <v>149</v>
      </c>
      <c r="AY129" s="64">
        <v>2</v>
      </c>
      <c r="BA129" s="65">
        <v>0.60981912144702843</v>
      </c>
      <c r="BB129" s="65">
        <v>0.38501291989664083</v>
      </c>
      <c r="BC129" s="65">
        <v>5.1679586563307496E-3</v>
      </c>
    </row>
    <row r="130" spans="1:55" s="64" customFormat="1" x14ac:dyDescent="0.2">
      <c r="A130" s="63" t="s">
        <v>25</v>
      </c>
      <c r="B130" s="29">
        <v>168088</v>
      </c>
      <c r="C130" s="64">
        <v>168010</v>
      </c>
      <c r="D130" s="64">
        <v>32</v>
      </c>
      <c r="E130" s="64">
        <v>46</v>
      </c>
      <c r="G130" s="65">
        <v>0.9995359573556708</v>
      </c>
      <c r="H130" s="65">
        <v>1.903764694683737E-4</v>
      </c>
      <c r="I130" s="65">
        <v>2.7366617486078719E-4</v>
      </c>
      <c r="K130" s="29">
        <v>9634</v>
      </c>
      <c r="L130" s="64">
        <v>9414</v>
      </c>
      <c r="M130" s="64">
        <v>133</v>
      </c>
      <c r="N130" s="64">
        <v>87</v>
      </c>
      <c r="P130" s="65">
        <v>0.97716421008926713</v>
      </c>
      <c r="Q130" s="65">
        <v>1.3805272991488479E-2</v>
      </c>
      <c r="R130" s="65">
        <v>9.0305169192443427E-3</v>
      </c>
      <c r="T130" s="29">
        <v>61</v>
      </c>
      <c r="U130" s="64">
        <v>60</v>
      </c>
      <c r="V130" s="64">
        <v>0</v>
      </c>
      <c r="W130" s="64">
        <v>1</v>
      </c>
      <c r="Y130" s="65">
        <v>0.98360655737704916</v>
      </c>
      <c r="Z130" s="65">
        <v>0</v>
      </c>
      <c r="AA130" s="65">
        <v>1.6393442622950821E-2</v>
      </c>
      <c r="AD130" s="29">
        <v>0</v>
      </c>
      <c r="AE130" s="64">
        <v>0</v>
      </c>
      <c r="AF130" s="64">
        <v>0</v>
      </c>
      <c r="AG130" s="64">
        <v>0</v>
      </c>
      <c r="AI130" s="65">
        <v>0</v>
      </c>
      <c r="AJ130" s="65">
        <v>0</v>
      </c>
      <c r="AK130" s="65">
        <v>0</v>
      </c>
      <c r="AM130" s="29">
        <v>0</v>
      </c>
      <c r="AN130" s="64">
        <v>0</v>
      </c>
      <c r="AO130" s="64">
        <v>0</v>
      </c>
      <c r="AP130" s="64">
        <v>0</v>
      </c>
      <c r="AR130" s="65">
        <v>0</v>
      </c>
      <c r="AS130" s="65">
        <v>0</v>
      </c>
      <c r="AT130" s="65">
        <v>0</v>
      </c>
      <c r="AV130" s="29">
        <v>0</v>
      </c>
      <c r="AW130" s="64">
        <v>0</v>
      </c>
      <c r="AX130" s="64">
        <v>0</v>
      </c>
      <c r="AY130" s="64">
        <v>0</v>
      </c>
      <c r="BA130" s="65">
        <v>0</v>
      </c>
      <c r="BB130" s="65">
        <v>0</v>
      </c>
      <c r="BC130" s="65">
        <v>0</v>
      </c>
    </row>
    <row r="131" spans="1:55" s="64" customFormat="1" x14ac:dyDescent="0.2">
      <c r="A131" s="63" t="s">
        <v>26</v>
      </c>
      <c r="B131" s="29">
        <v>39385</v>
      </c>
      <c r="C131" s="64">
        <v>38392</v>
      </c>
      <c r="D131" s="64">
        <v>651</v>
      </c>
      <c r="E131" s="64">
        <v>342</v>
      </c>
      <c r="G131" s="65">
        <v>0.97478735559223051</v>
      </c>
      <c r="H131" s="65">
        <v>1.6529135457661548E-2</v>
      </c>
      <c r="I131" s="65">
        <v>8.6835089501079085E-3</v>
      </c>
      <c r="K131" s="29">
        <v>1378</v>
      </c>
      <c r="L131" s="64">
        <v>1134</v>
      </c>
      <c r="M131" s="64">
        <v>135</v>
      </c>
      <c r="N131" s="64">
        <v>109</v>
      </c>
      <c r="P131" s="65">
        <v>0.82293178519593613</v>
      </c>
      <c r="Q131" s="65">
        <v>9.7968069666182878E-2</v>
      </c>
      <c r="R131" s="65">
        <v>7.9100145137880981E-2</v>
      </c>
      <c r="T131" s="29">
        <v>0</v>
      </c>
      <c r="U131" s="64">
        <v>0</v>
      </c>
      <c r="V131" s="64">
        <v>0</v>
      </c>
      <c r="W131" s="64">
        <v>0</v>
      </c>
      <c r="Y131" s="65">
        <v>0</v>
      </c>
      <c r="Z131" s="65">
        <v>0</v>
      </c>
      <c r="AA131" s="65">
        <v>0</v>
      </c>
      <c r="AD131" s="29">
        <v>0</v>
      </c>
      <c r="AE131" s="64">
        <v>0</v>
      </c>
      <c r="AF131" s="64">
        <v>0</v>
      </c>
      <c r="AG131" s="64">
        <v>0</v>
      </c>
      <c r="AI131" s="65">
        <v>0</v>
      </c>
      <c r="AJ131" s="65">
        <v>0</v>
      </c>
      <c r="AK131" s="65">
        <v>0</v>
      </c>
      <c r="AM131" s="29">
        <v>0</v>
      </c>
      <c r="AN131" s="64">
        <v>0</v>
      </c>
      <c r="AO131" s="64">
        <v>0</v>
      </c>
      <c r="AP131" s="64">
        <v>0</v>
      </c>
      <c r="AR131" s="65">
        <v>0</v>
      </c>
      <c r="AS131" s="65">
        <v>0</v>
      </c>
      <c r="AT131" s="65">
        <v>0</v>
      </c>
      <c r="AV131" s="29">
        <v>0</v>
      </c>
      <c r="AW131" s="64">
        <v>0</v>
      </c>
      <c r="AX131" s="64">
        <v>0</v>
      </c>
      <c r="AY131" s="64">
        <v>0</v>
      </c>
      <c r="BA131" s="65">
        <v>0</v>
      </c>
      <c r="BB131" s="65">
        <v>0</v>
      </c>
      <c r="BC131" s="65">
        <v>0</v>
      </c>
    </row>
    <row r="132" spans="1:55" s="64" customFormat="1" x14ac:dyDescent="0.2">
      <c r="A132" s="63" t="s">
        <v>88</v>
      </c>
      <c r="B132" s="29">
        <v>0</v>
      </c>
      <c r="C132" s="64">
        <v>0</v>
      </c>
      <c r="D132" s="64">
        <v>0</v>
      </c>
      <c r="E132" s="64">
        <v>0</v>
      </c>
      <c r="G132" s="65">
        <v>0</v>
      </c>
      <c r="H132" s="65">
        <v>0</v>
      </c>
      <c r="I132" s="65">
        <v>0</v>
      </c>
      <c r="K132" s="29">
        <v>0</v>
      </c>
      <c r="L132" s="64">
        <v>0</v>
      </c>
      <c r="M132" s="64">
        <v>0</v>
      </c>
      <c r="N132" s="64">
        <v>0</v>
      </c>
      <c r="P132" s="65">
        <v>0</v>
      </c>
      <c r="Q132" s="65">
        <v>0</v>
      </c>
      <c r="R132" s="65">
        <v>0</v>
      </c>
      <c r="T132" s="29">
        <v>5</v>
      </c>
      <c r="U132" s="64">
        <v>5</v>
      </c>
      <c r="V132" s="64">
        <v>0</v>
      </c>
      <c r="W132" s="64">
        <v>0</v>
      </c>
      <c r="Y132" s="65">
        <v>1</v>
      </c>
      <c r="Z132" s="65">
        <v>0</v>
      </c>
      <c r="AA132" s="65">
        <v>0</v>
      </c>
      <c r="AD132" s="29">
        <v>0</v>
      </c>
      <c r="AE132" s="64">
        <v>0</v>
      </c>
      <c r="AF132" s="64">
        <v>0</v>
      </c>
      <c r="AG132" s="64">
        <v>0</v>
      </c>
      <c r="AI132" s="65">
        <v>0</v>
      </c>
      <c r="AJ132" s="65">
        <v>0</v>
      </c>
      <c r="AK132" s="65">
        <v>0</v>
      </c>
      <c r="AM132" s="29">
        <v>0</v>
      </c>
      <c r="AN132" s="64">
        <v>0</v>
      </c>
      <c r="AO132" s="64">
        <v>0</v>
      </c>
      <c r="AP132" s="64">
        <v>0</v>
      </c>
      <c r="AR132" s="65">
        <v>0</v>
      </c>
      <c r="AS132" s="65">
        <v>0</v>
      </c>
      <c r="AT132" s="65">
        <v>0</v>
      </c>
      <c r="AV132" s="29">
        <v>0</v>
      </c>
      <c r="AW132" s="64">
        <v>0</v>
      </c>
      <c r="AX132" s="64">
        <v>0</v>
      </c>
      <c r="AY132" s="64">
        <v>0</v>
      </c>
      <c r="BA132" s="65">
        <v>0</v>
      </c>
      <c r="BB132" s="65">
        <v>0</v>
      </c>
      <c r="BC132" s="65">
        <v>0</v>
      </c>
    </row>
    <row r="133" spans="1:55" s="64" customFormat="1" x14ac:dyDescent="0.2">
      <c r="A133" s="63" t="s">
        <v>89</v>
      </c>
      <c r="B133" s="29">
        <v>0</v>
      </c>
      <c r="C133" s="64">
        <v>0</v>
      </c>
      <c r="D133" s="64">
        <v>0</v>
      </c>
      <c r="E133" s="64">
        <v>0</v>
      </c>
      <c r="G133" s="65">
        <v>0</v>
      </c>
      <c r="H133" s="65">
        <v>0</v>
      </c>
      <c r="I133" s="65">
        <v>0</v>
      </c>
      <c r="K133" s="29">
        <v>0</v>
      </c>
      <c r="L133" s="64">
        <v>0</v>
      </c>
      <c r="M133" s="64">
        <v>0</v>
      </c>
      <c r="N133" s="64">
        <v>0</v>
      </c>
      <c r="P133" s="65">
        <v>0</v>
      </c>
      <c r="Q133" s="65">
        <v>0</v>
      </c>
      <c r="R133" s="65">
        <v>0</v>
      </c>
      <c r="T133" s="29">
        <v>1</v>
      </c>
      <c r="U133" s="64">
        <v>1</v>
      </c>
      <c r="V133" s="64">
        <v>0</v>
      </c>
      <c r="W133" s="64">
        <v>0</v>
      </c>
      <c r="Y133" s="65">
        <v>1</v>
      </c>
      <c r="Z133" s="65">
        <v>0</v>
      </c>
      <c r="AA133" s="65">
        <v>0</v>
      </c>
      <c r="AD133" s="29">
        <v>0</v>
      </c>
      <c r="AE133" s="64">
        <v>0</v>
      </c>
      <c r="AF133" s="64">
        <v>0</v>
      </c>
      <c r="AG133" s="64">
        <v>0</v>
      </c>
      <c r="AI133" s="65">
        <v>0</v>
      </c>
      <c r="AJ133" s="65">
        <v>0</v>
      </c>
      <c r="AK133" s="65">
        <v>0</v>
      </c>
      <c r="AM133" s="29">
        <v>0</v>
      </c>
      <c r="AN133" s="64">
        <v>0</v>
      </c>
      <c r="AO133" s="64">
        <v>0</v>
      </c>
      <c r="AP133" s="64">
        <v>0</v>
      </c>
      <c r="AR133" s="65">
        <v>0</v>
      </c>
      <c r="AS133" s="65">
        <v>0</v>
      </c>
      <c r="AT133" s="65">
        <v>0</v>
      </c>
      <c r="AV133" s="29">
        <v>0</v>
      </c>
      <c r="AW133" s="64">
        <v>0</v>
      </c>
      <c r="AX133" s="64">
        <v>0</v>
      </c>
      <c r="AY133" s="64">
        <v>0</v>
      </c>
      <c r="BA133" s="65">
        <v>0</v>
      </c>
      <c r="BB133" s="65">
        <v>0</v>
      </c>
      <c r="BC133" s="65">
        <v>0</v>
      </c>
    </row>
    <row r="134" spans="1:55" s="64" customFormat="1" x14ac:dyDescent="0.2">
      <c r="A134" s="63" t="s">
        <v>31</v>
      </c>
      <c r="B134" s="29">
        <v>4535</v>
      </c>
      <c r="C134" s="64">
        <v>1004</v>
      </c>
      <c r="D134" s="64">
        <v>3521</v>
      </c>
      <c r="E134" s="64">
        <v>10</v>
      </c>
      <c r="G134" s="65">
        <v>0.22138919514884234</v>
      </c>
      <c r="H134" s="65">
        <v>0.77640573318632855</v>
      </c>
      <c r="I134" s="65">
        <v>2.205071664829107E-3</v>
      </c>
      <c r="K134" s="29">
        <v>588</v>
      </c>
      <c r="L134" s="64">
        <v>467</v>
      </c>
      <c r="M134" s="64">
        <v>121</v>
      </c>
      <c r="N134" s="64">
        <v>0</v>
      </c>
      <c r="P134" s="65">
        <v>0.79421768707482998</v>
      </c>
      <c r="Q134" s="65">
        <v>0.20578231292517007</v>
      </c>
      <c r="R134" s="65">
        <v>0</v>
      </c>
      <c r="T134" s="29">
        <v>42</v>
      </c>
      <c r="U134" s="64">
        <v>42</v>
      </c>
      <c r="V134" s="64">
        <v>0</v>
      </c>
      <c r="W134" s="64">
        <v>0</v>
      </c>
      <c r="Y134" s="65">
        <v>1</v>
      </c>
      <c r="Z134" s="65">
        <v>0</v>
      </c>
      <c r="AA134" s="65">
        <v>0</v>
      </c>
      <c r="AD134" s="29">
        <v>0</v>
      </c>
      <c r="AE134" s="64">
        <v>0</v>
      </c>
      <c r="AF134" s="64">
        <v>0</v>
      </c>
      <c r="AG134" s="64">
        <v>0</v>
      </c>
      <c r="AI134" s="65">
        <v>0</v>
      </c>
      <c r="AJ134" s="65">
        <v>0</v>
      </c>
      <c r="AK134" s="65">
        <v>0</v>
      </c>
      <c r="AM134" s="29">
        <v>0</v>
      </c>
      <c r="AN134" s="64">
        <v>0</v>
      </c>
      <c r="AO134" s="64">
        <v>0</v>
      </c>
      <c r="AP134" s="64">
        <v>0</v>
      </c>
      <c r="AR134" s="65">
        <v>0</v>
      </c>
      <c r="AS134" s="65">
        <v>0</v>
      </c>
      <c r="AT134" s="65">
        <v>0</v>
      </c>
      <c r="AV134" s="29">
        <v>0</v>
      </c>
      <c r="AW134" s="64">
        <v>0</v>
      </c>
      <c r="AX134" s="64">
        <v>0</v>
      </c>
      <c r="AY134" s="64">
        <v>0</v>
      </c>
      <c r="BA134" s="65">
        <v>0</v>
      </c>
      <c r="BB134" s="65">
        <v>0</v>
      </c>
      <c r="BC134" s="65">
        <v>0</v>
      </c>
    </row>
    <row r="135" spans="1:55" s="64" customFormat="1" x14ac:dyDescent="0.2">
      <c r="A135" s="63" t="s">
        <v>32</v>
      </c>
      <c r="B135" s="29">
        <v>2</v>
      </c>
      <c r="C135" s="64">
        <v>2</v>
      </c>
      <c r="D135" s="64">
        <v>0</v>
      </c>
      <c r="E135" s="64">
        <v>0</v>
      </c>
      <c r="G135" s="65">
        <v>1</v>
      </c>
      <c r="H135" s="65">
        <v>0</v>
      </c>
      <c r="I135" s="65">
        <v>0</v>
      </c>
      <c r="K135" s="29">
        <v>0</v>
      </c>
      <c r="L135" s="64">
        <v>0</v>
      </c>
      <c r="M135" s="64">
        <v>0</v>
      </c>
      <c r="N135" s="64">
        <v>0</v>
      </c>
      <c r="P135" s="65">
        <v>0</v>
      </c>
      <c r="Q135" s="65">
        <v>0</v>
      </c>
      <c r="R135" s="65">
        <v>0</v>
      </c>
      <c r="T135" s="29">
        <v>0</v>
      </c>
      <c r="U135" s="64">
        <v>0</v>
      </c>
      <c r="V135" s="64">
        <v>0</v>
      </c>
      <c r="W135" s="64">
        <v>0</v>
      </c>
      <c r="Y135" s="65">
        <v>0</v>
      </c>
      <c r="Z135" s="65">
        <v>0</v>
      </c>
      <c r="AA135" s="65">
        <v>0</v>
      </c>
      <c r="AD135" s="29">
        <v>0</v>
      </c>
      <c r="AE135" s="64">
        <v>0</v>
      </c>
      <c r="AF135" s="64">
        <v>0</v>
      </c>
      <c r="AG135" s="64">
        <v>0</v>
      </c>
      <c r="AI135" s="65">
        <v>0</v>
      </c>
      <c r="AJ135" s="65">
        <v>0</v>
      </c>
      <c r="AK135" s="65">
        <v>0</v>
      </c>
      <c r="AM135" s="29">
        <v>0</v>
      </c>
      <c r="AN135" s="64">
        <v>0</v>
      </c>
      <c r="AO135" s="64">
        <v>0</v>
      </c>
      <c r="AP135" s="64">
        <v>0</v>
      </c>
      <c r="AR135" s="65">
        <v>0</v>
      </c>
      <c r="AS135" s="65">
        <v>0</v>
      </c>
      <c r="AT135" s="65">
        <v>0</v>
      </c>
      <c r="AV135" s="29">
        <v>0</v>
      </c>
      <c r="AW135" s="64">
        <v>0</v>
      </c>
      <c r="AX135" s="64">
        <v>0</v>
      </c>
      <c r="AY135" s="64">
        <v>0</v>
      </c>
      <c r="BA135" s="65">
        <v>0</v>
      </c>
      <c r="BB135" s="65">
        <v>0</v>
      </c>
      <c r="BC135" s="65">
        <v>0</v>
      </c>
    </row>
    <row r="136" spans="1:55" s="64" customFormat="1" x14ac:dyDescent="0.2">
      <c r="A136" s="63" t="s">
        <v>33</v>
      </c>
      <c r="B136" s="29">
        <v>11274</v>
      </c>
      <c r="C136" s="64">
        <v>10978</v>
      </c>
      <c r="D136" s="64">
        <v>296</v>
      </c>
      <c r="E136" s="64">
        <v>0</v>
      </c>
      <c r="G136" s="65">
        <v>0.97374489976938083</v>
      </c>
      <c r="H136" s="65">
        <v>2.6255100230619124E-2</v>
      </c>
      <c r="I136" s="65">
        <v>0</v>
      </c>
      <c r="K136" s="29">
        <v>1</v>
      </c>
      <c r="L136" s="64">
        <v>0</v>
      </c>
      <c r="M136" s="64">
        <v>1</v>
      </c>
      <c r="N136" s="64">
        <v>0</v>
      </c>
      <c r="P136" s="65">
        <v>0</v>
      </c>
      <c r="Q136" s="65">
        <v>1</v>
      </c>
      <c r="R136" s="65">
        <v>0</v>
      </c>
      <c r="T136" s="29">
        <v>0</v>
      </c>
      <c r="U136" s="64">
        <v>0</v>
      </c>
      <c r="V136" s="64">
        <v>0</v>
      </c>
      <c r="W136" s="64">
        <v>0</v>
      </c>
      <c r="Y136" s="65">
        <v>0</v>
      </c>
      <c r="Z136" s="65">
        <v>0</v>
      </c>
      <c r="AA136" s="65">
        <v>0</v>
      </c>
      <c r="AD136" s="29">
        <v>0</v>
      </c>
      <c r="AE136" s="64">
        <v>0</v>
      </c>
      <c r="AF136" s="64">
        <v>0</v>
      </c>
      <c r="AG136" s="64">
        <v>0</v>
      </c>
      <c r="AI136" s="65">
        <v>0</v>
      </c>
      <c r="AJ136" s="65">
        <v>0</v>
      </c>
      <c r="AK136" s="65">
        <v>0</v>
      </c>
      <c r="AM136" s="29">
        <v>0</v>
      </c>
      <c r="AN136" s="64">
        <v>0</v>
      </c>
      <c r="AO136" s="64">
        <v>0</v>
      </c>
      <c r="AP136" s="64">
        <v>0</v>
      </c>
      <c r="AR136" s="65">
        <v>0</v>
      </c>
      <c r="AS136" s="65">
        <v>0</v>
      </c>
      <c r="AT136" s="65">
        <v>0</v>
      </c>
      <c r="AV136" s="29">
        <v>0</v>
      </c>
      <c r="AW136" s="64">
        <v>0</v>
      </c>
      <c r="AX136" s="64">
        <v>0</v>
      </c>
      <c r="AY136" s="64">
        <v>0</v>
      </c>
      <c r="BA136" s="65">
        <v>0</v>
      </c>
      <c r="BB136" s="65">
        <v>0</v>
      </c>
      <c r="BC136" s="65">
        <v>0</v>
      </c>
    </row>
    <row r="137" spans="1:55" s="64" customFormat="1" x14ac:dyDescent="0.2">
      <c r="A137" s="63" t="s">
        <v>34</v>
      </c>
      <c r="B137" s="29">
        <v>1702</v>
      </c>
      <c r="C137" s="64">
        <v>1685</v>
      </c>
      <c r="D137" s="64">
        <v>0</v>
      </c>
      <c r="E137" s="64">
        <v>17</v>
      </c>
      <c r="G137" s="65">
        <v>0.9900117508813161</v>
      </c>
      <c r="H137" s="65">
        <v>0</v>
      </c>
      <c r="I137" s="65">
        <v>9.9882491186839006E-3</v>
      </c>
      <c r="K137" s="29">
        <v>55</v>
      </c>
      <c r="L137" s="64">
        <v>55</v>
      </c>
      <c r="M137" s="64">
        <v>0</v>
      </c>
      <c r="N137" s="64">
        <v>0</v>
      </c>
      <c r="P137" s="65">
        <v>1</v>
      </c>
      <c r="Q137" s="65">
        <v>0</v>
      </c>
      <c r="R137" s="65">
        <v>0</v>
      </c>
      <c r="T137" s="29">
        <v>0</v>
      </c>
      <c r="U137" s="64">
        <v>0</v>
      </c>
      <c r="V137" s="64">
        <v>0</v>
      </c>
      <c r="W137" s="64">
        <v>0</v>
      </c>
      <c r="Y137" s="65">
        <v>0</v>
      </c>
      <c r="Z137" s="65">
        <v>0</v>
      </c>
      <c r="AA137" s="65">
        <v>0</v>
      </c>
      <c r="AD137" s="29">
        <v>0</v>
      </c>
      <c r="AE137" s="64">
        <v>0</v>
      </c>
      <c r="AF137" s="64">
        <v>0</v>
      </c>
      <c r="AG137" s="64">
        <v>0</v>
      </c>
      <c r="AI137" s="65">
        <v>0</v>
      </c>
      <c r="AJ137" s="65">
        <v>0</v>
      </c>
      <c r="AK137" s="65">
        <v>0</v>
      </c>
      <c r="AM137" s="29">
        <v>0</v>
      </c>
      <c r="AN137" s="64">
        <v>0</v>
      </c>
      <c r="AO137" s="64">
        <v>0</v>
      </c>
      <c r="AP137" s="64">
        <v>0</v>
      </c>
      <c r="AR137" s="65">
        <v>0</v>
      </c>
      <c r="AS137" s="65">
        <v>0</v>
      </c>
      <c r="AT137" s="65">
        <v>0</v>
      </c>
      <c r="AV137" s="29">
        <v>0</v>
      </c>
      <c r="AW137" s="64">
        <v>0</v>
      </c>
      <c r="AX137" s="64">
        <v>0</v>
      </c>
      <c r="AY137" s="64">
        <v>0</v>
      </c>
      <c r="BA137" s="65">
        <v>0</v>
      </c>
      <c r="BB137" s="65">
        <v>0</v>
      </c>
      <c r="BC137" s="65">
        <v>0</v>
      </c>
    </row>
    <row r="138" spans="1:55" s="64" customFormat="1" x14ac:dyDescent="0.2">
      <c r="A138" s="63" t="s">
        <v>35</v>
      </c>
      <c r="B138" s="29">
        <v>99867</v>
      </c>
      <c r="C138" s="64">
        <v>98340</v>
      </c>
      <c r="D138" s="64">
        <v>1527</v>
      </c>
      <c r="E138" s="64">
        <v>0</v>
      </c>
      <c r="G138" s="65">
        <v>0.98470966385292436</v>
      </c>
      <c r="H138" s="65">
        <v>1.529033614707561E-2</v>
      </c>
      <c r="I138" s="65">
        <v>0</v>
      </c>
      <c r="K138" s="29">
        <v>8081</v>
      </c>
      <c r="L138" s="64">
        <v>7514</v>
      </c>
      <c r="M138" s="64">
        <v>567</v>
      </c>
      <c r="N138" s="64">
        <v>0</v>
      </c>
      <c r="P138" s="65">
        <v>0.92983541640886025</v>
      </c>
      <c r="Q138" s="65">
        <v>7.0164583591139709E-2</v>
      </c>
      <c r="R138" s="65">
        <v>0</v>
      </c>
      <c r="T138" s="29">
        <v>1152</v>
      </c>
      <c r="U138" s="64">
        <v>1142</v>
      </c>
      <c r="V138" s="64">
        <v>10</v>
      </c>
      <c r="W138" s="64">
        <v>0</v>
      </c>
      <c r="Y138" s="65">
        <v>0.99131944444444442</v>
      </c>
      <c r="Z138" s="65">
        <v>8.6805555555555559E-3</v>
      </c>
      <c r="AA138" s="65">
        <v>0</v>
      </c>
      <c r="AD138" s="29">
        <v>0</v>
      </c>
      <c r="AE138" s="64">
        <v>0</v>
      </c>
      <c r="AF138" s="64">
        <v>0</v>
      </c>
      <c r="AG138" s="64">
        <v>0</v>
      </c>
      <c r="AI138" s="65">
        <v>0</v>
      </c>
      <c r="AJ138" s="65">
        <v>0</v>
      </c>
      <c r="AK138" s="65">
        <v>0</v>
      </c>
      <c r="AM138" s="29">
        <v>0</v>
      </c>
      <c r="AN138" s="64">
        <v>0</v>
      </c>
      <c r="AO138" s="64">
        <v>0</v>
      </c>
      <c r="AP138" s="64">
        <v>0</v>
      </c>
      <c r="AR138" s="65">
        <v>0</v>
      </c>
      <c r="AS138" s="65">
        <v>0</v>
      </c>
      <c r="AT138" s="65">
        <v>0</v>
      </c>
      <c r="AV138" s="29">
        <v>0</v>
      </c>
      <c r="AW138" s="64">
        <v>0</v>
      </c>
      <c r="AX138" s="64">
        <v>0</v>
      </c>
      <c r="AY138" s="64">
        <v>0</v>
      </c>
      <c r="BA138" s="65">
        <v>0</v>
      </c>
      <c r="BB138" s="65">
        <v>0</v>
      </c>
      <c r="BC138" s="65">
        <v>0</v>
      </c>
    </row>
    <row r="139" spans="1:55" s="64" customFormat="1" x14ac:dyDescent="0.2">
      <c r="A139" s="63" t="s">
        <v>37</v>
      </c>
      <c r="B139" s="29">
        <v>613919</v>
      </c>
      <c r="C139" s="64">
        <v>0</v>
      </c>
      <c r="D139" s="64">
        <v>613919</v>
      </c>
      <c r="E139" s="64">
        <v>0</v>
      </c>
      <c r="G139" s="65">
        <v>0</v>
      </c>
      <c r="H139" s="65">
        <v>1</v>
      </c>
      <c r="I139" s="65">
        <v>0</v>
      </c>
      <c r="K139" s="29">
        <v>88010</v>
      </c>
      <c r="L139" s="64">
        <v>0</v>
      </c>
      <c r="M139" s="64">
        <v>88010</v>
      </c>
      <c r="N139" s="64">
        <v>0</v>
      </c>
      <c r="P139" s="65">
        <v>0</v>
      </c>
      <c r="Q139" s="65">
        <v>1</v>
      </c>
      <c r="R139" s="65">
        <v>0</v>
      </c>
      <c r="T139" s="29">
        <v>5010</v>
      </c>
      <c r="U139" s="64">
        <v>0</v>
      </c>
      <c r="V139" s="64">
        <v>5010</v>
      </c>
      <c r="W139" s="64">
        <v>0</v>
      </c>
      <c r="Y139" s="65">
        <v>0</v>
      </c>
      <c r="Z139" s="65">
        <v>1</v>
      </c>
      <c r="AA139" s="65">
        <v>0</v>
      </c>
      <c r="AD139" s="29">
        <v>0</v>
      </c>
      <c r="AE139" s="64">
        <v>0</v>
      </c>
      <c r="AF139" s="64">
        <v>0</v>
      </c>
      <c r="AG139" s="64">
        <v>0</v>
      </c>
      <c r="AI139" s="65">
        <v>0</v>
      </c>
      <c r="AJ139" s="65">
        <v>0</v>
      </c>
      <c r="AK139" s="65">
        <v>0</v>
      </c>
      <c r="AM139" s="29">
        <v>0</v>
      </c>
      <c r="AN139" s="64">
        <v>0</v>
      </c>
      <c r="AO139" s="64">
        <v>0</v>
      </c>
      <c r="AP139" s="64">
        <v>0</v>
      </c>
      <c r="AR139" s="65">
        <v>0</v>
      </c>
      <c r="AS139" s="65">
        <v>0</v>
      </c>
      <c r="AT139" s="65">
        <v>0</v>
      </c>
      <c r="AV139" s="29">
        <v>0</v>
      </c>
      <c r="AW139" s="64">
        <v>0</v>
      </c>
      <c r="AX139" s="64">
        <v>0</v>
      </c>
      <c r="AY139" s="64">
        <v>0</v>
      </c>
      <c r="BA139" s="65">
        <v>0</v>
      </c>
      <c r="BB139" s="65">
        <v>0</v>
      </c>
      <c r="BC139" s="65">
        <v>0</v>
      </c>
    </row>
    <row r="140" spans="1:55" s="64" customFormat="1" x14ac:dyDescent="0.2">
      <c r="A140" s="63" t="s">
        <v>85</v>
      </c>
      <c r="B140" s="29">
        <v>0</v>
      </c>
      <c r="C140" s="64">
        <v>0</v>
      </c>
      <c r="D140" s="64">
        <v>0</v>
      </c>
      <c r="E140" s="64">
        <v>0</v>
      </c>
      <c r="G140" s="65">
        <v>0</v>
      </c>
      <c r="H140" s="65">
        <v>0</v>
      </c>
      <c r="I140" s="65">
        <v>0</v>
      </c>
      <c r="K140" s="29">
        <v>58</v>
      </c>
      <c r="L140" s="64">
        <v>47</v>
      </c>
      <c r="M140" s="64">
        <v>7</v>
      </c>
      <c r="N140" s="64">
        <v>4</v>
      </c>
      <c r="P140" s="65">
        <v>0.81034482758620685</v>
      </c>
      <c r="Q140" s="65">
        <v>0.1206896551724138</v>
      </c>
      <c r="R140" s="65">
        <v>6.8965517241379309E-2</v>
      </c>
      <c r="T140" s="29">
        <v>932</v>
      </c>
      <c r="U140" s="64">
        <v>931</v>
      </c>
      <c r="V140" s="64">
        <v>0</v>
      </c>
      <c r="W140" s="64">
        <v>1</v>
      </c>
      <c r="Y140" s="65">
        <v>0.99892703862660948</v>
      </c>
      <c r="Z140" s="65">
        <v>0</v>
      </c>
      <c r="AA140" s="65">
        <v>1.0729613733905579E-3</v>
      </c>
      <c r="AD140" s="29">
        <v>0</v>
      </c>
      <c r="AE140" s="64">
        <v>0</v>
      </c>
      <c r="AF140" s="64">
        <v>0</v>
      </c>
      <c r="AG140" s="64">
        <v>0</v>
      </c>
      <c r="AI140" s="65">
        <v>0</v>
      </c>
      <c r="AJ140" s="65">
        <v>0</v>
      </c>
      <c r="AK140" s="65">
        <v>0</v>
      </c>
      <c r="AM140" s="29">
        <v>0</v>
      </c>
      <c r="AN140" s="64">
        <v>0</v>
      </c>
      <c r="AO140" s="64">
        <v>0</v>
      </c>
      <c r="AP140" s="64">
        <v>0</v>
      </c>
      <c r="AR140" s="65">
        <v>0</v>
      </c>
      <c r="AS140" s="65">
        <v>0</v>
      </c>
      <c r="AT140" s="65">
        <v>0</v>
      </c>
      <c r="AV140" s="29">
        <v>0</v>
      </c>
      <c r="AW140" s="64">
        <v>0</v>
      </c>
      <c r="AX140" s="64">
        <v>0</v>
      </c>
      <c r="AY140" s="64">
        <v>0</v>
      </c>
      <c r="BA140" s="65">
        <v>0</v>
      </c>
      <c r="BB140" s="65">
        <v>0</v>
      </c>
      <c r="BC140" s="65">
        <v>0</v>
      </c>
    </row>
    <row r="141" spans="1:55" s="64" customFormat="1" x14ac:dyDescent="0.2">
      <c r="A141" s="63" t="s">
        <v>39</v>
      </c>
      <c r="B141" s="29">
        <v>2304</v>
      </c>
      <c r="C141" s="64">
        <v>1985</v>
      </c>
      <c r="D141" s="64">
        <v>0</v>
      </c>
      <c r="E141" s="64">
        <v>319</v>
      </c>
      <c r="G141" s="65">
        <v>0.86154513888888884</v>
      </c>
      <c r="H141" s="65">
        <v>0</v>
      </c>
      <c r="I141" s="65">
        <v>0.1384548611111111</v>
      </c>
      <c r="K141" s="29">
        <v>485</v>
      </c>
      <c r="L141" s="64">
        <v>385</v>
      </c>
      <c r="M141" s="64">
        <v>0</v>
      </c>
      <c r="N141" s="64">
        <v>100</v>
      </c>
      <c r="P141" s="65">
        <v>0.79381443298969068</v>
      </c>
      <c r="Q141" s="65">
        <v>0</v>
      </c>
      <c r="R141" s="65">
        <v>0.20618556701030927</v>
      </c>
      <c r="T141" s="29">
        <v>6</v>
      </c>
      <c r="U141" s="64">
        <v>6</v>
      </c>
      <c r="V141" s="64">
        <v>0</v>
      </c>
      <c r="W141" s="64">
        <v>0</v>
      </c>
      <c r="Y141" s="65">
        <v>1</v>
      </c>
      <c r="Z141" s="65">
        <v>0</v>
      </c>
      <c r="AA141" s="65">
        <v>0</v>
      </c>
      <c r="AD141" s="29">
        <v>0</v>
      </c>
      <c r="AE141" s="64">
        <v>0</v>
      </c>
      <c r="AF141" s="64">
        <v>0</v>
      </c>
      <c r="AG141" s="64">
        <v>0</v>
      </c>
      <c r="AI141" s="65">
        <v>0</v>
      </c>
      <c r="AJ141" s="65">
        <v>0</v>
      </c>
      <c r="AK141" s="65">
        <v>0</v>
      </c>
      <c r="AM141" s="29">
        <v>0</v>
      </c>
      <c r="AN141" s="64">
        <v>0</v>
      </c>
      <c r="AO141" s="64">
        <v>0</v>
      </c>
      <c r="AP141" s="64">
        <v>0</v>
      </c>
      <c r="AR141" s="65">
        <v>0</v>
      </c>
      <c r="AS141" s="65">
        <v>0</v>
      </c>
      <c r="AT141" s="65">
        <v>0</v>
      </c>
      <c r="AV141" s="29">
        <v>0</v>
      </c>
      <c r="AW141" s="64">
        <v>0</v>
      </c>
      <c r="AX141" s="64">
        <v>0</v>
      </c>
      <c r="AY141" s="64">
        <v>0</v>
      </c>
      <c r="BA141" s="65">
        <v>0</v>
      </c>
      <c r="BB141" s="65">
        <v>0</v>
      </c>
      <c r="BC141" s="65">
        <v>0</v>
      </c>
    </row>
    <row r="142" spans="1:55" s="64" customFormat="1" x14ac:dyDescent="0.2">
      <c r="A142" s="63" t="s">
        <v>41</v>
      </c>
      <c r="B142" s="29">
        <v>18204</v>
      </c>
      <c r="C142" s="64">
        <v>18204</v>
      </c>
      <c r="D142" s="64">
        <v>0</v>
      </c>
      <c r="E142" s="64">
        <v>0</v>
      </c>
      <c r="G142" s="65">
        <v>1</v>
      </c>
      <c r="H142" s="65">
        <v>0</v>
      </c>
      <c r="I142" s="65">
        <v>0</v>
      </c>
      <c r="K142" s="29">
        <v>678</v>
      </c>
      <c r="L142" s="64">
        <v>678</v>
      </c>
      <c r="M142" s="64">
        <v>0</v>
      </c>
      <c r="N142" s="64">
        <v>0</v>
      </c>
      <c r="P142" s="65">
        <v>1</v>
      </c>
      <c r="Q142" s="65">
        <v>0</v>
      </c>
      <c r="R142" s="65">
        <v>0</v>
      </c>
      <c r="T142" s="29">
        <v>32</v>
      </c>
      <c r="U142" s="64">
        <v>32</v>
      </c>
      <c r="V142" s="64">
        <v>0</v>
      </c>
      <c r="W142" s="64">
        <v>0</v>
      </c>
      <c r="Y142" s="65">
        <v>1</v>
      </c>
      <c r="Z142" s="65">
        <v>0</v>
      </c>
      <c r="AA142" s="65">
        <v>0</v>
      </c>
      <c r="AD142" s="29">
        <v>0</v>
      </c>
      <c r="AE142" s="64">
        <v>0</v>
      </c>
      <c r="AF142" s="64">
        <v>0</v>
      </c>
      <c r="AG142" s="64">
        <v>0</v>
      </c>
      <c r="AI142" s="65">
        <v>0</v>
      </c>
      <c r="AJ142" s="65">
        <v>0</v>
      </c>
      <c r="AK142" s="65">
        <v>0</v>
      </c>
      <c r="AM142" s="29">
        <v>0</v>
      </c>
      <c r="AN142" s="64">
        <v>0</v>
      </c>
      <c r="AO142" s="64">
        <v>0</v>
      </c>
      <c r="AP142" s="64">
        <v>0</v>
      </c>
      <c r="AR142" s="65">
        <v>0</v>
      </c>
      <c r="AS142" s="65">
        <v>0</v>
      </c>
      <c r="AT142" s="65">
        <v>0</v>
      </c>
      <c r="AV142" s="29">
        <v>0</v>
      </c>
      <c r="AW142" s="64">
        <v>0</v>
      </c>
      <c r="AX142" s="64">
        <v>0</v>
      </c>
      <c r="AY142" s="64">
        <v>0</v>
      </c>
      <c r="BA142" s="65">
        <v>0</v>
      </c>
      <c r="BB142" s="65">
        <v>0</v>
      </c>
      <c r="BC142" s="65">
        <v>0</v>
      </c>
    </row>
    <row r="143" spans="1:55" s="64" customFormat="1" x14ac:dyDescent="0.2">
      <c r="A143" s="63" t="s">
        <v>42</v>
      </c>
      <c r="B143" s="29">
        <v>176</v>
      </c>
      <c r="C143" s="64">
        <v>147</v>
      </c>
      <c r="D143" s="64">
        <v>29</v>
      </c>
      <c r="E143" s="64">
        <v>0</v>
      </c>
      <c r="G143" s="65">
        <v>0.83522727272727271</v>
      </c>
      <c r="H143" s="65">
        <v>0.16477272727272727</v>
      </c>
      <c r="I143" s="65">
        <v>0</v>
      </c>
      <c r="K143" s="29">
        <v>532</v>
      </c>
      <c r="L143" s="64">
        <v>497</v>
      </c>
      <c r="M143" s="64">
        <v>32</v>
      </c>
      <c r="N143" s="64">
        <v>3</v>
      </c>
      <c r="P143" s="65">
        <v>0.93421052631578949</v>
      </c>
      <c r="Q143" s="65">
        <v>6.0150375939849621E-2</v>
      </c>
      <c r="R143" s="65">
        <v>5.6390977443609019E-3</v>
      </c>
      <c r="T143" s="29">
        <v>22</v>
      </c>
      <c r="U143" s="64">
        <v>22</v>
      </c>
      <c r="V143" s="64">
        <v>0</v>
      </c>
      <c r="W143" s="64">
        <v>0</v>
      </c>
      <c r="Y143" s="65">
        <v>1</v>
      </c>
      <c r="Z143" s="65">
        <v>0</v>
      </c>
      <c r="AA143" s="65">
        <v>0</v>
      </c>
      <c r="AD143" s="29">
        <v>0</v>
      </c>
      <c r="AE143" s="64">
        <v>0</v>
      </c>
      <c r="AF143" s="64">
        <v>0</v>
      </c>
      <c r="AG143" s="64">
        <v>0</v>
      </c>
      <c r="AI143" s="65">
        <v>0</v>
      </c>
      <c r="AJ143" s="65">
        <v>0</v>
      </c>
      <c r="AK143" s="65">
        <v>0</v>
      </c>
      <c r="AM143" s="29">
        <v>0</v>
      </c>
      <c r="AN143" s="64">
        <v>0</v>
      </c>
      <c r="AO143" s="64">
        <v>0</v>
      </c>
      <c r="AP143" s="64">
        <v>0</v>
      </c>
      <c r="AR143" s="65">
        <v>0</v>
      </c>
      <c r="AS143" s="65">
        <v>0</v>
      </c>
      <c r="AT143" s="65">
        <v>0</v>
      </c>
      <c r="AV143" s="29">
        <v>0</v>
      </c>
      <c r="AW143" s="64">
        <v>0</v>
      </c>
      <c r="AX143" s="64">
        <v>0</v>
      </c>
      <c r="AY143" s="64">
        <v>0</v>
      </c>
      <c r="BA143" s="65">
        <v>0</v>
      </c>
      <c r="BB143" s="65">
        <v>0</v>
      </c>
      <c r="BC143" s="65">
        <v>0</v>
      </c>
    </row>
    <row r="144" spans="1:55" s="64" customFormat="1" x14ac:dyDescent="0.2">
      <c r="A144" s="63" t="s">
        <v>91</v>
      </c>
      <c r="B144" s="29">
        <v>0</v>
      </c>
      <c r="C144" s="64">
        <v>0</v>
      </c>
      <c r="D144" s="64">
        <v>0</v>
      </c>
      <c r="E144" s="64">
        <v>0</v>
      </c>
      <c r="G144" s="65">
        <v>0</v>
      </c>
      <c r="H144" s="65">
        <v>0</v>
      </c>
      <c r="I144" s="65">
        <v>0</v>
      </c>
      <c r="K144" s="29">
        <v>0</v>
      </c>
      <c r="L144" s="64">
        <v>0</v>
      </c>
      <c r="M144" s="64">
        <v>0</v>
      </c>
      <c r="N144" s="64">
        <v>0</v>
      </c>
      <c r="P144" s="65">
        <v>0</v>
      </c>
      <c r="Q144" s="65">
        <v>0</v>
      </c>
      <c r="R144" s="65">
        <v>0</v>
      </c>
      <c r="T144" s="29">
        <v>1</v>
      </c>
      <c r="U144" s="64">
        <v>1</v>
      </c>
      <c r="V144" s="64">
        <v>0</v>
      </c>
      <c r="W144" s="64">
        <v>0</v>
      </c>
      <c r="Y144" s="65">
        <v>1</v>
      </c>
      <c r="Z144" s="65">
        <v>0</v>
      </c>
      <c r="AA144" s="65">
        <v>0</v>
      </c>
      <c r="AD144" s="29">
        <v>0</v>
      </c>
      <c r="AE144" s="64">
        <v>0</v>
      </c>
      <c r="AF144" s="64">
        <v>0</v>
      </c>
      <c r="AG144" s="64">
        <v>0</v>
      </c>
      <c r="AI144" s="65">
        <v>0</v>
      </c>
      <c r="AJ144" s="65">
        <v>0</v>
      </c>
      <c r="AK144" s="65">
        <v>0</v>
      </c>
      <c r="AM144" s="29">
        <v>0</v>
      </c>
      <c r="AN144" s="64">
        <v>0</v>
      </c>
      <c r="AO144" s="64">
        <v>0</v>
      </c>
      <c r="AP144" s="64">
        <v>0</v>
      </c>
      <c r="AR144" s="65">
        <v>0</v>
      </c>
      <c r="AS144" s="65">
        <v>0</v>
      </c>
      <c r="AT144" s="65">
        <v>0</v>
      </c>
      <c r="AV144" s="29">
        <v>0</v>
      </c>
      <c r="AW144" s="64">
        <v>0</v>
      </c>
      <c r="AX144" s="64">
        <v>0</v>
      </c>
      <c r="AY144" s="64">
        <v>0</v>
      </c>
      <c r="BA144" s="65">
        <v>0</v>
      </c>
      <c r="BB144" s="65">
        <v>0</v>
      </c>
      <c r="BC144" s="65">
        <v>0</v>
      </c>
    </row>
    <row r="145" spans="1:55" s="64" customFormat="1" x14ac:dyDescent="0.2">
      <c r="A145" s="63" t="s">
        <v>43</v>
      </c>
      <c r="B145" s="29">
        <v>14002</v>
      </c>
      <c r="C145" s="64">
        <v>0</v>
      </c>
      <c r="D145" s="64">
        <v>14002</v>
      </c>
      <c r="E145" s="64">
        <v>0</v>
      </c>
      <c r="G145" s="65">
        <v>0</v>
      </c>
      <c r="H145" s="65">
        <v>1</v>
      </c>
      <c r="I145" s="65">
        <v>0</v>
      </c>
      <c r="K145" s="29">
        <v>298</v>
      </c>
      <c r="L145" s="64">
        <v>0</v>
      </c>
      <c r="M145" s="64">
        <v>298</v>
      </c>
      <c r="N145" s="64">
        <v>0</v>
      </c>
      <c r="P145" s="65">
        <v>0</v>
      </c>
      <c r="Q145" s="65">
        <v>1</v>
      </c>
      <c r="R145" s="65">
        <v>0</v>
      </c>
      <c r="T145" s="29">
        <v>0</v>
      </c>
      <c r="U145" s="64">
        <v>0</v>
      </c>
      <c r="V145" s="64">
        <v>0</v>
      </c>
      <c r="W145" s="64">
        <v>0</v>
      </c>
      <c r="Y145" s="65">
        <v>0</v>
      </c>
      <c r="Z145" s="65">
        <v>0</v>
      </c>
      <c r="AA145" s="65">
        <v>0</v>
      </c>
      <c r="AD145" s="29">
        <v>10136</v>
      </c>
      <c r="AE145" s="64">
        <v>0</v>
      </c>
      <c r="AF145" s="64">
        <v>10136</v>
      </c>
      <c r="AG145" s="64">
        <v>0</v>
      </c>
      <c r="AI145" s="65">
        <v>0</v>
      </c>
      <c r="AJ145" s="65">
        <v>1</v>
      </c>
      <c r="AK145" s="65">
        <v>0</v>
      </c>
      <c r="AM145" s="29">
        <v>0</v>
      </c>
      <c r="AN145" s="64">
        <v>0</v>
      </c>
      <c r="AO145" s="64">
        <v>0</v>
      </c>
      <c r="AP145" s="64">
        <v>0</v>
      </c>
      <c r="AR145" s="65">
        <v>0</v>
      </c>
      <c r="AS145" s="65">
        <v>0</v>
      </c>
      <c r="AT145" s="65">
        <v>0</v>
      </c>
      <c r="AV145" s="29">
        <v>0</v>
      </c>
      <c r="AW145" s="64">
        <v>0</v>
      </c>
      <c r="AX145" s="64">
        <v>0</v>
      </c>
      <c r="AY145" s="64">
        <v>0</v>
      </c>
      <c r="BA145" s="65">
        <v>0</v>
      </c>
      <c r="BB145" s="65">
        <v>0</v>
      </c>
      <c r="BC145" s="65">
        <v>0</v>
      </c>
    </row>
    <row r="146" spans="1:55" s="64" customFormat="1" x14ac:dyDescent="0.2">
      <c r="A146" s="63" t="s">
        <v>44</v>
      </c>
      <c r="B146" s="29">
        <v>552</v>
      </c>
      <c r="C146" s="64">
        <v>540</v>
      </c>
      <c r="D146" s="64">
        <v>12</v>
      </c>
      <c r="E146" s="64">
        <v>0</v>
      </c>
      <c r="G146" s="65">
        <v>0.97826086956521741</v>
      </c>
      <c r="H146" s="65">
        <v>2.1739130434782608E-2</v>
      </c>
      <c r="I146" s="65">
        <v>0</v>
      </c>
      <c r="K146" s="29">
        <v>0</v>
      </c>
      <c r="L146" s="64">
        <v>0</v>
      </c>
      <c r="M146" s="64">
        <v>0</v>
      </c>
      <c r="N146" s="64">
        <v>0</v>
      </c>
      <c r="P146" s="65">
        <v>0</v>
      </c>
      <c r="Q146" s="65">
        <v>0</v>
      </c>
      <c r="R146" s="65">
        <v>0</v>
      </c>
      <c r="T146" s="29">
        <v>0</v>
      </c>
      <c r="U146" s="64">
        <v>0</v>
      </c>
      <c r="V146" s="64">
        <v>0</v>
      </c>
      <c r="W146" s="64">
        <v>0</v>
      </c>
      <c r="Y146" s="65">
        <v>0</v>
      </c>
      <c r="Z146" s="65">
        <v>0</v>
      </c>
      <c r="AA146" s="65">
        <v>0</v>
      </c>
      <c r="AD146" s="29">
        <v>0</v>
      </c>
      <c r="AE146" s="64">
        <v>0</v>
      </c>
      <c r="AF146" s="64">
        <v>0</v>
      </c>
      <c r="AG146" s="64">
        <v>0</v>
      </c>
      <c r="AI146" s="65">
        <v>0</v>
      </c>
      <c r="AJ146" s="65">
        <v>0</v>
      </c>
      <c r="AK146" s="65">
        <v>0</v>
      </c>
      <c r="AM146" s="29">
        <v>0</v>
      </c>
      <c r="AN146" s="64">
        <v>0</v>
      </c>
      <c r="AO146" s="64">
        <v>0</v>
      </c>
      <c r="AP146" s="64">
        <v>0</v>
      </c>
      <c r="AR146" s="65">
        <v>0</v>
      </c>
      <c r="AS146" s="65">
        <v>0</v>
      </c>
      <c r="AT146" s="65">
        <v>0</v>
      </c>
      <c r="AV146" s="29">
        <v>0</v>
      </c>
      <c r="AW146" s="64">
        <v>0</v>
      </c>
      <c r="AX146" s="64">
        <v>0</v>
      </c>
      <c r="AY146" s="64">
        <v>0</v>
      </c>
      <c r="BA146" s="65">
        <v>0</v>
      </c>
      <c r="BB146" s="65">
        <v>0</v>
      </c>
      <c r="BC146" s="65">
        <v>0</v>
      </c>
    </row>
    <row r="147" spans="1:55" s="64" customFormat="1" x14ac:dyDescent="0.2">
      <c r="A147" s="63" t="s">
        <v>45</v>
      </c>
      <c r="B147" s="29">
        <v>1</v>
      </c>
      <c r="C147" s="64">
        <v>0</v>
      </c>
      <c r="D147" s="64">
        <v>1</v>
      </c>
      <c r="E147" s="64">
        <v>0</v>
      </c>
      <c r="G147" s="65">
        <v>0</v>
      </c>
      <c r="H147" s="65">
        <v>1</v>
      </c>
      <c r="I147" s="65">
        <v>0</v>
      </c>
      <c r="K147" s="29">
        <v>18</v>
      </c>
      <c r="L147" s="64">
        <v>0</v>
      </c>
      <c r="M147" s="64">
        <v>18</v>
      </c>
      <c r="N147" s="64">
        <v>0</v>
      </c>
      <c r="P147" s="65">
        <v>0</v>
      </c>
      <c r="Q147" s="65">
        <v>1</v>
      </c>
      <c r="R147" s="65">
        <v>0</v>
      </c>
      <c r="T147" s="29">
        <v>469</v>
      </c>
      <c r="U147" s="64">
        <v>469</v>
      </c>
      <c r="V147" s="64">
        <v>0</v>
      </c>
      <c r="W147" s="64">
        <v>0</v>
      </c>
      <c r="Y147" s="65">
        <v>1</v>
      </c>
      <c r="Z147" s="65">
        <v>0</v>
      </c>
      <c r="AA147" s="65">
        <v>0</v>
      </c>
      <c r="AD147" s="29">
        <v>0</v>
      </c>
      <c r="AE147" s="64">
        <v>0</v>
      </c>
      <c r="AF147" s="64">
        <v>0</v>
      </c>
      <c r="AG147" s="64">
        <v>0</v>
      </c>
      <c r="AI147" s="65">
        <v>0</v>
      </c>
      <c r="AJ147" s="65">
        <v>0</v>
      </c>
      <c r="AK147" s="65">
        <v>0</v>
      </c>
      <c r="AM147" s="29">
        <v>0</v>
      </c>
      <c r="AN147" s="64">
        <v>0</v>
      </c>
      <c r="AO147" s="64">
        <v>0</v>
      </c>
      <c r="AP147" s="64">
        <v>0</v>
      </c>
      <c r="AR147" s="65">
        <v>0</v>
      </c>
      <c r="AS147" s="65">
        <v>0</v>
      </c>
      <c r="AT147" s="65">
        <v>0</v>
      </c>
      <c r="AV147" s="29">
        <v>0</v>
      </c>
      <c r="AW147" s="64">
        <v>0</v>
      </c>
      <c r="AX147" s="64">
        <v>0</v>
      </c>
      <c r="AY147" s="64">
        <v>0</v>
      </c>
      <c r="BA147" s="65">
        <v>0</v>
      </c>
      <c r="BB147" s="65">
        <v>0</v>
      </c>
      <c r="BC147" s="65">
        <v>0</v>
      </c>
    </row>
    <row r="148" spans="1:55" s="64" customFormat="1" x14ac:dyDescent="0.2">
      <c r="A148" s="63" t="s">
        <v>46</v>
      </c>
      <c r="B148" s="29">
        <v>0</v>
      </c>
      <c r="C148" s="64">
        <v>0</v>
      </c>
      <c r="D148" s="64">
        <v>0</v>
      </c>
      <c r="E148" s="64">
        <v>0</v>
      </c>
      <c r="G148" s="65">
        <v>0</v>
      </c>
      <c r="H148" s="65">
        <v>0</v>
      </c>
      <c r="I148" s="65">
        <v>0</v>
      </c>
      <c r="K148" s="29">
        <v>698</v>
      </c>
      <c r="L148" s="64">
        <v>682</v>
      </c>
      <c r="M148" s="64">
        <v>10</v>
      </c>
      <c r="N148" s="64">
        <v>6</v>
      </c>
      <c r="P148" s="65">
        <v>0.97707736389684818</v>
      </c>
      <c r="Q148" s="65">
        <v>1.4326647564469915E-2</v>
      </c>
      <c r="R148" s="65">
        <v>8.5959885386819486E-3</v>
      </c>
      <c r="T148" s="29">
        <v>66</v>
      </c>
      <c r="U148" s="64">
        <v>66</v>
      </c>
      <c r="V148" s="64">
        <v>0</v>
      </c>
      <c r="W148" s="64">
        <v>0</v>
      </c>
      <c r="Y148" s="65">
        <v>1</v>
      </c>
      <c r="Z148" s="65">
        <v>0</v>
      </c>
      <c r="AA148" s="65">
        <v>0</v>
      </c>
      <c r="AD148" s="29">
        <v>0</v>
      </c>
      <c r="AE148" s="64">
        <v>0</v>
      </c>
      <c r="AF148" s="64">
        <v>0</v>
      </c>
      <c r="AG148" s="64">
        <v>0</v>
      </c>
      <c r="AI148" s="65">
        <v>0</v>
      </c>
      <c r="AJ148" s="65">
        <v>0</v>
      </c>
      <c r="AK148" s="65">
        <v>0</v>
      </c>
      <c r="AM148" s="29">
        <v>0</v>
      </c>
      <c r="AN148" s="64">
        <v>0</v>
      </c>
      <c r="AO148" s="64">
        <v>0</v>
      </c>
      <c r="AP148" s="64">
        <v>0</v>
      </c>
      <c r="AR148" s="65">
        <v>0</v>
      </c>
      <c r="AS148" s="65">
        <v>0</v>
      </c>
      <c r="AT148" s="65">
        <v>0</v>
      </c>
      <c r="AV148" s="29">
        <v>0</v>
      </c>
      <c r="AW148" s="64">
        <v>0</v>
      </c>
      <c r="AX148" s="64">
        <v>0</v>
      </c>
      <c r="AY148" s="64">
        <v>0</v>
      </c>
      <c r="BA148" s="65">
        <v>0</v>
      </c>
      <c r="BB148" s="65">
        <v>0</v>
      </c>
      <c r="BC148" s="65">
        <v>0</v>
      </c>
    </row>
    <row r="149" spans="1:55" s="64" customFormat="1" x14ac:dyDescent="0.2">
      <c r="A149" s="63" t="s">
        <v>47</v>
      </c>
      <c r="B149" s="29">
        <v>942</v>
      </c>
      <c r="C149" s="64">
        <v>811</v>
      </c>
      <c r="D149" s="64">
        <v>131</v>
      </c>
      <c r="E149" s="64">
        <v>0</v>
      </c>
      <c r="G149" s="65">
        <v>0.86093418259023358</v>
      </c>
      <c r="H149" s="65">
        <v>0.13906581740976645</v>
      </c>
      <c r="I149" s="65">
        <v>0</v>
      </c>
      <c r="K149" s="29">
        <v>70</v>
      </c>
      <c r="L149" s="64">
        <v>65</v>
      </c>
      <c r="M149" s="64">
        <v>5</v>
      </c>
      <c r="N149" s="64">
        <v>0</v>
      </c>
      <c r="P149" s="65">
        <v>0.9285714285714286</v>
      </c>
      <c r="Q149" s="65">
        <v>7.1428571428571425E-2</v>
      </c>
      <c r="R149" s="65">
        <v>0</v>
      </c>
      <c r="T149" s="29">
        <v>8</v>
      </c>
      <c r="U149" s="64">
        <v>8</v>
      </c>
      <c r="V149" s="64">
        <v>0</v>
      </c>
      <c r="W149" s="64">
        <v>0</v>
      </c>
      <c r="Y149" s="65">
        <v>1</v>
      </c>
      <c r="Z149" s="65">
        <v>0</v>
      </c>
      <c r="AA149" s="65">
        <v>0</v>
      </c>
      <c r="AD149" s="29">
        <v>0</v>
      </c>
      <c r="AE149" s="64">
        <v>0</v>
      </c>
      <c r="AF149" s="64">
        <v>0</v>
      </c>
      <c r="AG149" s="64">
        <v>0</v>
      </c>
      <c r="AI149" s="65">
        <v>0</v>
      </c>
      <c r="AJ149" s="65">
        <v>0</v>
      </c>
      <c r="AK149" s="65">
        <v>0</v>
      </c>
      <c r="AM149" s="29">
        <v>0</v>
      </c>
      <c r="AN149" s="64">
        <v>0</v>
      </c>
      <c r="AO149" s="64">
        <v>0</v>
      </c>
      <c r="AP149" s="64">
        <v>0</v>
      </c>
      <c r="AR149" s="65">
        <v>0</v>
      </c>
      <c r="AS149" s="65">
        <v>0</v>
      </c>
      <c r="AT149" s="65">
        <v>0</v>
      </c>
      <c r="AV149" s="29">
        <v>0</v>
      </c>
      <c r="AW149" s="64">
        <v>0</v>
      </c>
      <c r="AX149" s="64">
        <v>0</v>
      </c>
      <c r="AY149" s="64">
        <v>0</v>
      </c>
      <c r="BA149" s="65">
        <v>0</v>
      </c>
      <c r="BB149" s="65">
        <v>0</v>
      </c>
      <c r="BC149" s="65">
        <v>0</v>
      </c>
    </row>
    <row r="150" spans="1:55" s="64" customFormat="1" x14ac:dyDescent="0.2">
      <c r="A150" s="63" t="s">
        <v>48</v>
      </c>
      <c r="B150" s="29">
        <v>527723</v>
      </c>
      <c r="C150" s="64">
        <v>446946</v>
      </c>
      <c r="D150" s="64">
        <v>79422</v>
      </c>
      <c r="E150" s="64">
        <v>1355</v>
      </c>
      <c r="G150" s="65">
        <v>0.84693295535726132</v>
      </c>
      <c r="H150" s="65">
        <v>0.15049940972820969</v>
      </c>
      <c r="I150" s="65">
        <v>2.5676349145290238E-3</v>
      </c>
      <c r="K150" s="29">
        <v>43117</v>
      </c>
      <c r="L150" s="64">
        <v>31572</v>
      </c>
      <c r="M150" s="64">
        <v>11048</v>
      </c>
      <c r="N150" s="64">
        <v>497</v>
      </c>
      <c r="P150" s="65">
        <v>0.73224018368624899</v>
      </c>
      <c r="Q150" s="65">
        <v>0.25623304033211958</v>
      </c>
      <c r="R150" s="65">
        <v>1.1526775981631375E-2</v>
      </c>
      <c r="T150" s="29">
        <v>4931</v>
      </c>
      <c r="U150" s="64">
        <v>4694</v>
      </c>
      <c r="V150" s="64">
        <v>236</v>
      </c>
      <c r="W150" s="64">
        <v>1</v>
      </c>
      <c r="Y150" s="65">
        <v>0.95193672683025754</v>
      </c>
      <c r="Z150" s="65">
        <v>4.7860474548773069E-2</v>
      </c>
      <c r="AA150" s="65">
        <v>2.0279862096937742E-4</v>
      </c>
      <c r="AD150" s="29">
        <v>104970</v>
      </c>
      <c r="AE150" s="64">
        <v>79346</v>
      </c>
      <c r="AF150" s="64">
        <v>23118</v>
      </c>
      <c r="AG150" s="64">
        <v>2506</v>
      </c>
      <c r="AI150" s="65">
        <v>0.75589215966466605</v>
      </c>
      <c r="AJ150" s="65">
        <v>0.22023435267219205</v>
      </c>
      <c r="AK150" s="65">
        <v>2.3873487663141849E-2</v>
      </c>
      <c r="AM150" s="29">
        <v>14118</v>
      </c>
      <c r="AN150" s="64">
        <v>10058</v>
      </c>
      <c r="AO150" s="64">
        <v>3481</v>
      </c>
      <c r="AP150" s="64">
        <v>579</v>
      </c>
      <c r="AR150" s="65">
        <v>0.71242385607026493</v>
      </c>
      <c r="AS150" s="65">
        <v>0.24656466921660292</v>
      </c>
      <c r="AT150" s="65">
        <v>4.1011474713132171E-2</v>
      </c>
      <c r="AV150" s="29">
        <v>442</v>
      </c>
      <c r="AW150" s="64">
        <v>304</v>
      </c>
      <c r="AX150" s="64">
        <v>129</v>
      </c>
      <c r="AY150" s="64">
        <v>9</v>
      </c>
      <c r="BA150" s="65">
        <v>0.68778280542986425</v>
      </c>
      <c r="BB150" s="65">
        <v>0.29185520361990952</v>
      </c>
      <c r="BC150" s="65">
        <v>2.0361990950226245E-2</v>
      </c>
    </row>
    <row r="151" spans="1:55" s="64" customFormat="1" x14ac:dyDescent="0.2">
      <c r="A151" s="63" t="s">
        <v>92</v>
      </c>
      <c r="B151" s="29">
        <v>0</v>
      </c>
      <c r="C151" s="64">
        <v>0</v>
      </c>
      <c r="D151" s="64">
        <v>0</v>
      </c>
      <c r="E151" s="64">
        <v>0</v>
      </c>
      <c r="G151" s="65">
        <v>0</v>
      </c>
      <c r="H151" s="65">
        <v>0</v>
      </c>
      <c r="I151" s="65">
        <v>0</v>
      </c>
      <c r="K151" s="29">
        <v>0</v>
      </c>
      <c r="L151" s="64">
        <v>0</v>
      </c>
      <c r="M151" s="64">
        <v>0</v>
      </c>
      <c r="N151" s="64">
        <v>0</v>
      </c>
      <c r="P151" s="65">
        <v>0</v>
      </c>
      <c r="Q151" s="65">
        <v>0</v>
      </c>
      <c r="R151" s="65">
        <v>0</v>
      </c>
      <c r="T151" s="29">
        <v>12</v>
      </c>
      <c r="U151" s="64">
        <v>12</v>
      </c>
      <c r="V151" s="64">
        <v>0</v>
      </c>
      <c r="W151" s="64">
        <v>0</v>
      </c>
      <c r="Y151" s="65">
        <v>1</v>
      </c>
      <c r="Z151" s="65">
        <v>0</v>
      </c>
      <c r="AA151" s="65">
        <v>0</v>
      </c>
      <c r="AD151" s="29">
        <v>0</v>
      </c>
      <c r="AE151" s="64">
        <v>0</v>
      </c>
      <c r="AF151" s="64">
        <v>0</v>
      </c>
      <c r="AG151" s="64">
        <v>0</v>
      </c>
      <c r="AI151" s="65">
        <v>0</v>
      </c>
      <c r="AJ151" s="65">
        <v>0</v>
      </c>
      <c r="AK151" s="65">
        <v>0</v>
      </c>
      <c r="AM151" s="29">
        <v>0</v>
      </c>
      <c r="AN151" s="64">
        <v>0</v>
      </c>
      <c r="AO151" s="64">
        <v>0</v>
      </c>
      <c r="AP151" s="64">
        <v>0</v>
      </c>
      <c r="AR151" s="65">
        <v>0</v>
      </c>
      <c r="AS151" s="65">
        <v>0</v>
      </c>
      <c r="AT151" s="65">
        <v>0</v>
      </c>
      <c r="AV151" s="29">
        <v>0</v>
      </c>
      <c r="AW151" s="64">
        <v>0</v>
      </c>
      <c r="AX151" s="64">
        <v>0</v>
      </c>
      <c r="AY151" s="64">
        <v>0</v>
      </c>
      <c r="BA151" s="65">
        <v>0</v>
      </c>
      <c r="BB151" s="65">
        <v>0</v>
      </c>
      <c r="BC151" s="65">
        <v>0</v>
      </c>
    </row>
    <row r="152" spans="1:55" s="64" customFormat="1" x14ac:dyDescent="0.2">
      <c r="A152" s="63" t="s">
        <v>49</v>
      </c>
      <c r="B152" s="29">
        <v>110</v>
      </c>
      <c r="C152" s="64">
        <v>110</v>
      </c>
      <c r="D152" s="64">
        <v>0</v>
      </c>
      <c r="E152" s="64">
        <v>0</v>
      </c>
      <c r="G152" s="65">
        <v>1</v>
      </c>
      <c r="H152" s="65">
        <v>0</v>
      </c>
      <c r="I152" s="65">
        <v>0</v>
      </c>
      <c r="K152" s="29">
        <v>0</v>
      </c>
      <c r="L152" s="64">
        <v>0</v>
      </c>
      <c r="M152" s="64">
        <v>0</v>
      </c>
      <c r="N152" s="64">
        <v>0</v>
      </c>
      <c r="P152" s="65">
        <v>0</v>
      </c>
      <c r="Q152" s="65">
        <v>0</v>
      </c>
      <c r="R152" s="65">
        <v>0</v>
      </c>
      <c r="T152" s="29">
        <v>1</v>
      </c>
      <c r="U152" s="64">
        <v>1</v>
      </c>
      <c r="V152" s="64">
        <v>0</v>
      </c>
      <c r="W152" s="64">
        <v>0</v>
      </c>
      <c r="Y152" s="65">
        <v>1</v>
      </c>
      <c r="Z152" s="65">
        <v>0</v>
      </c>
      <c r="AA152" s="65">
        <v>0</v>
      </c>
      <c r="AD152" s="29">
        <v>0</v>
      </c>
      <c r="AE152" s="64">
        <v>0</v>
      </c>
      <c r="AF152" s="64">
        <v>0</v>
      </c>
      <c r="AG152" s="64">
        <v>0</v>
      </c>
      <c r="AI152" s="65">
        <v>0</v>
      </c>
      <c r="AJ152" s="65">
        <v>0</v>
      </c>
      <c r="AK152" s="65">
        <v>0</v>
      </c>
      <c r="AM152" s="29">
        <v>0</v>
      </c>
      <c r="AN152" s="64">
        <v>0</v>
      </c>
      <c r="AO152" s="64">
        <v>0</v>
      </c>
      <c r="AP152" s="64">
        <v>0</v>
      </c>
      <c r="AR152" s="65">
        <v>0</v>
      </c>
      <c r="AS152" s="65">
        <v>0</v>
      </c>
      <c r="AT152" s="65">
        <v>0</v>
      </c>
      <c r="AV152" s="29">
        <v>0</v>
      </c>
      <c r="AW152" s="64">
        <v>0</v>
      </c>
      <c r="AX152" s="64">
        <v>0</v>
      </c>
      <c r="AY152" s="64">
        <v>0</v>
      </c>
      <c r="BA152" s="65">
        <v>0</v>
      </c>
      <c r="BB152" s="65">
        <v>0</v>
      </c>
      <c r="BC152" s="65">
        <v>0</v>
      </c>
    </row>
    <row r="153" spans="1:55" s="64" customFormat="1" x14ac:dyDescent="0.2">
      <c r="A153" s="63" t="s">
        <v>139</v>
      </c>
      <c r="B153" s="29">
        <v>8413</v>
      </c>
      <c r="C153" s="64">
        <v>8136</v>
      </c>
      <c r="D153" s="64">
        <v>254</v>
      </c>
      <c r="E153" s="64">
        <v>23</v>
      </c>
      <c r="G153" s="65">
        <v>0.96707476524426483</v>
      </c>
      <c r="H153" s="65">
        <v>3.0191370498038751E-2</v>
      </c>
      <c r="I153" s="65">
        <v>2.7338642576964223E-3</v>
      </c>
      <c r="K153" s="29">
        <v>5858</v>
      </c>
      <c r="L153" s="64">
        <v>4761</v>
      </c>
      <c r="M153" s="64">
        <v>1023</v>
      </c>
      <c r="N153" s="64">
        <v>74</v>
      </c>
      <c r="P153" s="65">
        <v>0.81273472174803685</v>
      </c>
      <c r="Q153" s="65">
        <v>0.17463298053943324</v>
      </c>
      <c r="R153" s="65">
        <v>1.2632297712529874E-2</v>
      </c>
      <c r="T153" s="29">
        <v>88</v>
      </c>
      <c r="U153" s="64">
        <v>74</v>
      </c>
      <c r="V153" s="64">
        <v>14</v>
      </c>
      <c r="W153" s="64">
        <v>0</v>
      </c>
      <c r="Y153" s="65">
        <v>0.84090909090909094</v>
      </c>
      <c r="Z153" s="65">
        <v>0.15909090909090909</v>
      </c>
      <c r="AA153" s="65">
        <v>0</v>
      </c>
      <c r="AD153" s="29">
        <v>0</v>
      </c>
      <c r="AE153" s="64">
        <v>0</v>
      </c>
      <c r="AF153" s="64">
        <v>0</v>
      </c>
      <c r="AG153" s="64">
        <v>0</v>
      </c>
      <c r="AI153" s="65">
        <v>0</v>
      </c>
      <c r="AJ153" s="65">
        <v>0</v>
      </c>
      <c r="AK153" s="65">
        <v>0</v>
      </c>
      <c r="AM153" s="29">
        <v>0</v>
      </c>
      <c r="AN153" s="64">
        <v>0</v>
      </c>
      <c r="AO153" s="64">
        <v>0</v>
      </c>
      <c r="AP153" s="64">
        <v>0</v>
      </c>
      <c r="AR153" s="65">
        <v>0</v>
      </c>
      <c r="AS153" s="65">
        <v>0</v>
      </c>
      <c r="AT153" s="65">
        <v>0</v>
      </c>
      <c r="AV153" s="29">
        <v>0</v>
      </c>
      <c r="AW153" s="64">
        <v>0</v>
      </c>
      <c r="AX153" s="64">
        <v>0</v>
      </c>
      <c r="AY153" s="64">
        <v>0</v>
      </c>
      <c r="BA153" s="65">
        <v>0</v>
      </c>
      <c r="BB153" s="65">
        <v>0</v>
      </c>
      <c r="BC153" s="65">
        <v>0</v>
      </c>
    </row>
    <row r="154" spans="1:55" s="64" customFormat="1" x14ac:dyDescent="0.2">
      <c r="A154" s="63" t="s">
        <v>52</v>
      </c>
      <c r="B154" s="29">
        <v>40</v>
      </c>
      <c r="C154" s="64">
        <v>40</v>
      </c>
      <c r="D154" s="64">
        <v>0</v>
      </c>
      <c r="E154" s="64">
        <v>0</v>
      </c>
      <c r="G154" s="65">
        <v>1</v>
      </c>
      <c r="H154" s="65">
        <v>0</v>
      </c>
      <c r="I154" s="65">
        <v>0</v>
      </c>
      <c r="K154" s="29">
        <v>2</v>
      </c>
      <c r="L154" s="64">
        <v>2</v>
      </c>
      <c r="M154" s="64">
        <v>0</v>
      </c>
      <c r="N154" s="64">
        <v>0</v>
      </c>
      <c r="P154" s="65">
        <v>1</v>
      </c>
      <c r="Q154" s="65">
        <v>0</v>
      </c>
      <c r="R154" s="65">
        <v>0</v>
      </c>
      <c r="T154" s="29">
        <v>0</v>
      </c>
      <c r="U154" s="64">
        <v>0</v>
      </c>
      <c r="V154" s="64">
        <v>0</v>
      </c>
      <c r="W154" s="64">
        <v>0</v>
      </c>
      <c r="Y154" s="65">
        <v>0</v>
      </c>
      <c r="Z154" s="65">
        <v>0</v>
      </c>
      <c r="AA154" s="65">
        <v>0</v>
      </c>
      <c r="AD154" s="29">
        <v>0</v>
      </c>
      <c r="AE154" s="64">
        <v>0</v>
      </c>
      <c r="AF154" s="64">
        <v>0</v>
      </c>
      <c r="AG154" s="64">
        <v>0</v>
      </c>
      <c r="AI154" s="65">
        <v>0</v>
      </c>
      <c r="AJ154" s="65">
        <v>0</v>
      </c>
      <c r="AK154" s="65">
        <v>0</v>
      </c>
      <c r="AM154" s="29">
        <v>0</v>
      </c>
      <c r="AN154" s="64">
        <v>0</v>
      </c>
      <c r="AO154" s="64">
        <v>0</v>
      </c>
      <c r="AP154" s="64">
        <v>0</v>
      </c>
      <c r="AR154" s="65">
        <v>0</v>
      </c>
      <c r="AS154" s="65">
        <v>0</v>
      </c>
      <c r="AT154" s="65">
        <v>0</v>
      </c>
      <c r="AV154" s="29">
        <v>0</v>
      </c>
      <c r="AW154" s="64">
        <v>0</v>
      </c>
      <c r="AX154" s="64">
        <v>0</v>
      </c>
      <c r="AY154" s="64">
        <v>0</v>
      </c>
      <c r="BA154" s="65">
        <v>0</v>
      </c>
      <c r="BB154" s="65">
        <v>0</v>
      </c>
      <c r="BC154" s="65">
        <v>0</v>
      </c>
    </row>
    <row r="155" spans="1:55" s="64" customFormat="1" x14ac:dyDescent="0.2">
      <c r="A155" s="63" t="s">
        <v>53</v>
      </c>
      <c r="B155" s="29">
        <v>7510</v>
      </c>
      <c r="C155" s="64">
        <v>7495</v>
      </c>
      <c r="D155" s="64">
        <v>0</v>
      </c>
      <c r="E155" s="64">
        <v>15</v>
      </c>
      <c r="G155" s="65">
        <v>0.99800266311584551</v>
      </c>
      <c r="H155" s="65">
        <v>0</v>
      </c>
      <c r="I155" s="65">
        <v>1.9973368841544607E-3</v>
      </c>
      <c r="K155" s="29">
        <v>597</v>
      </c>
      <c r="L155" s="64">
        <v>595</v>
      </c>
      <c r="M155" s="64">
        <v>0</v>
      </c>
      <c r="N155" s="64">
        <v>2</v>
      </c>
      <c r="P155" s="65">
        <v>0.99664991624790622</v>
      </c>
      <c r="Q155" s="65">
        <v>0</v>
      </c>
      <c r="R155" s="65">
        <v>3.3500837520938024E-3</v>
      </c>
      <c r="T155" s="29">
        <v>10</v>
      </c>
      <c r="U155" s="64">
        <v>10</v>
      </c>
      <c r="V155" s="64">
        <v>0</v>
      </c>
      <c r="W155" s="64">
        <v>0</v>
      </c>
      <c r="Y155" s="65">
        <v>1</v>
      </c>
      <c r="Z155" s="65">
        <v>0</v>
      </c>
      <c r="AA155" s="65">
        <v>0</v>
      </c>
      <c r="AD155" s="29">
        <v>0</v>
      </c>
      <c r="AE155" s="64">
        <v>0</v>
      </c>
      <c r="AF155" s="64">
        <v>0</v>
      </c>
      <c r="AG155" s="64">
        <v>0</v>
      </c>
      <c r="AI155" s="65">
        <v>0</v>
      </c>
      <c r="AJ155" s="65">
        <v>0</v>
      </c>
      <c r="AK155" s="65">
        <v>0</v>
      </c>
      <c r="AM155" s="29">
        <v>0</v>
      </c>
      <c r="AN155" s="64">
        <v>0</v>
      </c>
      <c r="AO155" s="64">
        <v>0</v>
      </c>
      <c r="AP155" s="64">
        <v>0</v>
      </c>
      <c r="AR155" s="65">
        <v>0</v>
      </c>
      <c r="AS155" s="65">
        <v>0</v>
      </c>
      <c r="AT155" s="65">
        <v>0</v>
      </c>
      <c r="AV155" s="29">
        <v>0</v>
      </c>
      <c r="AW155" s="64">
        <v>0</v>
      </c>
      <c r="AX155" s="64">
        <v>0</v>
      </c>
      <c r="AY155" s="64">
        <v>0</v>
      </c>
      <c r="BA155" s="65">
        <v>0</v>
      </c>
      <c r="BB155" s="65">
        <v>0</v>
      </c>
      <c r="BC155" s="65">
        <v>0</v>
      </c>
    </row>
    <row r="156" spans="1:55" s="64" customFormat="1" x14ac:dyDescent="0.2">
      <c r="A156" s="63" t="s">
        <v>93</v>
      </c>
      <c r="B156" s="29">
        <v>0</v>
      </c>
      <c r="C156" s="64">
        <v>0</v>
      </c>
      <c r="D156" s="64">
        <v>0</v>
      </c>
      <c r="E156" s="64">
        <v>0</v>
      </c>
      <c r="G156" s="65">
        <v>0</v>
      </c>
      <c r="H156" s="65">
        <v>0</v>
      </c>
      <c r="I156" s="65">
        <v>0</v>
      </c>
      <c r="K156" s="29">
        <v>0</v>
      </c>
      <c r="L156" s="64">
        <v>0</v>
      </c>
      <c r="M156" s="64">
        <v>0</v>
      </c>
      <c r="N156" s="64">
        <v>0</v>
      </c>
      <c r="P156" s="65">
        <v>0</v>
      </c>
      <c r="Q156" s="65">
        <v>0</v>
      </c>
      <c r="R156" s="65">
        <v>0</v>
      </c>
      <c r="T156" s="29">
        <v>25</v>
      </c>
      <c r="U156" s="64">
        <v>25</v>
      </c>
      <c r="V156" s="64">
        <v>0</v>
      </c>
      <c r="W156" s="64">
        <v>0</v>
      </c>
      <c r="Y156" s="65">
        <v>1</v>
      </c>
      <c r="Z156" s="65">
        <v>0</v>
      </c>
      <c r="AA156" s="65">
        <v>0</v>
      </c>
      <c r="AD156" s="29">
        <v>0</v>
      </c>
      <c r="AE156" s="64">
        <v>0</v>
      </c>
      <c r="AF156" s="64">
        <v>0</v>
      </c>
      <c r="AG156" s="64">
        <v>0</v>
      </c>
      <c r="AI156" s="65">
        <v>0</v>
      </c>
      <c r="AJ156" s="65">
        <v>0</v>
      </c>
      <c r="AK156" s="65">
        <v>0</v>
      </c>
      <c r="AM156" s="29">
        <v>0</v>
      </c>
      <c r="AN156" s="64">
        <v>0</v>
      </c>
      <c r="AO156" s="64">
        <v>0</v>
      </c>
      <c r="AP156" s="64">
        <v>0</v>
      </c>
      <c r="AR156" s="65">
        <v>0</v>
      </c>
      <c r="AS156" s="65">
        <v>0</v>
      </c>
      <c r="AT156" s="65">
        <v>0</v>
      </c>
      <c r="AV156" s="29">
        <v>0</v>
      </c>
      <c r="AW156" s="64">
        <v>0</v>
      </c>
      <c r="AX156" s="64">
        <v>0</v>
      </c>
      <c r="AY156" s="64">
        <v>0</v>
      </c>
      <c r="BA156" s="65">
        <v>0</v>
      </c>
      <c r="BB156" s="65">
        <v>0</v>
      </c>
      <c r="BC156" s="65">
        <v>0</v>
      </c>
    </row>
    <row r="157" spans="1:55" s="64" customFormat="1" x14ac:dyDescent="0.2">
      <c r="A157" s="63" t="s">
        <v>54</v>
      </c>
      <c r="B157" s="29">
        <v>2139</v>
      </c>
      <c r="C157" s="64">
        <v>1842</v>
      </c>
      <c r="D157" s="64">
        <v>254</v>
      </c>
      <c r="E157" s="64">
        <v>43</v>
      </c>
      <c r="G157" s="65">
        <v>0.86115007012622724</v>
      </c>
      <c r="H157" s="65">
        <v>0.11874707807386629</v>
      </c>
      <c r="I157" s="65">
        <v>2.0102851799906497E-2</v>
      </c>
      <c r="K157" s="29">
        <v>3671</v>
      </c>
      <c r="L157" s="64">
        <v>2478</v>
      </c>
      <c r="M157" s="64">
        <v>940</v>
      </c>
      <c r="N157" s="64">
        <v>253</v>
      </c>
      <c r="P157" s="65">
        <v>0.6750204304004358</v>
      </c>
      <c r="Q157" s="65">
        <v>0.25606101879596838</v>
      </c>
      <c r="R157" s="65">
        <v>6.8918550803595754E-2</v>
      </c>
      <c r="T157" s="29">
        <v>32</v>
      </c>
      <c r="U157" s="64">
        <v>32</v>
      </c>
      <c r="V157" s="64">
        <v>0</v>
      </c>
      <c r="W157" s="64">
        <v>0</v>
      </c>
      <c r="Y157" s="65">
        <v>1</v>
      </c>
      <c r="Z157" s="65">
        <v>0</v>
      </c>
      <c r="AA157" s="65">
        <v>0</v>
      </c>
      <c r="AD157" s="29">
        <v>0</v>
      </c>
      <c r="AE157" s="64">
        <v>0</v>
      </c>
      <c r="AF157" s="64">
        <v>0</v>
      </c>
      <c r="AG157" s="64">
        <v>0</v>
      </c>
      <c r="AI157" s="65">
        <v>0</v>
      </c>
      <c r="AJ157" s="65">
        <v>0</v>
      </c>
      <c r="AK157" s="65">
        <v>0</v>
      </c>
      <c r="AM157" s="29">
        <v>0</v>
      </c>
      <c r="AN157" s="64">
        <v>0</v>
      </c>
      <c r="AO157" s="64">
        <v>0</v>
      </c>
      <c r="AP157" s="64">
        <v>0</v>
      </c>
      <c r="AR157" s="65">
        <v>0</v>
      </c>
      <c r="AS157" s="65">
        <v>0</v>
      </c>
      <c r="AT157" s="65">
        <v>0</v>
      </c>
      <c r="AV157" s="29">
        <v>0</v>
      </c>
      <c r="AW157" s="64">
        <v>0</v>
      </c>
      <c r="AX157" s="64">
        <v>0</v>
      </c>
      <c r="AY157" s="64">
        <v>0</v>
      </c>
      <c r="BA157" s="65">
        <v>0</v>
      </c>
      <c r="BB157" s="65">
        <v>0</v>
      </c>
      <c r="BC157" s="65">
        <v>0</v>
      </c>
    </row>
    <row r="158" spans="1:55" s="64" customFormat="1" x14ac:dyDescent="0.2">
      <c r="A158" s="63" t="s">
        <v>56</v>
      </c>
      <c r="B158" s="29">
        <v>224</v>
      </c>
      <c r="C158" s="64">
        <v>224</v>
      </c>
      <c r="D158" s="64">
        <v>0</v>
      </c>
      <c r="E158" s="64">
        <v>0</v>
      </c>
      <c r="G158" s="65">
        <v>1</v>
      </c>
      <c r="H158" s="65">
        <v>0</v>
      </c>
      <c r="I158" s="65">
        <v>0</v>
      </c>
      <c r="K158" s="29">
        <v>0</v>
      </c>
      <c r="L158" s="64">
        <v>0</v>
      </c>
      <c r="M158" s="64">
        <v>0</v>
      </c>
      <c r="N158" s="64">
        <v>0</v>
      </c>
      <c r="P158" s="65">
        <v>0</v>
      </c>
      <c r="Q158" s="65">
        <v>0</v>
      </c>
      <c r="R158" s="65">
        <v>0</v>
      </c>
      <c r="T158" s="29">
        <v>0</v>
      </c>
      <c r="U158" s="64">
        <v>0</v>
      </c>
      <c r="V158" s="64">
        <v>0</v>
      </c>
      <c r="W158" s="64">
        <v>0</v>
      </c>
      <c r="Y158" s="65">
        <v>0</v>
      </c>
      <c r="Z158" s="65">
        <v>0</v>
      </c>
      <c r="AA158" s="65">
        <v>0</v>
      </c>
      <c r="AD158" s="29">
        <v>0</v>
      </c>
      <c r="AE158" s="64">
        <v>0</v>
      </c>
      <c r="AF158" s="64">
        <v>0</v>
      </c>
      <c r="AG158" s="64">
        <v>0</v>
      </c>
      <c r="AI158" s="65">
        <v>0</v>
      </c>
      <c r="AJ158" s="65">
        <v>0</v>
      </c>
      <c r="AK158" s="65">
        <v>0</v>
      </c>
      <c r="AM158" s="29">
        <v>0</v>
      </c>
      <c r="AN158" s="64">
        <v>0</v>
      </c>
      <c r="AO158" s="64">
        <v>0</v>
      </c>
      <c r="AP158" s="64">
        <v>0</v>
      </c>
      <c r="AR158" s="65">
        <v>0</v>
      </c>
      <c r="AS158" s="65">
        <v>0</v>
      </c>
      <c r="AT158" s="65">
        <v>0</v>
      </c>
      <c r="AV158" s="29">
        <v>0</v>
      </c>
      <c r="AW158" s="64">
        <v>0</v>
      </c>
      <c r="AX158" s="64">
        <v>0</v>
      </c>
      <c r="AY158" s="64">
        <v>0</v>
      </c>
      <c r="BA158" s="65">
        <v>0</v>
      </c>
      <c r="BB158" s="65">
        <v>0</v>
      </c>
      <c r="BC158" s="65">
        <v>0</v>
      </c>
    </row>
    <row r="159" spans="1:55" s="64" customFormat="1" x14ac:dyDescent="0.2">
      <c r="A159" s="63" t="s">
        <v>57</v>
      </c>
      <c r="B159" s="29">
        <v>46505</v>
      </c>
      <c r="C159" s="64">
        <v>46275</v>
      </c>
      <c r="D159" s="64">
        <v>230</v>
      </c>
      <c r="E159" s="64">
        <v>0</v>
      </c>
      <c r="G159" s="65">
        <v>0.99505429523707123</v>
      </c>
      <c r="H159" s="65">
        <v>4.9457047629287171E-3</v>
      </c>
      <c r="I159" s="65">
        <v>0</v>
      </c>
      <c r="K159" s="29">
        <v>1578</v>
      </c>
      <c r="L159" s="64">
        <v>1555</v>
      </c>
      <c r="M159" s="64">
        <v>23</v>
      </c>
      <c r="N159" s="64">
        <v>0</v>
      </c>
      <c r="P159" s="65">
        <v>0.98542458808618505</v>
      </c>
      <c r="Q159" s="65">
        <v>1.4575411913814956E-2</v>
      </c>
      <c r="R159" s="65">
        <v>0</v>
      </c>
      <c r="T159" s="29">
        <v>39</v>
      </c>
      <c r="U159" s="64">
        <v>39</v>
      </c>
      <c r="V159" s="64">
        <v>0</v>
      </c>
      <c r="W159" s="64">
        <v>0</v>
      </c>
      <c r="Y159" s="65">
        <v>1</v>
      </c>
      <c r="Z159" s="65">
        <v>0</v>
      </c>
      <c r="AA159" s="65">
        <v>0</v>
      </c>
      <c r="AD159" s="29">
        <v>1686</v>
      </c>
      <c r="AE159" s="64">
        <v>1686</v>
      </c>
      <c r="AF159" s="64">
        <v>0</v>
      </c>
      <c r="AG159" s="64">
        <v>0</v>
      </c>
      <c r="AI159" s="65">
        <v>1</v>
      </c>
      <c r="AJ159" s="65">
        <v>0</v>
      </c>
      <c r="AK159" s="65">
        <v>0</v>
      </c>
      <c r="AM159" s="29">
        <v>0</v>
      </c>
      <c r="AN159" s="64">
        <v>0</v>
      </c>
      <c r="AO159" s="64">
        <v>0</v>
      </c>
      <c r="AP159" s="64">
        <v>0</v>
      </c>
      <c r="AR159" s="65">
        <v>0</v>
      </c>
      <c r="AS159" s="65">
        <v>0</v>
      </c>
      <c r="AT159" s="65">
        <v>0</v>
      </c>
      <c r="AV159" s="29">
        <v>0</v>
      </c>
      <c r="AW159" s="64">
        <v>0</v>
      </c>
      <c r="AX159" s="64">
        <v>0</v>
      </c>
      <c r="AY159" s="64">
        <v>0</v>
      </c>
      <c r="BA159" s="65">
        <v>0</v>
      </c>
      <c r="BB159" s="65">
        <v>0</v>
      </c>
      <c r="BC159" s="65">
        <v>0</v>
      </c>
    </row>
    <row r="160" spans="1:55" s="64" customFormat="1" x14ac:dyDescent="0.2">
      <c r="A160" s="63" t="s">
        <v>58</v>
      </c>
      <c r="B160" s="29">
        <v>923</v>
      </c>
      <c r="C160" s="64">
        <v>711</v>
      </c>
      <c r="D160" s="64">
        <v>212</v>
      </c>
      <c r="E160" s="64">
        <v>0</v>
      </c>
      <c r="G160" s="65">
        <v>0.77031419284940417</v>
      </c>
      <c r="H160" s="65">
        <v>0.22968580715059589</v>
      </c>
      <c r="I160" s="65">
        <v>0</v>
      </c>
      <c r="K160" s="29">
        <v>0</v>
      </c>
      <c r="L160" s="64">
        <v>0</v>
      </c>
      <c r="M160" s="64">
        <v>0</v>
      </c>
      <c r="N160" s="64">
        <v>0</v>
      </c>
      <c r="P160" s="65">
        <v>0</v>
      </c>
      <c r="Q160" s="65">
        <v>0</v>
      </c>
      <c r="R160" s="65">
        <v>0</v>
      </c>
      <c r="T160" s="29">
        <v>0</v>
      </c>
      <c r="U160" s="64">
        <v>0</v>
      </c>
      <c r="V160" s="64">
        <v>0</v>
      </c>
      <c r="W160" s="64">
        <v>0</v>
      </c>
      <c r="Y160" s="65">
        <v>0</v>
      </c>
      <c r="Z160" s="65">
        <v>0</v>
      </c>
      <c r="AA160" s="65">
        <v>0</v>
      </c>
      <c r="AD160" s="29">
        <v>0</v>
      </c>
      <c r="AE160" s="64">
        <v>0</v>
      </c>
      <c r="AF160" s="64">
        <v>0</v>
      </c>
      <c r="AG160" s="64">
        <v>0</v>
      </c>
      <c r="AI160" s="65">
        <v>0</v>
      </c>
      <c r="AJ160" s="65">
        <v>0</v>
      </c>
      <c r="AK160" s="65">
        <v>0</v>
      </c>
      <c r="AM160" s="29">
        <v>0</v>
      </c>
      <c r="AN160" s="64">
        <v>0</v>
      </c>
      <c r="AO160" s="64">
        <v>0</v>
      </c>
      <c r="AP160" s="64">
        <v>0</v>
      </c>
      <c r="AR160" s="65">
        <v>0</v>
      </c>
      <c r="AS160" s="65">
        <v>0</v>
      </c>
      <c r="AT160" s="65">
        <v>0</v>
      </c>
      <c r="AV160" s="29">
        <v>0</v>
      </c>
      <c r="AW160" s="64">
        <v>0</v>
      </c>
      <c r="AX160" s="64">
        <v>0</v>
      </c>
      <c r="AY160" s="64">
        <v>0</v>
      </c>
      <c r="BA160" s="65">
        <v>0</v>
      </c>
      <c r="BB160" s="65">
        <v>0</v>
      </c>
      <c r="BC160" s="65">
        <v>0</v>
      </c>
    </row>
    <row r="161" spans="1:55" s="64" customFormat="1" x14ac:dyDescent="0.2">
      <c r="A161" s="63" t="s">
        <v>59</v>
      </c>
      <c r="B161" s="29">
        <v>611</v>
      </c>
      <c r="C161" s="64">
        <v>538</v>
      </c>
      <c r="D161" s="64">
        <v>0</v>
      </c>
      <c r="E161" s="64">
        <v>73</v>
      </c>
      <c r="G161" s="65">
        <v>0.88052373158756136</v>
      </c>
      <c r="H161" s="65">
        <v>0</v>
      </c>
      <c r="I161" s="65">
        <v>0.11947626841243862</v>
      </c>
      <c r="K161" s="29">
        <v>135</v>
      </c>
      <c r="L161" s="64">
        <v>127</v>
      </c>
      <c r="M161" s="64">
        <v>0</v>
      </c>
      <c r="N161" s="64">
        <v>8</v>
      </c>
      <c r="P161" s="65">
        <v>0.94074074074074077</v>
      </c>
      <c r="Q161" s="65">
        <v>0</v>
      </c>
      <c r="R161" s="65">
        <v>5.9259259259259262E-2</v>
      </c>
      <c r="T161" s="29">
        <v>0</v>
      </c>
      <c r="U161" s="64">
        <v>0</v>
      </c>
      <c r="V161" s="64">
        <v>0</v>
      </c>
      <c r="W161" s="64">
        <v>0</v>
      </c>
      <c r="Y161" s="65">
        <v>0</v>
      </c>
      <c r="Z161" s="65">
        <v>0</v>
      </c>
      <c r="AA161" s="65">
        <v>0</v>
      </c>
      <c r="AD161" s="29">
        <v>94</v>
      </c>
      <c r="AE161" s="64">
        <v>89</v>
      </c>
      <c r="AF161" s="64">
        <v>0</v>
      </c>
      <c r="AG161" s="64">
        <v>5</v>
      </c>
      <c r="AI161" s="65">
        <v>0.94680851063829785</v>
      </c>
      <c r="AJ161" s="65">
        <v>0</v>
      </c>
      <c r="AK161" s="65">
        <v>5.3191489361702128E-2</v>
      </c>
      <c r="AM161" s="29">
        <v>0</v>
      </c>
      <c r="AN161" s="64">
        <v>0</v>
      </c>
      <c r="AO161" s="64">
        <v>0</v>
      </c>
      <c r="AP161" s="64">
        <v>0</v>
      </c>
      <c r="AR161" s="65">
        <v>0</v>
      </c>
      <c r="AS161" s="65">
        <v>0</v>
      </c>
      <c r="AT161" s="65">
        <v>0</v>
      </c>
      <c r="AV161" s="29">
        <v>0</v>
      </c>
      <c r="AW161" s="64">
        <v>0</v>
      </c>
      <c r="AX161" s="64">
        <v>0</v>
      </c>
      <c r="AY161" s="64">
        <v>0</v>
      </c>
      <c r="BA161" s="65">
        <v>0</v>
      </c>
      <c r="BB161" s="65">
        <v>0</v>
      </c>
      <c r="BC161" s="65">
        <v>0</v>
      </c>
    </row>
    <row r="162" spans="1:55" s="64" customFormat="1" x14ac:dyDescent="0.2">
      <c r="A162" s="63" t="s">
        <v>60</v>
      </c>
      <c r="B162" s="29">
        <v>15112</v>
      </c>
      <c r="C162" s="64">
        <v>15095</v>
      </c>
      <c r="D162" s="64">
        <v>6</v>
      </c>
      <c r="E162" s="64">
        <v>11</v>
      </c>
      <c r="G162" s="65">
        <v>0.99887506617257804</v>
      </c>
      <c r="H162" s="65">
        <v>3.9703546850185283E-4</v>
      </c>
      <c r="I162" s="65">
        <v>7.2789835892006353E-4</v>
      </c>
      <c r="K162" s="29">
        <v>77</v>
      </c>
      <c r="L162" s="64">
        <v>77</v>
      </c>
      <c r="M162" s="64">
        <v>0</v>
      </c>
      <c r="N162" s="64">
        <v>0</v>
      </c>
      <c r="P162" s="65">
        <v>1</v>
      </c>
      <c r="Q162" s="65">
        <v>0</v>
      </c>
      <c r="R162" s="65">
        <v>0</v>
      </c>
      <c r="T162" s="29">
        <v>79</v>
      </c>
      <c r="U162" s="64">
        <v>79</v>
      </c>
      <c r="V162" s="64">
        <v>0</v>
      </c>
      <c r="W162" s="64">
        <v>0</v>
      </c>
      <c r="Y162" s="65">
        <v>1</v>
      </c>
      <c r="Z162" s="65">
        <v>0</v>
      </c>
      <c r="AA162" s="65">
        <v>0</v>
      </c>
      <c r="AD162" s="29">
        <v>0</v>
      </c>
      <c r="AE162" s="64">
        <v>0</v>
      </c>
      <c r="AF162" s="64">
        <v>0</v>
      </c>
      <c r="AG162" s="64">
        <v>0</v>
      </c>
      <c r="AI162" s="65">
        <v>0</v>
      </c>
      <c r="AJ162" s="65">
        <v>0</v>
      </c>
      <c r="AK162" s="65">
        <v>0</v>
      </c>
      <c r="AM162" s="29">
        <v>0</v>
      </c>
      <c r="AN162" s="64">
        <v>0</v>
      </c>
      <c r="AO162" s="64">
        <v>0</v>
      </c>
      <c r="AP162" s="64">
        <v>0</v>
      </c>
      <c r="AR162" s="65">
        <v>0</v>
      </c>
      <c r="AS162" s="65">
        <v>0</v>
      </c>
      <c r="AT162" s="65">
        <v>0</v>
      </c>
      <c r="AV162" s="29">
        <v>0</v>
      </c>
      <c r="AW162" s="64">
        <v>0</v>
      </c>
      <c r="AX162" s="64">
        <v>0</v>
      </c>
      <c r="AY162" s="64">
        <v>0</v>
      </c>
      <c r="BA162" s="65">
        <v>0</v>
      </c>
      <c r="BB162" s="65">
        <v>0</v>
      </c>
      <c r="BC162" s="65">
        <v>0</v>
      </c>
    </row>
    <row r="163" spans="1:55" s="64" customFormat="1" x14ac:dyDescent="0.2">
      <c r="A163" s="63" t="s">
        <v>96</v>
      </c>
      <c r="B163" s="29">
        <v>0</v>
      </c>
      <c r="C163" s="64">
        <v>0</v>
      </c>
      <c r="D163" s="64">
        <v>0</v>
      </c>
      <c r="E163" s="64">
        <v>0</v>
      </c>
      <c r="G163" s="65">
        <v>0</v>
      </c>
      <c r="H163" s="65">
        <v>0</v>
      </c>
      <c r="I163" s="65">
        <v>0</v>
      </c>
      <c r="K163" s="29">
        <v>0</v>
      </c>
      <c r="L163" s="64">
        <v>0</v>
      </c>
      <c r="M163" s="64">
        <v>0</v>
      </c>
      <c r="N163" s="64">
        <v>0</v>
      </c>
      <c r="P163" s="65">
        <v>0</v>
      </c>
      <c r="Q163" s="65">
        <v>0</v>
      </c>
      <c r="R163" s="65">
        <v>0</v>
      </c>
      <c r="T163" s="29">
        <v>1288</v>
      </c>
      <c r="U163" s="64">
        <v>1288</v>
      </c>
      <c r="V163" s="64">
        <v>0</v>
      </c>
      <c r="W163" s="64">
        <v>0</v>
      </c>
      <c r="Y163" s="65">
        <v>1</v>
      </c>
      <c r="Z163" s="65">
        <v>0</v>
      </c>
      <c r="AA163" s="65">
        <v>0</v>
      </c>
      <c r="AD163" s="29">
        <v>0</v>
      </c>
      <c r="AE163" s="64">
        <v>0</v>
      </c>
      <c r="AF163" s="64">
        <v>0</v>
      </c>
      <c r="AG163" s="64">
        <v>0</v>
      </c>
      <c r="AI163" s="65">
        <v>0</v>
      </c>
      <c r="AJ163" s="65">
        <v>0</v>
      </c>
      <c r="AK163" s="65">
        <v>0</v>
      </c>
      <c r="AM163" s="29">
        <v>0</v>
      </c>
      <c r="AN163" s="64">
        <v>0</v>
      </c>
      <c r="AO163" s="64">
        <v>0</v>
      </c>
      <c r="AP163" s="64">
        <v>0</v>
      </c>
      <c r="AR163" s="65">
        <v>0</v>
      </c>
      <c r="AS163" s="65">
        <v>0</v>
      </c>
      <c r="AT163" s="65">
        <v>0</v>
      </c>
      <c r="AV163" s="29">
        <v>0</v>
      </c>
      <c r="AW163" s="64">
        <v>0</v>
      </c>
      <c r="AX163" s="64">
        <v>0</v>
      </c>
      <c r="AY163" s="64">
        <v>0</v>
      </c>
      <c r="BA163" s="65">
        <v>0</v>
      </c>
      <c r="BB163" s="65">
        <v>0</v>
      </c>
      <c r="BC163" s="65">
        <v>0</v>
      </c>
    </row>
    <row r="164" spans="1:55" s="64" customFormat="1" x14ac:dyDescent="0.2">
      <c r="A164" s="63" t="s">
        <v>62</v>
      </c>
      <c r="B164" s="29">
        <v>79134</v>
      </c>
      <c r="C164" s="64">
        <v>36635</v>
      </c>
      <c r="D164" s="64">
        <v>42286</v>
      </c>
      <c r="E164" s="64">
        <v>213</v>
      </c>
      <c r="G164" s="65">
        <v>0.4629489220815326</v>
      </c>
      <c r="H164" s="65">
        <v>0.53435944094826493</v>
      </c>
      <c r="I164" s="65">
        <v>2.6916369702024412E-3</v>
      </c>
      <c r="K164" s="29">
        <v>8083</v>
      </c>
      <c r="L164" s="64">
        <v>2394</v>
      </c>
      <c r="M164" s="64">
        <v>5603</v>
      </c>
      <c r="N164" s="64">
        <v>86</v>
      </c>
      <c r="P164" s="65">
        <v>0.29617716194482246</v>
      </c>
      <c r="Q164" s="65">
        <v>0.69318322405047628</v>
      </c>
      <c r="R164" s="65">
        <v>1.0639614004701224E-2</v>
      </c>
      <c r="T164" s="29">
        <v>132</v>
      </c>
      <c r="U164" s="64">
        <v>68</v>
      </c>
      <c r="V164" s="64">
        <v>63</v>
      </c>
      <c r="W164" s="64">
        <v>1</v>
      </c>
      <c r="Y164" s="65">
        <v>0.51515151515151514</v>
      </c>
      <c r="Z164" s="65">
        <v>0.47727272727272729</v>
      </c>
      <c r="AA164" s="65">
        <v>7.575757575757576E-3</v>
      </c>
      <c r="AD164" s="29">
        <v>0</v>
      </c>
      <c r="AE164" s="64">
        <v>0</v>
      </c>
      <c r="AF164" s="64">
        <v>0</v>
      </c>
      <c r="AG164" s="64">
        <v>0</v>
      </c>
      <c r="AI164" s="65">
        <v>0</v>
      </c>
      <c r="AJ164" s="65">
        <v>0</v>
      </c>
      <c r="AK164" s="65">
        <v>0</v>
      </c>
      <c r="AM164" s="29">
        <v>0</v>
      </c>
      <c r="AN164" s="64">
        <v>0</v>
      </c>
      <c r="AO164" s="64">
        <v>0</v>
      </c>
      <c r="AP164" s="64">
        <v>0</v>
      </c>
      <c r="AR164" s="65">
        <v>0</v>
      </c>
      <c r="AS164" s="65">
        <v>0</v>
      </c>
      <c r="AT164" s="65">
        <v>0</v>
      </c>
      <c r="AV164" s="29">
        <v>0</v>
      </c>
      <c r="AW164" s="64">
        <v>0</v>
      </c>
      <c r="AX164" s="64">
        <v>0</v>
      </c>
      <c r="AY164" s="64">
        <v>0</v>
      </c>
      <c r="BA164" s="65">
        <v>0</v>
      </c>
      <c r="BB164" s="65">
        <v>0</v>
      </c>
      <c r="BC164" s="65">
        <v>0</v>
      </c>
    </row>
    <row r="165" spans="1:55" s="64" customFormat="1" x14ac:dyDescent="0.2">
      <c r="A165" s="63" t="s">
        <v>63</v>
      </c>
      <c r="B165" s="29">
        <v>0</v>
      </c>
      <c r="C165" s="64">
        <v>0</v>
      </c>
      <c r="D165" s="64">
        <v>0</v>
      </c>
      <c r="E165" s="64">
        <v>0</v>
      </c>
      <c r="G165" s="65">
        <v>0</v>
      </c>
      <c r="H165" s="65">
        <v>0</v>
      </c>
      <c r="I165" s="65">
        <v>0</v>
      </c>
      <c r="K165" s="29">
        <v>0</v>
      </c>
      <c r="L165" s="64">
        <v>0</v>
      </c>
      <c r="M165" s="64">
        <v>0</v>
      </c>
      <c r="N165" s="64">
        <v>0</v>
      </c>
      <c r="P165" s="65">
        <v>0</v>
      </c>
      <c r="Q165" s="65">
        <v>0</v>
      </c>
      <c r="R165" s="65">
        <v>0</v>
      </c>
      <c r="T165" s="29">
        <v>63</v>
      </c>
      <c r="U165" s="64">
        <v>63</v>
      </c>
      <c r="V165" s="64">
        <v>0</v>
      </c>
      <c r="W165" s="64">
        <v>0</v>
      </c>
      <c r="Y165" s="65">
        <v>1</v>
      </c>
      <c r="Z165" s="65">
        <v>0</v>
      </c>
      <c r="AA165" s="65">
        <v>0</v>
      </c>
      <c r="AD165" s="29">
        <v>0</v>
      </c>
      <c r="AE165" s="64">
        <v>0</v>
      </c>
      <c r="AF165" s="64">
        <v>0</v>
      </c>
      <c r="AG165" s="64">
        <v>0</v>
      </c>
      <c r="AI165" s="65">
        <v>0</v>
      </c>
      <c r="AJ165" s="65">
        <v>0</v>
      </c>
      <c r="AK165" s="65">
        <v>0</v>
      </c>
      <c r="AM165" s="29">
        <v>0</v>
      </c>
      <c r="AN165" s="64">
        <v>0</v>
      </c>
      <c r="AO165" s="64">
        <v>0</v>
      </c>
      <c r="AP165" s="64">
        <v>0</v>
      </c>
      <c r="AR165" s="65">
        <v>0</v>
      </c>
      <c r="AS165" s="65">
        <v>0</v>
      </c>
      <c r="AT165" s="65">
        <v>0</v>
      </c>
      <c r="AV165" s="29">
        <v>0</v>
      </c>
      <c r="AW165" s="64">
        <v>0</v>
      </c>
      <c r="AX165" s="64">
        <v>0</v>
      </c>
      <c r="AY165" s="64">
        <v>0</v>
      </c>
      <c r="BA165" s="65">
        <v>0</v>
      </c>
      <c r="BB165" s="65">
        <v>0</v>
      </c>
      <c r="BC165" s="65">
        <v>0</v>
      </c>
    </row>
    <row r="166" spans="1:55" s="64" customFormat="1" x14ac:dyDescent="0.2">
      <c r="A166" s="63" t="s">
        <v>64</v>
      </c>
      <c r="B166" s="29">
        <v>4</v>
      </c>
      <c r="C166" s="64">
        <v>4</v>
      </c>
      <c r="D166" s="64">
        <v>0</v>
      </c>
      <c r="E166" s="64">
        <v>0</v>
      </c>
      <c r="G166" s="65">
        <v>1</v>
      </c>
      <c r="H166" s="65">
        <v>0</v>
      </c>
      <c r="I166" s="65">
        <v>0</v>
      </c>
      <c r="K166" s="29">
        <v>1</v>
      </c>
      <c r="L166" s="64">
        <v>1</v>
      </c>
      <c r="M166" s="64">
        <v>0</v>
      </c>
      <c r="N166" s="64">
        <v>0</v>
      </c>
      <c r="P166" s="65">
        <v>1</v>
      </c>
      <c r="Q166" s="65">
        <v>0</v>
      </c>
      <c r="R166" s="65">
        <v>0</v>
      </c>
      <c r="T166" s="29">
        <v>0</v>
      </c>
      <c r="U166" s="64">
        <v>0</v>
      </c>
      <c r="V166" s="64">
        <v>0</v>
      </c>
      <c r="W166" s="64">
        <v>0</v>
      </c>
      <c r="Y166" s="65">
        <v>0</v>
      </c>
      <c r="Z166" s="65">
        <v>0</v>
      </c>
      <c r="AA166" s="65">
        <v>0</v>
      </c>
      <c r="AD166" s="29">
        <v>0</v>
      </c>
      <c r="AE166" s="64">
        <v>0</v>
      </c>
      <c r="AF166" s="64">
        <v>0</v>
      </c>
      <c r="AG166" s="64">
        <v>0</v>
      </c>
      <c r="AI166" s="65">
        <v>0</v>
      </c>
      <c r="AJ166" s="65">
        <v>0</v>
      </c>
      <c r="AK166" s="65">
        <v>0</v>
      </c>
      <c r="AM166" s="29">
        <v>0</v>
      </c>
      <c r="AN166" s="64">
        <v>0</v>
      </c>
      <c r="AO166" s="64">
        <v>0</v>
      </c>
      <c r="AP166" s="64">
        <v>0</v>
      </c>
      <c r="AR166" s="65">
        <v>0</v>
      </c>
      <c r="AS166" s="65">
        <v>0</v>
      </c>
      <c r="AT166" s="65">
        <v>0</v>
      </c>
      <c r="AV166" s="29">
        <v>0</v>
      </c>
      <c r="AW166" s="64">
        <v>0</v>
      </c>
      <c r="AX166" s="64">
        <v>0</v>
      </c>
      <c r="AY166" s="64">
        <v>0</v>
      </c>
      <c r="BA166" s="65">
        <v>0</v>
      </c>
      <c r="BB166" s="65">
        <v>0</v>
      </c>
      <c r="BC166" s="65">
        <v>0</v>
      </c>
    </row>
    <row r="167" spans="1:55" s="64" customFormat="1" x14ac:dyDescent="0.2">
      <c r="A167" s="63" t="s">
        <v>98</v>
      </c>
      <c r="B167" s="29">
        <v>0</v>
      </c>
      <c r="C167" s="64">
        <v>0</v>
      </c>
      <c r="D167" s="64">
        <v>0</v>
      </c>
      <c r="E167" s="64">
        <v>0</v>
      </c>
      <c r="G167" s="65">
        <v>0</v>
      </c>
      <c r="H167" s="65">
        <v>0</v>
      </c>
      <c r="I167" s="65">
        <v>0</v>
      </c>
      <c r="K167" s="29">
        <v>0</v>
      </c>
      <c r="L167" s="64">
        <v>0</v>
      </c>
      <c r="M167" s="64">
        <v>0</v>
      </c>
      <c r="N167" s="64">
        <v>0</v>
      </c>
      <c r="P167" s="65">
        <v>0</v>
      </c>
      <c r="Q167" s="65">
        <v>0</v>
      </c>
      <c r="R167" s="65">
        <v>0</v>
      </c>
      <c r="T167" s="29">
        <v>0</v>
      </c>
      <c r="U167" s="64">
        <v>0</v>
      </c>
      <c r="V167" s="64">
        <v>0</v>
      </c>
      <c r="W167" s="64">
        <v>0</v>
      </c>
      <c r="Y167" s="65">
        <v>0</v>
      </c>
      <c r="Z167" s="65">
        <v>0</v>
      </c>
      <c r="AA167" s="65">
        <v>0</v>
      </c>
      <c r="AD167" s="29">
        <v>0</v>
      </c>
      <c r="AE167" s="64">
        <v>0</v>
      </c>
      <c r="AF167" s="64">
        <v>0</v>
      </c>
      <c r="AG167" s="64">
        <v>0</v>
      </c>
      <c r="AI167" s="65">
        <v>0</v>
      </c>
      <c r="AJ167" s="65">
        <v>0</v>
      </c>
      <c r="AK167" s="65">
        <v>0</v>
      </c>
      <c r="AM167" s="29">
        <v>0</v>
      </c>
      <c r="AN167" s="64">
        <v>0</v>
      </c>
      <c r="AO167" s="64">
        <v>0</v>
      </c>
      <c r="AP167" s="64">
        <v>0</v>
      </c>
      <c r="AR167" s="65">
        <v>0</v>
      </c>
      <c r="AS167" s="65">
        <v>0</v>
      </c>
      <c r="AT167" s="65">
        <v>0</v>
      </c>
      <c r="AV167" s="29">
        <v>8</v>
      </c>
      <c r="AW167" s="64">
        <v>8</v>
      </c>
      <c r="AX167" s="64">
        <v>0</v>
      </c>
      <c r="AY167" s="64">
        <v>0</v>
      </c>
      <c r="BA167" s="65">
        <v>1</v>
      </c>
      <c r="BB167" s="65">
        <v>0</v>
      </c>
      <c r="BC167" s="65">
        <v>0</v>
      </c>
    </row>
    <row r="168" spans="1:55" s="64" customFormat="1" x14ac:dyDescent="0.2">
      <c r="A168" s="63" t="s">
        <v>66</v>
      </c>
      <c r="B168" s="29">
        <v>0</v>
      </c>
      <c r="C168" s="64">
        <v>0</v>
      </c>
      <c r="D168" s="64">
        <v>0</v>
      </c>
      <c r="E168" s="64">
        <v>0</v>
      </c>
      <c r="G168" s="65">
        <v>0</v>
      </c>
      <c r="H168" s="65">
        <v>0</v>
      </c>
      <c r="I168" s="65">
        <v>0</v>
      </c>
      <c r="K168" s="29">
        <v>0</v>
      </c>
      <c r="L168" s="64">
        <v>0</v>
      </c>
      <c r="M168" s="64">
        <v>0</v>
      </c>
      <c r="N168" s="64">
        <v>0</v>
      </c>
      <c r="P168" s="65">
        <v>0</v>
      </c>
      <c r="Q168" s="65">
        <v>0</v>
      </c>
      <c r="R168" s="65">
        <v>0</v>
      </c>
      <c r="T168" s="29">
        <v>11</v>
      </c>
      <c r="U168" s="64">
        <v>11</v>
      </c>
      <c r="V168" s="64">
        <v>0</v>
      </c>
      <c r="W168" s="64">
        <v>0</v>
      </c>
      <c r="Y168" s="65">
        <v>1</v>
      </c>
      <c r="Z168" s="65">
        <v>0</v>
      </c>
      <c r="AA168" s="65">
        <v>0</v>
      </c>
      <c r="AD168" s="29">
        <v>0</v>
      </c>
      <c r="AE168" s="64">
        <v>0</v>
      </c>
      <c r="AF168" s="64">
        <v>0</v>
      </c>
      <c r="AG168" s="64">
        <v>0</v>
      </c>
      <c r="AI168" s="65">
        <v>0</v>
      </c>
      <c r="AJ168" s="65">
        <v>0</v>
      </c>
      <c r="AK168" s="65">
        <v>0</v>
      </c>
      <c r="AM168" s="29">
        <v>0</v>
      </c>
      <c r="AN168" s="64">
        <v>0</v>
      </c>
      <c r="AO168" s="64">
        <v>0</v>
      </c>
      <c r="AP168" s="64">
        <v>0</v>
      </c>
      <c r="AR168" s="65">
        <v>0</v>
      </c>
      <c r="AS168" s="65">
        <v>0</v>
      </c>
      <c r="AT168" s="65">
        <v>0</v>
      </c>
      <c r="AV168" s="29">
        <v>0</v>
      </c>
      <c r="AW168" s="64">
        <v>0</v>
      </c>
      <c r="AX168" s="64">
        <v>0</v>
      </c>
      <c r="AY168" s="64">
        <v>0</v>
      </c>
      <c r="BA168" s="65">
        <v>0</v>
      </c>
      <c r="BB168" s="65">
        <v>0</v>
      </c>
      <c r="BC168" s="65">
        <v>0</v>
      </c>
    </row>
    <row r="169" spans="1:55" s="23" customFormat="1" x14ac:dyDescent="0.2">
      <c r="A169" s="31" t="s">
        <v>74</v>
      </c>
      <c r="B169" s="29">
        <v>2003714</v>
      </c>
      <c r="C169" s="29">
        <v>1197484</v>
      </c>
      <c r="D169" s="29">
        <v>803180</v>
      </c>
      <c r="E169" s="23">
        <v>3050</v>
      </c>
      <c r="G169" s="24">
        <v>0.59763219701015213</v>
      </c>
      <c r="H169" s="24">
        <v>0.4008456296657108</v>
      </c>
      <c r="I169" s="24">
        <v>1.5221733241370774E-3</v>
      </c>
      <c r="K169" s="29">
        <v>194231</v>
      </c>
      <c r="L169" s="29">
        <v>79518</v>
      </c>
      <c r="M169" s="29">
        <v>113275</v>
      </c>
      <c r="N169" s="23">
        <v>1438</v>
      </c>
      <c r="P169" s="24">
        <v>0.40939911754560293</v>
      </c>
      <c r="Q169" s="24">
        <v>0.58319732689426507</v>
      </c>
      <c r="R169" s="24">
        <v>7.4035555601320076E-3</v>
      </c>
      <c r="T169" s="29">
        <v>18788</v>
      </c>
      <c r="U169" s="29">
        <v>13401</v>
      </c>
      <c r="V169" s="29">
        <v>5380</v>
      </c>
      <c r="W169" s="23">
        <v>7</v>
      </c>
      <c r="Y169" s="24">
        <v>0.71327443048754524</v>
      </c>
      <c r="Z169" s="24">
        <v>0.28635299127102404</v>
      </c>
      <c r="AA169" s="24">
        <v>3.7257824143070045E-4</v>
      </c>
      <c r="AD169" s="29">
        <v>196765</v>
      </c>
      <c r="AE169" s="29">
        <v>148069</v>
      </c>
      <c r="AF169" s="29">
        <v>45519</v>
      </c>
      <c r="AG169" s="23">
        <v>3177</v>
      </c>
      <c r="AI169" s="24">
        <v>0.75251696185805406</v>
      </c>
      <c r="AJ169" s="24">
        <v>0.2313368739359134</v>
      </c>
      <c r="AK169" s="24">
        <v>1.6146164206032577E-2</v>
      </c>
      <c r="AM169" s="29">
        <v>17108</v>
      </c>
      <c r="AN169" s="29">
        <v>11766</v>
      </c>
      <c r="AO169" s="29">
        <v>4688</v>
      </c>
      <c r="AP169" s="23">
        <v>654</v>
      </c>
      <c r="AR169" s="24">
        <v>0.68774842179097495</v>
      </c>
      <c r="AS169" s="24">
        <v>0.27402384849193362</v>
      </c>
      <c r="AT169" s="24">
        <v>3.8227729717091416E-2</v>
      </c>
      <c r="AV169" s="29">
        <v>837</v>
      </c>
      <c r="AW169" s="29">
        <v>548</v>
      </c>
      <c r="AX169" s="29">
        <v>278</v>
      </c>
      <c r="AY169" s="23">
        <v>11</v>
      </c>
      <c r="BA169" s="24">
        <v>0.65471923536439669</v>
      </c>
      <c r="BB169" s="24">
        <v>0.33213859020310632</v>
      </c>
      <c r="BC169" s="24">
        <v>1.3142174432497013E-2</v>
      </c>
    </row>
    <row r="170" spans="1:55" ht="15" x14ac:dyDescent="0.25">
      <c r="A170" s="20"/>
      <c r="G170" s="68"/>
      <c r="H170" s="68"/>
      <c r="I170" s="68"/>
      <c r="P170" s="68"/>
      <c r="Q170" s="68"/>
      <c r="R170" s="68"/>
      <c r="Y170" s="68"/>
      <c r="Z170" s="68"/>
      <c r="AA170" s="68"/>
      <c r="AI170" s="68"/>
      <c r="AJ170" s="68"/>
      <c r="AK170" s="68"/>
      <c r="AR170" s="68"/>
      <c r="AS170" s="68"/>
      <c r="AT170" s="68"/>
      <c r="BA170" s="68"/>
      <c r="BB170" s="68"/>
      <c r="BC170" s="68"/>
    </row>
    <row r="171" spans="1:55" s="23" customFormat="1" x14ac:dyDescent="0.2">
      <c r="A171" s="30" t="s">
        <v>75</v>
      </c>
      <c r="B171" s="27" t="s">
        <v>82</v>
      </c>
      <c r="C171" s="27" t="s">
        <v>114</v>
      </c>
      <c r="D171" s="27" t="s">
        <v>115</v>
      </c>
      <c r="E171" s="27" t="s">
        <v>126</v>
      </c>
      <c r="F171" s="27"/>
      <c r="G171" s="61" t="s">
        <v>114</v>
      </c>
      <c r="H171" s="61" t="s">
        <v>115</v>
      </c>
      <c r="I171" s="61" t="s">
        <v>126</v>
      </c>
      <c r="J171" s="27"/>
      <c r="K171" s="27" t="s">
        <v>82</v>
      </c>
      <c r="L171" s="27" t="s">
        <v>114</v>
      </c>
      <c r="M171" s="27" t="s">
        <v>115</v>
      </c>
      <c r="N171" s="27" t="s">
        <v>126</v>
      </c>
      <c r="O171" s="27"/>
      <c r="P171" s="61" t="s">
        <v>114</v>
      </c>
      <c r="Q171" s="61" t="s">
        <v>115</v>
      </c>
      <c r="R171" s="61" t="s">
        <v>126</v>
      </c>
      <c r="S171" s="27"/>
      <c r="T171" s="27" t="s">
        <v>82</v>
      </c>
      <c r="U171" s="27" t="s">
        <v>114</v>
      </c>
      <c r="V171" s="27" t="s">
        <v>115</v>
      </c>
      <c r="W171" s="27" t="s">
        <v>126</v>
      </c>
      <c r="X171" s="27"/>
      <c r="Y171" s="61" t="s">
        <v>114</v>
      </c>
      <c r="Z171" s="61" t="s">
        <v>115</v>
      </c>
      <c r="AA171" s="61" t="s">
        <v>126</v>
      </c>
      <c r="AB171" s="27"/>
      <c r="AC171" s="27"/>
      <c r="AD171" s="27" t="s">
        <v>82</v>
      </c>
      <c r="AE171" s="27" t="s">
        <v>114</v>
      </c>
      <c r="AF171" s="27" t="s">
        <v>115</v>
      </c>
      <c r="AG171" s="27" t="s">
        <v>126</v>
      </c>
      <c r="AH171" s="27"/>
      <c r="AI171" s="61" t="s">
        <v>114</v>
      </c>
      <c r="AJ171" s="61" t="s">
        <v>115</v>
      </c>
      <c r="AK171" s="61" t="s">
        <v>126</v>
      </c>
      <c r="AL171" s="27"/>
      <c r="AM171" s="27" t="s">
        <v>82</v>
      </c>
      <c r="AN171" s="27" t="s">
        <v>114</v>
      </c>
      <c r="AO171" s="27" t="s">
        <v>115</v>
      </c>
      <c r="AP171" s="27" t="s">
        <v>126</v>
      </c>
      <c r="AQ171" s="27"/>
      <c r="AR171" s="61" t="s">
        <v>114</v>
      </c>
      <c r="AS171" s="61" t="s">
        <v>115</v>
      </c>
      <c r="AT171" s="61" t="s">
        <v>126</v>
      </c>
      <c r="AU171" s="27"/>
      <c r="AV171" s="27" t="s">
        <v>82</v>
      </c>
      <c r="AW171" s="27" t="s">
        <v>114</v>
      </c>
      <c r="AX171" s="27" t="s">
        <v>115</v>
      </c>
      <c r="AY171" s="27" t="s">
        <v>126</v>
      </c>
      <c r="AZ171" s="27"/>
      <c r="BA171" s="61" t="s">
        <v>114</v>
      </c>
      <c r="BB171" s="61" t="s">
        <v>115</v>
      </c>
      <c r="BC171" s="61" t="s">
        <v>126</v>
      </c>
    </row>
    <row r="172" spans="1:55" s="64" customFormat="1" x14ac:dyDescent="0.2">
      <c r="A172" s="63" t="s">
        <v>24</v>
      </c>
      <c r="B172" s="29">
        <v>298534</v>
      </c>
      <c r="C172" s="64">
        <v>242075</v>
      </c>
      <c r="D172" s="64">
        <v>55927</v>
      </c>
      <c r="E172" s="64">
        <v>532</v>
      </c>
      <c r="G172" s="65">
        <v>0.81087916284242334</v>
      </c>
      <c r="H172" s="65">
        <v>0.18733879558107283</v>
      </c>
      <c r="I172" s="65">
        <v>1.7820415765038488E-3</v>
      </c>
      <c r="K172" s="29">
        <v>38413</v>
      </c>
      <c r="L172" s="64">
        <v>27002</v>
      </c>
      <c r="M172" s="64">
        <v>10968</v>
      </c>
      <c r="N172" s="64">
        <v>443</v>
      </c>
      <c r="P172" s="65">
        <v>0.70293910915575453</v>
      </c>
      <c r="Q172" s="65">
        <v>0.28552833676099237</v>
      </c>
      <c r="R172" s="65">
        <v>1.1532554083253065E-2</v>
      </c>
      <c r="T172" s="29">
        <v>1519</v>
      </c>
      <c r="U172" s="64">
        <v>1507</v>
      </c>
      <c r="V172" s="64">
        <v>12</v>
      </c>
      <c r="W172" s="64">
        <v>0</v>
      </c>
      <c r="Y172" s="65">
        <v>0.99210006583278476</v>
      </c>
      <c r="Z172" s="65">
        <v>7.8999341672152737E-3</v>
      </c>
      <c r="AA172" s="65">
        <v>0</v>
      </c>
      <c r="AD172" s="29">
        <v>126562</v>
      </c>
      <c r="AE172" s="64">
        <v>117071</v>
      </c>
      <c r="AF172" s="64">
        <v>9126</v>
      </c>
      <c r="AG172" s="64">
        <v>365</v>
      </c>
      <c r="AI172" s="65">
        <v>0.92500908645565016</v>
      </c>
      <c r="AJ172" s="65">
        <v>7.2106951533635694E-2</v>
      </c>
      <c r="AK172" s="65">
        <v>2.8839620107141166E-3</v>
      </c>
      <c r="AM172" s="29">
        <v>2430</v>
      </c>
      <c r="AN172" s="64">
        <v>2105</v>
      </c>
      <c r="AO172" s="64">
        <v>283</v>
      </c>
      <c r="AP172" s="64">
        <v>42</v>
      </c>
      <c r="AR172" s="65">
        <v>0.86625514403292181</v>
      </c>
      <c r="AS172" s="65">
        <v>0.11646090534979424</v>
      </c>
      <c r="AT172" s="65">
        <v>1.7283950617283949E-2</v>
      </c>
      <c r="AV172" s="29">
        <v>188</v>
      </c>
      <c r="AW172" s="64">
        <v>183</v>
      </c>
      <c r="AX172" s="64">
        <v>5</v>
      </c>
      <c r="AY172" s="64">
        <v>0</v>
      </c>
      <c r="BA172" s="65">
        <v>0.97340425531914898</v>
      </c>
      <c r="BB172" s="65">
        <v>2.6595744680851064E-2</v>
      </c>
      <c r="BC172" s="65">
        <v>0</v>
      </c>
    </row>
    <row r="173" spans="1:55" s="64" customFormat="1" x14ac:dyDescent="0.2">
      <c r="A173" s="63" t="s">
        <v>25</v>
      </c>
      <c r="B173" s="29">
        <v>50505</v>
      </c>
      <c r="C173" s="64">
        <v>49470</v>
      </c>
      <c r="D173" s="64">
        <v>713</v>
      </c>
      <c r="E173" s="64">
        <v>322</v>
      </c>
      <c r="G173" s="65">
        <v>0.97950697950697951</v>
      </c>
      <c r="H173" s="65">
        <v>1.4117414117414117E-2</v>
      </c>
      <c r="I173" s="65">
        <v>6.3756063756063757E-3</v>
      </c>
      <c r="K173" s="29">
        <v>8453</v>
      </c>
      <c r="L173" s="64">
        <v>8265</v>
      </c>
      <c r="M173" s="64">
        <v>109</v>
      </c>
      <c r="N173" s="64">
        <v>79</v>
      </c>
      <c r="P173" s="65">
        <v>0.97775937536969126</v>
      </c>
      <c r="Q173" s="65">
        <v>1.2894830237785402E-2</v>
      </c>
      <c r="R173" s="65">
        <v>9.3457943925233638E-3</v>
      </c>
      <c r="T173" s="29">
        <v>153</v>
      </c>
      <c r="U173" s="64">
        <v>152</v>
      </c>
      <c r="V173" s="64">
        <v>0</v>
      </c>
      <c r="W173" s="64">
        <v>1</v>
      </c>
      <c r="Y173" s="65">
        <v>0.99346405228758172</v>
      </c>
      <c r="Z173" s="65">
        <v>0</v>
      </c>
      <c r="AA173" s="65">
        <v>6.5359477124183009E-3</v>
      </c>
      <c r="AD173" s="29">
        <v>23456</v>
      </c>
      <c r="AE173" s="64">
        <v>22467</v>
      </c>
      <c r="AF173" s="64">
        <v>697</v>
      </c>
      <c r="AG173" s="64">
        <v>292</v>
      </c>
      <c r="AI173" s="65">
        <v>0.95783594815825379</v>
      </c>
      <c r="AJ173" s="65">
        <v>2.9715211459754434E-2</v>
      </c>
      <c r="AK173" s="65">
        <v>1.2448840381991814E-2</v>
      </c>
      <c r="AM173" s="29">
        <v>13</v>
      </c>
      <c r="AN173" s="64">
        <v>3</v>
      </c>
      <c r="AO173" s="64">
        <v>9</v>
      </c>
      <c r="AP173" s="64">
        <v>1</v>
      </c>
      <c r="AR173" s="65">
        <v>0.23076923076923078</v>
      </c>
      <c r="AS173" s="65">
        <v>0.69230769230769229</v>
      </c>
      <c r="AT173" s="65">
        <v>7.6923076923076927E-2</v>
      </c>
      <c r="AV173" s="29">
        <v>8</v>
      </c>
      <c r="AW173" s="64">
        <v>8</v>
      </c>
      <c r="AX173" s="64">
        <v>0</v>
      </c>
      <c r="AY173" s="64">
        <v>0</v>
      </c>
      <c r="BA173" s="65">
        <v>1</v>
      </c>
      <c r="BB173" s="65">
        <v>0</v>
      </c>
      <c r="BC173" s="65">
        <v>0</v>
      </c>
    </row>
    <row r="174" spans="1:55" s="64" customFormat="1" x14ac:dyDescent="0.2">
      <c r="A174" s="63" t="s">
        <v>26</v>
      </c>
      <c r="B174" s="29">
        <v>6284</v>
      </c>
      <c r="C174" s="64">
        <v>6180</v>
      </c>
      <c r="D174" s="64">
        <v>68</v>
      </c>
      <c r="E174" s="64">
        <v>36</v>
      </c>
      <c r="G174" s="65">
        <v>0.98345003182686186</v>
      </c>
      <c r="H174" s="65">
        <v>1.0821133036282623E-2</v>
      </c>
      <c r="I174" s="65">
        <v>5.7288351368555059E-3</v>
      </c>
      <c r="K174" s="29">
        <v>225</v>
      </c>
      <c r="L174" s="64">
        <v>207</v>
      </c>
      <c r="M174" s="64">
        <v>10</v>
      </c>
      <c r="N174" s="64">
        <v>8</v>
      </c>
      <c r="P174" s="65">
        <v>0.92</v>
      </c>
      <c r="Q174" s="65">
        <v>4.4444444444444446E-2</v>
      </c>
      <c r="R174" s="65">
        <v>3.5555555555555556E-2</v>
      </c>
      <c r="T174" s="29">
        <v>0</v>
      </c>
      <c r="U174" s="64">
        <v>0</v>
      </c>
      <c r="V174" s="64">
        <v>0</v>
      </c>
      <c r="W174" s="64">
        <v>0</v>
      </c>
      <c r="Y174" s="65">
        <v>0</v>
      </c>
      <c r="Z174" s="65">
        <v>0</v>
      </c>
      <c r="AA174" s="65">
        <v>0</v>
      </c>
      <c r="AD174" s="29">
        <v>0</v>
      </c>
      <c r="AE174" s="64">
        <v>0</v>
      </c>
      <c r="AF174" s="64">
        <v>0</v>
      </c>
      <c r="AG174" s="64">
        <v>0</v>
      </c>
      <c r="AI174" s="65">
        <v>0</v>
      </c>
      <c r="AJ174" s="65">
        <v>0</v>
      </c>
      <c r="AK174" s="65">
        <v>0</v>
      </c>
      <c r="AM174" s="29">
        <v>0</v>
      </c>
      <c r="AN174" s="64">
        <v>0</v>
      </c>
      <c r="AO174" s="64">
        <v>0</v>
      </c>
      <c r="AP174" s="64">
        <v>0</v>
      </c>
      <c r="AR174" s="65">
        <v>0</v>
      </c>
      <c r="AS174" s="65">
        <v>0</v>
      </c>
      <c r="AT174" s="65">
        <v>0</v>
      </c>
      <c r="AV174" s="29">
        <v>0</v>
      </c>
      <c r="AW174" s="64">
        <v>0</v>
      </c>
      <c r="AX174" s="64">
        <v>0</v>
      </c>
      <c r="AY174" s="64">
        <v>0</v>
      </c>
      <c r="BA174" s="65">
        <v>0</v>
      </c>
      <c r="BB174" s="65">
        <v>0</v>
      </c>
      <c r="BC174" s="65">
        <v>0</v>
      </c>
    </row>
    <row r="175" spans="1:55" s="64" customFormat="1" x14ac:dyDescent="0.2">
      <c r="A175" s="63" t="s">
        <v>29</v>
      </c>
      <c r="B175" s="29">
        <v>0</v>
      </c>
      <c r="C175" s="64">
        <v>0</v>
      </c>
      <c r="D175" s="64">
        <v>0</v>
      </c>
      <c r="E175" s="64">
        <v>0</v>
      </c>
      <c r="G175" s="65">
        <v>0</v>
      </c>
      <c r="H175" s="65">
        <v>0</v>
      </c>
      <c r="I175" s="65">
        <v>0</v>
      </c>
      <c r="K175" s="29">
        <v>133</v>
      </c>
      <c r="L175" s="64">
        <v>133</v>
      </c>
      <c r="M175" s="64">
        <v>0</v>
      </c>
      <c r="N175" s="64">
        <v>0</v>
      </c>
      <c r="P175" s="65">
        <v>1</v>
      </c>
      <c r="Q175" s="65">
        <v>0</v>
      </c>
      <c r="R175" s="65">
        <v>0</v>
      </c>
      <c r="T175" s="29">
        <v>2</v>
      </c>
      <c r="U175" s="64">
        <v>2</v>
      </c>
      <c r="V175" s="64">
        <v>0</v>
      </c>
      <c r="W175" s="64">
        <v>0</v>
      </c>
      <c r="Y175" s="65">
        <v>1</v>
      </c>
      <c r="Z175" s="65">
        <v>0</v>
      </c>
      <c r="AA175" s="65">
        <v>0</v>
      </c>
      <c r="AD175" s="29">
        <v>0</v>
      </c>
      <c r="AE175" s="64">
        <v>0</v>
      </c>
      <c r="AF175" s="64">
        <v>0</v>
      </c>
      <c r="AG175" s="64">
        <v>0</v>
      </c>
      <c r="AI175" s="65">
        <v>0</v>
      </c>
      <c r="AJ175" s="65">
        <v>0</v>
      </c>
      <c r="AK175" s="65">
        <v>0</v>
      </c>
      <c r="AM175" s="29">
        <v>0</v>
      </c>
      <c r="AN175" s="64">
        <v>0</v>
      </c>
      <c r="AO175" s="64">
        <v>0</v>
      </c>
      <c r="AP175" s="64">
        <v>0</v>
      </c>
      <c r="AR175" s="65">
        <v>0</v>
      </c>
      <c r="AS175" s="65">
        <v>0</v>
      </c>
      <c r="AT175" s="65">
        <v>0</v>
      </c>
      <c r="AV175" s="29">
        <v>0</v>
      </c>
      <c r="AW175" s="64">
        <v>0</v>
      </c>
      <c r="AX175" s="64">
        <v>0</v>
      </c>
      <c r="AY175" s="64">
        <v>0</v>
      </c>
      <c r="BA175" s="65">
        <v>0</v>
      </c>
      <c r="BB175" s="65">
        <v>0</v>
      </c>
      <c r="BC175" s="65">
        <v>0</v>
      </c>
    </row>
    <row r="176" spans="1:55" s="64" customFormat="1" x14ac:dyDescent="0.2">
      <c r="A176" s="63" t="s">
        <v>31</v>
      </c>
      <c r="B176" s="29">
        <v>1975</v>
      </c>
      <c r="C176" s="64">
        <v>1967</v>
      </c>
      <c r="D176" s="64">
        <v>4</v>
      </c>
      <c r="E176" s="64">
        <v>4</v>
      </c>
      <c r="G176" s="65">
        <v>0.9959493670886076</v>
      </c>
      <c r="H176" s="65">
        <v>2.0253164556962027E-3</v>
      </c>
      <c r="I176" s="65">
        <v>2.0253164556962027E-3</v>
      </c>
      <c r="K176" s="29">
        <v>140</v>
      </c>
      <c r="L176" s="64">
        <v>140</v>
      </c>
      <c r="M176" s="64">
        <v>0</v>
      </c>
      <c r="N176" s="64">
        <v>0</v>
      </c>
      <c r="P176" s="65">
        <v>1</v>
      </c>
      <c r="Q176" s="65">
        <v>0</v>
      </c>
      <c r="R176" s="65">
        <v>0</v>
      </c>
      <c r="T176" s="29">
        <v>0</v>
      </c>
      <c r="U176" s="64">
        <v>0</v>
      </c>
      <c r="V176" s="64">
        <v>0</v>
      </c>
      <c r="W176" s="64">
        <v>0</v>
      </c>
      <c r="Y176" s="65">
        <v>0</v>
      </c>
      <c r="Z176" s="65">
        <v>0</v>
      </c>
      <c r="AA176" s="65">
        <v>0</v>
      </c>
      <c r="AD176" s="29">
        <v>0</v>
      </c>
      <c r="AE176" s="64">
        <v>0</v>
      </c>
      <c r="AF176" s="64">
        <v>0</v>
      </c>
      <c r="AG176" s="64">
        <v>0</v>
      </c>
      <c r="AI176" s="65">
        <v>0</v>
      </c>
      <c r="AJ176" s="65">
        <v>0</v>
      </c>
      <c r="AK176" s="65">
        <v>0</v>
      </c>
      <c r="AM176" s="29">
        <v>0</v>
      </c>
      <c r="AN176" s="64">
        <v>0</v>
      </c>
      <c r="AO176" s="64">
        <v>0</v>
      </c>
      <c r="AP176" s="64">
        <v>0</v>
      </c>
      <c r="AR176" s="65">
        <v>0</v>
      </c>
      <c r="AS176" s="65">
        <v>0</v>
      </c>
      <c r="AT176" s="65">
        <v>0</v>
      </c>
      <c r="AV176" s="29">
        <v>0</v>
      </c>
      <c r="AW176" s="64">
        <v>0</v>
      </c>
      <c r="AX176" s="64">
        <v>0</v>
      </c>
      <c r="AY176" s="64">
        <v>0</v>
      </c>
      <c r="BA176" s="65">
        <v>0</v>
      </c>
      <c r="BB176" s="65">
        <v>0</v>
      </c>
      <c r="BC176" s="65">
        <v>0</v>
      </c>
    </row>
    <row r="177" spans="1:55" s="64" customFormat="1" x14ac:dyDescent="0.2">
      <c r="A177" s="63" t="s">
        <v>33</v>
      </c>
      <c r="B177" s="29">
        <v>4785</v>
      </c>
      <c r="C177" s="64">
        <v>4711</v>
      </c>
      <c r="D177" s="64">
        <v>74</v>
      </c>
      <c r="E177" s="64">
        <v>0</v>
      </c>
      <c r="G177" s="65">
        <v>0.98453500522466042</v>
      </c>
      <c r="H177" s="65">
        <v>1.5464994775339603E-2</v>
      </c>
      <c r="I177" s="65">
        <v>0</v>
      </c>
      <c r="K177" s="29">
        <v>801</v>
      </c>
      <c r="L177" s="64">
        <v>776</v>
      </c>
      <c r="M177" s="64">
        <v>25</v>
      </c>
      <c r="N177" s="64">
        <v>0</v>
      </c>
      <c r="P177" s="65">
        <v>0.96878901373283399</v>
      </c>
      <c r="Q177" s="65">
        <v>3.1210986267166042E-2</v>
      </c>
      <c r="R177" s="65">
        <v>0</v>
      </c>
      <c r="T177" s="29">
        <v>0</v>
      </c>
      <c r="U177" s="64">
        <v>0</v>
      </c>
      <c r="V177" s="64">
        <v>0</v>
      </c>
      <c r="W177" s="64">
        <v>0</v>
      </c>
      <c r="Y177" s="65">
        <v>0</v>
      </c>
      <c r="Z177" s="65">
        <v>0</v>
      </c>
      <c r="AA177" s="65">
        <v>0</v>
      </c>
      <c r="AD177" s="29">
        <v>0</v>
      </c>
      <c r="AE177" s="64">
        <v>0</v>
      </c>
      <c r="AF177" s="64">
        <v>0</v>
      </c>
      <c r="AG177" s="64">
        <v>0</v>
      </c>
      <c r="AI177" s="65">
        <v>0</v>
      </c>
      <c r="AJ177" s="65">
        <v>0</v>
      </c>
      <c r="AK177" s="65">
        <v>0</v>
      </c>
      <c r="AM177" s="29">
        <v>0</v>
      </c>
      <c r="AN177" s="64">
        <v>0</v>
      </c>
      <c r="AO177" s="64">
        <v>0</v>
      </c>
      <c r="AP177" s="64">
        <v>0</v>
      </c>
      <c r="AR177" s="65">
        <v>0</v>
      </c>
      <c r="AS177" s="65">
        <v>0</v>
      </c>
      <c r="AT177" s="65">
        <v>0</v>
      </c>
      <c r="AV177" s="29">
        <v>0</v>
      </c>
      <c r="AW177" s="64">
        <v>0</v>
      </c>
      <c r="AX177" s="64">
        <v>0</v>
      </c>
      <c r="AY177" s="64">
        <v>0</v>
      </c>
      <c r="BA177" s="65">
        <v>0</v>
      </c>
      <c r="BB177" s="65">
        <v>0</v>
      </c>
      <c r="BC177" s="65">
        <v>0</v>
      </c>
    </row>
    <row r="178" spans="1:55" s="64" customFormat="1" x14ac:dyDescent="0.2">
      <c r="A178" s="63" t="s">
        <v>34</v>
      </c>
      <c r="B178" s="29">
        <v>1249</v>
      </c>
      <c r="C178" s="64">
        <v>1248</v>
      </c>
      <c r="D178" s="64">
        <v>0</v>
      </c>
      <c r="E178" s="64">
        <v>1</v>
      </c>
      <c r="G178" s="65">
        <v>0.99919935948759009</v>
      </c>
      <c r="H178" s="65">
        <v>0</v>
      </c>
      <c r="I178" s="65">
        <v>8.0064051240992789E-4</v>
      </c>
      <c r="K178" s="29">
        <v>22</v>
      </c>
      <c r="L178" s="64">
        <v>22</v>
      </c>
      <c r="M178" s="64">
        <v>0</v>
      </c>
      <c r="N178" s="64">
        <v>0</v>
      </c>
      <c r="P178" s="65">
        <v>1</v>
      </c>
      <c r="Q178" s="65">
        <v>0</v>
      </c>
      <c r="R178" s="65">
        <v>0</v>
      </c>
      <c r="T178" s="29">
        <v>0</v>
      </c>
      <c r="U178" s="64">
        <v>0</v>
      </c>
      <c r="V178" s="64">
        <v>0</v>
      </c>
      <c r="W178" s="64">
        <v>0</v>
      </c>
      <c r="Y178" s="65">
        <v>0</v>
      </c>
      <c r="Z178" s="65">
        <v>0</v>
      </c>
      <c r="AA178" s="65">
        <v>0</v>
      </c>
      <c r="AD178" s="29">
        <v>0</v>
      </c>
      <c r="AE178" s="64">
        <v>0</v>
      </c>
      <c r="AF178" s="64">
        <v>0</v>
      </c>
      <c r="AG178" s="64">
        <v>0</v>
      </c>
      <c r="AI178" s="65">
        <v>0</v>
      </c>
      <c r="AJ178" s="65">
        <v>0</v>
      </c>
      <c r="AK178" s="65">
        <v>0</v>
      </c>
      <c r="AM178" s="29">
        <v>0</v>
      </c>
      <c r="AN178" s="64">
        <v>0</v>
      </c>
      <c r="AO178" s="64">
        <v>0</v>
      </c>
      <c r="AP178" s="64">
        <v>0</v>
      </c>
      <c r="AR178" s="65">
        <v>0</v>
      </c>
      <c r="AS178" s="65">
        <v>0</v>
      </c>
      <c r="AT178" s="65">
        <v>0</v>
      </c>
      <c r="AV178" s="29">
        <v>0</v>
      </c>
      <c r="AW178" s="64">
        <v>0</v>
      </c>
      <c r="AX178" s="64">
        <v>0</v>
      </c>
      <c r="AY178" s="64">
        <v>0</v>
      </c>
      <c r="BA178" s="65">
        <v>0</v>
      </c>
      <c r="BB178" s="65">
        <v>0</v>
      </c>
      <c r="BC178" s="65">
        <v>0</v>
      </c>
    </row>
    <row r="179" spans="1:55" s="64" customFormat="1" x14ac:dyDescent="0.2">
      <c r="A179" s="63" t="s">
        <v>35</v>
      </c>
      <c r="B179" s="29">
        <v>63317</v>
      </c>
      <c r="C179" s="64">
        <v>62644</v>
      </c>
      <c r="D179" s="64">
        <v>673</v>
      </c>
      <c r="E179" s="64">
        <v>0</v>
      </c>
      <c r="G179" s="65">
        <v>0.98937094303267681</v>
      </c>
      <c r="H179" s="65">
        <v>1.0629056967323152E-2</v>
      </c>
      <c r="I179" s="65">
        <v>0</v>
      </c>
      <c r="K179" s="29">
        <v>3239</v>
      </c>
      <c r="L179" s="64">
        <v>3109</v>
      </c>
      <c r="M179" s="64">
        <v>130</v>
      </c>
      <c r="N179" s="64">
        <v>0</v>
      </c>
      <c r="P179" s="65">
        <v>0.9598641556035814</v>
      </c>
      <c r="Q179" s="65">
        <v>4.0135844396418645E-2</v>
      </c>
      <c r="R179" s="65">
        <v>0</v>
      </c>
      <c r="T179" s="29">
        <v>1069</v>
      </c>
      <c r="U179" s="64">
        <v>1063</v>
      </c>
      <c r="V179" s="64">
        <v>6</v>
      </c>
      <c r="W179" s="64">
        <v>0</v>
      </c>
      <c r="Y179" s="65">
        <v>0.99438727782974745</v>
      </c>
      <c r="Z179" s="65">
        <v>5.6127221702525721E-3</v>
      </c>
      <c r="AA179" s="65">
        <v>0</v>
      </c>
      <c r="AD179" s="29">
        <v>46661</v>
      </c>
      <c r="AE179" s="64">
        <v>45997</v>
      </c>
      <c r="AF179" s="64">
        <v>664</v>
      </c>
      <c r="AG179" s="64">
        <v>0</v>
      </c>
      <c r="AI179" s="65">
        <v>0.98576970060650226</v>
      </c>
      <c r="AJ179" s="65">
        <v>1.4230299393497781E-2</v>
      </c>
      <c r="AK179" s="65">
        <v>0</v>
      </c>
      <c r="AM179" s="29">
        <v>548</v>
      </c>
      <c r="AN179" s="64">
        <v>498</v>
      </c>
      <c r="AO179" s="64">
        <v>50</v>
      </c>
      <c r="AP179" s="64">
        <v>0</v>
      </c>
      <c r="AR179" s="65">
        <v>0.90875912408759119</v>
      </c>
      <c r="AS179" s="65">
        <v>9.1240875912408759E-2</v>
      </c>
      <c r="AT179" s="65">
        <v>0</v>
      </c>
      <c r="AV179" s="29">
        <v>62</v>
      </c>
      <c r="AW179" s="64">
        <v>58</v>
      </c>
      <c r="AX179" s="64">
        <v>4</v>
      </c>
      <c r="AY179" s="64">
        <v>0</v>
      </c>
      <c r="BA179" s="65">
        <v>0.93548387096774188</v>
      </c>
      <c r="BB179" s="65">
        <v>6.4516129032258063E-2</v>
      </c>
      <c r="BC179" s="65">
        <v>0</v>
      </c>
    </row>
    <row r="180" spans="1:55" s="64" customFormat="1" x14ac:dyDescent="0.2">
      <c r="A180" s="63" t="s">
        <v>84</v>
      </c>
      <c r="B180" s="29">
        <v>0</v>
      </c>
      <c r="C180" s="64">
        <v>0</v>
      </c>
      <c r="D180" s="64">
        <v>0</v>
      </c>
      <c r="E180" s="64">
        <v>0</v>
      </c>
      <c r="G180" s="65">
        <v>0</v>
      </c>
      <c r="H180" s="65">
        <v>0</v>
      </c>
      <c r="I180" s="65">
        <v>0</v>
      </c>
      <c r="K180" s="29">
        <v>26</v>
      </c>
      <c r="L180" s="64">
        <v>26</v>
      </c>
      <c r="M180" s="64">
        <v>0</v>
      </c>
      <c r="N180" s="64">
        <v>0</v>
      </c>
      <c r="P180" s="65">
        <v>1</v>
      </c>
      <c r="Q180" s="65">
        <v>0</v>
      </c>
      <c r="R180" s="65">
        <v>0</v>
      </c>
      <c r="T180" s="29">
        <v>12</v>
      </c>
      <c r="U180" s="64">
        <v>12</v>
      </c>
      <c r="V180" s="64">
        <v>0</v>
      </c>
      <c r="W180" s="64">
        <v>0</v>
      </c>
      <c r="Y180" s="65">
        <v>1</v>
      </c>
      <c r="Z180" s="65">
        <v>0</v>
      </c>
      <c r="AA180" s="65">
        <v>0</v>
      </c>
      <c r="AD180" s="29">
        <v>0</v>
      </c>
      <c r="AE180" s="64">
        <v>0</v>
      </c>
      <c r="AF180" s="64">
        <v>0</v>
      </c>
      <c r="AG180" s="64">
        <v>0</v>
      </c>
      <c r="AI180" s="65">
        <v>0</v>
      </c>
      <c r="AJ180" s="65">
        <v>0</v>
      </c>
      <c r="AK180" s="65">
        <v>0</v>
      </c>
      <c r="AM180" s="29">
        <v>0</v>
      </c>
      <c r="AN180" s="64">
        <v>0</v>
      </c>
      <c r="AO180" s="64">
        <v>0</v>
      </c>
      <c r="AP180" s="64">
        <v>0</v>
      </c>
      <c r="AR180" s="65">
        <v>0</v>
      </c>
      <c r="AS180" s="65">
        <v>0</v>
      </c>
      <c r="AT180" s="65">
        <v>0</v>
      </c>
      <c r="AV180" s="29">
        <v>0</v>
      </c>
      <c r="AW180" s="64">
        <v>0</v>
      </c>
      <c r="AX180" s="64">
        <v>0</v>
      </c>
      <c r="AY180" s="64">
        <v>0</v>
      </c>
      <c r="BA180" s="65">
        <v>0</v>
      </c>
      <c r="BB180" s="65">
        <v>0</v>
      </c>
      <c r="BC180" s="65">
        <v>0</v>
      </c>
    </row>
    <row r="181" spans="1:55" s="64" customFormat="1" x14ac:dyDescent="0.2">
      <c r="A181" s="63" t="s">
        <v>85</v>
      </c>
      <c r="B181" s="29">
        <v>0</v>
      </c>
      <c r="C181" s="64">
        <v>0</v>
      </c>
      <c r="D181" s="64">
        <v>0</v>
      </c>
      <c r="E181" s="64">
        <v>0</v>
      </c>
      <c r="G181" s="65">
        <v>0</v>
      </c>
      <c r="H181" s="65">
        <v>0</v>
      </c>
      <c r="I181" s="65">
        <v>0</v>
      </c>
      <c r="K181" s="29">
        <v>55</v>
      </c>
      <c r="L181" s="64">
        <v>29</v>
      </c>
      <c r="M181" s="64">
        <v>13</v>
      </c>
      <c r="N181" s="64">
        <v>13</v>
      </c>
      <c r="P181" s="65">
        <v>0.52727272727272723</v>
      </c>
      <c r="Q181" s="65">
        <v>0.23636363636363636</v>
      </c>
      <c r="R181" s="65">
        <v>0.23636363636363636</v>
      </c>
      <c r="T181" s="29">
        <v>62</v>
      </c>
      <c r="U181" s="64">
        <v>61</v>
      </c>
      <c r="V181" s="64">
        <v>0</v>
      </c>
      <c r="W181" s="64">
        <v>1</v>
      </c>
      <c r="Y181" s="65">
        <v>0.9838709677419355</v>
      </c>
      <c r="Z181" s="65">
        <v>0</v>
      </c>
      <c r="AA181" s="65">
        <v>1.6129032258064516E-2</v>
      </c>
      <c r="AD181" s="29">
        <v>0</v>
      </c>
      <c r="AE181" s="64">
        <v>0</v>
      </c>
      <c r="AF181" s="64">
        <v>0</v>
      </c>
      <c r="AG181" s="64">
        <v>0</v>
      </c>
      <c r="AI181" s="65">
        <v>0</v>
      </c>
      <c r="AJ181" s="65">
        <v>0</v>
      </c>
      <c r="AK181" s="65">
        <v>0</v>
      </c>
      <c r="AM181" s="29">
        <v>0</v>
      </c>
      <c r="AN181" s="64">
        <v>0</v>
      </c>
      <c r="AO181" s="64">
        <v>0</v>
      </c>
      <c r="AP181" s="64">
        <v>0</v>
      </c>
      <c r="AR181" s="65">
        <v>0</v>
      </c>
      <c r="AS181" s="65">
        <v>0</v>
      </c>
      <c r="AT181" s="65">
        <v>0</v>
      </c>
      <c r="AV181" s="29">
        <v>0</v>
      </c>
      <c r="AW181" s="64">
        <v>0</v>
      </c>
      <c r="AX181" s="64">
        <v>0</v>
      </c>
      <c r="AY181" s="64">
        <v>0</v>
      </c>
      <c r="BA181" s="65">
        <v>0</v>
      </c>
      <c r="BB181" s="65">
        <v>0</v>
      </c>
      <c r="BC181" s="65">
        <v>0</v>
      </c>
    </row>
    <row r="182" spans="1:55" s="64" customFormat="1" x14ac:dyDescent="0.2">
      <c r="A182" s="63" t="s">
        <v>42</v>
      </c>
      <c r="B182" s="29">
        <v>35687</v>
      </c>
      <c r="C182" s="64">
        <v>35214</v>
      </c>
      <c r="D182" s="64">
        <v>463</v>
      </c>
      <c r="E182" s="64">
        <v>10</v>
      </c>
      <c r="G182" s="65">
        <v>0.98674587384761958</v>
      </c>
      <c r="H182" s="65">
        <v>1.2973912068820578E-2</v>
      </c>
      <c r="I182" s="65">
        <v>2.802140835598397E-4</v>
      </c>
      <c r="K182" s="29">
        <v>2695</v>
      </c>
      <c r="L182" s="64">
        <v>2585</v>
      </c>
      <c r="M182" s="64">
        <v>99</v>
      </c>
      <c r="N182" s="64">
        <v>11</v>
      </c>
      <c r="P182" s="65">
        <v>0.95918367346938771</v>
      </c>
      <c r="Q182" s="65">
        <v>3.6734693877551024E-2</v>
      </c>
      <c r="R182" s="65">
        <v>4.0816326530612249E-3</v>
      </c>
      <c r="T182" s="29">
        <v>11</v>
      </c>
      <c r="U182" s="64">
        <v>11</v>
      </c>
      <c r="V182" s="64">
        <v>0</v>
      </c>
      <c r="W182" s="64">
        <v>0</v>
      </c>
      <c r="Y182" s="65">
        <v>1</v>
      </c>
      <c r="Z182" s="65">
        <v>0</v>
      </c>
      <c r="AA182" s="65">
        <v>0</v>
      </c>
      <c r="AD182" s="29">
        <v>6645</v>
      </c>
      <c r="AE182" s="64">
        <v>6645</v>
      </c>
      <c r="AF182" s="64">
        <v>0</v>
      </c>
      <c r="AG182" s="64">
        <v>0</v>
      </c>
      <c r="AI182" s="65">
        <v>1</v>
      </c>
      <c r="AJ182" s="65">
        <v>0</v>
      </c>
      <c r="AK182" s="65">
        <v>0</v>
      </c>
      <c r="AM182" s="29">
        <v>13</v>
      </c>
      <c r="AN182" s="64">
        <v>13</v>
      </c>
      <c r="AO182" s="64">
        <v>0</v>
      </c>
      <c r="AP182" s="64">
        <v>0</v>
      </c>
      <c r="AR182" s="65">
        <v>1</v>
      </c>
      <c r="AS182" s="65">
        <v>0</v>
      </c>
      <c r="AT182" s="65">
        <v>0</v>
      </c>
      <c r="AV182" s="29">
        <v>0</v>
      </c>
      <c r="AW182" s="64">
        <v>0</v>
      </c>
      <c r="AX182" s="64">
        <v>0</v>
      </c>
      <c r="AY182" s="64">
        <v>0</v>
      </c>
      <c r="BA182" s="65">
        <v>0</v>
      </c>
      <c r="BB182" s="65">
        <v>0</v>
      </c>
      <c r="BC182" s="65">
        <v>0</v>
      </c>
    </row>
    <row r="183" spans="1:55" s="64" customFormat="1" x14ac:dyDescent="0.2">
      <c r="A183" s="63" t="s">
        <v>91</v>
      </c>
      <c r="B183" s="29">
        <v>0</v>
      </c>
      <c r="C183" s="64">
        <v>0</v>
      </c>
      <c r="D183" s="64">
        <v>0</v>
      </c>
      <c r="E183" s="64">
        <v>0</v>
      </c>
      <c r="G183" s="65">
        <v>0</v>
      </c>
      <c r="H183" s="65">
        <v>0</v>
      </c>
      <c r="I183" s="65">
        <v>0</v>
      </c>
      <c r="K183" s="29">
        <v>0</v>
      </c>
      <c r="L183" s="64">
        <v>0</v>
      </c>
      <c r="M183" s="64">
        <v>0</v>
      </c>
      <c r="N183" s="64">
        <v>0</v>
      </c>
      <c r="P183" s="65">
        <v>0</v>
      </c>
      <c r="Q183" s="65">
        <v>0</v>
      </c>
      <c r="R183" s="65">
        <v>0</v>
      </c>
      <c r="T183" s="29">
        <v>2</v>
      </c>
      <c r="U183" s="64">
        <v>2</v>
      </c>
      <c r="V183" s="64">
        <v>0</v>
      </c>
      <c r="W183" s="64">
        <v>0</v>
      </c>
      <c r="Y183" s="65">
        <v>1</v>
      </c>
      <c r="Z183" s="65">
        <v>0</v>
      </c>
      <c r="AA183" s="65">
        <v>0</v>
      </c>
      <c r="AD183" s="29">
        <v>0</v>
      </c>
      <c r="AE183" s="64">
        <v>0</v>
      </c>
      <c r="AF183" s="64">
        <v>0</v>
      </c>
      <c r="AG183" s="64">
        <v>0</v>
      </c>
      <c r="AI183" s="65">
        <v>0</v>
      </c>
      <c r="AJ183" s="65">
        <v>0</v>
      </c>
      <c r="AK183" s="65">
        <v>0</v>
      </c>
      <c r="AM183" s="29">
        <v>0</v>
      </c>
      <c r="AN183" s="64">
        <v>0</v>
      </c>
      <c r="AO183" s="64">
        <v>0</v>
      </c>
      <c r="AP183" s="64">
        <v>0</v>
      </c>
      <c r="AR183" s="65">
        <v>0</v>
      </c>
      <c r="AS183" s="65">
        <v>0</v>
      </c>
      <c r="AT183" s="65">
        <v>0</v>
      </c>
      <c r="AV183" s="29">
        <v>0</v>
      </c>
      <c r="AW183" s="64">
        <v>0</v>
      </c>
      <c r="AX183" s="64">
        <v>0</v>
      </c>
      <c r="AY183" s="64">
        <v>0</v>
      </c>
      <c r="BA183" s="65">
        <v>0</v>
      </c>
      <c r="BB183" s="65">
        <v>0</v>
      </c>
      <c r="BC183" s="65">
        <v>0</v>
      </c>
    </row>
    <row r="184" spans="1:55" s="64" customFormat="1" x14ac:dyDescent="0.2">
      <c r="A184" s="63" t="s">
        <v>45</v>
      </c>
      <c r="B184" s="29">
        <v>3699</v>
      </c>
      <c r="C184" s="64">
        <v>3687</v>
      </c>
      <c r="D184" s="64">
        <v>1</v>
      </c>
      <c r="E184" s="64">
        <v>11</v>
      </c>
      <c r="G184" s="65">
        <v>0.99675587996755877</v>
      </c>
      <c r="H184" s="65">
        <v>2.703433360367667E-4</v>
      </c>
      <c r="I184" s="65">
        <v>2.9737766964044337E-3</v>
      </c>
      <c r="K184" s="29">
        <v>2945</v>
      </c>
      <c r="L184" s="64">
        <v>2907</v>
      </c>
      <c r="M184" s="64">
        <v>2</v>
      </c>
      <c r="N184" s="64">
        <v>36</v>
      </c>
      <c r="P184" s="65">
        <v>0.98709677419354835</v>
      </c>
      <c r="Q184" s="65">
        <v>6.7911714770797966E-4</v>
      </c>
      <c r="R184" s="65">
        <v>1.2224108658743633E-2</v>
      </c>
      <c r="T184" s="29">
        <v>118</v>
      </c>
      <c r="U184" s="64">
        <v>118</v>
      </c>
      <c r="V184" s="64">
        <v>0</v>
      </c>
      <c r="W184" s="64">
        <v>0</v>
      </c>
      <c r="Y184" s="65">
        <v>1</v>
      </c>
      <c r="Z184" s="65">
        <v>0</v>
      </c>
      <c r="AA184" s="65">
        <v>0</v>
      </c>
      <c r="AD184" s="29">
        <v>0</v>
      </c>
      <c r="AE184" s="64">
        <v>0</v>
      </c>
      <c r="AF184" s="64">
        <v>0</v>
      </c>
      <c r="AG184" s="64">
        <v>0</v>
      </c>
      <c r="AI184" s="65">
        <v>0</v>
      </c>
      <c r="AJ184" s="65">
        <v>0</v>
      </c>
      <c r="AK184" s="65">
        <v>0</v>
      </c>
      <c r="AM184" s="29">
        <v>0</v>
      </c>
      <c r="AN184" s="64">
        <v>0</v>
      </c>
      <c r="AO184" s="64">
        <v>0</v>
      </c>
      <c r="AP184" s="64">
        <v>0</v>
      </c>
      <c r="AR184" s="65">
        <v>0</v>
      </c>
      <c r="AS184" s="65">
        <v>0</v>
      </c>
      <c r="AT184" s="65">
        <v>0</v>
      </c>
      <c r="AV184" s="29">
        <v>0</v>
      </c>
      <c r="AW184" s="64">
        <v>0</v>
      </c>
      <c r="AX184" s="64">
        <v>0</v>
      </c>
      <c r="AY184" s="64">
        <v>0</v>
      </c>
      <c r="BA184" s="65">
        <v>0</v>
      </c>
      <c r="BB184" s="65">
        <v>0</v>
      </c>
      <c r="BC184" s="65">
        <v>0</v>
      </c>
    </row>
    <row r="185" spans="1:55" s="64" customFormat="1" x14ac:dyDescent="0.2">
      <c r="A185" s="63" t="s">
        <v>46</v>
      </c>
      <c r="B185" s="29">
        <v>0</v>
      </c>
      <c r="C185" s="64">
        <v>0</v>
      </c>
      <c r="D185" s="64">
        <v>0</v>
      </c>
      <c r="E185" s="64">
        <v>0</v>
      </c>
      <c r="G185" s="65">
        <v>0</v>
      </c>
      <c r="H185" s="65">
        <v>0</v>
      </c>
      <c r="I185" s="65">
        <v>0</v>
      </c>
      <c r="K185" s="29">
        <v>258</v>
      </c>
      <c r="L185" s="64">
        <v>240</v>
      </c>
      <c r="M185" s="64">
        <v>12</v>
      </c>
      <c r="N185" s="64">
        <v>6</v>
      </c>
      <c r="P185" s="65">
        <v>0.93023255813953487</v>
      </c>
      <c r="Q185" s="65">
        <v>4.6511627906976744E-2</v>
      </c>
      <c r="R185" s="65">
        <v>2.3255813953488372E-2</v>
      </c>
      <c r="T185" s="29">
        <v>13</v>
      </c>
      <c r="U185" s="64">
        <v>13</v>
      </c>
      <c r="V185" s="64">
        <v>0</v>
      </c>
      <c r="W185" s="64">
        <v>0</v>
      </c>
      <c r="Y185" s="65">
        <v>1</v>
      </c>
      <c r="Z185" s="65">
        <v>0</v>
      </c>
      <c r="AA185" s="65">
        <v>0</v>
      </c>
      <c r="AD185" s="29">
        <v>0</v>
      </c>
      <c r="AE185" s="64">
        <v>0</v>
      </c>
      <c r="AF185" s="64">
        <v>0</v>
      </c>
      <c r="AG185" s="64">
        <v>0</v>
      </c>
      <c r="AI185" s="65">
        <v>0</v>
      </c>
      <c r="AJ185" s="65">
        <v>0</v>
      </c>
      <c r="AK185" s="65">
        <v>0</v>
      </c>
      <c r="AM185" s="29">
        <v>0</v>
      </c>
      <c r="AN185" s="64">
        <v>0</v>
      </c>
      <c r="AO185" s="64">
        <v>0</v>
      </c>
      <c r="AP185" s="64">
        <v>0</v>
      </c>
      <c r="AR185" s="65">
        <v>0</v>
      </c>
      <c r="AS185" s="65">
        <v>0</v>
      </c>
      <c r="AT185" s="65">
        <v>0</v>
      </c>
      <c r="AV185" s="29">
        <v>0</v>
      </c>
      <c r="AW185" s="64">
        <v>0</v>
      </c>
      <c r="AX185" s="64">
        <v>0</v>
      </c>
      <c r="AY185" s="64">
        <v>0</v>
      </c>
      <c r="BA185" s="65">
        <v>0</v>
      </c>
      <c r="BB185" s="65">
        <v>0</v>
      </c>
      <c r="BC185" s="65">
        <v>0</v>
      </c>
    </row>
    <row r="186" spans="1:55" s="64" customFormat="1" x14ac:dyDescent="0.2">
      <c r="A186" s="63" t="s">
        <v>48</v>
      </c>
      <c r="B186" s="29">
        <v>202232</v>
      </c>
      <c r="C186" s="64">
        <v>194959</v>
      </c>
      <c r="D186" s="64">
        <v>6997</v>
      </c>
      <c r="E186" s="64">
        <v>276</v>
      </c>
      <c r="G186" s="65">
        <v>0.96403635428616641</v>
      </c>
      <c r="H186" s="65">
        <v>3.4598876537837733E-2</v>
      </c>
      <c r="I186" s="65">
        <v>1.3647691759958859E-3</v>
      </c>
      <c r="K186" s="29">
        <v>22726</v>
      </c>
      <c r="L186" s="64">
        <v>21556</v>
      </c>
      <c r="M186" s="64">
        <v>1011</v>
      </c>
      <c r="N186" s="64">
        <v>159</v>
      </c>
      <c r="P186" s="65">
        <v>0.94851711695854968</v>
      </c>
      <c r="Q186" s="65">
        <v>4.4486491243509639E-2</v>
      </c>
      <c r="R186" s="65">
        <v>6.9963917979406843E-3</v>
      </c>
      <c r="T186" s="29">
        <v>1744</v>
      </c>
      <c r="U186" s="64">
        <v>1743</v>
      </c>
      <c r="V186" s="64">
        <v>0</v>
      </c>
      <c r="W186" s="64">
        <v>1</v>
      </c>
      <c r="Y186" s="65">
        <v>0.99942660550458717</v>
      </c>
      <c r="Z186" s="65">
        <v>0</v>
      </c>
      <c r="AA186" s="65">
        <v>5.7339449541284407E-4</v>
      </c>
      <c r="AD186" s="29">
        <v>184325</v>
      </c>
      <c r="AE186" s="64">
        <v>148431</v>
      </c>
      <c r="AF186" s="64">
        <v>34174</v>
      </c>
      <c r="AG186" s="64">
        <v>1720</v>
      </c>
      <c r="AI186" s="65">
        <v>0.80526786925267868</v>
      </c>
      <c r="AJ186" s="65">
        <v>0.18540078665400786</v>
      </c>
      <c r="AK186" s="65">
        <v>9.3313440933134404E-3</v>
      </c>
      <c r="AM186" s="29">
        <v>6598</v>
      </c>
      <c r="AN186" s="64">
        <v>4147</v>
      </c>
      <c r="AO186" s="64">
        <v>2180</v>
      </c>
      <c r="AP186" s="64">
        <v>271</v>
      </c>
      <c r="AR186" s="65">
        <v>0.62852379508942102</v>
      </c>
      <c r="AS186" s="65">
        <v>0.3304031524704456</v>
      </c>
      <c r="AT186" s="65">
        <v>4.1073052440133373E-2</v>
      </c>
      <c r="AV186" s="29">
        <v>537</v>
      </c>
      <c r="AW186" s="64">
        <v>369</v>
      </c>
      <c r="AX186" s="64">
        <v>158</v>
      </c>
      <c r="AY186" s="64">
        <v>10</v>
      </c>
      <c r="BA186" s="65">
        <v>0.68715083798882681</v>
      </c>
      <c r="BB186" s="65">
        <v>0.29422718808193671</v>
      </c>
      <c r="BC186" s="65">
        <v>1.86219739292365E-2</v>
      </c>
    </row>
    <row r="187" spans="1:55" s="64" customFormat="1" x14ac:dyDescent="0.2">
      <c r="A187" s="63" t="s">
        <v>49</v>
      </c>
      <c r="B187" s="29">
        <v>2</v>
      </c>
      <c r="C187" s="64">
        <v>2</v>
      </c>
      <c r="D187" s="64">
        <v>0</v>
      </c>
      <c r="E187" s="64">
        <v>0</v>
      </c>
      <c r="G187" s="65">
        <v>1</v>
      </c>
      <c r="H187" s="65">
        <v>0</v>
      </c>
      <c r="I187" s="65">
        <v>0</v>
      </c>
      <c r="K187" s="29">
        <v>12</v>
      </c>
      <c r="L187" s="64">
        <v>0</v>
      </c>
      <c r="M187" s="64">
        <v>12</v>
      </c>
      <c r="N187" s="64">
        <v>0</v>
      </c>
      <c r="P187" s="65">
        <v>0</v>
      </c>
      <c r="Q187" s="65">
        <v>1</v>
      </c>
      <c r="R187" s="65">
        <v>0</v>
      </c>
      <c r="T187" s="29">
        <v>0</v>
      </c>
      <c r="U187" s="64">
        <v>0</v>
      </c>
      <c r="V187" s="64">
        <v>0</v>
      </c>
      <c r="W187" s="64">
        <v>0</v>
      </c>
      <c r="Y187" s="65">
        <v>0</v>
      </c>
      <c r="Z187" s="65">
        <v>0</v>
      </c>
      <c r="AA187" s="65">
        <v>0</v>
      </c>
      <c r="AD187" s="29">
        <v>0</v>
      </c>
      <c r="AE187" s="64">
        <v>0</v>
      </c>
      <c r="AF187" s="64">
        <v>0</v>
      </c>
      <c r="AG187" s="64">
        <v>0</v>
      </c>
      <c r="AI187" s="65">
        <v>0</v>
      </c>
      <c r="AJ187" s="65">
        <v>0</v>
      </c>
      <c r="AK187" s="65">
        <v>0</v>
      </c>
      <c r="AM187" s="29">
        <v>0</v>
      </c>
      <c r="AN187" s="64">
        <v>0</v>
      </c>
      <c r="AO187" s="64">
        <v>0</v>
      </c>
      <c r="AP187" s="64">
        <v>0</v>
      </c>
      <c r="AR187" s="65">
        <v>0</v>
      </c>
      <c r="AS187" s="65">
        <v>0</v>
      </c>
      <c r="AT187" s="65">
        <v>0</v>
      </c>
      <c r="AV187" s="29">
        <v>0</v>
      </c>
      <c r="AW187" s="64">
        <v>0</v>
      </c>
      <c r="AX187" s="64">
        <v>0</v>
      </c>
      <c r="AY187" s="64">
        <v>0</v>
      </c>
      <c r="BA187" s="65">
        <v>0</v>
      </c>
      <c r="BB187" s="65">
        <v>0</v>
      </c>
      <c r="BC187" s="65">
        <v>0</v>
      </c>
    </row>
    <row r="188" spans="1:55" s="64" customFormat="1" x14ac:dyDescent="0.2">
      <c r="A188" s="63" t="s">
        <v>139</v>
      </c>
      <c r="B188" s="29">
        <v>21084</v>
      </c>
      <c r="C188" s="64">
        <v>20690</v>
      </c>
      <c r="D188" s="64">
        <v>361</v>
      </c>
      <c r="E188" s="64">
        <v>33</v>
      </c>
      <c r="G188" s="65">
        <v>0.98131284386264461</v>
      </c>
      <c r="H188" s="65">
        <v>1.7121988237526087E-2</v>
      </c>
      <c r="I188" s="65">
        <v>1.5651678998292544E-3</v>
      </c>
      <c r="K188" s="29">
        <v>3649</v>
      </c>
      <c r="L188" s="64">
        <v>3271</v>
      </c>
      <c r="M188" s="64">
        <v>316</v>
      </c>
      <c r="N188" s="64">
        <v>62</v>
      </c>
      <c r="P188" s="65">
        <v>0.89640997533570843</v>
      </c>
      <c r="Q188" s="65">
        <v>8.6599068237873389E-2</v>
      </c>
      <c r="R188" s="65">
        <v>1.6990956426418197E-2</v>
      </c>
      <c r="T188" s="29">
        <v>9</v>
      </c>
      <c r="U188" s="64">
        <v>9</v>
      </c>
      <c r="V188" s="64">
        <v>0</v>
      </c>
      <c r="W188" s="64">
        <v>0</v>
      </c>
      <c r="Y188" s="65">
        <v>1</v>
      </c>
      <c r="Z188" s="65">
        <v>0</v>
      </c>
      <c r="AA188" s="65">
        <v>0</v>
      </c>
      <c r="AD188" s="29">
        <v>0</v>
      </c>
      <c r="AE188" s="64">
        <v>0</v>
      </c>
      <c r="AF188" s="64">
        <v>0</v>
      </c>
      <c r="AG188" s="64">
        <v>0</v>
      </c>
      <c r="AI188" s="65">
        <v>0</v>
      </c>
      <c r="AJ188" s="65">
        <v>0</v>
      </c>
      <c r="AK188" s="65">
        <v>0</v>
      </c>
      <c r="AM188" s="29">
        <v>0</v>
      </c>
      <c r="AN188" s="64">
        <v>0</v>
      </c>
      <c r="AO188" s="64">
        <v>0</v>
      </c>
      <c r="AP188" s="64">
        <v>0</v>
      </c>
      <c r="AR188" s="65">
        <v>0</v>
      </c>
      <c r="AS188" s="65">
        <v>0</v>
      </c>
      <c r="AT188" s="65">
        <v>0</v>
      </c>
      <c r="AV188" s="29">
        <v>0</v>
      </c>
      <c r="AW188" s="64">
        <v>0</v>
      </c>
      <c r="AX188" s="64">
        <v>0</v>
      </c>
      <c r="AY188" s="64">
        <v>0</v>
      </c>
      <c r="BA188" s="65">
        <v>0</v>
      </c>
      <c r="BB188" s="65">
        <v>0</v>
      </c>
      <c r="BC188" s="65">
        <v>0</v>
      </c>
    </row>
    <row r="189" spans="1:55" s="64" customFormat="1" x14ac:dyDescent="0.2">
      <c r="A189" s="63" t="s">
        <v>53</v>
      </c>
      <c r="B189" s="29">
        <v>34</v>
      </c>
      <c r="C189" s="64">
        <v>34</v>
      </c>
      <c r="D189" s="64">
        <v>0</v>
      </c>
      <c r="E189" s="64">
        <v>0</v>
      </c>
      <c r="G189" s="65">
        <v>1</v>
      </c>
      <c r="H189" s="65">
        <v>0</v>
      </c>
      <c r="I189" s="65">
        <v>0</v>
      </c>
      <c r="K189" s="29">
        <v>2</v>
      </c>
      <c r="L189" s="64">
        <v>2</v>
      </c>
      <c r="M189" s="64">
        <v>0</v>
      </c>
      <c r="N189" s="64">
        <v>0</v>
      </c>
      <c r="P189" s="65">
        <v>1</v>
      </c>
      <c r="Q189" s="65">
        <v>0</v>
      </c>
      <c r="R189" s="65">
        <v>0</v>
      </c>
      <c r="T189" s="29">
        <v>0</v>
      </c>
      <c r="U189" s="64">
        <v>0</v>
      </c>
      <c r="V189" s="64">
        <v>0</v>
      </c>
      <c r="W189" s="64">
        <v>0</v>
      </c>
      <c r="Y189" s="65">
        <v>0</v>
      </c>
      <c r="Z189" s="65">
        <v>0</v>
      </c>
      <c r="AA189" s="65">
        <v>0</v>
      </c>
      <c r="AD189" s="29">
        <v>0</v>
      </c>
      <c r="AE189" s="64">
        <v>0</v>
      </c>
      <c r="AF189" s="64">
        <v>0</v>
      </c>
      <c r="AG189" s="64">
        <v>0</v>
      </c>
      <c r="AI189" s="65">
        <v>0</v>
      </c>
      <c r="AJ189" s="65">
        <v>0</v>
      </c>
      <c r="AK189" s="65">
        <v>0</v>
      </c>
      <c r="AM189" s="29">
        <v>0</v>
      </c>
      <c r="AN189" s="64">
        <v>0</v>
      </c>
      <c r="AO189" s="64">
        <v>0</v>
      </c>
      <c r="AP189" s="64">
        <v>0</v>
      </c>
      <c r="AR189" s="65">
        <v>0</v>
      </c>
      <c r="AS189" s="65">
        <v>0</v>
      </c>
      <c r="AT189" s="65">
        <v>0</v>
      </c>
      <c r="AV189" s="29">
        <v>0</v>
      </c>
      <c r="AW189" s="64">
        <v>0</v>
      </c>
      <c r="AX189" s="64">
        <v>0</v>
      </c>
      <c r="AY189" s="64">
        <v>0</v>
      </c>
      <c r="BA189" s="65">
        <v>0</v>
      </c>
      <c r="BB189" s="65">
        <v>0</v>
      </c>
      <c r="BC189" s="65">
        <v>0</v>
      </c>
    </row>
    <row r="190" spans="1:55" s="64" customFormat="1" x14ac:dyDescent="0.2">
      <c r="A190" s="63" t="s">
        <v>93</v>
      </c>
      <c r="B190" s="29">
        <v>0</v>
      </c>
      <c r="C190" s="64">
        <v>0</v>
      </c>
      <c r="D190" s="64">
        <v>0</v>
      </c>
      <c r="E190" s="64">
        <v>0</v>
      </c>
      <c r="G190" s="65">
        <v>0</v>
      </c>
      <c r="H190" s="65">
        <v>0</v>
      </c>
      <c r="I190" s="65">
        <v>0</v>
      </c>
      <c r="K190" s="29">
        <v>0</v>
      </c>
      <c r="L190" s="64">
        <v>0</v>
      </c>
      <c r="M190" s="64">
        <v>0</v>
      </c>
      <c r="N190" s="64">
        <v>0</v>
      </c>
      <c r="P190" s="65">
        <v>0</v>
      </c>
      <c r="Q190" s="65">
        <v>0</v>
      </c>
      <c r="R190" s="65">
        <v>0</v>
      </c>
      <c r="T190" s="29">
        <v>150</v>
      </c>
      <c r="U190" s="64">
        <v>150</v>
      </c>
      <c r="V190" s="64">
        <v>0</v>
      </c>
      <c r="W190" s="64">
        <v>0</v>
      </c>
      <c r="Y190" s="65">
        <v>1</v>
      </c>
      <c r="Z190" s="65">
        <v>0</v>
      </c>
      <c r="AA190" s="65">
        <v>0</v>
      </c>
      <c r="AD190" s="29">
        <v>0</v>
      </c>
      <c r="AE190" s="64">
        <v>0</v>
      </c>
      <c r="AF190" s="64">
        <v>0</v>
      </c>
      <c r="AG190" s="64">
        <v>0</v>
      </c>
      <c r="AI190" s="65">
        <v>0</v>
      </c>
      <c r="AJ190" s="65">
        <v>0</v>
      </c>
      <c r="AK190" s="65">
        <v>0</v>
      </c>
      <c r="AM190" s="29">
        <v>0</v>
      </c>
      <c r="AN190" s="64">
        <v>0</v>
      </c>
      <c r="AO190" s="64">
        <v>0</v>
      </c>
      <c r="AP190" s="64">
        <v>0</v>
      </c>
      <c r="AR190" s="65">
        <v>0</v>
      </c>
      <c r="AS190" s="65">
        <v>0</v>
      </c>
      <c r="AT190" s="65">
        <v>0</v>
      </c>
      <c r="AV190" s="29">
        <v>0</v>
      </c>
      <c r="AW190" s="64">
        <v>0</v>
      </c>
      <c r="AX190" s="64">
        <v>0</v>
      </c>
      <c r="AY190" s="64">
        <v>0</v>
      </c>
      <c r="BA190" s="65">
        <v>0</v>
      </c>
      <c r="BB190" s="65">
        <v>0</v>
      </c>
      <c r="BC190" s="65">
        <v>0</v>
      </c>
    </row>
    <row r="191" spans="1:55" s="64" customFormat="1" x14ac:dyDescent="0.2">
      <c r="A191" s="63" t="s">
        <v>54</v>
      </c>
      <c r="B191" s="29">
        <v>125</v>
      </c>
      <c r="C191" s="64">
        <v>109</v>
      </c>
      <c r="D191" s="64">
        <v>12</v>
      </c>
      <c r="E191" s="64">
        <v>4</v>
      </c>
      <c r="G191" s="65">
        <v>0.872</v>
      </c>
      <c r="H191" s="65">
        <v>9.6000000000000002E-2</v>
      </c>
      <c r="I191" s="65">
        <v>3.2000000000000001E-2</v>
      </c>
      <c r="K191" s="29">
        <v>166</v>
      </c>
      <c r="L191" s="64">
        <v>120</v>
      </c>
      <c r="M191" s="64">
        <v>35</v>
      </c>
      <c r="N191" s="64">
        <v>11</v>
      </c>
      <c r="P191" s="65">
        <v>0.72289156626506024</v>
      </c>
      <c r="Q191" s="65">
        <v>0.21084337349397592</v>
      </c>
      <c r="R191" s="65">
        <v>6.6265060240963861E-2</v>
      </c>
      <c r="T191" s="29">
        <v>0</v>
      </c>
      <c r="U191" s="64">
        <v>0</v>
      </c>
      <c r="V191" s="64">
        <v>0</v>
      </c>
      <c r="W191" s="64">
        <v>0</v>
      </c>
      <c r="Y191" s="65">
        <v>0</v>
      </c>
      <c r="Z191" s="65">
        <v>0</v>
      </c>
      <c r="AA191" s="65">
        <v>0</v>
      </c>
      <c r="AD191" s="29">
        <v>0</v>
      </c>
      <c r="AE191" s="64">
        <v>0</v>
      </c>
      <c r="AF191" s="64">
        <v>0</v>
      </c>
      <c r="AG191" s="64">
        <v>0</v>
      </c>
      <c r="AI191" s="65">
        <v>0</v>
      </c>
      <c r="AJ191" s="65">
        <v>0</v>
      </c>
      <c r="AK191" s="65">
        <v>0</v>
      </c>
      <c r="AM191" s="29">
        <v>0</v>
      </c>
      <c r="AN191" s="64">
        <v>0</v>
      </c>
      <c r="AO191" s="64">
        <v>0</v>
      </c>
      <c r="AP191" s="64">
        <v>0</v>
      </c>
      <c r="AR191" s="65">
        <v>0</v>
      </c>
      <c r="AS191" s="65">
        <v>0</v>
      </c>
      <c r="AT191" s="65">
        <v>0</v>
      </c>
      <c r="AV191" s="29">
        <v>0</v>
      </c>
      <c r="AW191" s="64">
        <v>0</v>
      </c>
      <c r="AX191" s="64">
        <v>0</v>
      </c>
      <c r="AY191" s="64">
        <v>0</v>
      </c>
      <c r="BA191" s="65">
        <v>0</v>
      </c>
      <c r="BB191" s="65">
        <v>0</v>
      </c>
      <c r="BC191" s="65">
        <v>0</v>
      </c>
    </row>
    <row r="192" spans="1:55" s="64" customFormat="1" x14ac:dyDescent="0.2">
      <c r="A192" s="63" t="s">
        <v>57</v>
      </c>
      <c r="B192" s="29">
        <v>5007</v>
      </c>
      <c r="C192" s="64">
        <v>5002</v>
      </c>
      <c r="D192" s="64">
        <v>5</v>
      </c>
      <c r="E192" s="64">
        <v>0</v>
      </c>
      <c r="G192" s="65">
        <v>0.99900139804274013</v>
      </c>
      <c r="H192" s="65">
        <v>9.9860195725983629E-4</v>
      </c>
      <c r="I192" s="65">
        <v>0</v>
      </c>
      <c r="K192" s="29">
        <v>271</v>
      </c>
      <c r="L192" s="64">
        <v>266</v>
      </c>
      <c r="M192" s="64">
        <v>5</v>
      </c>
      <c r="N192" s="64">
        <v>0</v>
      </c>
      <c r="P192" s="65">
        <v>0.98154981549815501</v>
      </c>
      <c r="Q192" s="65">
        <v>1.8450184501845018E-2</v>
      </c>
      <c r="R192" s="65">
        <v>0</v>
      </c>
      <c r="T192" s="29">
        <v>8</v>
      </c>
      <c r="U192" s="64">
        <v>8</v>
      </c>
      <c r="V192" s="64">
        <v>0</v>
      </c>
      <c r="W192" s="64">
        <v>0</v>
      </c>
      <c r="Y192" s="65">
        <v>1</v>
      </c>
      <c r="Z192" s="65">
        <v>0</v>
      </c>
      <c r="AA192" s="65">
        <v>0</v>
      </c>
      <c r="AD192" s="29">
        <v>2336</v>
      </c>
      <c r="AE192" s="64">
        <v>2336</v>
      </c>
      <c r="AF192" s="64">
        <v>0</v>
      </c>
      <c r="AG192" s="64">
        <v>0</v>
      </c>
      <c r="AI192" s="65">
        <v>1</v>
      </c>
      <c r="AJ192" s="65">
        <v>0</v>
      </c>
      <c r="AK192" s="65">
        <v>0</v>
      </c>
      <c r="AM192" s="29">
        <v>3</v>
      </c>
      <c r="AN192" s="64">
        <v>3</v>
      </c>
      <c r="AO192" s="64">
        <v>0</v>
      </c>
      <c r="AP192" s="64">
        <v>0</v>
      </c>
      <c r="AR192" s="65">
        <v>1</v>
      </c>
      <c r="AS192" s="65">
        <v>0</v>
      </c>
      <c r="AT192" s="65">
        <v>0</v>
      </c>
      <c r="AV192" s="29">
        <v>0</v>
      </c>
      <c r="AW192" s="64">
        <v>0</v>
      </c>
      <c r="AX192" s="64">
        <v>0</v>
      </c>
      <c r="AY192" s="64">
        <v>0</v>
      </c>
      <c r="BA192" s="65">
        <v>0</v>
      </c>
      <c r="BB192" s="65">
        <v>0</v>
      </c>
      <c r="BC192" s="65">
        <v>0</v>
      </c>
    </row>
    <row r="193" spans="1:55" s="64" customFormat="1" x14ac:dyDescent="0.2">
      <c r="A193" s="63" t="s">
        <v>94</v>
      </c>
      <c r="B193" s="29">
        <v>0</v>
      </c>
      <c r="C193" s="64">
        <v>0</v>
      </c>
      <c r="D193" s="64">
        <v>0</v>
      </c>
      <c r="E193" s="64">
        <v>0</v>
      </c>
      <c r="G193" s="65">
        <v>0</v>
      </c>
      <c r="H193" s="65">
        <v>0</v>
      </c>
      <c r="I193" s="65">
        <v>0</v>
      </c>
      <c r="K193" s="29">
        <v>0</v>
      </c>
      <c r="L193" s="64">
        <v>0</v>
      </c>
      <c r="M193" s="64">
        <v>0</v>
      </c>
      <c r="N193" s="64">
        <v>0</v>
      </c>
      <c r="P193" s="65">
        <v>0</v>
      </c>
      <c r="Q193" s="65">
        <v>0</v>
      </c>
      <c r="R193" s="65">
        <v>0</v>
      </c>
      <c r="T193" s="29">
        <v>2</v>
      </c>
      <c r="U193" s="64">
        <v>2</v>
      </c>
      <c r="V193" s="64">
        <v>0</v>
      </c>
      <c r="W193" s="64">
        <v>0</v>
      </c>
      <c r="Y193" s="65">
        <v>1</v>
      </c>
      <c r="Z193" s="65">
        <v>0</v>
      </c>
      <c r="AA193" s="65">
        <v>0</v>
      </c>
      <c r="AD193" s="29">
        <v>0</v>
      </c>
      <c r="AE193" s="64">
        <v>0</v>
      </c>
      <c r="AF193" s="64">
        <v>0</v>
      </c>
      <c r="AG193" s="64">
        <v>0</v>
      </c>
      <c r="AI193" s="65">
        <v>0</v>
      </c>
      <c r="AJ193" s="65">
        <v>0</v>
      </c>
      <c r="AK193" s="65">
        <v>0</v>
      </c>
      <c r="AM193" s="29">
        <v>0</v>
      </c>
      <c r="AN193" s="64">
        <v>0</v>
      </c>
      <c r="AO193" s="64">
        <v>0</v>
      </c>
      <c r="AP193" s="64">
        <v>0</v>
      </c>
      <c r="AR193" s="65">
        <v>0</v>
      </c>
      <c r="AS193" s="65">
        <v>0</v>
      </c>
      <c r="AT193" s="65">
        <v>0</v>
      </c>
      <c r="AV193" s="29">
        <v>0</v>
      </c>
      <c r="AW193" s="64">
        <v>0</v>
      </c>
      <c r="AX193" s="64">
        <v>0</v>
      </c>
      <c r="AY193" s="64">
        <v>0</v>
      </c>
      <c r="BA193" s="65">
        <v>0</v>
      </c>
      <c r="BB193" s="65">
        <v>0</v>
      </c>
      <c r="BC193" s="65">
        <v>0</v>
      </c>
    </row>
    <row r="194" spans="1:55" s="64" customFormat="1" x14ac:dyDescent="0.2">
      <c r="A194" s="63" t="s">
        <v>58</v>
      </c>
      <c r="B194" s="29">
        <v>247</v>
      </c>
      <c r="C194" s="64">
        <v>243</v>
      </c>
      <c r="D194" s="64">
        <v>4</v>
      </c>
      <c r="E194" s="64">
        <v>0</v>
      </c>
      <c r="G194" s="65">
        <v>0.98380566801619429</v>
      </c>
      <c r="H194" s="65">
        <v>1.6194331983805668E-2</v>
      </c>
      <c r="I194" s="65">
        <v>0</v>
      </c>
      <c r="K194" s="29">
        <v>0</v>
      </c>
      <c r="L194" s="64">
        <v>0</v>
      </c>
      <c r="M194" s="64">
        <v>0</v>
      </c>
      <c r="N194" s="64">
        <v>0</v>
      </c>
      <c r="P194" s="65">
        <v>0</v>
      </c>
      <c r="Q194" s="65">
        <v>0</v>
      </c>
      <c r="R194" s="65">
        <v>0</v>
      </c>
      <c r="T194" s="29">
        <v>0</v>
      </c>
      <c r="U194" s="64">
        <v>0</v>
      </c>
      <c r="V194" s="64">
        <v>0</v>
      </c>
      <c r="W194" s="64">
        <v>0</v>
      </c>
      <c r="Y194" s="65">
        <v>0</v>
      </c>
      <c r="Z194" s="65">
        <v>0</v>
      </c>
      <c r="AA194" s="65">
        <v>0</v>
      </c>
      <c r="AD194" s="29">
        <v>0</v>
      </c>
      <c r="AE194" s="64">
        <v>0</v>
      </c>
      <c r="AF194" s="64">
        <v>0</v>
      </c>
      <c r="AG194" s="64">
        <v>0</v>
      </c>
      <c r="AI194" s="65">
        <v>0</v>
      </c>
      <c r="AJ194" s="65">
        <v>0</v>
      </c>
      <c r="AK194" s="65">
        <v>0</v>
      </c>
      <c r="AM194" s="29">
        <v>0</v>
      </c>
      <c r="AN194" s="64">
        <v>0</v>
      </c>
      <c r="AO194" s="64">
        <v>0</v>
      </c>
      <c r="AP194" s="64">
        <v>0</v>
      </c>
      <c r="AR194" s="65">
        <v>0</v>
      </c>
      <c r="AS194" s="65">
        <v>0</v>
      </c>
      <c r="AT194" s="65">
        <v>0</v>
      </c>
      <c r="AV194" s="29">
        <v>0</v>
      </c>
      <c r="AW194" s="64">
        <v>0</v>
      </c>
      <c r="AX194" s="64">
        <v>0</v>
      </c>
      <c r="AY194" s="64">
        <v>0</v>
      </c>
      <c r="BA194" s="65">
        <v>0</v>
      </c>
      <c r="BB194" s="65">
        <v>0</v>
      </c>
      <c r="BC194" s="65">
        <v>0</v>
      </c>
    </row>
    <row r="195" spans="1:55" s="64" customFormat="1" x14ac:dyDescent="0.2">
      <c r="A195" s="63" t="s">
        <v>59</v>
      </c>
      <c r="B195" s="29">
        <v>1726</v>
      </c>
      <c r="C195" s="64">
        <v>1695</v>
      </c>
      <c r="D195" s="64">
        <v>0</v>
      </c>
      <c r="E195" s="64">
        <v>31</v>
      </c>
      <c r="G195" s="65">
        <v>0.98203939745075319</v>
      </c>
      <c r="H195" s="65">
        <v>0</v>
      </c>
      <c r="I195" s="65">
        <v>1.7960602549246814E-2</v>
      </c>
      <c r="K195" s="29">
        <v>38</v>
      </c>
      <c r="L195" s="64">
        <v>38</v>
      </c>
      <c r="M195" s="64">
        <v>0</v>
      </c>
      <c r="N195" s="64">
        <v>0</v>
      </c>
      <c r="P195" s="65">
        <v>1</v>
      </c>
      <c r="Q195" s="65">
        <v>0</v>
      </c>
      <c r="R195" s="65">
        <v>0</v>
      </c>
      <c r="T195" s="29">
        <v>0</v>
      </c>
      <c r="U195" s="64">
        <v>0</v>
      </c>
      <c r="V195" s="64">
        <v>0</v>
      </c>
      <c r="W195" s="64">
        <v>0</v>
      </c>
      <c r="Y195" s="65">
        <v>0</v>
      </c>
      <c r="Z195" s="65">
        <v>0</v>
      </c>
      <c r="AA195" s="65">
        <v>0</v>
      </c>
      <c r="AD195" s="29">
        <v>957</v>
      </c>
      <c r="AE195" s="64">
        <v>923</v>
      </c>
      <c r="AF195" s="64">
        <v>0</v>
      </c>
      <c r="AG195" s="64">
        <v>34</v>
      </c>
      <c r="AI195" s="65">
        <v>0.96447230929989547</v>
      </c>
      <c r="AJ195" s="65">
        <v>0</v>
      </c>
      <c r="AK195" s="65">
        <v>3.5527690700104496E-2</v>
      </c>
      <c r="AM195" s="29">
        <v>6</v>
      </c>
      <c r="AN195" s="64">
        <v>6</v>
      </c>
      <c r="AO195" s="64">
        <v>0</v>
      </c>
      <c r="AP195" s="64">
        <v>0</v>
      </c>
      <c r="AR195" s="65">
        <v>1</v>
      </c>
      <c r="AS195" s="65">
        <v>0</v>
      </c>
      <c r="AT195" s="65">
        <v>0</v>
      </c>
      <c r="AV195" s="29">
        <v>0</v>
      </c>
      <c r="AW195" s="64">
        <v>0</v>
      </c>
      <c r="AX195" s="64">
        <v>0</v>
      </c>
      <c r="AY195" s="64">
        <v>0</v>
      </c>
      <c r="BA195" s="65">
        <v>0</v>
      </c>
      <c r="BB195" s="65">
        <v>0</v>
      </c>
      <c r="BC195" s="65">
        <v>0</v>
      </c>
    </row>
    <row r="196" spans="1:55" s="64" customFormat="1" x14ac:dyDescent="0.2">
      <c r="A196" s="63" t="s">
        <v>95</v>
      </c>
      <c r="B196" s="29">
        <v>0</v>
      </c>
      <c r="C196" s="64">
        <v>0</v>
      </c>
      <c r="D196" s="64">
        <v>0</v>
      </c>
      <c r="E196" s="64">
        <v>0</v>
      </c>
      <c r="G196" s="65">
        <v>0</v>
      </c>
      <c r="H196" s="65">
        <v>0</v>
      </c>
      <c r="I196" s="65">
        <v>0</v>
      </c>
      <c r="K196" s="29">
        <v>0</v>
      </c>
      <c r="L196" s="64">
        <v>0</v>
      </c>
      <c r="M196" s="64">
        <v>0</v>
      </c>
      <c r="N196" s="64">
        <v>0</v>
      </c>
      <c r="P196" s="65">
        <v>0</v>
      </c>
      <c r="Q196" s="65">
        <v>0</v>
      </c>
      <c r="R196" s="65">
        <v>0</v>
      </c>
      <c r="T196" s="29">
        <v>5307</v>
      </c>
      <c r="U196" s="64">
        <v>5307</v>
      </c>
      <c r="V196" s="64">
        <v>0</v>
      </c>
      <c r="W196" s="64">
        <v>0</v>
      </c>
      <c r="Y196" s="65">
        <v>1</v>
      </c>
      <c r="Z196" s="65">
        <v>0</v>
      </c>
      <c r="AA196" s="65">
        <v>0</v>
      </c>
      <c r="AD196" s="29">
        <v>0</v>
      </c>
      <c r="AE196" s="64">
        <v>0</v>
      </c>
      <c r="AF196" s="64">
        <v>0</v>
      </c>
      <c r="AG196" s="64">
        <v>0</v>
      </c>
      <c r="AI196" s="65">
        <v>0</v>
      </c>
      <c r="AJ196" s="65">
        <v>0</v>
      </c>
      <c r="AK196" s="65">
        <v>0</v>
      </c>
      <c r="AM196" s="29">
        <v>0</v>
      </c>
      <c r="AN196" s="64">
        <v>0</v>
      </c>
      <c r="AO196" s="64">
        <v>0</v>
      </c>
      <c r="AP196" s="64">
        <v>0</v>
      </c>
      <c r="AR196" s="65">
        <v>0</v>
      </c>
      <c r="AS196" s="65">
        <v>0</v>
      </c>
      <c r="AT196" s="65">
        <v>0</v>
      </c>
      <c r="AV196" s="29">
        <v>0</v>
      </c>
      <c r="AW196" s="64">
        <v>0</v>
      </c>
      <c r="AX196" s="64">
        <v>0</v>
      </c>
      <c r="AY196" s="64">
        <v>0</v>
      </c>
      <c r="BA196" s="65">
        <v>0</v>
      </c>
      <c r="BB196" s="65">
        <v>0</v>
      </c>
      <c r="BC196" s="65">
        <v>0</v>
      </c>
    </row>
    <row r="197" spans="1:55" s="64" customFormat="1" x14ac:dyDescent="0.2">
      <c r="A197" s="63" t="s">
        <v>60</v>
      </c>
      <c r="B197" s="29">
        <v>79652</v>
      </c>
      <c r="C197" s="64">
        <v>79100</v>
      </c>
      <c r="D197" s="64">
        <v>508</v>
      </c>
      <c r="E197" s="64">
        <v>44</v>
      </c>
      <c r="G197" s="65">
        <v>0.99306985386430979</v>
      </c>
      <c r="H197" s="65">
        <v>6.3777431828453777E-3</v>
      </c>
      <c r="I197" s="65">
        <v>5.5240295284487517E-4</v>
      </c>
      <c r="K197" s="29">
        <v>3844</v>
      </c>
      <c r="L197" s="64">
        <v>3786</v>
      </c>
      <c r="M197" s="64">
        <v>41</v>
      </c>
      <c r="N197" s="64">
        <v>17</v>
      </c>
      <c r="P197" s="65">
        <v>0.98491155046826218</v>
      </c>
      <c r="Q197" s="65">
        <v>1.0665972944849115E-2</v>
      </c>
      <c r="R197" s="65">
        <v>4.4224765868886573E-3</v>
      </c>
      <c r="T197" s="29">
        <v>191</v>
      </c>
      <c r="U197" s="64">
        <v>191</v>
      </c>
      <c r="V197" s="64">
        <v>0</v>
      </c>
      <c r="W197" s="64">
        <v>0</v>
      </c>
      <c r="Y197" s="65">
        <v>1</v>
      </c>
      <c r="Z197" s="65">
        <v>0</v>
      </c>
      <c r="AA197" s="65">
        <v>0</v>
      </c>
      <c r="AD197" s="29">
        <v>41830</v>
      </c>
      <c r="AE197" s="64">
        <v>41495</v>
      </c>
      <c r="AF197" s="64">
        <v>293</v>
      </c>
      <c r="AG197" s="64">
        <v>42</v>
      </c>
      <c r="AI197" s="65">
        <v>0.99199139373655276</v>
      </c>
      <c r="AJ197" s="65">
        <v>7.0045421945971794E-3</v>
      </c>
      <c r="AK197" s="65">
        <v>1.0040640688501075E-3</v>
      </c>
      <c r="AM197" s="29">
        <v>193</v>
      </c>
      <c r="AN197" s="64">
        <v>189</v>
      </c>
      <c r="AO197" s="64">
        <v>4</v>
      </c>
      <c r="AP197" s="64">
        <v>0</v>
      </c>
      <c r="AR197" s="65">
        <v>0.97927461139896377</v>
      </c>
      <c r="AS197" s="65">
        <v>2.072538860103627E-2</v>
      </c>
      <c r="AT197" s="65">
        <v>0</v>
      </c>
      <c r="AV197" s="29">
        <v>11</v>
      </c>
      <c r="AW197" s="64">
        <v>11</v>
      </c>
      <c r="AX197" s="64">
        <v>0</v>
      </c>
      <c r="AY197" s="64">
        <v>0</v>
      </c>
      <c r="BA197" s="65">
        <v>1</v>
      </c>
      <c r="BB197" s="65">
        <v>0</v>
      </c>
      <c r="BC197" s="65">
        <v>0</v>
      </c>
    </row>
    <row r="198" spans="1:55" s="64" customFormat="1" x14ac:dyDescent="0.2">
      <c r="A198" s="63" t="s">
        <v>63</v>
      </c>
      <c r="B198" s="29">
        <v>39</v>
      </c>
      <c r="C198" s="64">
        <v>28</v>
      </c>
      <c r="D198" s="64">
        <v>11</v>
      </c>
      <c r="E198" s="64">
        <v>0</v>
      </c>
      <c r="G198" s="65">
        <v>0.71794871794871795</v>
      </c>
      <c r="H198" s="65">
        <v>0.28205128205128205</v>
      </c>
      <c r="I198" s="65">
        <v>0</v>
      </c>
      <c r="K198" s="29">
        <v>54</v>
      </c>
      <c r="L198" s="64">
        <v>30</v>
      </c>
      <c r="M198" s="64">
        <v>24</v>
      </c>
      <c r="N198" s="64">
        <v>0</v>
      </c>
      <c r="P198" s="65">
        <v>0.55555555555555558</v>
      </c>
      <c r="Q198" s="65">
        <v>0.44444444444444442</v>
      </c>
      <c r="R198" s="65">
        <v>0</v>
      </c>
      <c r="T198" s="29">
        <v>282</v>
      </c>
      <c r="U198" s="64">
        <v>282</v>
      </c>
      <c r="V198" s="64">
        <v>0</v>
      </c>
      <c r="W198" s="64">
        <v>0</v>
      </c>
      <c r="Y198" s="65">
        <v>1</v>
      </c>
      <c r="Z198" s="65">
        <v>0</v>
      </c>
      <c r="AA198" s="65">
        <v>0</v>
      </c>
      <c r="AD198" s="29">
        <v>0</v>
      </c>
      <c r="AE198" s="64">
        <v>0</v>
      </c>
      <c r="AF198" s="64">
        <v>0</v>
      </c>
      <c r="AG198" s="64">
        <v>0</v>
      </c>
      <c r="AI198" s="65">
        <v>0</v>
      </c>
      <c r="AJ198" s="65">
        <v>0</v>
      </c>
      <c r="AK198" s="65">
        <v>0</v>
      </c>
      <c r="AM198" s="29">
        <v>0</v>
      </c>
      <c r="AN198" s="64">
        <v>0</v>
      </c>
      <c r="AO198" s="64">
        <v>0</v>
      </c>
      <c r="AP198" s="64">
        <v>0</v>
      </c>
      <c r="AR198" s="65">
        <v>0</v>
      </c>
      <c r="AS198" s="65">
        <v>0</v>
      </c>
      <c r="AT198" s="65">
        <v>0</v>
      </c>
      <c r="AV198" s="29">
        <v>0</v>
      </c>
      <c r="AW198" s="64">
        <v>0</v>
      </c>
      <c r="AX198" s="64">
        <v>0</v>
      </c>
      <c r="AY198" s="64">
        <v>0</v>
      </c>
      <c r="BA198" s="65">
        <v>0</v>
      </c>
      <c r="BB198" s="65">
        <v>0</v>
      </c>
      <c r="BC198" s="65">
        <v>0</v>
      </c>
    </row>
    <row r="199" spans="1:55" s="64" customFormat="1" x14ac:dyDescent="0.2">
      <c r="A199" s="63" t="s">
        <v>98</v>
      </c>
      <c r="B199" s="29">
        <v>0</v>
      </c>
      <c r="C199" s="64">
        <v>0</v>
      </c>
      <c r="D199" s="64">
        <v>0</v>
      </c>
      <c r="E199" s="64">
        <v>0</v>
      </c>
      <c r="G199" s="65">
        <v>0</v>
      </c>
      <c r="H199" s="65">
        <v>0</v>
      </c>
      <c r="I199" s="65">
        <v>0</v>
      </c>
      <c r="K199" s="29">
        <v>0</v>
      </c>
      <c r="L199" s="64">
        <v>0</v>
      </c>
      <c r="M199" s="64">
        <v>0</v>
      </c>
      <c r="N199" s="64">
        <v>0</v>
      </c>
      <c r="P199" s="65">
        <v>0</v>
      </c>
      <c r="Q199" s="65">
        <v>0</v>
      </c>
      <c r="R199" s="65">
        <v>0</v>
      </c>
      <c r="T199" s="29">
        <v>0</v>
      </c>
      <c r="U199" s="64">
        <v>0</v>
      </c>
      <c r="V199" s="64">
        <v>0</v>
      </c>
      <c r="W199" s="64">
        <v>0</v>
      </c>
      <c r="Y199" s="65">
        <v>0</v>
      </c>
      <c r="Z199" s="65">
        <v>0</v>
      </c>
      <c r="AA199" s="65">
        <v>0</v>
      </c>
      <c r="AD199" s="29">
        <v>0</v>
      </c>
      <c r="AE199" s="64">
        <v>0</v>
      </c>
      <c r="AF199" s="64">
        <v>0</v>
      </c>
      <c r="AG199" s="64">
        <v>0</v>
      </c>
      <c r="AI199" s="65">
        <v>0</v>
      </c>
      <c r="AJ199" s="65">
        <v>0</v>
      </c>
      <c r="AK199" s="65">
        <v>0</v>
      </c>
      <c r="AM199" s="29">
        <v>0</v>
      </c>
      <c r="AN199" s="64">
        <v>0</v>
      </c>
      <c r="AO199" s="64">
        <v>0</v>
      </c>
      <c r="AP199" s="64">
        <v>0</v>
      </c>
      <c r="AR199" s="65">
        <v>0</v>
      </c>
      <c r="AS199" s="65">
        <v>0</v>
      </c>
      <c r="AT199" s="65">
        <v>0</v>
      </c>
      <c r="AV199" s="29">
        <v>14</v>
      </c>
      <c r="AW199" s="64">
        <v>14</v>
      </c>
      <c r="AX199" s="64">
        <v>0</v>
      </c>
      <c r="AY199" s="64">
        <v>0</v>
      </c>
      <c r="BA199" s="65">
        <v>1</v>
      </c>
      <c r="BB199" s="65">
        <v>0</v>
      </c>
      <c r="BC199" s="65">
        <v>0</v>
      </c>
    </row>
    <row r="200" spans="1:55" s="64" customFormat="1" x14ac:dyDescent="0.2">
      <c r="A200" s="63" t="s">
        <v>66</v>
      </c>
      <c r="B200" s="29">
        <v>201</v>
      </c>
      <c r="C200" s="64">
        <v>201</v>
      </c>
      <c r="D200" s="64">
        <v>0</v>
      </c>
      <c r="E200" s="64">
        <v>0</v>
      </c>
      <c r="G200" s="65">
        <v>1</v>
      </c>
      <c r="H200" s="65">
        <v>0</v>
      </c>
      <c r="I200" s="65">
        <v>0</v>
      </c>
      <c r="K200" s="29">
        <v>66</v>
      </c>
      <c r="L200" s="64">
        <v>66</v>
      </c>
      <c r="M200" s="64">
        <v>0</v>
      </c>
      <c r="N200" s="64">
        <v>0</v>
      </c>
      <c r="P200" s="65">
        <v>1</v>
      </c>
      <c r="Q200" s="65">
        <v>0</v>
      </c>
      <c r="R200" s="65">
        <v>0</v>
      </c>
      <c r="T200" s="29">
        <v>2</v>
      </c>
      <c r="U200" s="64">
        <v>2</v>
      </c>
      <c r="V200" s="64">
        <v>0</v>
      </c>
      <c r="W200" s="64">
        <v>0</v>
      </c>
      <c r="Y200" s="65">
        <v>1</v>
      </c>
      <c r="Z200" s="65">
        <v>0</v>
      </c>
      <c r="AA200" s="65">
        <v>0</v>
      </c>
      <c r="AD200" s="29">
        <v>0</v>
      </c>
      <c r="AE200" s="64">
        <v>0</v>
      </c>
      <c r="AF200" s="64">
        <v>0</v>
      </c>
      <c r="AG200" s="64">
        <v>0</v>
      </c>
      <c r="AI200" s="65">
        <v>0</v>
      </c>
      <c r="AJ200" s="65">
        <v>0</v>
      </c>
      <c r="AK200" s="65">
        <v>0</v>
      </c>
      <c r="AM200" s="29">
        <v>2</v>
      </c>
      <c r="AN200" s="64">
        <v>2</v>
      </c>
      <c r="AO200" s="64">
        <v>0</v>
      </c>
      <c r="AP200" s="64">
        <v>0</v>
      </c>
      <c r="AR200" s="65">
        <v>1</v>
      </c>
      <c r="AS200" s="65">
        <v>0</v>
      </c>
      <c r="AT200" s="65">
        <v>0</v>
      </c>
      <c r="AV200" s="29">
        <v>0</v>
      </c>
      <c r="AW200" s="64">
        <v>0</v>
      </c>
      <c r="AX200" s="64">
        <v>0</v>
      </c>
      <c r="AY200" s="64">
        <v>0</v>
      </c>
      <c r="BA200" s="65">
        <v>0</v>
      </c>
      <c r="BB200" s="65">
        <v>0</v>
      </c>
      <c r="BC200" s="65">
        <v>0</v>
      </c>
    </row>
    <row r="201" spans="1:55" s="23" customFormat="1" x14ac:dyDescent="0.2">
      <c r="A201" s="31" t="s">
        <v>76</v>
      </c>
      <c r="B201" s="29">
        <v>776384</v>
      </c>
      <c r="C201" s="29">
        <v>709259</v>
      </c>
      <c r="D201" s="29">
        <v>65821</v>
      </c>
      <c r="E201" s="23">
        <v>1304</v>
      </c>
      <c r="G201" s="24">
        <v>0.91354149493034376</v>
      </c>
      <c r="H201" s="24">
        <v>8.4778923831506064E-2</v>
      </c>
      <c r="I201" s="24">
        <v>1.6795812381501937E-3</v>
      </c>
      <c r="K201" s="29">
        <v>88233</v>
      </c>
      <c r="L201" s="29">
        <v>74576</v>
      </c>
      <c r="M201" s="29">
        <v>12812</v>
      </c>
      <c r="N201" s="23">
        <v>845</v>
      </c>
      <c r="P201" s="24">
        <v>0.84521664229936644</v>
      </c>
      <c r="Q201" s="24">
        <v>0.14520644203415956</v>
      </c>
      <c r="R201" s="24">
        <v>9.5769156664739941E-3</v>
      </c>
      <c r="T201" s="29">
        <v>10656</v>
      </c>
      <c r="U201" s="29">
        <v>10635</v>
      </c>
      <c r="V201" s="29">
        <v>18</v>
      </c>
      <c r="W201" s="23">
        <v>3</v>
      </c>
      <c r="Y201" s="24">
        <v>0.99802927927927931</v>
      </c>
      <c r="Z201" s="24">
        <v>1.6891891891891893E-3</v>
      </c>
      <c r="AA201" s="24">
        <v>2.8153153153153153E-4</v>
      </c>
      <c r="AD201" s="29">
        <v>432772</v>
      </c>
      <c r="AE201" s="29">
        <v>385365</v>
      </c>
      <c r="AF201" s="29">
        <v>44954</v>
      </c>
      <c r="AG201" s="23">
        <v>2453</v>
      </c>
      <c r="AI201" s="24">
        <v>0.89045733088092571</v>
      </c>
      <c r="AJ201" s="24">
        <v>0.1038745575037202</v>
      </c>
      <c r="AK201" s="24">
        <v>5.6681116153540429E-3</v>
      </c>
      <c r="AM201" s="29">
        <v>9806</v>
      </c>
      <c r="AN201" s="29">
        <v>6966</v>
      </c>
      <c r="AO201" s="29">
        <v>2526</v>
      </c>
      <c r="AP201" s="23">
        <v>314</v>
      </c>
      <c r="AR201" s="24">
        <v>0.71038139914338161</v>
      </c>
      <c r="AS201" s="24">
        <v>0.25759738935345705</v>
      </c>
      <c r="AT201" s="24">
        <v>3.2021211503161333E-2</v>
      </c>
      <c r="AV201" s="29">
        <v>820</v>
      </c>
      <c r="AW201" s="29">
        <v>643</v>
      </c>
      <c r="AX201" s="29">
        <v>167</v>
      </c>
      <c r="AY201" s="23">
        <v>10</v>
      </c>
      <c r="BA201" s="24">
        <v>0.78414634146341466</v>
      </c>
      <c r="BB201" s="24">
        <v>0.20365853658536584</v>
      </c>
      <c r="BC201" s="24">
        <v>1.2195121951219513E-2</v>
      </c>
    </row>
    <row r="202" spans="1:55" x14ac:dyDescent="0.2">
      <c r="A202" s="20"/>
    </row>
    <row r="203" spans="1:55" s="27" customFormat="1" x14ac:dyDescent="0.2">
      <c r="A203" s="30" t="s">
        <v>77</v>
      </c>
      <c r="B203" s="27" t="s">
        <v>82</v>
      </c>
      <c r="C203" s="27" t="s">
        <v>114</v>
      </c>
      <c r="D203" s="27" t="s">
        <v>115</v>
      </c>
      <c r="E203" s="27" t="s">
        <v>126</v>
      </c>
      <c r="G203" s="27" t="s">
        <v>114</v>
      </c>
      <c r="H203" s="27" t="s">
        <v>115</v>
      </c>
      <c r="I203" s="27" t="s">
        <v>126</v>
      </c>
      <c r="K203" s="27" t="s">
        <v>82</v>
      </c>
      <c r="L203" s="27" t="s">
        <v>114</v>
      </c>
      <c r="M203" s="27" t="s">
        <v>115</v>
      </c>
      <c r="N203" s="27" t="s">
        <v>126</v>
      </c>
      <c r="P203" s="27" t="s">
        <v>114</v>
      </c>
      <c r="Q203" s="27" t="s">
        <v>115</v>
      </c>
      <c r="R203" s="27" t="s">
        <v>126</v>
      </c>
      <c r="T203" s="27" t="s">
        <v>82</v>
      </c>
      <c r="U203" s="27" t="s">
        <v>114</v>
      </c>
      <c r="V203" s="27" t="s">
        <v>115</v>
      </c>
      <c r="W203" s="27" t="s">
        <v>126</v>
      </c>
      <c r="Y203" s="27" t="s">
        <v>114</v>
      </c>
      <c r="Z203" s="27" t="s">
        <v>115</v>
      </c>
      <c r="AA203" s="27" t="s">
        <v>126</v>
      </c>
    </row>
    <row r="204" spans="1:55" x14ac:dyDescent="0.2">
      <c r="A204" s="20" t="s">
        <v>22</v>
      </c>
      <c r="B204" s="23">
        <v>69</v>
      </c>
      <c r="C204" s="21">
        <v>69</v>
      </c>
      <c r="D204" s="21">
        <v>0</v>
      </c>
      <c r="E204" s="21">
        <v>0</v>
      </c>
      <c r="G204" s="22">
        <v>1</v>
      </c>
      <c r="H204" s="22">
        <v>0</v>
      </c>
      <c r="I204" s="22">
        <v>0</v>
      </c>
      <c r="K204" s="23">
        <v>7</v>
      </c>
      <c r="L204" s="21">
        <v>7</v>
      </c>
      <c r="M204" s="21">
        <v>0</v>
      </c>
      <c r="N204" s="21">
        <v>0</v>
      </c>
      <c r="P204" s="22">
        <v>1</v>
      </c>
      <c r="Q204" s="22">
        <v>0</v>
      </c>
      <c r="R204" s="22">
        <v>0</v>
      </c>
      <c r="T204" s="23">
        <v>1</v>
      </c>
      <c r="U204" s="21">
        <v>1</v>
      </c>
      <c r="V204" s="21">
        <v>0</v>
      </c>
      <c r="W204" s="21">
        <v>0</v>
      </c>
      <c r="Y204" s="22">
        <v>1</v>
      </c>
      <c r="Z204" s="22">
        <v>0</v>
      </c>
      <c r="AA204" s="22">
        <v>0</v>
      </c>
    </row>
    <row r="205" spans="1:55" x14ac:dyDescent="0.2">
      <c r="A205" s="20" t="s">
        <v>27</v>
      </c>
      <c r="B205" s="23">
        <v>243938</v>
      </c>
      <c r="C205" s="21">
        <v>14549</v>
      </c>
      <c r="D205" s="21">
        <v>228741</v>
      </c>
      <c r="E205" s="21">
        <v>648</v>
      </c>
      <c r="G205" s="22">
        <v>5.9642204166632504E-2</v>
      </c>
      <c r="H205" s="22">
        <v>0.9377013831383384</v>
      </c>
      <c r="I205" s="22">
        <v>2.6564126950290646E-3</v>
      </c>
      <c r="K205" s="23">
        <v>35712</v>
      </c>
      <c r="L205" s="21">
        <v>3598</v>
      </c>
      <c r="M205" s="21">
        <v>31831</v>
      </c>
      <c r="N205" s="21">
        <v>283</v>
      </c>
      <c r="P205" s="22">
        <v>0.10075044802867383</v>
      </c>
      <c r="Q205" s="22">
        <v>0.89132504480286734</v>
      </c>
      <c r="R205" s="22">
        <v>7.9245071684587807E-3</v>
      </c>
      <c r="T205" s="23">
        <v>2111</v>
      </c>
      <c r="U205" s="21">
        <v>1994</v>
      </c>
      <c r="V205" s="21">
        <v>112</v>
      </c>
      <c r="W205" s="21">
        <v>5</v>
      </c>
      <c r="Y205" s="22">
        <v>0.94457603031738513</v>
      </c>
      <c r="Z205" s="22">
        <v>5.3055423969682616E-2</v>
      </c>
      <c r="AA205" s="22">
        <v>2.3685457129322598E-3</v>
      </c>
    </row>
    <row r="206" spans="1:55" x14ac:dyDescent="0.2">
      <c r="A206" s="20" t="s">
        <v>85</v>
      </c>
      <c r="B206" s="23">
        <v>0</v>
      </c>
      <c r="C206" s="21">
        <v>0</v>
      </c>
      <c r="D206" s="21">
        <v>0</v>
      </c>
      <c r="E206" s="21">
        <v>0</v>
      </c>
      <c r="G206" s="22">
        <v>0</v>
      </c>
      <c r="H206" s="22">
        <v>0</v>
      </c>
      <c r="I206" s="22">
        <v>0</v>
      </c>
      <c r="K206" s="23">
        <v>235</v>
      </c>
      <c r="L206" s="21">
        <v>156</v>
      </c>
      <c r="M206" s="21">
        <v>49</v>
      </c>
      <c r="N206" s="21">
        <v>30</v>
      </c>
      <c r="P206" s="22">
        <v>0.66382978723404251</v>
      </c>
      <c r="Q206" s="22">
        <v>0.20851063829787234</v>
      </c>
      <c r="R206" s="22">
        <v>0.1276595744680851</v>
      </c>
      <c r="T206" s="23">
        <v>265</v>
      </c>
      <c r="U206" s="21">
        <v>264</v>
      </c>
      <c r="V206" s="21">
        <v>0</v>
      </c>
      <c r="W206" s="21">
        <v>1</v>
      </c>
      <c r="Y206" s="22">
        <v>0.99622641509433962</v>
      </c>
      <c r="Z206" s="22">
        <v>0</v>
      </c>
      <c r="AA206" s="22">
        <v>3.7735849056603774E-3</v>
      </c>
    </row>
    <row r="207" spans="1:55" x14ac:dyDescent="0.2">
      <c r="A207" s="20" t="s">
        <v>91</v>
      </c>
      <c r="B207" s="23">
        <v>0</v>
      </c>
      <c r="C207" s="21">
        <v>0</v>
      </c>
      <c r="D207" s="21">
        <v>0</v>
      </c>
      <c r="E207" s="21">
        <v>0</v>
      </c>
      <c r="G207" s="22">
        <v>0</v>
      </c>
      <c r="H207" s="22">
        <v>0</v>
      </c>
      <c r="I207" s="22">
        <v>0</v>
      </c>
      <c r="K207" s="23">
        <v>0</v>
      </c>
      <c r="L207" s="21">
        <v>0</v>
      </c>
      <c r="M207" s="21">
        <v>0</v>
      </c>
      <c r="N207" s="21">
        <v>0</v>
      </c>
      <c r="P207" s="22">
        <v>0</v>
      </c>
      <c r="Q207" s="22">
        <v>0</v>
      </c>
      <c r="R207" s="22">
        <v>0</v>
      </c>
      <c r="T207" s="23">
        <v>1</v>
      </c>
      <c r="U207" s="21">
        <v>1</v>
      </c>
      <c r="V207" s="21">
        <v>0</v>
      </c>
      <c r="W207" s="21">
        <v>0</v>
      </c>
      <c r="Y207" s="22">
        <v>1</v>
      </c>
      <c r="Z207" s="22">
        <v>0</v>
      </c>
      <c r="AA207" s="22">
        <v>0</v>
      </c>
    </row>
    <row r="208" spans="1:55" x14ac:dyDescent="0.2">
      <c r="A208" s="20" t="s">
        <v>93</v>
      </c>
      <c r="B208" s="23">
        <v>0</v>
      </c>
      <c r="C208" s="21">
        <v>0</v>
      </c>
      <c r="D208" s="21">
        <v>0</v>
      </c>
      <c r="E208" s="21">
        <v>0</v>
      </c>
      <c r="G208" s="22">
        <v>0</v>
      </c>
      <c r="H208" s="22">
        <v>0</v>
      </c>
      <c r="I208" s="22">
        <v>0</v>
      </c>
      <c r="K208" s="23">
        <v>0</v>
      </c>
      <c r="L208" s="21">
        <v>0</v>
      </c>
      <c r="M208" s="21">
        <v>0</v>
      </c>
      <c r="N208" s="21">
        <v>0</v>
      </c>
      <c r="P208" s="22">
        <v>0</v>
      </c>
      <c r="Q208" s="22">
        <v>0</v>
      </c>
      <c r="R208" s="22">
        <v>0</v>
      </c>
      <c r="T208" s="23">
        <v>4</v>
      </c>
      <c r="U208" s="21">
        <v>4</v>
      </c>
      <c r="V208" s="21">
        <v>0</v>
      </c>
      <c r="W208" s="21">
        <v>0</v>
      </c>
      <c r="Y208" s="22">
        <v>1</v>
      </c>
      <c r="Z208" s="22">
        <v>0</v>
      </c>
      <c r="AA208" s="22">
        <v>0</v>
      </c>
    </row>
    <row r="209" spans="1:55" s="23" customFormat="1" x14ac:dyDescent="0.2">
      <c r="A209" s="31" t="s">
        <v>78</v>
      </c>
      <c r="B209" s="29">
        <v>244007</v>
      </c>
      <c r="C209" s="29">
        <v>14618</v>
      </c>
      <c r="D209" s="29">
        <v>228741</v>
      </c>
      <c r="E209" s="23">
        <v>648</v>
      </c>
      <c r="G209" s="24">
        <v>5.9908117390074872E-2</v>
      </c>
      <c r="H209" s="24">
        <v>0.93743622109201785</v>
      </c>
      <c r="I209" s="24">
        <v>2.6556615179072732E-3</v>
      </c>
      <c r="K209" s="29">
        <v>35954</v>
      </c>
      <c r="L209" s="29">
        <v>3761</v>
      </c>
      <c r="M209" s="29">
        <v>31880</v>
      </c>
      <c r="N209" s="23">
        <v>313</v>
      </c>
      <c r="P209" s="24">
        <v>0.10460588529788062</v>
      </c>
      <c r="Q209" s="24">
        <v>0.88668854647605277</v>
      </c>
      <c r="R209" s="24">
        <v>8.7055682260666414E-3</v>
      </c>
      <c r="T209" s="29">
        <v>2382</v>
      </c>
      <c r="U209" s="29">
        <v>2264</v>
      </c>
      <c r="V209" s="29">
        <v>112</v>
      </c>
      <c r="W209" s="23">
        <v>6</v>
      </c>
      <c r="Y209" s="24">
        <v>0.9504617968094039</v>
      </c>
      <c r="Z209" s="24">
        <v>4.7019311502938706E-2</v>
      </c>
      <c r="AA209" s="24">
        <v>2.5188916876574307E-3</v>
      </c>
      <c r="AD209" s="29"/>
      <c r="AE209" s="29"/>
      <c r="AF209" s="29"/>
      <c r="AI209" s="24"/>
      <c r="AJ209" s="24"/>
      <c r="AK209" s="24"/>
      <c r="AM209" s="29"/>
      <c r="AN209" s="29"/>
      <c r="AO209" s="29"/>
      <c r="AR209" s="24"/>
      <c r="AS209" s="24"/>
      <c r="AT209" s="24"/>
      <c r="AV209" s="29"/>
      <c r="AW209" s="29"/>
      <c r="AX209" s="29"/>
      <c r="BA209" s="24"/>
      <c r="BB209" s="24"/>
      <c r="BC209" s="24"/>
    </row>
  </sheetData>
  <mergeCells count="8">
    <mergeCell ref="AI5:AK5"/>
    <mergeCell ref="AR5:AT5"/>
    <mergeCell ref="BA5:BC5"/>
    <mergeCell ref="B5:E5"/>
    <mergeCell ref="G5:I5"/>
    <mergeCell ref="P5:R5"/>
    <mergeCell ref="K5:N5"/>
    <mergeCell ref="Y5:AA5"/>
  </mergeCells>
  <conditionalFormatting sqref="A6">
    <cfRule type="duplicateValues" dxfId="8" priority="2"/>
  </conditionalFormatting>
  <hyperlinks>
    <hyperlink ref="B1" location="Contents!A1" display="Back to Contents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U7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5" sqref="C5"/>
    </sheetView>
  </sheetViews>
  <sheetFormatPr defaultRowHeight="15" x14ac:dyDescent="0.25"/>
  <cols>
    <col min="1" max="1" width="21.7109375" customWidth="1"/>
    <col min="2" max="3" width="13.7109375" customWidth="1"/>
    <col min="4" max="4" width="3.140625" customWidth="1"/>
    <col min="5" max="6" width="13.7109375" customWidth="1"/>
    <col min="7" max="7" width="3.140625" customWidth="1"/>
    <col min="8" max="9" width="13.7109375" customWidth="1"/>
    <col min="12" max="13" width="13.7109375" customWidth="1"/>
    <col min="14" max="14" width="3.140625" customWidth="1"/>
    <col min="15" max="16" width="13.7109375" customWidth="1"/>
    <col min="17" max="17" width="3.140625" customWidth="1"/>
    <col min="18" max="19" width="13.7109375" customWidth="1"/>
  </cols>
  <sheetData>
    <row r="1" spans="1:21" x14ac:dyDescent="0.25">
      <c r="A1" s="32" t="s">
        <v>0</v>
      </c>
      <c r="B1" s="87" t="s">
        <v>189</v>
      </c>
      <c r="C1" s="4"/>
    </row>
    <row r="2" spans="1:21" x14ac:dyDescent="0.25">
      <c r="A2" s="44" t="s">
        <v>151</v>
      </c>
      <c r="B2" s="13"/>
      <c r="C2" s="4"/>
    </row>
    <row r="3" spans="1:21" x14ac:dyDescent="0.25">
      <c r="A3" s="42" t="s">
        <v>16</v>
      </c>
      <c r="B3" s="128" t="s">
        <v>3</v>
      </c>
      <c r="C3" s="128"/>
      <c r="D3" s="128"/>
      <c r="E3" s="128"/>
      <c r="F3" s="128"/>
      <c r="G3" s="128"/>
      <c r="H3" s="128"/>
      <c r="I3" s="128"/>
      <c r="L3" s="127" t="s">
        <v>97</v>
      </c>
      <c r="M3" s="127"/>
      <c r="N3" s="127"/>
      <c r="O3" s="127"/>
      <c r="P3" s="127"/>
      <c r="Q3" s="127"/>
      <c r="R3" s="127"/>
      <c r="S3" s="127"/>
    </row>
    <row r="4" spans="1:21" x14ac:dyDescent="0.25">
      <c r="A4" s="32" t="s">
        <v>6</v>
      </c>
      <c r="B4" s="122" t="s">
        <v>4</v>
      </c>
      <c r="C4" s="122"/>
      <c r="E4" s="126" t="s">
        <v>101</v>
      </c>
      <c r="F4" s="126"/>
      <c r="G4" s="23"/>
      <c r="H4" s="126" t="s">
        <v>86</v>
      </c>
      <c r="I4" s="126"/>
      <c r="L4" s="122" t="s">
        <v>4</v>
      </c>
      <c r="M4" s="122"/>
      <c r="O4" s="126" t="s">
        <v>101</v>
      </c>
      <c r="P4" s="126"/>
      <c r="R4" s="126" t="s">
        <v>86</v>
      </c>
      <c r="S4" s="126"/>
    </row>
    <row r="5" spans="1:21" s="36" customFormat="1" ht="25.5" x14ac:dyDescent="0.25">
      <c r="A5" s="43" t="s">
        <v>11</v>
      </c>
      <c r="B5" s="35" t="s">
        <v>104</v>
      </c>
      <c r="C5" s="35" t="s">
        <v>112</v>
      </c>
      <c r="E5" s="35" t="str">
        <f>B5</f>
        <v>Standard to Market</v>
      </c>
      <c r="F5" s="35" t="s">
        <v>112</v>
      </c>
      <c r="H5" s="35" t="str">
        <f>E5</f>
        <v>Standard to Market</v>
      </c>
      <c r="I5" s="35" t="s">
        <v>112</v>
      </c>
      <c r="K5"/>
      <c r="L5" s="35" t="str">
        <f>H5</f>
        <v>Standard to Market</v>
      </c>
      <c r="M5" s="35" t="s">
        <v>112</v>
      </c>
      <c r="O5" s="35" t="str">
        <f>L5</f>
        <v>Standard to Market</v>
      </c>
      <c r="P5" s="35" t="s">
        <v>112</v>
      </c>
      <c r="R5" s="35" t="str">
        <f>O5</f>
        <v>Standard to Market</v>
      </c>
      <c r="S5" s="35" t="s">
        <v>112</v>
      </c>
      <c r="U5"/>
    </row>
    <row r="6" spans="1:21" x14ac:dyDescent="0.25">
      <c r="A6" s="20" t="s">
        <v>23</v>
      </c>
      <c r="B6" s="21">
        <v>4846</v>
      </c>
      <c r="C6" s="22">
        <v>5.4570228483271963E-2</v>
      </c>
      <c r="E6" s="21">
        <v>224</v>
      </c>
      <c r="F6" s="22">
        <v>2.2955523672883789E-2</v>
      </c>
      <c r="H6" s="21">
        <v>0</v>
      </c>
      <c r="I6" s="22">
        <v>0</v>
      </c>
      <c r="L6" s="21">
        <v>2045</v>
      </c>
      <c r="M6" s="22">
        <v>3.0254164570819895E-2</v>
      </c>
      <c r="O6" s="21">
        <v>20</v>
      </c>
      <c r="P6" s="22">
        <v>1.0030090270812437E-2</v>
      </c>
      <c r="R6" s="21">
        <v>0</v>
      </c>
      <c r="S6" s="22">
        <v>0</v>
      </c>
    </row>
    <row r="7" spans="1:21" x14ac:dyDescent="0.25">
      <c r="A7" s="20" t="s">
        <v>24</v>
      </c>
      <c r="B7" s="21">
        <v>4572</v>
      </c>
      <c r="C7" s="22">
        <v>3.1936211071219835E-2</v>
      </c>
      <c r="E7" s="21">
        <v>456</v>
      </c>
      <c r="F7" s="22">
        <v>0.02</v>
      </c>
      <c r="H7" s="21">
        <v>5</v>
      </c>
      <c r="I7" s="22">
        <v>0</v>
      </c>
      <c r="L7" s="21">
        <v>3024</v>
      </c>
      <c r="M7" s="22">
        <v>2.1847500975334864E-2</v>
      </c>
      <c r="O7" s="21">
        <v>66</v>
      </c>
      <c r="P7" s="22">
        <v>1.1613584374450115E-2</v>
      </c>
      <c r="R7" s="21">
        <v>6</v>
      </c>
      <c r="S7" s="22">
        <v>0</v>
      </c>
    </row>
    <row r="8" spans="1:21" x14ac:dyDescent="0.25">
      <c r="A8" s="20" t="s">
        <v>25</v>
      </c>
      <c r="B8" s="21">
        <v>14</v>
      </c>
      <c r="C8" s="22">
        <v>7.551240560949299E-3</v>
      </c>
      <c r="E8" s="21">
        <v>2</v>
      </c>
      <c r="F8" s="22">
        <v>4.11522633744856E-3</v>
      </c>
      <c r="H8" s="21">
        <v>0</v>
      </c>
      <c r="I8" s="22">
        <v>0</v>
      </c>
      <c r="L8" s="21">
        <v>2</v>
      </c>
      <c r="M8" s="22">
        <v>1.6949152542372881E-3</v>
      </c>
      <c r="O8" s="21">
        <v>0</v>
      </c>
      <c r="P8" s="22">
        <v>0</v>
      </c>
      <c r="R8" s="21">
        <v>0</v>
      </c>
      <c r="S8" s="22">
        <v>0</v>
      </c>
    </row>
    <row r="9" spans="1:21" x14ac:dyDescent="0.25">
      <c r="A9" s="20" t="s">
        <v>26</v>
      </c>
      <c r="B9" s="21">
        <v>2</v>
      </c>
      <c r="C9" s="22">
        <v>1.195457262402869E-3</v>
      </c>
      <c r="E9" s="21">
        <v>0</v>
      </c>
      <c r="F9" s="22">
        <v>0</v>
      </c>
      <c r="H9" s="21">
        <v>0</v>
      </c>
      <c r="I9" s="22">
        <v>0</v>
      </c>
      <c r="L9" s="21">
        <v>0</v>
      </c>
      <c r="M9" s="22">
        <v>0</v>
      </c>
      <c r="O9" s="21">
        <v>0</v>
      </c>
      <c r="P9" s="22">
        <v>0</v>
      </c>
      <c r="R9" s="21">
        <v>0</v>
      </c>
      <c r="S9" s="22">
        <v>0</v>
      </c>
    </row>
    <row r="10" spans="1:21" x14ac:dyDescent="0.25">
      <c r="A10" s="20" t="s">
        <v>27</v>
      </c>
      <c r="B10" s="21">
        <v>0</v>
      </c>
      <c r="C10" s="22">
        <v>0</v>
      </c>
      <c r="E10" s="21">
        <v>40</v>
      </c>
      <c r="F10" s="22">
        <v>1.2577825294006666E-3</v>
      </c>
      <c r="H10" s="21">
        <v>0</v>
      </c>
      <c r="I10" s="22">
        <v>0</v>
      </c>
      <c r="L10" s="21">
        <v>0</v>
      </c>
      <c r="M10" s="22">
        <v>0</v>
      </c>
      <c r="O10" s="21">
        <v>0</v>
      </c>
      <c r="P10" s="22">
        <v>0</v>
      </c>
      <c r="R10" s="21">
        <v>0</v>
      </c>
      <c r="S10" s="22">
        <v>0</v>
      </c>
    </row>
    <row r="11" spans="1:21" x14ac:dyDescent="0.25">
      <c r="A11" s="20" t="s">
        <v>29</v>
      </c>
      <c r="B11" s="21">
        <v>0</v>
      </c>
      <c r="C11" s="22">
        <v>0</v>
      </c>
      <c r="E11" s="21">
        <v>27</v>
      </c>
      <c r="F11" s="22">
        <v>0</v>
      </c>
      <c r="H11" s="21">
        <v>0</v>
      </c>
      <c r="I11" s="22">
        <v>0</v>
      </c>
      <c r="L11" s="21">
        <v>0</v>
      </c>
      <c r="M11" s="22">
        <v>0</v>
      </c>
      <c r="O11" s="21">
        <v>0</v>
      </c>
      <c r="P11" s="22">
        <v>0</v>
      </c>
      <c r="R11" s="21">
        <v>0</v>
      </c>
      <c r="S11" s="22">
        <v>0</v>
      </c>
    </row>
    <row r="12" spans="1:21" x14ac:dyDescent="0.25">
      <c r="A12" s="20" t="s">
        <v>30</v>
      </c>
      <c r="B12" s="21">
        <v>7</v>
      </c>
      <c r="C12" s="22">
        <v>2.8455284552845527E-2</v>
      </c>
      <c r="E12" s="21">
        <v>18</v>
      </c>
      <c r="F12" s="22">
        <v>4.3269230769230768E-2</v>
      </c>
      <c r="H12" s="21">
        <v>0</v>
      </c>
      <c r="I12" s="22">
        <v>0</v>
      </c>
      <c r="L12" s="21">
        <v>2</v>
      </c>
      <c r="M12" s="22">
        <v>1.2738853503184714E-2</v>
      </c>
      <c r="O12" s="21">
        <v>1</v>
      </c>
      <c r="P12" s="22">
        <v>4.8543689320388345E-3</v>
      </c>
      <c r="R12" s="21">
        <v>0</v>
      </c>
      <c r="S12" s="22">
        <v>0</v>
      </c>
    </row>
    <row r="13" spans="1:21" x14ac:dyDescent="0.25">
      <c r="A13" s="20" t="s">
        <v>33</v>
      </c>
      <c r="B13" s="21">
        <v>53</v>
      </c>
      <c r="C13" s="22">
        <v>4.3983402489626559E-2</v>
      </c>
      <c r="E13" s="21">
        <v>0</v>
      </c>
      <c r="F13" s="22">
        <v>0</v>
      </c>
      <c r="H13" s="21">
        <v>0</v>
      </c>
      <c r="I13" s="22">
        <v>0</v>
      </c>
      <c r="L13" s="21">
        <v>6</v>
      </c>
      <c r="M13" s="22">
        <v>1.3544018058690745E-2</v>
      </c>
      <c r="O13" s="21">
        <v>0</v>
      </c>
      <c r="P13" s="22">
        <v>0</v>
      </c>
      <c r="R13" s="21">
        <v>0</v>
      </c>
      <c r="S13" s="22">
        <v>0</v>
      </c>
    </row>
    <row r="14" spans="1:21" x14ac:dyDescent="0.25">
      <c r="A14" s="20" t="s">
        <v>35</v>
      </c>
      <c r="B14" s="21">
        <v>4779</v>
      </c>
      <c r="C14" s="22">
        <v>3.1086566232144251E-2</v>
      </c>
      <c r="E14" s="21">
        <v>457</v>
      </c>
      <c r="F14" s="22">
        <v>1.7850865200578103E-2</v>
      </c>
      <c r="H14" s="21">
        <v>9</v>
      </c>
      <c r="I14" s="22">
        <v>0</v>
      </c>
      <c r="L14" s="21">
        <v>530</v>
      </c>
      <c r="M14" s="22">
        <v>2.572440906664078E-2</v>
      </c>
      <c r="O14" s="21">
        <v>11</v>
      </c>
      <c r="P14" s="22">
        <v>5.708354955889984E-3</v>
      </c>
      <c r="R14" s="21">
        <v>0</v>
      </c>
      <c r="S14" s="22">
        <v>0</v>
      </c>
    </row>
    <row r="15" spans="1:21" x14ac:dyDescent="0.25">
      <c r="A15" s="20" t="s">
        <v>85</v>
      </c>
      <c r="B15" s="21">
        <v>0</v>
      </c>
      <c r="C15" s="22">
        <v>0</v>
      </c>
      <c r="E15" s="21">
        <v>6</v>
      </c>
      <c r="F15" s="22">
        <v>3.1746031746031744E-2</v>
      </c>
      <c r="H15" s="21">
        <v>11</v>
      </c>
      <c r="I15" s="22">
        <v>0</v>
      </c>
      <c r="L15" s="21">
        <v>0</v>
      </c>
      <c r="M15" s="22">
        <v>0</v>
      </c>
      <c r="O15" s="21">
        <v>0</v>
      </c>
      <c r="P15" s="22">
        <v>0</v>
      </c>
      <c r="R15" s="21">
        <v>0</v>
      </c>
      <c r="S15" s="22">
        <v>0</v>
      </c>
    </row>
    <row r="16" spans="1:21" x14ac:dyDescent="0.25">
      <c r="A16" s="20" t="s">
        <v>48</v>
      </c>
      <c r="B16" s="21">
        <v>6032</v>
      </c>
      <c r="C16" s="22">
        <v>1.6787404993362409E-2</v>
      </c>
      <c r="E16" s="21">
        <v>788</v>
      </c>
      <c r="F16" s="22">
        <v>1.4273035193537285E-2</v>
      </c>
      <c r="H16" s="21">
        <v>7</v>
      </c>
      <c r="I16" s="22">
        <v>0</v>
      </c>
      <c r="L16" s="21">
        <v>1935</v>
      </c>
      <c r="M16" s="22">
        <v>2.3653521746571156E-2</v>
      </c>
      <c r="O16" s="21">
        <v>170</v>
      </c>
      <c r="P16" s="22">
        <v>1.9239474875509279E-2</v>
      </c>
      <c r="R16" s="21">
        <v>10</v>
      </c>
      <c r="S16" s="22">
        <v>0</v>
      </c>
    </row>
    <row r="17" spans="1:19" x14ac:dyDescent="0.25">
      <c r="A17" s="20" t="s">
        <v>139</v>
      </c>
      <c r="B17" s="21">
        <v>18</v>
      </c>
      <c r="C17" s="22">
        <v>1.6E-2</v>
      </c>
      <c r="E17" s="21">
        <v>8</v>
      </c>
      <c r="F17" s="22">
        <v>4.0000000000000001E-3</v>
      </c>
      <c r="H17" s="21">
        <v>0</v>
      </c>
      <c r="I17" s="22">
        <v>0</v>
      </c>
      <c r="L17" s="21">
        <v>0</v>
      </c>
      <c r="M17" s="22">
        <v>0</v>
      </c>
      <c r="O17" s="21">
        <v>0</v>
      </c>
      <c r="P17" s="22">
        <v>0</v>
      </c>
      <c r="R17" s="21">
        <v>0</v>
      </c>
      <c r="S17" s="22">
        <v>0</v>
      </c>
    </row>
    <row r="18" spans="1:19" x14ac:dyDescent="0.25">
      <c r="A18" s="20" t="s">
        <v>54</v>
      </c>
      <c r="B18" s="21">
        <v>14</v>
      </c>
      <c r="C18" s="22">
        <v>3.6842105263157891E-2</v>
      </c>
      <c r="E18" s="21">
        <v>24</v>
      </c>
      <c r="F18" s="22">
        <v>1.8085908063300678E-2</v>
      </c>
      <c r="H18" s="21">
        <v>0</v>
      </c>
      <c r="I18" s="22">
        <v>0</v>
      </c>
      <c r="L18" s="21">
        <v>0</v>
      </c>
      <c r="M18" s="22">
        <v>0</v>
      </c>
      <c r="O18" s="21">
        <v>0</v>
      </c>
      <c r="P18" s="22">
        <v>0</v>
      </c>
      <c r="R18" s="21">
        <v>0</v>
      </c>
      <c r="S18" s="22">
        <v>0</v>
      </c>
    </row>
    <row r="19" spans="1:19" x14ac:dyDescent="0.25">
      <c r="A19" s="20" t="s">
        <v>57</v>
      </c>
      <c r="B19" s="21">
        <v>1</v>
      </c>
      <c r="C19" s="22">
        <v>1.3458950201884253E-3</v>
      </c>
      <c r="E19" s="21">
        <v>7</v>
      </c>
      <c r="F19" s="22">
        <v>4.9645390070921988E-2</v>
      </c>
      <c r="H19" s="21">
        <v>0</v>
      </c>
      <c r="I19" s="22">
        <v>0</v>
      </c>
      <c r="L19" s="21">
        <v>1</v>
      </c>
      <c r="M19" s="22">
        <v>1.3157894736842105E-2</v>
      </c>
      <c r="O19" s="21">
        <v>3</v>
      </c>
      <c r="P19" s="22">
        <v>3</v>
      </c>
      <c r="R19" s="21">
        <v>0</v>
      </c>
      <c r="S19" s="22">
        <v>0</v>
      </c>
    </row>
    <row r="20" spans="1:19" x14ac:dyDescent="0.25">
      <c r="A20" s="20" t="s">
        <v>60</v>
      </c>
      <c r="B20" s="21">
        <v>32</v>
      </c>
      <c r="C20" s="22">
        <v>4.6511627906976744E-2</v>
      </c>
      <c r="E20" s="21">
        <v>2</v>
      </c>
      <c r="F20" s="22">
        <v>3.9215686274509803E-2</v>
      </c>
      <c r="H20" s="21">
        <v>0</v>
      </c>
      <c r="I20" s="22">
        <v>0</v>
      </c>
      <c r="L20" s="21">
        <v>17</v>
      </c>
      <c r="M20" s="22">
        <v>5.4313099041533544E-2</v>
      </c>
      <c r="O20" s="21">
        <v>0</v>
      </c>
      <c r="P20" s="22">
        <v>0</v>
      </c>
      <c r="R20" s="21">
        <v>0</v>
      </c>
      <c r="S20" s="22">
        <v>0</v>
      </c>
    </row>
    <row r="21" spans="1:19" x14ac:dyDescent="0.25">
      <c r="A21" s="20" t="s">
        <v>62</v>
      </c>
      <c r="B21" s="21">
        <v>915</v>
      </c>
      <c r="C21" s="22">
        <v>0</v>
      </c>
      <c r="E21" s="21">
        <v>55</v>
      </c>
      <c r="F21" s="22">
        <v>0</v>
      </c>
      <c r="H21" s="21">
        <v>0</v>
      </c>
      <c r="I21" s="22">
        <v>0</v>
      </c>
      <c r="L21" s="21">
        <v>0</v>
      </c>
      <c r="M21" s="22">
        <v>0</v>
      </c>
      <c r="O21" s="21">
        <v>0</v>
      </c>
      <c r="P21" s="22">
        <v>0</v>
      </c>
      <c r="R21" s="21">
        <v>0</v>
      </c>
      <c r="S21" s="22">
        <v>0</v>
      </c>
    </row>
    <row r="22" spans="1:19" x14ac:dyDescent="0.25">
      <c r="A22" s="20" t="s">
        <v>63</v>
      </c>
      <c r="B22" s="21">
        <v>0</v>
      </c>
      <c r="C22" s="22">
        <v>0</v>
      </c>
      <c r="E22" s="21">
        <v>0</v>
      </c>
      <c r="F22" s="22">
        <v>0</v>
      </c>
      <c r="H22" s="21">
        <v>2</v>
      </c>
      <c r="I22" s="22">
        <v>0</v>
      </c>
      <c r="L22" s="21">
        <v>0</v>
      </c>
      <c r="M22" s="22">
        <v>0</v>
      </c>
      <c r="O22" s="21">
        <v>0</v>
      </c>
      <c r="P22" s="22">
        <v>0</v>
      </c>
      <c r="R22" s="21">
        <v>0</v>
      </c>
      <c r="S22" s="22">
        <v>0</v>
      </c>
    </row>
    <row r="23" spans="1:19" x14ac:dyDescent="0.25">
      <c r="A23" s="1" t="s">
        <v>67</v>
      </c>
      <c r="B23" s="23">
        <v>21285</v>
      </c>
      <c r="C23" s="24">
        <v>1.3220127387743821E-2</v>
      </c>
      <c r="E23" s="23">
        <v>2114</v>
      </c>
      <c r="F23" s="24">
        <v>8.7761176680601627E-3</v>
      </c>
      <c r="H23" s="23">
        <v>34</v>
      </c>
      <c r="I23" s="24">
        <v>0</v>
      </c>
      <c r="L23" s="23">
        <v>7562</v>
      </c>
      <c r="M23" s="24">
        <v>2.3640262850211643E-2</v>
      </c>
      <c r="O23" s="23">
        <v>271</v>
      </c>
      <c r="P23" s="24">
        <v>1.4485781483857173E-2</v>
      </c>
      <c r="R23" s="23">
        <v>16</v>
      </c>
      <c r="S23" s="24">
        <v>0</v>
      </c>
    </row>
    <row r="24" spans="1:19" x14ac:dyDescent="0.25">
      <c r="A24" s="25"/>
      <c r="B24" s="21"/>
      <c r="C24" s="21"/>
      <c r="E24" s="21"/>
      <c r="F24" s="21"/>
      <c r="H24" s="21"/>
      <c r="I24" s="21"/>
      <c r="L24" s="21"/>
      <c r="M24" s="21"/>
      <c r="O24" s="21"/>
      <c r="P24" s="21"/>
      <c r="R24" s="21"/>
      <c r="S24" s="21"/>
    </row>
    <row r="25" spans="1:19" x14ac:dyDescent="0.25">
      <c r="A25" s="1" t="s">
        <v>68</v>
      </c>
      <c r="B25" s="21"/>
      <c r="C25" s="21"/>
      <c r="E25" s="21"/>
      <c r="F25" s="21"/>
      <c r="H25" s="21"/>
      <c r="I25" s="21"/>
      <c r="L25" s="21"/>
      <c r="M25" s="21"/>
      <c r="O25" s="21"/>
      <c r="P25" s="21"/>
      <c r="R25" s="21"/>
      <c r="S25" s="21"/>
    </row>
    <row r="26" spans="1:19" x14ac:dyDescent="0.25">
      <c r="A26" s="26" t="s">
        <v>69</v>
      </c>
      <c r="B26" s="27"/>
      <c r="C26" s="27"/>
      <c r="E26" s="27"/>
      <c r="F26" s="27"/>
      <c r="H26" s="27"/>
      <c r="I26" s="27"/>
      <c r="L26" s="27"/>
      <c r="M26" s="27"/>
      <c r="O26" s="27"/>
      <c r="P26" s="27"/>
      <c r="R26" s="27"/>
      <c r="S26" s="27"/>
    </row>
    <row r="27" spans="1:19" x14ac:dyDescent="0.25">
      <c r="A27" s="20" t="s">
        <v>23</v>
      </c>
      <c r="B27" s="21">
        <v>4178</v>
      </c>
      <c r="C27" s="22">
        <v>4.8812402883413361E-2</v>
      </c>
      <c r="E27" s="21">
        <v>181</v>
      </c>
      <c r="F27" s="22">
        <v>1.9345874305258658E-2</v>
      </c>
      <c r="H27" s="21">
        <v>0</v>
      </c>
      <c r="I27" s="22">
        <v>0</v>
      </c>
      <c r="L27" s="21">
        <v>1817</v>
      </c>
      <c r="M27" s="22">
        <v>3.0494763694951663E-2</v>
      </c>
      <c r="O27" s="21">
        <v>20</v>
      </c>
      <c r="P27" s="22">
        <v>1.3783597518952447E-2</v>
      </c>
      <c r="R27" s="21">
        <v>0</v>
      </c>
      <c r="S27" s="22">
        <v>0</v>
      </c>
    </row>
    <row r="28" spans="1:19" x14ac:dyDescent="0.25">
      <c r="A28" s="20" t="s">
        <v>35</v>
      </c>
      <c r="B28" s="21">
        <v>2</v>
      </c>
      <c r="C28" s="22">
        <v>7.874015748031496E-3</v>
      </c>
      <c r="E28" s="21">
        <v>0</v>
      </c>
      <c r="F28" s="22">
        <v>0</v>
      </c>
      <c r="H28" s="21">
        <v>0</v>
      </c>
      <c r="I28" s="22">
        <v>0</v>
      </c>
      <c r="L28" s="21">
        <v>0</v>
      </c>
      <c r="M28" s="22">
        <v>0</v>
      </c>
      <c r="O28" s="21">
        <v>0</v>
      </c>
      <c r="P28" s="22">
        <v>0</v>
      </c>
      <c r="R28" s="21">
        <v>0</v>
      </c>
      <c r="S28" s="22">
        <v>0</v>
      </c>
    </row>
    <row r="29" spans="1:19" x14ac:dyDescent="0.25">
      <c r="A29" s="20" t="s">
        <v>48</v>
      </c>
      <c r="B29" s="21">
        <v>35</v>
      </c>
      <c r="C29" s="22">
        <v>4.2944785276073622E-2</v>
      </c>
      <c r="E29" s="21">
        <v>2</v>
      </c>
      <c r="F29" s="22">
        <v>1.8018018018018018E-2</v>
      </c>
      <c r="H29" s="21">
        <v>0</v>
      </c>
      <c r="I29" s="22">
        <v>0</v>
      </c>
      <c r="L29" s="21">
        <v>21</v>
      </c>
      <c r="M29" s="22">
        <v>7.1186440677966104E-2</v>
      </c>
      <c r="O29" s="21">
        <v>2</v>
      </c>
      <c r="P29" s="22">
        <v>0.05</v>
      </c>
      <c r="R29" s="21">
        <v>0</v>
      </c>
      <c r="S29" s="22">
        <v>0</v>
      </c>
    </row>
    <row r="30" spans="1:19" x14ac:dyDescent="0.25">
      <c r="A30" s="28" t="s">
        <v>70</v>
      </c>
      <c r="B30" s="29">
        <v>4215</v>
      </c>
      <c r="C30" s="24">
        <v>4.8637234312616837E-2</v>
      </c>
      <c r="E30" s="29">
        <v>183</v>
      </c>
      <c r="F30" s="24">
        <v>1.9279393173198482E-2</v>
      </c>
      <c r="H30" s="29">
        <v>0</v>
      </c>
      <c r="I30" s="24">
        <v>0</v>
      </c>
      <c r="L30" s="29">
        <v>1838</v>
      </c>
      <c r="M30" s="24">
        <v>3.0579309885868298E-2</v>
      </c>
      <c r="O30" s="29">
        <v>22</v>
      </c>
      <c r="P30" s="24">
        <v>1.4705882352941176E-2</v>
      </c>
      <c r="R30" s="29">
        <v>0</v>
      </c>
      <c r="S30" s="24">
        <v>0</v>
      </c>
    </row>
    <row r="31" spans="1:19" x14ac:dyDescent="0.25">
      <c r="A31" s="20"/>
      <c r="B31" s="21"/>
      <c r="C31" s="21"/>
      <c r="E31" s="21"/>
      <c r="F31" s="21"/>
      <c r="H31" s="21"/>
      <c r="I31" s="21"/>
      <c r="L31" s="21"/>
      <c r="M31" s="21"/>
      <c r="O31" s="21"/>
      <c r="P31" s="21"/>
      <c r="R31" s="21"/>
      <c r="S31" s="21"/>
    </row>
    <row r="32" spans="1:19" x14ac:dyDescent="0.25">
      <c r="A32" s="30" t="s">
        <v>71</v>
      </c>
      <c r="B32" s="27"/>
      <c r="C32" s="27"/>
      <c r="E32" s="27"/>
      <c r="F32" s="27"/>
      <c r="H32" s="27"/>
      <c r="I32" s="27"/>
      <c r="L32" s="27"/>
      <c r="M32" s="27"/>
      <c r="O32" s="27"/>
      <c r="P32" s="27"/>
      <c r="R32" s="27"/>
      <c r="S32" s="27"/>
    </row>
    <row r="33" spans="1:19" x14ac:dyDescent="0.25">
      <c r="A33" s="20" t="s">
        <v>23</v>
      </c>
      <c r="B33" s="21">
        <v>668</v>
      </c>
      <c r="C33" s="22">
        <v>0.20809968847352026</v>
      </c>
      <c r="E33" s="21">
        <v>43</v>
      </c>
      <c r="F33" s="22">
        <v>0.10696517412935323</v>
      </c>
      <c r="H33" s="21">
        <v>0</v>
      </c>
      <c r="I33" s="22">
        <v>0</v>
      </c>
      <c r="L33" s="21">
        <v>228</v>
      </c>
      <c r="M33" s="22">
        <v>2.8464419475655429E-2</v>
      </c>
      <c r="O33" s="21">
        <v>0</v>
      </c>
      <c r="P33" s="22">
        <v>0</v>
      </c>
      <c r="R33" s="21">
        <v>0</v>
      </c>
      <c r="S33" s="22">
        <v>0</v>
      </c>
    </row>
    <row r="34" spans="1:19" x14ac:dyDescent="0.25">
      <c r="A34" s="20" t="s">
        <v>24</v>
      </c>
      <c r="B34" s="21">
        <v>1636</v>
      </c>
      <c r="C34" s="22">
        <v>4.3553221399962865E-2</v>
      </c>
      <c r="E34" s="21">
        <v>161</v>
      </c>
      <c r="F34" s="22">
        <v>2.7E-2</v>
      </c>
      <c r="H34" s="21">
        <v>4</v>
      </c>
      <c r="I34" s="22">
        <v>0</v>
      </c>
      <c r="L34" s="21">
        <v>2394</v>
      </c>
      <c r="M34" s="22">
        <v>2.0536487865972394E-2</v>
      </c>
      <c r="O34" s="21">
        <v>45</v>
      </c>
      <c r="P34" s="22">
        <v>1.1091939857037219E-2</v>
      </c>
      <c r="R34" s="21">
        <v>3</v>
      </c>
      <c r="S34" s="22">
        <v>0</v>
      </c>
    </row>
    <row r="35" spans="1:19" x14ac:dyDescent="0.25">
      <c r="A35" s="20" t="s">
        <v>25</v>
      </c>
      <c r="B35" s="21">
        <v>1</v>
      </c>
      <c r="C35" s="22">
        <v>8.7565674255691769E-4</v>
      </c>
      <c r="E35" s="21">
        <v>1</v>
      </c>
      <c r="F35" s="22">
        <v>4.1666666666666666E-3</v>
      </c>
      <c r="H35" s="21">
        <v>0</v>
      </c>
      <c r="I35" s="22">
        <v>0</v>
      </c>
      <c r="L35" s="21">
        <v>0</v>
      </c>
      <c r="M35" s="22">
        <v>0</v>
      </c>
      <c r="O35" s="21">
        <v>0</v>
      </c>
      <c r="P35" s="22">
        <v>0</v>
      </c>
      <c r="R35" s="21">
        <v>0</v>
      </c>
      <c r="S35" s="22">
        <v>0</v>
      </c>
    </row>
    <row r="36" spans="1:19" x14ac:dyDescent="0.25">
      <c r="A36" s="20" t="s">
        <v>29</v>
      </c>
      <c r="B36" s="21">
        <v>0</v>
      </c>
      <c r="C36" s="22">
        <v>0</v>
      </c>
      <c r="E36" s="21">
        <v>27</v>
      </c>
      <c r="F36" s="22">
        <v>0</v>
      </c>
      <c r="H36" s="21">
        <v>0</v>
      </c>
      <c r="I36" s="22">
        <v>0</v>
      </c>
      <c r="L36" s="21">
        <v>0</v>
      </c>
      <c r="M36" s="22">
        <v>0</v>
      </c>
      <c r="O36" s="21">
        <v>0</v>
      </c>
      <c r="P36" s="22">
        <v>0</v>
      </c>
      <c r="R36" s="21">
        <v>0</v>
      </c>
      <c r="S36" s="22">
        <v>0</v>
      </c>
    </row>
    <row r="37" spans="1:19" x14ac:dyDescent="0.25">
      <c r="A37" s="20" t="s">
        <v>30</v>
      </c>
      <c r="B37" s="21">
        <v>7</v>
      </c>
      <c r="C37" s="22">
        <v>2.8455284552845527E-2</v>
      </c>
      <c r="E37" s="21">
        <v>18</v>
      </c>
      <c r="F37" s="22">
        <v>4.3269230769230768E-2</v>
      </c>
      <c r="H37" s="21">
        <v>0</v>
      </c>
      <c r="I37" s="22">
        <v>0</v>
      </c>
      <c r="L37" s="21">
        <v>2</v>
      </c>
      <c r="M37" s="22">
        <v>1.2738853503184714E-2</v>
      </c>
      <c r="O37" s="21">
        <v>1</v>
      </c>
      <c r="P37" s="22">
        <v>4.8543689320388345E-3</v>
      </c>
      <c r="R37" s="21">
        <v>0</v>
      </c>
      <c r="S37" s="22">
        <v>0</v>
      </c>
    </row>
    <row r="38" spans="1:19" x14ac:dyDescent="0.25">
      <c r="A38" s="20" t="s">
        <v>33</v>
      </c>
      <c r="B38" s="21">
        <v>22</v>
      </c>
      <c r="C38" s="22">
        <v>2.736318407960199E-2</v>
      </c>
      <c r="E38" s="21">
        <v>0</v>
      </c>
      <c r="F38" s="22">
        <v>0</v>
      </c>
      <c r="H38" s="21">
        <v>0</v>
      </c>
      <c r="I38" s="22">
        <v>0</v>
      </c>
      <c r="L38" s="21">
        <v>6</v>
      </c>
      <c r="M38" s="22">
        <v>1.3544018058690745E-2</v>
      </c>
      <c r="O38" s="21">
        <v>0</v>
      </c>
      <c r="P38" s="22">
        <v>0</v>
      </c>
      <c r="R38" s="21">
        <v>0</v>
      </c>
      <c r="S38" s="22">
        <v>0</v>
      </c>
    </row>
    <row r="39" spans="1:19" x14ac:dyDescent="0.25">
      <c r="A39" s="20" t="s">
        <v>35</v>
      </c>
      <c r="B39" s="21">
        <v>4700</v>
      </c>
      <c r="C39" s="22">
        <v>3.1119233010222999E-2</v>
      </c>
      <c r="E39" s="21">
        <v>450</v>
      </c>
      <c r="F39" s="22">
        <v>1.8292682926829267E-2</v>
      </c>
      <c r="H39" s="21">
        <v>9</v>
      </c>
      <c r="I39" s="22">
        <v>0</v>
      </c>
      <c r="L39" s="21">
        <v>508</v>
      </c>
      <c r="M39" s="22">
        <v>2.5851101725103048E-2</v>
      </c>
      <c r="O39" s="21">
        <v>11</v>
      </c>
      <c r="P39" s="22">
        <v>5.8792089791555322E-3</v>
      </c>
      <c r="R39" s="21">
        <v>0</v>
      </c>
      <c r="S39" s="22">
        <v>0</v>
      </c>
    </row>
    <row r="40" spans="1:19" x14ac:dyDescent="0.25">
      <c r="A40" s="20" t="s">
        <v>85</v>
      </c>
      <c r="B40" s="21">
        <v>0</v>
      </c>
      <c r="C40" s="22">
        <v>0</v>
      </c>
      <c r="E40" s="21">
        <v>6</v>
      </c>
      <c r="F40" s="22">
        <v>0.04</v>
      </c>
      <c r="H40" s="21">
        <v>8</v>
      </c>
      <c r="I40" s="22">
        <v>0</v>
      </c>
      <c r="L40" s="21">
        <v>0</v>
      </c>
      <c r="M40" s="22">
        <v>0</v>
      </c>
      <c r="O40" s="21">
        <v>0</v>
      </c>
      <c r="P40" s="22">
        <v>0</v>
      </c>
      <c r="R40" s="21">
        <v>0</v>
      </c>
      <c r="S40" s="22">
        <v>0</v>
      </c>
    </row>
    <row r="41" spans="1:19" x14ac:dyDescent="0.25">
      <c r="A41" s="20" t="s">
        <v>48</v>
      </c>
      <c r="B41" s="21">
        <v>3068</v>
      </c>
      <c r="C41" s="22">
        <v>1.3619998490612944E-2</v>
      </c>
      <c r="E41" s="21">
        <v>536</v>
      </c>
      <c r="F41" s="22">
        <v>1.460251729962404E-2</v>
      </c>
      <c r="H41" s="21">
        <v>4</v>
      </c>
      <c r="I41" s="22">
        <v>0</v>
      </c>
      <c r="L41" s="21">
        <v>589</v>
      </c>
      <c r="M41" s="22">
        <v>2.5932285475278476E-2</v>
      </c>
      <c r="O41" s="21">
        <v>56</v>
      </c>
      <c r="P41" s="22">
        <v>2.084108671380722E-2</v>
      </c>
      <c r="R41" s="21">
        <v>0</v>
      </c>
      <c r="S41" s="22">
        <v>0</v>
      </c>
    </row>
    <row r="42" spans="1:19" x14ac:dyDescent="0.25">
      <c r="A42" s="20" t="s">
        <v>139</v>
      </c>
      <c r="B42" s="21">
        <v>6</v>
      </c>
      <c r="C42" s="22">
        <v>1.4E-2</v>
      </c>
      <c r="E42" s="21">
        <v>2</v>
      </c>
      <c r="F42" s="22">
        <v>3.0000000000000001E-3</v>
      </c>
      <c r="H42" s="21">
        <v>0</v>
      </c>
      <c r="I42" s="22">
        <v>0</v>
      </c>
      <c r="L42" s="21">
        <v>0</v>
      </c>
      <c r="M42" s="22">
        <v>0</v>
      </c>
      <c r="O42" s="21">
        <v>0</v>
      </c>
      <c r="P42" s="22">
        <v>0</v>
      </c>
      <c r="R42" s="21">
        <v>0</v>
      </c>
      <c r="S42" s="22">
        <v>0</v>
      </c>
    </row>
    <row r="43" spans="1:19" x14ac:dyDescent="0.25">
      <c r="A43" s="20" t="s">
        <v>54</v>
      </c>
      <c r="B43" s="21">
        <v>4</v>
      </c>
      <c r="C43" s="22">
        <v>5.0632911392405063E-2</v>
      </c>
      <c r="E43" s="21">
        <v>2</v>
      </c>
      <c r="F43" s="22">
        <v>7.462686567164179E-3</v>
      </c>
      <c r="H43" s="21">
        <v>0</v>
      </c>
      <c r="I43" s="22">
        <v>0</v>
      </c>
      <c r="L43" s="21">
        <v>0</v>
      </c>
      <c r="M43" s="22">
        <v>0</v>
      </c>
      <c r="O43" s="21">
        <v>0</v>
      </c>
      <c r="P43" s="22">
        <v>0</v>
      </c>
      <c r="R43" s="21">
        <v>0</v>
      </c>
      <c r="S43" s="22">
        <v>0</v>
      </c>
    </row>
    <row r="44" spans="1:19" x14ac:dyDescent="0.25">
      <c r="A44" s="20" t="s">
        <v>57</v>
      </c>
      <c r="B44" s="21">
        <v>0</v>
      </c>
      <c r="C44" s="22">
        <v>0</v>
      </c>
      <c r="E44" s="21">
        <v>5</v>
      </c>
      <c r="F44" s="22">
        <v>4.5454545454545456E-2</v>
      </c>
      <c r="H44" s="21">
        <v>0</v>
      </c>
      <c r="I44" s="22">
        <v>0</v>
      </c>
      <c r="L44" s="21">
        <v>1</v>
      </c>
      <c r="M44" s="22">
        <v>1.3157894736842105E-2</v>
      </c>
      <c r="O44" s="21">
        <v>3</v>
      </c>
      <c r="P44" s="22">
        <v>3</v>
      </c>
      <c r="R44" s="21">
        <v>0</v>
      </c>
      <c r="S44" s="22">
        <v>0</v>
      </c>
    </row>
    <row r="45" spans="1:19" x14ac:dyDescent="0.25">
      <c r="A45" s="20" t="s">
        <v>60</v>
      </c>
      <c r="B45" s="21">
        <v>6</v>
      </c>
      <c r="C45" s="22">
        <v>4.6511627906976744E-2</v>
      </c>
      <c r="E45" s="21">
        <v>0</v>
      </c>
      <c r="F45" s="22">
        <v>0</v>
      </c>
      <c r="H45" s="21">
        <v>0</v>
      </c>
      <c r="I45" s="22">
        <v>0</v>
      </c>
      <c r="L45" s="21">
        <v>0</v>
      </c>
      <c r="M45" s="22">
        <v>0</v>
      </c>
      <c r="O45" s="21">
        <v>0</v>
      </c>
      <c r="P45" s="22">
        <v>0</v>
      </c>
      <c r="R45" s="21">
        <v>0</v>
      </c>
      <c r="S45" s="22">
        <v>0</v>
      </c>
    </row>
    <row r="46" spans="1:19" x14ac:dyDescent="0.25">
      <c r="A46" s="20" t="s">
        <v>63</v>
      </c>
      <c r="B46" s="21">
        <v>0</v>
      </c>
      <c r="C46" s="22">
        <v>0</v>
      </c>
      <c r="E46" s="21">
        <v>0</v>
      </c>
      <c r="F46" s="22">
        <v>0</v>
      </c>
      <c r="H46" s="21">
        <v>1</v>
      </c>
      <c r="I46" s="22">
        <v>0</v>
      </c>
      <c r="L46" s="21">
        <v>0</v>
      </c>
      <c r="M46" s="22">
        <v>0</v>
      </c>
      <c r="O46" s="21">
        <v>0</v>
      </c>
      <c r="P46" s="22">
        <v>0</v>
      </c>
      <c r="R46" s="21">
        <v>0</v>
      </c>
      <c r="S46" s="22">
        <v>0</v>
      </c>
    </row>
    <row r="47" spans="1:19" x14ac:dyDescent="0.25">
      <c r="A47" s="31" t="s">
        <v>72</v>
      </c>
      <c r="B47" s="29">
        <v>10118</v>
      </c>
      <c r="C47" s="24">
        <v>2.3871145829155449E-2</v>
      </c>
      <c r="E47" s="29">
        <v>1251</v>
      </c>
      <c r="F47" s="24">
        <v>1.7713274336283186E-2</v>
      </c>
      <c r="H47" s="29">
        <v>26</v>
      </c>
      <c r="I47" s="24">
        <v>0</v>
      </c>
      <c r="L47" s="29">
        <v>3728</v>
      </c>
      <c r="M47" s="24">
        <v>2.2101805850338524E-2</v>
      </c>
      <c r="O47" s="29">
        <v>116</v>
      </c>
      <c r="P47" s="24">
        <v>1.2319456244689889E-2</v>
      </c>
      <c r="R47" s="29">
        <v>3</v>
      </c>
      <c r="S47" s="24">
        <v>0</v>
      </c>
    </row>
    <row r="48" spans="1:19" x14ac:dyDescent="0.25">
      <c r="A48" s="20"/>
      <c r="B48" s="21"/>
      <c r="C48" s="21"/>
      <c r="E48" s="21"/>
      <c r="F48" s="21"/>
      <c r="H48" s="21"/>
      <c r="I48" s="21"/>
      <c r="L48" s="21"/>
      <c r="M48" s="21"/>
      <c r="O48" s="21"/>
      <c r="P48" s="21"/>
      <c r="R48" s="21"/>
      <c r="S48" s="21"/>
    </row>
    <row r="49" spans="1:19" x14ac:dyDescent="0.25">
      <c r="A49" s="30" t="s">
        <v>73</v>
      </c>
      <c r="B49" s="27"/>
      <c r="C49" s="27"/>
      <c r="E49" s="27"/>
      <c r="F49" s="27"/>
      <c r="H49" s="27"/>
      <c r="I49" s="27"/>
      <c r="L49" s="27"/>
      <c r="M49" s="27"/>
      <c r="O49" s="27"/>
      <c r="P49" s="27"/>
      <c r="R49" s="27"/>
      <c r="S49" s="27"/>
    </row>
    <row r="50" spans="1:19" x14ac:dyDescent="0.25">
      <c r="A50" s="20" t="s">
        <v>24</v>
      </c>
      <c r="B50" s="21">
        <v>1740</v>
      </c>
      <c r="C50" s="22">
        <v>3.6067336724986555E-2</v>
      </c>
      <c r="E50" s="21">
        <v>117</v>
      </c>
      <c r="F50" s="22">
        <v>1.7369358669833728E-2</v>
      </c>
      <c r="H50" s="21">
        <v>0</v>
      </c>
      <c r="I50" s="22">
        <v>0</v>
      </c>
      <c r="L50" s="21">
        <v>290</v>
      </c>
      <c r="M50" s="22">
        <v>2.2681057406538401E-2</v>
      </c>
      <c r="O50" s="21">
        <v>14</v>
      </c>
      <c r="P50" s="22">
        <v>1.0678871090770405E-2</v>
      </c>
      <c r="R50" s="21">
        <v>3</v>
      </c>
      <c r="S50" s="22">
        <v>0</v>
      </c>
    </row>
    <row r="51" spans="1:19" x14ac:dyDescent="0.25">
      <c r="A51" s="20" t="s">
        <v>25</v>
      </c>
      <c r="B51" s="21">
        <v>5</v>
      </c>
      <c r="C51" s="22">
        <v>0.45454545454545453</v>
      </c>
      <c r="E51" s="21">
        <v>1</v>
      </c>
      <c r="F51" s="22">
        <v>7.8125E-3</v>
      </c>
      <c r="H51" s="21">
        <v>0</v>
      </c>
      <c r="I51" s="22">
        <v>0</v>
      </c>
      <c r="L51" s="21">
        <v>0</v>
      </c>
      <c r="M51" s="22">
        <v>0</v>
      </c>
      <c r="O51" s="21">
        <v>0</v>
      </c>
      <c r="P51" s="22">
        <v>0</v>
      </c>
      <c r="R51" s="21">
        <v>0</v>
      </c>
      <c r="S51" s="22">
        <v>0</v>
      </c>
    </row>
    <row r="52" spans="1:19" x14ac:dyDescent="0.25">
      <c r="A52" s="20" t="s">
        <v>26</v>
      </c>
      <c r="B52" s="21">
        <v>1</v>
      </c>
      <c r="C52" s="22">
        <v>1.5082956259426848E-3</v>
      </c>
      <c r="E52" s="21">
        <v>0</v>
      </c>
      <c r="F52" s="22">
        <v>0</v>
      </c>
      <c r="H52" s="21">
        <v>0</v>
      </c>
      <c r="I52" s="22">
        <v>0</v>
      </c>
      <c r="L52" s="21">
        <v>0</v>
      </c>
      <c r="M52" s="22">
        <v>0</v>
      </c>
      <c r="O52" s="21">
        <v>0</v>
      </c>
      <c r="P52" s="22">
        <v>0</v>
      </c>
      <c r="R52" s="21">
        <v>0</v>
      </c>
      <c r="S52" s="22">
        <v>0</v>
      </c>
    </row>
    <row r="53" spans="1:19" x14ac:dyDescent="0.25">
      <c r="A53" s="20" t="s">
        <v>33</v>
      </c>
      <c r="B53" s="21">
        <v>25</v>
      </c>
      <c r="C53" s="22">
        <v>7.418397626112759E-2</v>
      </c>
      <c r="E53" s="21">
        <v>0</v>
      </c>
      <c r="F53" s="22">
        <v>0</v>
      </c>
      <c r="H53" s="21">
        <v>0</v>
      </c>
      <c r="I53" s="22">
        <v>0</v>
      </c>
      <c r="L53" s="21">
        <v>0</v>
      </c>
      <c r="M53" s="22">
        <v>0</v>
      </c>
      <c r="O53" s="21">
        <v>0</v>
      </c>
      <c r="P53" s="22">
        <v>0</v>
      </c>
      <c r="R53" s="21">
        <v>0</v>
      </c>
      <c r="S53" s="22">
        <v>0</v>
      </c>
    </row>
    <row r="54" spans="1:19" x14ac:dyDescent="0.25">
      <c r="A54" s="20" t="s">
        <v>35</v>
      </c>
      <c r="B54" s="21">
        <v>31</v>
      </c>
      <c r="C54" s="22">
        <v>1.9242706393544383E-2</v>
      </c>
      <c r="E54" s="21">
        <v>7</v>
      </c>
      <c r="F54" s="22">
        <v>8.3234244946492272E-3</v>
      </c>
      <c r="H54" s="21">
        <v>0</v>
      </c>
      <c r="I54" s="22">
        <v>0</v>
      </c>
      <c r="L54" s="21">
        <v>0</v>
      </c>
      <c r="M54" s="22">
        <v>0</v>
      </c>
      <c r="O54" s="21">
        <v>0</v>
      </c>
      <c r="P54" s="22">
        <v>0</v>
      </c>
      <c r="R54" s="21">
        <v>0</v>
      </c>
      <c r="S54" s="22">
        <v>0</v>
      </c>
    </row>
    <row r="55" spans="1:19" x14ac:dyDescent="0.25">
      <c r="A55" s="20" t="s">
        <v>85</v>
      </c>
      <c r="B55" s="21">
        <v>0</v>
      </c>
      <c r="C55" s="22">
        <v>0</v>
      </c>
      <c r="E55" s="21">
        <v>0</v>
      </c>
      <c r="F55" s="22">
        <v>0</v>
      </c>
      <c r="H55" s="21">
        <v>1</v>
      </c>
      <c r="I55" s="22">
        <v>0</v>
      </c>
      <c r="L55" s="21">
        <v>0</v>
      </c>
      <c r="M55" s="22">
        <v>0</v>
      </c>
      <c r="O55" s="21">
        <v>0</v>
      </c>
      <c r="P55" s="22">
        <v>0</v>
      </c>
      <c r="R55" s="21">
        <v>0</v>
      </c>
      <c r="S55" s="22">
        <v>0</v>
      </c>
    </row>
    <row r="56" spans="1:19" x14ac:dyDescent="0.25">
      <c r="A56" s="20" t="s">
        <v>139</v>
      </c>
      <c r="B56" s="21">
        <v>4</v>
      </c>
      <c r="C56" s="22">
        <v>1.4E-2</v>
      </c>
      <c r="E56" s="21">
        <v>0</v>
      </c>
      <c r="F56" s="22">
        <v>0</v>
      </c>
      <c r="H56" s="21">
        <v>0</v>
      </c>
      <c r="I56" s="22">
        <v>0</v>
      </c>
      <c r="L56" s="21">
        <v>0</v>
      </c>
      <c r="M56" s="22">
        <v>0</v>
      </c>
      <c r="O56" s="21">
        <v>0</v>
      </c>
      <c r="P56" s="22">
        <v>0</v>
      </c>
      <c r="R56" s="21">
        <v>0</v>
      </c>
      <c r="S56" s="22">
        <v>0</v>
      </c>
    </row>
    <row r="57" spans="1:19" x14ac:dyDescent="0.25">
      <c r="A57" s="20" t="s">
        <v>48</v>
      </c>
      <c r="B57" s="21">
        <v>2534</v>
      </c>
      <c r="C57" s="22">
        <v>2.0070333291091116E-2</v>
      </c>
      <c r="E57" s="21">
        <v>220</v>
      </c>
      <c r="F57" s="22">
        <v>1.2635690080983286E-2</v>
      </c>
      <c r="H57" s="21">
        <v>3</v>
      </c>
      <c r="I57" s="22">
        <v>0</v>
      </c>
      <c r="L57" s="21">
        <v>524</v>
      </c>
      <c r="M57" s="22">
        <v>2.2065016001347481E-2</v>
      </c>
      <c r="O57" s="21">
        <v>68</v>
      </c>
      <c r="P57" s="22">
        <v>1.837341259119157E-2</v>
      </c>
      <c r="R57" s="21">
        <v>2</v>
      </c>
      <c r="S57" s="22">
        <v>0</v>
      </c>
    </row>
    <row r="58" spans="1:19" x14ac:dyDescent="0.25">
      <c r="A58" s="20" t="s">
        <v>54</v>
      </c>
      <c r="B58" s="21">
        <v>9</v>
      </c>
      <c r="C58" s="22">
        <v>3.1358885017421602E-2</v>
      </c>
      <c r="E58" s="21">
        <v>22</v>
      </c>
      <c r="F58" s="22">
        <v>2.1547502448579822E-2</v>
      </c>
      <c r="H58" s="21">
        <v>0</v>
      </c>
      <c r="I58" s="22">
        <v>0</v>
      </c>
      <c r="L58" s="21">
        <v>0</v>
      </c>
      <c r="M58" s="22">
        <v>0</v>
      </c>
      <c r="O58" s="21">
        <v>0</v>
      </c>
      <c r="P58" s="22">
        <v>0</v>
      </c>
      <c r="R58" s="21">
        <v>0</v>
      </c>
      <c r="S58" s="22">
        <v>0</v>
      </c>
    </row>
    <row r="59" spans="1:19" x14ac:dyDescent="0.25">
      <c r="A59" s="20" t="s">
        <v>57</v>
      </c>
      <c r="B59" s="21">
        <v>1</v>
      </c>
      <c r="C59" s="22">
        <v>4.1666666666666666E-3</v>
      </c>
      <c r="E59" s="21">
        <v>2</v>
      </c>
      <c r="F59" s="22">
        <v>0.08</v>
      </c>
      <c r="H59" s="21">
        <v>0</v>
      </c>
      <c r="I59" s="22">
        <v>0</v>
      </c>
      <c r="L59" s="21">
        <v>0</v>
      </c>
      <c r="M59" s="22">
        <v>0</v>
      </c>
      <c r="O59" s="21">
        <v>0</v>
      </c>
      <c r="P59" s="22">
        <v>0</v>
      </c>
      <c r="R59" s="21">
        <v>0</v>
      </c>
      <c r="S59" s="22">
        <v>0</v>
      </c>
    </row>
    <row r="60" spans="1:19" x14ac:dyDescent="0.25">
      <c r="A60" s="20" t="s">
        <v>62</v>
      </c>
      <c r="B60" s="21">
        <v>915</v>
      </c>
      <c r="C60" s="22">
        <v>0</v>
      </c>
      <c r="E60" s="21">
        <v>55</v>
      </c>
      <c r="F60" s="22">
        <v>0</v>
      </c>
      <c r="H60" s="21">
        <v>0</v>
      </c>
      <c r="I60" s="22">
        <v>0</v>
      </c>
      <c r="L60" s="21">
        <v>0</v>
      </c>
      <c r="M60" s="22">
        <v>0</v>
      </c>
      <c r="O60" s="21">
        <v>0</v>
      </c>
      <c r="P60" s="22">
        <v>0</v>
      </c>
      <c r="R60" s="21">
        <v>0</v>
      </c>
      <c r="S60" s="22">
        <v>0</v>
      </c>
    </row>
    <row r="61" spans="1:19" x14ac:dyDescent="0.25">
      <c r="A61" s="31" t="s">
        <v>74</v>
      </c>
      <c r="B61" s="29">
        <v>5265</v>
      </c>
      <c r="C61" s="24">
        <v>6.5087828390655543E-3</v>
      </c>
      <c r="E61" s="29">
        <v>424</v>
      </c>
      <c r="F61" s="24">
        <v>3.6761837051423221E-3</v>
      </c>
      <c r="H61" s="29">
        <v>4</v>
      </c>
      <c r="I61" s="24">
        <v>0</v>
      </c>
      <c r="L61" s="29">
        <v>814</v>
      </c>
      <c r="M61" s="24">
        <v>1.7969888295288974E-2</v>
      </c>
      <c r="O61" s="29">
        <v>82</v>
      </c>
      <c r="P61" s="24">
        <v>1.6360734237829209E-2</v>
      </c>
      <c r="R61" s="29">
        <v>5</v>
      </c>
      <c r="S61" s="24">
        <v>0</v>
      </c>
    </row>
    <row r="62" spans="1:19" x14ac:dyDescent="0.25">
      <c r="A62" s="20"/>
      <c r="B62" s="21"/>
      <c r="C62" s="21"/>
      <c r="E62" s="21"/>
      <c r="F62" s="21"/>
      <c r="H62" s="21"/>
      <c r="I62" s="21"/>
      <c r="L62" s="21"/>
      <c r="M62" s="21"/>
      <c r="O62" s="21"/>
      <c r="P62" s="21"/>
      <c r="R62" s="21"/>
      <c r="S62" s="21"/>
    </row>
    <row r="63" spans="1:19" x14ac:dyDescent="0.25">
      <c r="A63" s="30" t="s">
        <v>75</v>
      </c>
      <c r="B63" s="27"/>
      <c r="C63" s="27"/>
      <c r="E63" s="27"/>
      <c r="F63" s="27"/>
      <c r="H63" s="27"/>
      <c r="I63" s="27"/>
      <c r="L63" s="27"/>
      <c r="M63" s="27"/>
      <c r="O63" s="27"/>
      <c r="P63" s="27"/>
      <c r="R63" s="27"/>
      <c r="S63" s="27"/>
    </row>
    <row r="64" spans="1:19" x14ac:dyDescent="0.25">
      <c r="A64" s="20" t="s">
        <v>24</v>
      </c>
      <c r="B64" s="21">
        <v>1196</v>
      </c>
      <c r="C64" s="22">
        <v>2.0877767951585774E-2</v>
      </c>
      <c r="E64" s="21">
        <v>178</v>
      </c>
      <c r="F64" s="22">
        <v>1.5636950794595053E-2</v>
      </c>
      <c r="H64" s="21">
        <v>1</v>
      </c>
      <c r="I64" s="22">
        <v>0</v>
      </c>
      <c r="L64" s="21">
        <v>340</v>
      </c>
      <c r="M64" s="22">
        <v>3.7548315847598011E-2</v>
      </c>
      <c r="O64" s="21">
        <v>7</v>
      </c>
      <c r="P64" s="22">
        <v>2.2222222222222223E-2</v>
      </c>
      <c r="R64" s="21">
        <v>0</v>
      </c>
      <c r="S64" s="22">
        <v>0</v>
      </c>
    </row>
    <row r="65" spans="1:19" x14ac:dyDescent="0.25">
      <c r="A65" s="20" t="s">
        <v>25</v>
      </c>
      <c r="B65" s="21">
        <v>8</v>
      </c>
      <c r="C65" s="22">
        <v>1.1412268188302425E-2</v>
      </c>
      <c r="E65" s="21">
        <v>0</v>
      </c>
      <c r="F65" s="22">
        <v>0</v>
      </c>
      <c r="H65" s="21">
        <v>0</v>
      </c>
      <c r="I65" s="22">
        <v>0</v>
      </c>
      <c r="L65" s="21">
        <v>2</v>
      </c>
      <c r="M65" s="22">
        <v>3.0303030303030303E-3</v>
      </c>
      <c r="O65" s="21">
        <v>0</v>
      </c>
      <c r="P65" s="22">
        <v>0</v>
      </c>
      <c r="R65" s="21">
        <v>0</v>
      </c>
      <c r="S65" s="22">
        <v>0</v>
      </c>
    </row>
    <row r="66" spans="1:19" x14ac:dyDescent="0.25">
      <c r="A66" s="20" t="s">
        <v>26</v>
      </c>
      <c r="B66" s="21">
        <v>1</v>
      </c>
      <c r="C66" s="22">
        <v>1.3888888888888888E-2</v>
      </c>
      <c r="E66" s="21">
        <v>0</v>
      </c>
      <c r="F66" s="22">
        <v>0</v>
      </c>
      <c r="H66" s="21">
        <v>0</v>
      </c>
      <c r="I66" s="22">
        <v>0</v>
      </c>
      <c r="L66" s="21">
        <v>0</v>
      </c>
      <c r="M66" s="22">
        <v>0</v>
      </c>
      <c r="O66" s="21">
        <v>0</v>
      </c>
      <c r="P66" s="22">
        <v>0</v>
      </c>
      <c r="R66" s="21">
        <v>0</v>
      </c>
      <c r="S66" s="22">
        <v>0</v>
      </c>
    </row>
    <row r="67" spans="1:19" x14ac:dyDescent="0.25">
      <c r="A67" s="20" t="s">
        <v>33</v>
      </c>
      <c r="B67" s="21">
        <v>6</v>
      </c>
      <c r="C67" s="22">
        <v>9.375E-2</v>
      </c>
      <c r="E67" s="21">
        <v>0</v>
      </c>
      <c r="F67" s="22">
        <v>0</v>
      </c>
      <c r="H67" s="21">
        <v>0</v>
      </c>
      <c r="I67" s="22">
        <v>0</v>
      </c>
      <c r="L67" s="21">
        <v>0</v>
      </c>
      <c r="M67" s="22">
        <v>0</v>
      </c>
      <c r="O67" s="21">
        <v>0</v>
      </c>
      <c r="P67" s="22">
        <v>0</v>
      </c>
      <c r="R67" s="21">
        <v>0</v>
      </c>
      <c r="S67" s="22">
        <v>0</v>
      </c>
    </row>
    <row r="68" spans="1:19" x14ac:dyDescent="0.25">
      <c r="A68" s="20" t="s">
        <v>35</v>
      </c>
      <c r="B68" s="21">
        <v>46</v>
      </c>
      <c r="C68" s="22">
        <v>5.5089820359281436E-2</v>
      </c>
      <c r="E68" s="21">
        <v>0</v>
      </c>
      <c r="F68" s="22">
        <v>0</v>
      </c>
      <c r="H68" s="21">
        <v>0</v>
      </c>
      <c r="I68" s="22">
        <v>0</v>
      </c>
      <c r="L68" s="21">
        <v>22</v>
      </c>
      <c r="M68" s="22">
        <v>3.0344827586206897E-2</v>
      </c>
      <c r="O68" s="21">
        <v>0</v>
      </c>
      <c r="P68" s="22">
        <v>0</v>
      </c>
      <c r="R68" s="21">
        <v>0</v>
      </c>
      <c r="S68" s="22">
        <v>0</v>
      </c>
    </row>
    <row r="69" spans="1:19" x14ac:dyDescent="0.25">
      <c r="A69" s="20" t="s">
        <v>48</v>
      </c>
      <c r="B69" s="21">
        <v>395</v>
      </c>
      <c r="C69" s="22">
        <v>5.6517384461296324E-2</v>
      </c>
      <c r="E69" s="21">
        <v>30</v>
      </c>
      <c r="F69" s="22">
        <v>3.0581039755351681E-2</v>
      </c>
      <c r="H69" s="21">
        <v>0</v>
      </c>
      <c r="I69" s="22">
        <v>0</v>
      </c>
      <c r="L69" s="21">
        <v>801</v>
      </c>
      <c r="M69" s="22">
        <v>2.2853067047075605E-2</v>
      </c>
      <c r="O69" s="21">
        <v>44</v>
      </c>
      <c r="P69" s="22">
        <v>1.8272425249169437E-2</v>
      </c>
      <c r="R69" s="21">
        <v>8</v>
      </c>
      <c r="S69" s="22">
        <v>0</v>
      </c>
    </row>
    <row r="70" spans="1:19" x14ac:dyDescent="0.25">
      <c r="A70" s="20" t="s">
        <v>139</v>
      </c>
      <c r="B70" s="21">
        <v>8</v>
      </c>
      <c r="C70" s="22">
        <v>0.02</v>
      </c>
      <c r="E70" s="21">
        <v>6</v>
      </c>
      <c r="F70" s="22">
        <v>1.6E-2</v>
      </c>
      <c r="H70" s="21">
        <v>0</v>
      </c>
      <c r="I70" s="22">
        <v>0</v>
      </c>
      <c r="L70" s="21">
        <v>0</v>
      </c>
      <c r="M70" s="22">
        <v>0</v>
      </c>
      <c r="O70" s="21">
        <v>0</v>
      </c>
      <c r="P70" s="22">
        <v>0</v>
      </c>
      <c r="R70" s="21">
        <v>0</v>
      </c>
      <c r="S70" s="22">
        <v>0</v>
      </c>
    </row>
    <row r="71" spans="1:19" x14ac:dyDescent="0.25">
      <c r="A71" s="20" t="s">
        <v>54</v>
      </c>
      <c r="B71" s="21">
        <v>1</v>
      </c>
      <c r="C71" s="22">
        <v>7.1428571428571425E-2</v>
      </c>
      <c r="E71" s="21">
        <v>0</v>
      </c>
      <c r="F71" s="22">
        <v>0</v>
      </c>
      <c r="H71" s="21">
        <v>0</v>
      </c>
      <c r="I71" s="22">
        <v>0</v>
      </c>
      <c r="L71" s="21">
        <v>0</v>
      </c>
      <c r="M71" s="22">
        <v>0</v>
      </c>
      <c r="O71" s="21">
        <v>0</v>
      </c>
      <c r="P71" s="22">
        <v>0</v>
      </c>
      <c r="R71" s="21">
        <v>0</v>
      </c>
      <c r="S71" s="22">
        <v>0</v>
      </c>
    </row>
    <row r="72" spans="1:19" x14ac:dyDescent="0.25">
      <c r="A72" s="20" t="s">
        <v>60</v>
      </c>
      <c r="B72" s="21">
        <v>26</v>
      </c>
      <c r="C72" s="22">
        <v>4.710144927536232E-2</v>
      </c>
      <c r="E72" s="21">
        <v>2</v>
      </c>
      <c r="F72" s="22">
        <v>4.2553191489361701E-2</v>
      </c>
      <c r="H72" s="21">
        <v>0</v>
      </c>
      <c r="I72" s="22">
        <v>0</v>
      </c>
      <c r="L72" s="21">
        <v>17</v>
      </c>
      <c r="M72" s="22">
        <v>5.4838709677419356E-2</v>
      </c>
      <c r="O72" s="21">
        <v>0</v>
      </c>
      <c r="P72" s="22">
        <v>0</v>
      </c>
      <c r="R72" s="21">
        <v>0</v>
      </c>
      <c r="S72" s="22">
        <v>0</v>
      </c>
    </row>
    <row r="73" spans="1:19" x14ac:dyDescent="0.25">
      <c r="A73" s="20" t="s">
        <v>63</v>
      </c>
      <c r="B73" s="21">
        <v>0</v>
      </c>
      <c r="C73" s="22">
        <v>0</v>
      </c>
      <c r="E73" s="21">
        <v>0</v>
      </c>
      <c r="F73" s="22">
        <v>0</v>
      </c>
      <c r="H73" s="21">
        <v>1</v>
      </c>
      <c r="I73" s="22">
        <v>0</v>
      </c>
      <c r="L73" s="21">
        <v>0</v>
      </c>
      <c r="M73" s="22">
        <v>0</v>
      </c>
      <c r="O73" s="21">
        <v>0</v>
      </c>
      <c r="P73" s="22">
        <v>0</v>
      </c>
      <c r="R73" s="21">
        <v>0</v>
      </c>
      <c r="S73" s="22">
        <v>0</v>
      </c>
    </row>
    <row r="74" spans="1:19" x14ac:dyDescent="0.25">
      <c r="A74" s="31" t="s">
        <v>76</v>
      </c>
      <c r="B74" s="29">
        <v>1687</v>
      </c>
      <c r="C74" s="24">
        <v>2.4964484432342844E-2</v>
      </c>
      <c r="E74" s="29">
        <v>216</v>
      </c>
      <c r="F74" s="24">
        <v>1.58741824061145E-2</v>
      </c>
      <c r="H74" s="29">
        <v>2</v>
      </c>
      <c r="I74" s="24">
        <v>0</v>
      </c>
      <c r="L74" s="29">
        <v>1182</v>
      </c>
      <c r="M74" s="24">
        <v>2.5807860262008733E-2</v>
      </c>
      <c r="O74" s="29">
        <v>51</v>
      </c>
      <c r="P74" s="24">
        <v>1.8318965517241378E-2</v>
      </c>
      <c r="R74" s="29">
        <v>8</v>
      </c>
      <c r="S74" s="24">
        <v>0</v>
      </c>
    </row>
    <row r="75" spans="1:19" x14ac:dyDescent="0.25">
      <c r="A75" s="20"/>
      <c r="B75" s="21"/>
      <c r="C75" s="21"/>
      <c r="E75" s="21"/>
      <c r="F75" s="21"/>
      <c r="H75" s="21"/>
      <c r="I75" s="21"/>
      <c r="L75" s="21"/>
      <c r="M75" s="21"/>
      <c r="O75" s="21"/>
      <c r="P75" s="21"/>
      <c r="R75" s="21"/>
      <c r="S75" s="21"/>
    </row>
    <row r="76" spans="1:19" x14ac:dyDescent="0.25">
      <c r="A76" s="30" t="s">
        <v>77</v>
      </c>
      <c r="B76" s="27"/>
      <c r="C76" s="27"/>
      <c r="E76" s="27"/>
      <c r="F76" s="27"/>
      <c r="H76" s="27"/>
      <c r="I76" s="27"/>
      <c r="L76" s="27"/>
      <c r="M76" s="27"/>
      <c r="O76" s="27"/>
      <c r="P76" s="27"/>
      <c r="R76" s="27"/>
      <c r="S76" s="27"/>
    </row>
    <row r="77" spans="1:19" x14ac:dyDescent="0.25">
      <c r="A77" s="20" t="s">
        <v>27</v>
      </c>
      <c r="B77" s="21">
        <v>0</v>
      </c>
      <c r="C77" s="22">
        <v>0</v>
      </c>
      <c r="E77" s="21">
        <v>40</v>
      </c>
      <c r="F77" s="22">
        <v>1.2577825294006666E-3</v>
      </c>
      <c r="H77" s="21">
        <v>0</v>
      </c>
      <c r="I77" s="22">
        <v>0</v>
      </c>
      <c r="L77" s="21">
        <v>0</v>
      </c>
      <c r="M77" s="22">
        <v>0</v>
      </c>
      <c r="O77" s="21">
        <v>0</v>
      </c>
      <c r="P77" s="22">
        <v>0</v>
      </c>
      <c r="R77" s="21">
        <v>0</v>
      </c>
      <c r="S77" s="22">
        <v>0</v>
      </c>
    </row>
    <row r="78" spans="1:19" x14ac:dyDescent="0.25">
      <c r="A78" s="20" t="s">
        <v>85</v>
      </c>
      <c r="B78" s="21">
        <v>0</v>
      </c>
      <c r="C78" s="22">
        <v>0</v>
      </c>
      <c r="E78" s="21">
        <v>0</v>
      </c>
      <c r="F78" s="22">
        <v>0</v>
      </c>
      <c r="H78" s="21">
        <v>2</v>
      </c>
      <c r="I78" s="22">
        <v>0</v>
      </c>
      <c r="L78" s="21">
        <v>0</v>
      </c>
      <c r="M78" s="22">
        <v>0</v>
      </c>
      <c r="O78" s="21">
        <v>0</v>
      </c>
      <c r="P78" s="22">
        <v>0</v>
      </c>
      <c r="R78" s="21">
        <v>0</v>
      </c>
      <c r="S78" s="22">
        <v>0</v>
      </c>
    </row>
    <row r="79" spans="1:19" x14ac:dyDescent="0.25">
      <c r="A79" s="31" t="s">
        <v>78</v>
      </c>
      <c r="B79" s="29">
        <v>0</v>
      </c>
      <c r="C79" s="24">
        <v>0</v>
      </c>
      <c r="E79" s="29">
        <v>40</v>
      </c>
      <c r="F79" s="24">
        <v>1.257071024512885E-3</v>
      </c>
      <c r="H79" s="29">
        <v>2</v>
      </c>
      <c r="I79" s="24">
        <v>0</v>
      </c>
      <c r="L79" s="29">
        <v>0</v>
      </c>
      <c r="M79" s="24">
        <v>0</v>
      </c>
      <c r="O79" s="29">
        <v>0</v>
      </c>
      <c r="P79" s="24">
        <v>0</v>
      </c>
      <c r="R79" s="29">
        <v>0</v>
      </c>
      <c r="S79" s="24">
        <v>0</v>
      </c>
    </row>
  </sheetData>
  <mergeCells count="8">
    <mergeCell ref="R4:S4"/>
    <mergeCell ref="L3:S3"/>
    <mergeCell ref="B3:I3"/>
    <mergeCell ref="B4:C4"/>
    <mergeCell ref="E4:F4"/>
    <mergeCell ref="H4:I4"/>
    <mergeCell ref="L4:M4"/>
    <mergeCell ref="O4:P4"/>
  </mergeCells>
  <conditionalFormatting sqref="A5">
    <cfRule type="duplicateValues" dxfId="7" priority="1"/>
  </conditionalFormatting>
  <hyperlinks>
    <hyperlink ref="B1" location="Contents!A1" display="Back to Contents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S7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" sqref="B1"/>
    </sheetView>
  </sheetViews>
  <sheetFormatPr defaultRowHeight="15" x14ac:dyDescent="0.25"/>
  <cols>
    <col min="1" max="1" width="25.5703125" customWidth="1"/>
    <col min="2" max="3" width="14.42578125" customWidth="1"/>
    <col min="4" max="4" width="5.85546875" customWidth="1"/>
    <col min="5" max="6" width="14.42578125" customWidth="1"/>
    <col min="7" max="7" width="5.85546875" customWidth="1"/>
    <col min="8" max="9" width="14.42578125" customWidth="1"/>
    <col min="10" max="11" width="8.140625" customWidth="1"/>
    <col min="12" max="13" width="14.42578125" customWidth="1"/>
    <col min="14" max="14" width="5.85546875" customWidth="1"/>
    <col min="15" max="16" width="14.42578125" customWidth="1"/>
  </cols>
  <sheetData>
    <row r="1" spans="1:19" x14ac:dyDescent="0.25">
      <c r="A1" s="32" t="s">
        <v>0</v>
      </c>
      <c r="B1" s="87" t="s">
        <v>189</v>
      </c>
      <c r="C1" s="4"/>
    </row>
    <row r="2" spans="1:19" x14ac:dyDescent="0.25">
      <c r="A2" s="44" t="s">
        <v>158</v>
      </c>
      <c r="B2" s="13"/>
      <c r="C2" s="4"/>
    </row>
    <row r="3" spans="1:19" x14ac:dyDescent="0.25">
      <c r="A3" s="42" t="s">
        <v>16</v>
      </c>
      <c r="B3" s="128" t="s">
        <v>3</v>
      </c>
      <c r="C3" s="128"/>
      <c r="D3" s="128"/>
      <c r="E3" s="128"/>
      <c r="F3" s="128"/>
      <c r="G3" s="128"/>
      <c r="H3" s="128"/>
      <c r="I3" s="128"/>
      <c r="L3" s="127" t="s">
        <v>97</v>
      </c>
      <c r="M3" s="127"/>
      <c r="N3" s="127"/>
      <c r="O3" s="127"/>
      <c r="P3" s="127"/>
    </row>
    <row r="4" spans="1:19" x14ac:dyDescent="0.25">
      <c r="A4" s="32" t="s">
        <v>6</v>
      </c>
      <c r="B4" s="122" t="s">
        <v>4</v>
      </c>
      <c r="C4" s="122"/>
      <c r="E4" s="126" t="s">
        <v>101</v>
      </c>
      <c r="F4" s="126"/>
      <c r="G4" s="23"/>
      <c r="H4" s="126" t="s">
        <v>86</v>
      </c>
      <c r="I4" s="126"/>
      <c r="L4" s="122" t="s">
        <v>4</v>
      </c>
      <c r="M4" s="122"/>
      <c r="O4" s="126" t="s">
        <v>101</v>
      </c>
      <c r="P4" s="126"/>
    </row>
    <row r="5" spans="1:19" s="36" customFormat="1" ht="25.5" x14ac:dyDescent="0.25">
      <c r="A5" s="43" t="s">
        <v>11</v>
      </c>
      <c r="B5" s="35" t="s">
        <v>103</v>
      </c>
      <c r="C5" s="35" t="s">
        <v>113</v>
      </c>
      <c r="E5" s="35" t="str">
        <f>B5</f>
        <v xml:space="preserve">Market to Standard </v>
      </c>
      <c r="F5" s="35" t="s">
        <v>113</v>
      </c>
      <c r="H5" s="35" t="str">
        <f>E5</f>
        <v xml:space="preserve">Market to Standard </v>
      </c>
      <c r="I5" s="35" t="s">
        <v>113</v>
      </c>
      <c r="K5"/>
      <c r="L5" s="35" t="str">
        <f>H5</f>
        <v xml:space="preserve">Market to Standard </v>
      </c>
      <c r="M5" s="35" t="s">
        <v>113</v>
      </c>
      <c r="O5" s="35" t="str">
        <f>L5</f>
        <v xml:space="preserve">Market to Standard </v>
      </c>
      <c r="P5" s="35" t="s">
        <v>113</v>
      </c>
      <c r="R5"/>
    </row>
    <row r="6" spans="1:19" x14ac:dyDescent="0.25">
      <c r="A6" s="20" t="s">
        <v>23</v>
      </c>
      <c r="B6" s="21">
        <v>354</v>
      </c>
      <c r="C6" s="22">
        <v>4.0731322847510675E-3</v>
      </c>
      <c r="E6" s="21">
        <v>23</v>
      </c>
      <c r="F6" s="22">
        <v>8.3605961468556887E-3</v>
      </c>
      <c r="H6" s="21">
        <v>0</v>
      </c>
      <c r="I6" s="22">
        <v>0</v>
      </c>
      <c r="L6" s="21">
        <v>291</v>
      </c>
      <c r="M6" s="22">
        <v>5.1352639102122928E-3</v>
      </c>
      <c r="O6" s="21">
        <v>9</v>
      </c>
      <c r="P6" s="22">
        <v>2.0881670533642691E-2</v>
      </c>
      <c r="R6" s="21"/>
      <c r="S6" s="22"/>
    </row>
    <row r="7" spans="1:19" x14ac:dyDescent="0.25">
      <c r="A7" s="20" t="s">
        <v>24</v>
      </c>
      <c r="B7" s="21">
        <v>28</v>
      </c>
      <c r="C7" s="22">
        <v>2.1965263504714688E-5</v>
      </c>
      <c r="E7" s="21">
        <v>2</v>
      </c>
      <c r="F7" s="22">
        <v>1.9077962092089322E-5</v>
      </c>
      <c r="H7" s="21">
        <v>0</v>
      </c>
      <c r="I7" s="22">
        <v>0</v>
      </c>
      <c r="L7" s="21">
        <v>3</v>
      </c>
      <c r="M7" s="22">
        <v>4.4171432273415277E-6</v>
      </c>
      <c r="O7" s="21">
        <v>0</v>
      </c>
      <c r="P7" s="22">
        <v>0</v>
      </c>
      <c r="R7" s="21"/>
      <c r="S7" s="22"/>
    </row>
    <row r="8" spans="1:19" x14ac:dyDescent="0.25">
      <c r="A8" s="20" t="s">
        <v>25</v>
      </c>
      <c r="B8" s="21">
        <v>3</v>
      </c>
      <c r="C8" s="22">
        <v>1.0384934921074495E-5</v>
      </c>
      <c r="E8" s="21">
        <v>0</v>
      </c>
      <c r="F8" s="22">
        <v>0</v>
      </c>
      <c r="H8" s="21">
        <v>0</v>
      </c>
      <c r="I8" s="22">
        <v>0</v>
      </c>
      <c r="L8" s="21">
        <v>0</v>
      </c>
      <c r="M8" s="22">
        <v>0</v>
      </c>
      <c r="O8" s="21">
        <v>0</v>
      </c>
      <c r="P8" s="22">
        <v>0</v>
      </c>
      <c r="R8" s="21"/>
      <c r="S8" s="22"/>
    </row>
    <row r="9" spans="1:19" x14ac:dyDescent="0.25">
      <c r="A9" s="20" t="s">
        <v>26</v>
      </c>
      <c r="B9" s="21">
        <v>2</v>
      </c>
      <c r="C9" s="22">
        <v>2.158079309414621E-5</v>
      </c>
      <c r="E9" s="21">
        <v>0</v>
      </c>
      <c r="F9" s="22">
        <v>0</v>
      </c>
      <c r="H9" s="21">
        <v>0</v>
      </c>
      <c r="I9" s="22">
        <v>0</v>
      </c>
      <c r="L9" s="21">
        <v>0</v>
      </c>
      <c r="M9" s="22">
        <v>0</v>
      </c>
      <c r="O9" s="21">
        <v>0</v>
      </c>
      <c r="P9" s="22">
        <v>0</v>
      </c>
      <c r="R9" s="21"/>
      <c r="S9" s="22"/>
    </row>
    <row r="10" spans="1:19" x14ac:dyDescent="0.25">
      <c r="A10" s="20" t="s">
        <v>27</v>
      </c>
      <c r="B10" s="21">
        <v>4040</v>
      </c>
      <c r="C10" s="22">
        <v>0.2049616965146365</v>
      </c>
      <c r="E10" s="21">
        <v>57</v>
      </c>
      <c r="F10" s="22">
        <v>1.52E-2</v>
      </c>
      <c r="H10" s="21">
        <v>10</v>
      </c>
      <c r="I10" s="22">
        <v>4.8520135856380394E-3</v>
      </c>
      <c r="L10" s="21">
        <v>0</v>
      </c>
      <c r="M10" s="22">
        <v>0</v>
      </c>
      <c r="O10" s="21">
        <v>0</v>
      </c>
      <c r="P10" s="22">
        <v>0</v>
      </c>
      <c r="R10" s="21"/>
      <c r="S10" s="22"/>
    </row>
    <row r="11" spans="1:19" x14ac:dyDescent="0.25">
      <c r="A11" s="20" t="s">
        <v>29</v>
      </c>
      <c r="B11" s="21">
        <v>0</v>
      </c>
      <c r="C11" s="22">
        <v>0</v>
      </c>
      <c r="E11" s="21">
        <v>1</v>
      </c>
      <c r="F11" s="22">
        <v>1.9428793471925395E-4</v>
      </c>
      <c r="H11" s="21">
        <v>0</v>
      </c>
      <c r="I11" s="22">
        <v>0</v>
      </c>
      <c r="L11" s="21">
        <v>0</v>
      </c>
      <c r="M11" s="22">
        <v>0</v>
      </c>
      <c r="O11" s="21">
        <v>0</v>
      </c>
      <c r="P11" s="22">
        <v>0</v>
      </c>
      <c r="R11" s="21"/>
      <c r="S11" s="22"/>
    </row>
    <row r="12" spans="1:19" x14ac:dyDescent="0.25">
      <c r="A12" s="20" t="s">
        <v>30</v>
      </c>
      <c r="B12" s="21">
        <v>114</v>
      </c>
      <c r="C12" s="22">
        <v>2.3413431916204559E-2</v>
      </c>
      <c r="E12" s="21">
        <v>102</v>
      </c>
      <c r="F12" s="22">
        <v>1.6784597663320716E-2</v>
      </c>
      <c r="H12" s="21">
        <v>0</v>
      </c>
      <c r="I12" s="22">
        <v>0</v>
      </c>
      <c r="L12" s="21">
        <v>52</v>
      </c>
      <c r="M12" s="22">
        <v>1.9033674963396779E-2</v>
      </c>
      <c r="O12" s="21">
        <v>26</v>
      </c>
      <c r="P12" s="22">
        <v>8.8255261371350986E-3</v>
      </c>
      <c r="R12" s="21"/>
      <c r="S12" s="22"/>
    </row>
    <row r="13" spans="1:19" x14ac:dyDescent="0.25">
      <c r="A13" s="20" t="s">
        <v>33</v>
      </c>
      <c r="B13" s="21">
        <v>1</v>
      </c>
      <c r="C13" s="22">
        <v>2.1860790486183981E-5</v>
      </c>
      <c r="E13" s="21">
        <v>0</v>
      </c>
      <c r="F13" s="22">
        <v>0</v>
      </c>
      <c r="H13" s="21">
        <v>0</v>
      </c>
      <c r="I13" s="22">
        <v>0</v>
      </c>
      <c r="L13" s="21">
        <v>8</v>
      </c>
      <c r="M13" s="22">
        <v>7.7257363592467406E-4</v>
      </c>
      <c r="O13" s="21">
        <v>0</v>
      </c>
      <c r="P13" s="22">
        <v>0</v>
      </c>
      <c r="R13" s="21"/>
      <c r="S13" s="22"/>
    </row>
    <row r="14" spans="1:19" x14ac:dyDescent="0.25">
      <c r="A14" s="20" t="s">
        <v>35</v>
      </c>
      <c r="B14" s="21">
        <v>2</v>
      </c>
      <c r="C14" s="22">
        <v>2.1701530174892633E-6</v>
      </c>
      <c r="E14" s="21">
        <v>7</v>
      </c>
      <c r="F14" s="22">
        <v>9.6619691093044761E-5</v>
      </c>
      <c r="H14" s="21">
        <v>18</v>
      </c>
      <c r="I14" s="22">
        <v>2.4738867509620671E-3</v>
      </c>
      <c r="L14" s="21">
        <v>1</v>
      </c>
      <c r="M14" s="22">
        <v>2.5301274931243786E-6</v>
      </c>
      <c r="O14" s="21">
        <v>0</v>
      </c>
      <c r="P14" s="22">
        <v>0</v>
      </c>
      <c r="R14" s="21"/>
      <c r="S14" s="22"/>
    </row>
    <row r="15" spans="1:19" x14ac:dyDescent="0.25">
      <c r="A15" s="20" t="s">
        <v>85</v>
      </c>
      <c r="B15" s="21">
        <v>0</v>
      </c>
      <c r="C15" s="22">
        <v>0</v>
      </c>
      <c r="E15" s="21">
        <v>7</v>
      </c>
      <c r="F15" s="22">
        <v>1.6241299303944315E-2</v>
      </c>
      <c r="H15" s="21">
        <v>14</v>
      </c>
      <c r="I15" s="22">
        <v>5.0395968322534193E-3</v>
      </c>
      <c r="L15" s="21">
        <v>0</v>
      </c>
      <c r="M15" s="22">
        <v>0</v>
      </c>
      <c r="O15" s="21">
        <v>0</v>
      </c>
      <c r="P15" s="22">
        <v>0</v>
      </c>
      <c r="R15" s="21"/>
      <c r="S15" s="22"/>
    </row>
    <row r="16" spans="1:19" x14ac:dyDescent="0.25">
      <c r="A16" s="20" t="s">
        <v>48</v>
      </c>
      <c r="B16" s="21">
        <v>44</v>
      </c>
      <c r="C16" s="22">
        <v>2.9621790327542946E-5</v>
      </c>
      <c r="E16" s="21">
        <v>4</v>
      </c>
      <c r="F16" s="22">
        <v>2.6461676876463661E-5</v>
      </c>
      <c r="H16" s="21">
        <v>0</v>
      </c>
      <c r="I16" s="22">
        <v>0</v>
      </c>
      <c r="L16" s="21">
        <v>12</v>
      </c>
      <c r="M16" s="22">
        <v>2.4623264059883779E-5</v>
      </c>
      <c r="O16" s="21">
        <v>10</v>
      </c>
      <c r="P16" s="22">
        <v>3.1672631678966208E-4</v>
      </c>
      <c r="R16" s="21"/>
      <c r="S16" s="22"/>
    </row>
    <row r="17" spans="1:19" x14ac:dyDescent="0.25">
      <c r="A17" s="20" t="s">
        <v>54</v>
      </c>
      <c r="B17" s="21">
        <v>0</v>
      </c>
      <c r="C17" s="22">
        <v>0</v>
      </c>
      <c r="E17" s="21">
        <v>1</v>
      </c>
      <c r="F17" s="22">
        <v>1.8754688672168043E-4</v>
      </c>
      <c r="H17" s="21">
        <v>0</v>
      </c>
      <c r="I17" s="22">
        <v>0</v>
      </c>
      <c r="L17" s="21">
        <v>0</v>
      </c>
      <c r="M17" s="22">
        <v>0</v>
      </c>
      <c r="O17" s="21">
        <v>0</v>
      </c>
      <c r="P17" s="22">
        <v>0</v>
      </c>
      <c r="R17" s="21"/>
      <c r="S17" s="22"/>
    </row>
    <row r="18" spans="1:19" x14ac:dyDescent="0.25">
      <c r="A18" s="20" t="s">
        <v>60</v>
      </c>
      <c r="B18" s="21">
        <v>7</v>
      </c>
      <c r="C18" s="22">
        <v>5.6408396792779724E-5</v>
      </c>
      <c r="E18" s="21">
        <v>2</v>
      </c>
      <c r="F18" s="22">
        <v>3.1897926634768739E-4</v>
      </c>
      <c r="H18" s="21">
        <v>0</v>
      </c>
      <c r="I18" s="22">
        <v>0</v>
      </c>
      <c r="L18" s="21">
        <v>25</v>
      </c>
      <c r="M18" s="22">
        <v>5.5345243629762461E-4</v>
      </c>
      <c r="O18" s="21">
        <v>0</v>
      </c>
      <c r="P18" s="22">
        <v>0</v>
      </c>
      <c r="R18" s="21"/>
      <c r="S18" s="22"/>
    </row>
    <row r="19" spans="1:19" x14ac:dyDescent="0.25">
      <c r="A19" s="20" t="s">
        <v>63</v>
      </c>
      <c r="B19" s="21">
        <v>0</v>
      </c>
      <c r="C19" s="22">
        <v>0</v>
      </c>
      <c r="E19" s="21">
        <v>0</v>
      </c>
      <c r="F19" s="22">
        <v>0</v>
      </c>
      <c r="H19" s="21">
        <v>37</v>
      </c>
      <c r="I19" s="22">
        <v>8.2405345211581285E-2</v>
      </c>
      <c r="L19" s="21">
        <v>0</v>
      </c>
      <c r="M19" s="22">
        <v>0</v>
      </c>
      <c r="O19" s="21">
        <v>0</v>
      </c>
      <c r="P19" s="22">
        <v>0</v>
      </c>
      <c r="R19" s="21"/>
      <c r="S19" s="22"/>
    </row>
    <row r="20" spans="1:19" x14ac:dyDescent="0.25">
      <c r="A20" s="1" t="s">
        <v>67</v>
      </c>
      <c r="B20" s="23">
        <v>4595</v>
      </c>
      <c r="C20" s="24">
        <v>9.6523089184183484E-4</v>
      </c>
      <c r="E20" s="23">
        <v>206</v>
      </c>
      <c r="F20" s="24">
        <v>4.8825231742089008E-4</v>
      </c>
      <c r="H20" s="23">
        <v>79</v>
      </c>
      <c r="I20" s="24">
        <v>1.4855767422618377E-3</v>
      </c>
      <c r="L20" s="23">
        <v>392</v>
      </c>
      <c r="M20" s="24">
        <v>2.1853780369507285E-4</v>
      </c>
      <c r="O20" s="23">
        <v>45</v>
      </c>
      <c r="P20" s="24">
        <v>7.7242610456932953E-4</v>
      </c>
      <c r="R20" s="23"/>
      <c r="S20" s="24"/>
    </row>
    <row r="21" spans="1:19" x14ac:dyDescent="0.25">
      <c r="A21" s="25"/>
      <c r="B21" s="21"/>
      <c r="C21" s="21"/>
      <c r="E21" s="21"/>
      <c r="F21" s="21"/>
      <c r="H21" s="21"/>
      <c r="I21" s="21"/>
      <c r="L21" s="21"/>
      <c r="M21" s="21"/>
      <c r="O21" s="21"/>
      <c r="P21" s="21"/>
      <c r="R21" s="21"/>
      <c r="S21" s="21"/>
    </row>
    <row r="22" spans="1:19" x14ac:dyDescent="0.25">
      <c r="A22" s="1" t="s">
        <v>68</v>
      </c>
      <c r="B22" s="21"/>
      <c r="C22" s="21"/>
      <c r="E22" s="21"/>
      <c r="F22" s="21"/>
      <c r="H22" s="21"/>
      <c r="I22" s="21"/>
      <c r="L22" s="21"/>
      <c r="M22" s="21"/>
      <c r="O22" s="21"/>
      <c r="P22" s="21"/>
      <c r="R22" s="21"/>
      <c r="S22" s="21"/>
    </row>
    <row r="23" spans="1:19" x14ac:dyDescent="0.25">
      <c r="A23" s="26" t="s">
        <v>69</v>
      </c>
      <c r="B23" s="27"/>
      <c r="C23" s="27"/>
      <c r="E23" s="27"/>
      <c r="F23" s="27"/>
      <c r="H23" s="27"/>
      <c r="I23" s="27"/>
      <c r="L23" s="27"/>
      <c r="M23" s="27"/>
      <c r="O23" s="27"/>
      <c r="P23" s="27"/>
      <c r="R23" s="27"/>
      <c r="S23" s="27"/>
    </row>
    <row r="24" spans="1:19" x14ac:dyDescent="0.25">
      <c r="A24" s="20" t="s">
        <v>23</v>
      </c>
      <c r="B24" s="21">
        <v>217</v>
      </c>
      <c r="C24" s="22">
        <v>3.4922831807135844E-3</v>
      </c>
      <c r="E24" s="21">
        <v>12</v>
      </c>
      <c r="F24" s="22">
        <v>6.4412238325281803E-3</v>
      </c>
      <c r="H24" s="21">
        <v>0</v>
      </c>
      <c r="I24" s="22">
        <v>0</v>
      </c>
      <c r="L24" s="21">
        <v>203</v>
      </c>
      <c r="M24" s="22">
        <v>4.4578154508322721E-3</v>
      </c>
      <c r="O24" s="21">
        <v>9</v>
      </c>
      <c r="P24" s="22">
        <v>2.5210084033613446E-2</v>
      </c>
      <c r="R24" s="21"/>
      <c r="S24" s="22"/>
    </row>
    <row r="25" spans="1:19" x14ac:dyDescent="0.25">
      <c r="A25" s="28" t="s">
        <v>70</v>
      </c>
      <c r="B25" s="29">
        <v>217</v>
      </c>
      <c r="C25" s="24">
        <v>2.4913892078071184E-3</v>
      </c>
      <c r="E25" s="29">
        <v>12</v>
      </c>
      <c r="F25" s="24">
        <v>2.9542097488921715E-3</v>
      </c>
      <c r="H25" s="29">
        <v>0</v>
      </c>
      <c r="I25" s="24">
        <v>0</v>
      </c>
      <c r="L25" s="29">
        <v>203</v>
      </c>
      <c r="M25" s="24">
        <v>3.249195704019079E-3</v>
      </c>
      <c r="O25" s="29">
        <v>9</v>
      </c>
      <c r="P25" s="24">
        <v>8.2872928176795577E-3</v>
      </c>
      <c r="R25" s="29"/>
      <c r="S25" s="24"/>
    </row>
    <row r="26" spans="1:19" x14ac:dyDescent="0.25">
      <c r="A26" s="20"/>
      <c r="B26" s="21"/>
      <c r="C26" s="21"/>
      <c r="E26" s="21"/>
      <c r="F26" s="21"/>
      <c r="H26" s="21"/>
      <c r="I26" s="21"/>
      <c r="L26" s="21"/>
      <c r="M26" s="21"/>
      <c r="O26" s="21"/>
      <c r="P26" s="21"/>
      <c r="R26" s="21"/>
      <c r="S26" s="21"/>
    </row>
    <row r="27" spans="1:19" x14ac:dyDescent="0.25">
      <c r="A27" s="30" t="s">
        <v>71</v>
      </c>
      <c r="B27" s="27"/>
      <c r="C27" s="27"/>
      <c r="E27" s="27"/>
      <c r="F27" s="27"/>
      <c r="H27" s="27"/>
      <c r="I27" s="27"/>
      <c r="L27" s="27"/>
      <c r="M27" s="27"/>
      <c r="O27" s="27"/>
      <c r="P27" s="27"/>
      <c r="R27" s="27"/>
      <c r="S27" s="27"/>
    </row>
    <row r="28" spans="1:19" x14ac:dyDescent="0.25">
      <c r="A28" s="20" t="s">
        <v>23</v>
      </c>
      <c r="B28" s="21">
        <v>137</v>
      </c>
      <c r="C28" s="22">
        <v>5.5299911197222891E-3</v>
      </c>
      <c r="E28" s="21">
        <v>11</v>
      </c>
      <c r="F28" s="22">
        <v>1.2387387387387387E-2</v>
      </c>
      <c r="H28" s="21">
        <v>0</v>
      </c>
      <c r="I28" s="22">
        <v>0</v>
      </c>
      <c r="L28" s="21">
        <v>88</v>
      </c>
      <c r="M28" s="22">
        <v>7.9072692964327427E-3</v>
      </c>
      <c r="O28" s="21">
        <v>0</v>
      </c>
      <c r="P28" s="22">
        <v>0</v>
      </c>
      <c r="R28" s="21"/>
      <c r="S28" s="22"/>
    </row>
    <row r="29" spans="1:19" x14ac:dyDescent="0.25">
      <c r="A29" s="20" t="s">
        <v>24</v>
      </c>
      <c r="B29" s="21">
        <v>1</v>
      </c>
      <c r="C29" s="22">
        <v>1.3859552835387318E-6</v>
      </c>
      <c r="E29" s="21">
        <v>0</v>
      </c>
      <c r="F29" s="22">
        <v>0</v>
      </c>
      <c r="H29" s="21">
        <v>0</v>
      </c>
      <c r="I29" s="22">
        <v>0</v>
      </c>
      <c r="L29" s="21">
        <v>1</v>
      </c>
      <c r="M29" s="22">
        <v>2.0148372615943809E-6</v>
      </c>
      <c r="O29" s="21">
        <v>0</v>
      </c>
      <c r="P29" s="22">
        <v>0</v>
      </c>
      <c r="R29" s="21"/>
      <c r="S29" s="22"/>
    </row>
    <row r="30" spans="1:19" x14ac:dyDescent="0.25">
      <c r="A30" s="20" t="s">
        <v>25</v>
      </c>
      <c r="B30" s="21">
        <v>1</v>
      </c>
      <c r="C30" s="22">
        <v>1.2526148334648579E-5</v>
      </c>
      <c r="E30" s="21">
        <v>0</v>
      </c>
      <c r="F30" s="22">
        <v>0</v>
      </c>
      <c r="H30" s="21">
        <v>0</v>
      </c>
      <c r="I30" s="22">
        <v>0</v>
      </c>
      <c r="L30" s="21">
        <v>0</v>
      </c>
      <c r="M30" s="22">
        <v>0</v>
      </c>
      <c r="O30" s="21">
        <v>0</v>
      </c>
      <c r="P30" s="22">
        <v>0</v>
      </c>
      <c r="R30" s="21"/>
      <c r="S30" s="22"/>
    </row>
    <row r="31" spans="1:19" x14ac:dyDescent="0.25">
      <c r="A31" s="20" t="s">
        <v>29</v>
      </c>
      <c r="B31" s="21">
        <v>0</v>
      </c>
      <c r="C31" s="22">
        <v>0</v>
      </c>
      <c r="E31" s="21">
        <v>1</v>
      </c>
      <c r="F31" s="22">
        <v>1.9916351324437363E-4</v>
      </c>
      <c r="H31" s="21">
        <v>0</v>
      </c>
      <c r="I31" s="22">
        <v>0</v>
      </c>
      <c r="L31" s="21">
        <v>0</v>
      </c>
      <c r="M31" s="22">
        <v>0</v>
      </c>
      <c r="O31" s="21">
        <v>0</v>
      </c>
      <c r="P31" s="22">
        <v>0</v>
      </c>
      <c r="R31" s="21"/>
      <c r="S31" s="22"/>
    </row>
    <row r="32" spans="1:19" x14ac:dyDescent="0.25">
      <c r="A32" s="20" t="s">
        <v>30</v>
      </c>
      <c r="B32" s="21">
        <v>114</v>
      </c>
      <c r="C32" s="22">
        <v>2.3413431916204559E-2</v>
      </c>
      <c r="E32" s="21">
        <v>102</v>
      </c>
      <c r="F32" s="22">
        <v>1.6784597663320716E-2</v>
      </c>
      <c r="H32" s="21">
        <v>0</v>
      </c>
      <c r="I32" s="22">
        <v>0</v>
      </c>
      <c r="L32" s="21">
        <v>52</v>
      </c>
      <c r="M32" s="22">
        <v>1.9033674963396779E-2</v>
      </c>
      <c r="O32" s="21">
        <v>26</v>
      </c>
      <c r="P32" s="22">
        <v>8.8255261371350986E-3</v>
      </c>
      <c r="R32" s="21"/>
      <c r="S32" s="22"/>
    </row>
    <row r="33" spans="1:19" x14ac:dyDescent="0.25">
      <c r="A33" s="20" t="s">
        <v>33</v>
      </c>
      <c r="B33" s="21">
        <v>1</v>
      </c>
      <c r="C33" s="22">
        <v>3.3036009250082593E-5</v>
      </c>
      <c r="E33" s="21">
        <v>0</v>
      </c>
      <c r="F33" s="22">
        <v>0</v>
      </c>
      <c r="H33" s="21">
        <v>0</v>
      </c>
      <c r="I33" s="22">
        <v>0</v>
      </c>
      <c r="L33" s="21">
        <v>8</v>
      </c>
      <c r="M33" s="22">
        <v>7.7257363592467406E-4</v>
      </c>
      <c r="O33" s="21">
        <v>0</v>
      </c>
      <c r="P33" s="22">
        <v>0</v>
      </c>
      <c r="R33" s="21"/>
      <c r="S33" s="22"/>
    </row>
    <row r="34" spans="1:19" x14ac:dyDescent="0.25">
      <c r="A34" s="20" t="s">
        <v>35</v>
      </c>
      <c r="B34" s="21">
        <v>2</v>
      </c>
      <c r="C34" s="22">
        <v>2.6696281741878992E-6</v>
      </c>
      <c r="E34" s="21">
        <v>3</v>
      </c>
      <c r="F34" s="22">
        <v>5.0015838348810458E-5</v>
      </c>
      <c r="H34" s="21">
        <v>12</v>
      </c>
      <c r="I34" s="22">
        <v>2.0366598778004071E-3</v>
      </c>
      <c r="L34" s="21">
        <v>1</v>
      </c>
      <c r="M34" s="22">
        <v>2.9103270043422077E-6</v>
      </c>
      <c r="O34" s="21">
        <v>0</v>
      </c>
      <c r="P34" s="22">
        <v>0</v>
      </c>
      <c r="R34" s="21"/>
      <c r="S34" s="22"/>
    </row>
    <row r="35" spans="1:19" x14ac:dyDescent="0.25">
      <c r="A35" s="20" t="s">
        <v>85</v>
      </c>
      <c r="B35" s="21">
        <v>0</v>
      </c>
      <c r="C35" s="22">
        <v>0</v>
      </c>
      <c r="E35" s="21">
        <v>7</v>
      </c>
      <c r="F35" s="22">
        <v>3.8674033149171269E-2</v>
      </c>
      <c r="H35" s="21">
        <v>9</v>
      </c>
      <c r="I35" s="22">
        <v>6.1266167460857727E-3</v>
      </c>
      <c r="L35" s="21">
        <v>0</v>
      </c>
      <c r="M35" s="22">
        <v>0</v>
      </c>
      <c r="O35" s="21">
        <v>0</v>
      </c>
      <c r="P35" s="22">
        <v>0</v>
      </c>
      <c r="R35" s="21"/>
      <c r="S35" s="22"/>
    </row>
    <row r="36" spans="1:19" x14ac:dyDescent="0.25">
      <c r="A36" s="20" t="s">
        <v>48</v>
      </c>
      <c r="B36" s="21">
        <v>23</v>
      </c>
      <c r="C36" s="22">
        <v>2.9424633279516105E-5</v>
      </c>
      <c r="E36" s="21">
        <v>2</v>
      </c>
      <c r="F36" s="22">
        <v>2.1777003484320557E-5</v>
      </c>
      <c r="H36" s="21">
        <v>0</v>
      </c>
      <c r="I36" s="22">
        <v>0</v>
      </c>
      <c r="L36" s="21">
        <v>6</v>
      </c>
      <c r="M36" s="22">
        <v>2.416616656127533E-5</v>
      </c>
      <c r="O36" s="21">
        <v>10</v>
      </c>
      <c r="P36" s="22">
        <v>5.8875478363261706E-4</v>
      </c>
      <c r="R36" s="21"/>
      <c r="S36" s="22"/>
    </row>
    <row r="37" spans="1:19" x14ac:dyDescent="0.25">
      <c r="A37" s="20" t="s">
        <v>54</v>
      </c>
      <c r="B37" s="21">
        <v>0</v>
      </c>
      <c r="C37" s="22">
        <v>0</v>
      </c>
      <c r="E37" s="21">
        <v>1</v>
      </c>
      <c r="F37" s="22">
        <v>3.5676061362825543E-4</v>
      </c>
      <c r="H37" s="21">
        <v>0</v>
      </c>
      <c r="I37" s="22">
        <v>0</v>
      </c>
      <c r="L37" s="21">
        <v>0</v>
      </c>
      <c r="M37" s="22">
        <v>0</v>
      </c>
      <c r="O37" s="21">
        <v>0</v>
      </c>
      <c r="P37" s="22">
        <v>0</v>
      </c>
      <c r="R37" s="21"/>
      <c r="S37" s="22"/>
    </row>
    <row r="38" spans="1:19" x14ac:dyDescent="0.25">
      <c r="A38" s="20" t="s">
        <v>60</v>
      </c>
      <c r="B38" s="21">
        <v>2</v>
      </c>
      <c r="C38" s="22">
        <v>6.5112644875634849E-5</v>
      </c>
      <c r="E38" s="21">
        <v>0</v>
      </c>
      <c r="F38" s="22">
        <v>0</v>
      </c>
      <c r="H38" s="21">
        <v>0</v>
      </c>
      <c r="I38" s="22">
        <v>0</v>
      </c>
      <c r="L38" s="21">
        <v>0</v>
      </c>
      <c r="M38" s="22">
        <v>0</v>
      </c>
      <c r="O38" s="21">
        <v>0</v>
      </c>
      <c r="P38" s="22">
        <v>0</v>
      </c>
      <c r="R38" s="21"/>
      <c r="S38" s="22"/>
    </row>
    <row r="39" spans="1:19" x14ac:dyDescent="0.25">
      <c r="A39" s="20" t="s">
        <v>63</v>
      </c>
      <c r="B39" s="21">
        <v>0</v>
      </c>
      <c r="C39" s="22">
        <v>0</v>
      </c>
      <c r="E39" s="21">
        <v>0</v>
      </c>
      <c r="F39" s="22">
        <v>0</v>
      </c>
      <c r="H39" s="21">
        <v>1</v>
      </c>
      <c r="I39" s="22">
        <v>6.2893081761006293E-3</v>
      </c>
      <c r="L39" s="21">
        <v>0</v>
      </c>
      <c r="M39" s="22">
        <v>0</v>
      </c>
      <c r="O39" s="21">
        <v>0</v>
      </c>
      <c r="P39" s="22">
        <v>0</v>
      </c>
      <c r="R39" s="21"/>
      <c r="S39" s="22"/>
    </row>
    <row r="40" spans="1:19" x14ac:dyDescent="0.25">
      <c r="A40" s="31" t="s">
        <v>72</v>
      </c>
      <c r="B40" s="29">
        <v>281</v>
      </c>
      <c r="C40" s="24">
        <v>1.0199774007854189E-4</v>
      </c>
      <c r="E40" s="29">
        <v>127</v>
      </c>
      <c r="F40" s="24">
        <v>4.9202493442896051E-4</v>
      </c>
      <c r="H40" s="29">
        <v>22</v>
      </c>
      <c r="I40" s="24">
        <v>7.4543421543048823E-4</v>
      </c>
      <c r="L40" s="29">
        <v>156</v>
      </c>
      <c r="M40" s="24">
        <v>1.2979567996711843E-4</v>
      </c>
      <c r="O40" s="29">
        <v>36</v>
      </c>
      <c r="P40" s="24">
        <v>9.2876860762106236E-4</v>
      </c>
      <c r="R40" s="29"/>
      <c r="S40" s="24"/>
    </row>
    <row r="41" spans="1:19" x14ac:dyDescent="0.25">
      <c r="A41" s="20"/>
      <c r="B41" s="21"/>
      <c r="C41" s="21"/>
      <c r="E41" s="21"/>
      <c r="F41" s="21"/>
      <c r="H41" s="21"/>
      <c r="I41" s="21"/>
      <c r="L41" s="21"/>
      <c r="M41" s="21"/>
      <c r="O41" s="21"/>
      <c r="P41" s="21"/>
      <c r="R41" s="21"/>
      <c r="S41" s="21"/>
    </row>
    <row r="42" spans="1:19" x14ac:dyDescent="0.25">
      <c r="A42" s="30" t="s">
        <v>73</v>
      </c>
      <c r="B42" s="27"/>
      <c r="C42" s="27"/>
      <c r="E42" s="27"/>
      <c r="F42" s="27"/>
      <c r="H42" s="27"/>
      <c r="I42" s="27"/>
      <c r="L42" s="27"/>
      <c r="M42" s="27"/>
      <c r="O42" s="27"/>
      <c r="P42" s="27"/>
      <c r="R42" s="27"/>
      <c r="S42" s="27"/>
    </row>
    <row r="43" spans="1:19" x14ac:dyDescent="0.25">
      <c r="A43" s="20" t="s">
        <v>24</v>
      </c>
      <c r="B43" s="21">
        <v>26</v>
      </c>
      <c r="C43" s="22">
        <v>8.9185258362833075E-5</v>
      </c>
      <c r="E43" s="21">
        <v>2</v>
      </c>
      <c r="F43" s="22">
        <v>1.0189006062458607E-4</v>
      </c>
      <c r="H43" s="21">
        <v>0</v>
      </c>
      <c r="I43" s="22">
        <v>0</v>
      </c>
      <c r="L43" s="21">
        <v>2</v>
      </c>
      <c r="M43" s="22">
        <v>3.0263137984777641E-5</v>
      </c>
      <c r="O43" s="21">
        <v>0</v>
      </c>
      <c r="P43" s="22">
        <v>0</v>
      </c>
      <c r="R43" s="21"/>
      <c r="S43" s="22"/>
    </row>
    <row r="44" spans="1:19" x14ac:dyDescent="0.25">
      <c r="A44" s="20" t="s">
        <v>25</v>
      </c>
      <c r="B44" s="21">
        <v>2</v>
      </c>
      <c r="C44" s="22">
        <v>1.2618933447744996E-5</v>
      </c>
      <c r="E44" s="21">
        <v>0</v>
      </c>
      <c r="F44" s="22">
        <v>0</v>
      </c>
      <c r="H44" s="21">
        <v>0</v>
      </c>
      <c r="I44" s="22">
        <v>0</v>
      </c>
      <c r="L44" s="21">
        <v>0</v>
      </c>
      <c r="M44" s="22">
        <v>0</v>
      </c>
      <c r="O44" s="21">
        <v>0</v>
      </c>
      <c r="P44" s="22">
        <v>0</v>
      </c>
      <c r="R44" s="21"/>
      <c r="S44" s="22"/>
    </row>
    <row r="45" spans="1:19" x14ac:dyDescent="0.25">
      <c r="A45" s="20" t="s">
        <v>26</v>
      </c>
      <c r="B45" s="21">
        <v>2</v>
      </c>
      <c r="C45" s="22">
        <v>5.0170579971904475E-5</v>
      </c>
      <c r="E45" s="21">
        <v>0</v>
      </c>
      <c r="F45" s="22">
        <v>0</v>
      </c>
      <c r="H45" s="21">
        <v>0</v>
      </c>
      <c r="I45" s="22">
        <v>0</v>
      </c>
      <c r="L45" s="21">
        <v>0</v>
      </c>
      <c r="M45" s="22">
        <v>0</v>
      </c>
      <c r="O45" s="21">
        <v>0</v>
      </c>
      <c r="P45" s="22">
        <v>0</v>
      </c>
      <c r="R45" s="21"/>
      <c r="S45" s="22"/>
    </row>
    <row r="46" spans="1:19" x14ac:dyDescent="0.25">
      <c r="A46" s="20" t="s">
        <v>35</v>
      </c>
      <c r="B46" s="21">
        <v>0</v>
      </c>
      <c r="C46" s="22">
        <v>0</v>
      </c>
      <c r="E46" s="21">
        <v>4</v>
      </c>
      <c r="F46" s="22">
        <v>4.8514251061249243E-4</v>
      </c>
      <c r="H46" s="21">
        <v>4</v>
      </c>
      <c r="I46" s="22">
        <v>6.5146579804560263E-3</v>
      </c>
      <c r="L46" s="21">
        <v>0</v>
      </c>
      <c r="M46" s="22">
        <v>0</v>
      </c>
      <c r="O46" s="21">
        <v>0</v>
      </c>
      <c r="P46" s="22">
        <v>0</v>
      </c>
      <c r="R46" s="21"/>
      <c r="S46" s="22"/>
    </row>
    <row r="47" spans="1:19" x14ac:dyDescent="0.25">
      <c r="A47" s="20" t="s">
        <v>85</v>
      </c>
      <c r="B47" s="21">
        <v>0</v>
      </c>
      <c r="C47" s="22">
        <v>0</v>
      </c>
      <c r="E47" s="21">
        <v>0</v>
      </c>
      <c r="F47" s="22">
        <v>0</v>
      </c>
      <c r="H47" s="21">
        <v>2</v>
      </c>
      <c r="I47" s="22">
        <v>2.0811654526534861E-3</v>
      </c>
      <c r="L47" s="21">
        <v>0</v>
      </c>
      <c r="M47" s="22">
        <v>0</v>
      </c>
      <c r="O47" s="21">
        <v>0</v>
      </c>
      <c r="P47" s="22">
        <v>0</v>
      </c>
      <c r="R47" s="21"/>
      <c r="S47" s="22"/>
    </row>
    <row r="48" spans="1:19" x14ac:dyDescent="0.25">
      <c r="A48" s="20" t="s">
        <v>48</v>
      </c>
      <c r="B48" s="21">
        <v>15</v>
      </c>
      <c r="C48" s="22">
        <v>3.0666066974690273E-5</v>
      </c>
      <c r="E48" s="21">
        <v>2</v>
      </c>
      <c r="F48" s="22">
        <v>5.8702670971529207E-5</v>
      </c>
      <c r="H48" s="21">
        <v>0</v>
      </c>
      <c r="I48" s="22">
        <v>0</v>
      </c>
      <c r="L48" s="21">
        <v>3</v>
      </c>
      <c r="M48" s="22">
        <v>3.7860144625752468E-5</v>
      </c>
      <c r="O48" s="21">
        <v>0</v>
      </c>
      <c r="P48" s="22">
        <v>0</v>
      </c>
      <c r="R48" s="21"/>
      <c r="S48" s="22"/>
    </row>
    <row r="49" spans="1:19" x14ac:dyDescent="0.25">
      <c r="A49" s="31" t="s">
        <v>74</v>
      </c>
      <c r="B49" s="29">
        <v>45</v>
      </c>
      <c r="C49" s="24">
        <v>3.778258222959216E-5</v>
      </c>
      <c r="E49" s="29">
        <v>8</v>
      </c>
      <c r="F49" s="24">
        <v>1.0132225543340594E-4</v>
      </c>
      <c r="H49" s="29">
        <v>6</v>
      </c>
      <c r="I49" s="24">
        <v>4.5537340619307832E-4</v>
      </c>
      <c r="L49" s="29">
        <v>5</v>
      </c>
      <c r="M49" s="24">
        <v>3.4146241523195542E-5</v>
      </c>
      <c r="O49" s="29">
        <v>0</v>
      </c>
      <c r="P49" s="24">
        <v>0</v>
      </c>
      <c r="R49" s="29"/>
      <c r="S49" s="24"/>
    </row>
    <row r="50" spans="1:19" x14ac:dyDescent="0.25">
      <c r="A50" s="20"/>
      <c r="B50" s="21"/>
      <c r="C50" s="21"/>
      <c r="E50" s="21"/>
      <c r="F50" s="21"/>
      <c r="H50" s="21"/>
      <c r="I50" s="21"/>
      <c r="L50" s="21"/>
      <c r="M50" s="21"/>
      <c r="O50" s="21"/>
      <c r="P50" s="21"/>
      <c r="R50" s="21"/>
      <c r="S50" s="21"/>
    </row>
    <row r="51" spans="1:19" x14ac:dyDescent="0.25">
      <c r="A51" s="30" t="s">
        <v>75</v>
      </c>
      <c r="B51" s="27"/>
      <c r="C51" s="27"/>
      <c r="E51" s="27"/>
      <c r="F51" s="27"/>
      <c r="H51" s="27"/>
      <c r="I51" s="27"/>
      <c r="L51" s="27"/>
      <c r="M51" s="27"/>
      <c r="O51" s="27"/>
      <c r="P51" s="27"/>
      <c r="R51" s="27"/>
      <c r="S51" s="27"/>
    </row>
    <row r="52" spans="1:19" x14ac:dyDescent="0.25">
      <c r="A52" s="20" t="s">
        <v>24</v>
      </c>
      <c r="B52" s="21">
        <v>1</v>
      </c>
      <c r="C52" s="22">
        <v>3.8213445018495305E-6</v>
      </c>
      <c r="E52" s="21">
        <v>0</v>
      </c>
      <c r="F52" s="22">
        <v>0</v>
      </c>
      <c r="H52" s="21">
        <v>0</v>
      </c>
      <c r="I52" s="22">
        <v>0</v>
      </c>
      <c r="L52" s="21">
        <v>0</v>
      </c>
      <c r="M52" s="22">
        <v>0</v>
      </c>
      <c r="O52" s="21">
        <v>0</v>
      </c>
      <c r="P52" s="22">
        <v>0</v>
      </c>
      <c r="R52" s="21"/>
      <c r="S52" s="22"/>
    </row>
    <row r="53" spans="1:19" x14ac:dyDescent="0.25">
      <c r="A53" s="20" t="s">
        <v>35</v>
      </c>
      <c r="B53" s="21">
        <v>0</v>
      </c>
      <c r="C53" s="22">
        <v>0</v>
      </c>
      <c r="E53" s="21">
        <v>0</v>
      </c>
      <c r="F53" s="22">
        <v>0</v>
      </c>
      <c r="H53" s="21">
        <v>2</v>
      </c>
      <c r="I53" s="22">
        <v>3.1201248049921998E-3</v>
      </c>
      <c r="L53" s="21">
        <v>0</v>
      </c>
      <c r="M53" s="22">
        <v>0</v>
      </c>
      <c r="O53" s="21">
        <v>0</v>
      </c>
      <c r="P53" s="22">
        <v>0</v>
      </c>
      <c r="R53" s="21"/>
      <c r="S53" s="22"/>
    </row>
    <row r="54" spans="1:19" x14ac:dyDescent="0.25">
      <c r="A54" s="20" t="s">
        <v>48</v>
      </c>
      <c r="B54" s="21">
        <v>6</v>
      </c>
      <c r="C54" s="22">
        <v>3.0526894193784724E-5</v>
      </c>
      <c r="E54" s="21">
        <v>0</v>
      </c>
      <c r="F54" s="22">
        <v>0</v>
      </c>
      <c r="H54" s="21">
        <v>0</v>
      </c>
      <c r="I54" s="22">
        <v>0</v>
      </c>
      <c r="L54" s="21">
        <v>3</v>
      </c>
      <c r="M54" s="22">
        <v>2.030017187478854E-5</v>
      </c>
      <c r="O54" s="21">
        <v>0</v>
      </c>
      <c r="P54" s="22">
        <v>0</v>
      </c>
      <c r="R54" s="21"/>
      <c r="S54" s="22"/>
    </row>
    <row r="55" spans="1:19" x14ac:dyDescent="0.25">
      <c r="A55" s="20" t="s">
        <v>60</v>
      </c>
      <c r="B55" s="21">
        <v>5</v>
      </c>
      <c r="C55" s="22">
        <v>6.4072170893294205E-5</v>
      </c>
      <c r="E55" s="21">
        <v>2</v>
      </c>
      <c r="F55" s="22">
        <v>5.2534804307853957E-4</v>
      </c>
      <c r="H55" s="21">
        <v>0</v>
      </c>
      <c r="I55" s="22">
        <v>0</v>
      </c>
      <c r="L55" s="21">
        <v>25</v>
      </c>
      <c r="M55" s="22">
        <v>6.1641640160761397E-4</v>
      </c>
      <c r="O55" s="21">
        <v>0</v>
      </c>
      <c r="P55" s="22">
        <v>0</v>
      </c>
      <c r="R55" s="21"/>
      <c r="S55" s="22"/>
    </row>
    <row r="56" spans="1:19" x14ac:dyDescent="0.25">
      <c r="A56" s="20" t="s">
        <v>63</v>
      </c>
      <c r="B56" s="21">
        <v>0</v>
      </c>
      <c r="C56" s="22">
        <v>0</v>
      </c>
      <c r="E56" s="21">
        <v>0</v>
      </c>
      <c r="F56" s="22">
        <v>0</v>
      </c>
      <c r="H56" s="21">
        <v>36</v>
      </c>
      <c r="I56" s="22">
        <v>0.15126050420168066</v>
      </c>
      <c r="L56" s="21">
        <v>0</v>
      </c>
      <c r="M56" s="22">
        <v>0</v>
      </c>
      <c r="O56" s="21">
        <v>0</v>
      </c>
      <c r="P56" s="22">
        <v>0</v>
      </c>
      <c r="R56" s="21"/>
      <c r="S56" s="22"/>
    </row>
    <row r="57" spans="1:19" x14ac:dyDescent="0.25">
      <c r="A57" s="31" t="s">
        <v>76</v>
      </c>
      <c r="B57" s="29">
        <v>12</v>
      </c>
      <c r="C57" s="24">
        <v>1.6955858249025037E-5</v>
      </c>
      <c r="E57" s="29">
        <v>2</v>
      </c>
      <c r="F57" s="24">
        <v>2.6018967827546283E-5</v>
      </c>
      <c r="H57" s="29">
        <v>38</v>
      </c>
      <c r="I57" s="24">
        <v>6.0509554140127392E-3</v>
      </c>
      <c r="L57" s="29">
        <v>28</v>
      </c>
      <c r="M57" s="24">
        <v>7.3117549517554735E-5</v>
      </c>
      <c r="O57" s="29">
        <v>0</v>
      </c>
      <c r="P57" s="24">
        <v>0</v>
      </c>
      <c r="R57" s="29"/>
      <c r="S57" s="24"/>
    </row>
    <row r="58" spans="1:19" x14ac:dyDescent="0.25">
      <c r="A58" s="20"/>
      <c r="B58" s="21"/>
      <c r="C58" s="21"/>
      <c r="E58" s="21"/>
      <c r="F58" s="21"/>
      <c r="H58" s="21"/>
      <c r="I58" s="21"/>
      <c r="L58" s="21"/>
      <c r="M58" s="21"/>
      <c r="O58" s="21"/>
      <c r="P58" s="21"/>
      <c r="R58" s="21"/>
      <c r="S58" s="21"/>
    </row>
    <row r="59" spans="1:19" x14ac:dyDescent="0.25">
      <c r="A59" s="30" t="s">
        <v>77</v>
      </c>
      <c r="B59" s="27"/>
      <c r="C59" s="27"/>
      <c r="E59" s="27"/>
      <c r="F59" s="27"/>
      <c r="H59" s="27"/>
      <c r="I59" s="27"/>
      <c r="L59" s="27"/>
      <c r="M59" s="27"/>
      <c r="O59" s="27"/>
      <c r="P59" s="27"/>
      <c r="R59" s="27"/>
      <c r="S59" s="27"/>
    </row>
    <row r="60" spans="1:19" x14ac:dyDescent="0.25">
      <c r="A60" s="20" t="s">
        <v>27</v>
      </c>
      <c r="B60" s="21">
        <v>4040</v>
      </c>
      <c r="C60" s="22">
        <v>0.2049616965146365</v>
      </c>
      <c r="E60" s="21">
        <v>57</v>
      </c>
      <c r="F60" s="22">
        <v>1.52E-2</v>
      </c>
      <c r="H60" s="21">
        <v>10</v>
      </c>
      <c r="I60" s="22">
        <v>4.8520135856380394E-3</v>
      </c>
      <c r="L60" s="21"/>
      <c r="M60" s="22"/>
      <c r="O60" s="21"/>
      <c r="P60" s="22"/>
      <c r="R60" s="21"/>
      <c r="S60" s="22"/>
    </row>
    <row r="61" spans="1:19" x14ac:dyDescent="0.25">
      <c r="A61" s="20" t="s">
        <v>85</v>
      </c>
      <c r="B61" s="21">
        <v>0</v>
      </c>
      <c r="C61" s="22">
        <v>0</v>
      </c>
      <c r="E61" s="21">
        <v>0</v>
      </c>
      <c r="F61" s="22">
        <v>0</v>
      </c>
      <c r="H61" s="21">
        <v>3</v>
      </c>
      <c r="I61" s="22">
        <v>1.1952191235059761E-2</v>
      </c>
      <c r="L61" s="21"/>
      <c r="M61" s="22"/>
      <c r="O61" s="21"/>
      <c r="P61" s="22"/>
      <c r="R61" s="21"/>
      <c r="S61" s="22"/>
    </row>
    <row r="62" spans="1:19" x14ac:dyDescent="0.25">
      <c r="A62" s="31" t="s">
        <v>78</v>
      </c>
      <c r="B62" s="29">
        <v>4040</v>
      </c>
      <c r="C62" s="24">
        <v>0.2049616965146365</v>
      </c>
      <c r="E62" s="29">
        <v>57</v>
      </c>
      <c r="F62" s="24">
        <v>1.4574277678343135E-2</v>
      </c>
      <c r="H62" s="29">
        <v>13</v>
      </c>
      <c r="I62" s="24">
        <v>5.6131260794473233E-3</v>
      </c>
      <c r="L62" s="29"/>
      <c r="M62" s="24"/>
      <c r="O62" s="29"/>
      <c r="P62" s="24"/>
      <c r="R62" s="29"/>
      <c r="S62" s="24"/>
    </row>
    <row r="63" spans="1:19" x14ac:dyDescent="0.25">
      <c r="H63" s="21"/>
      <c r="I63" s="21"/>
    </row>
    <row r="64" spans="1:19" x14ac:dyDescent="0.25">
      <c r="H64" s="21"/>
      <c r="I64" s="21"/>
    </row>
    <row r="65" spans="8:9" x14ac:dyDescent="0.25">
      <c r="H65" s="23"/>
      <c r="I65" s="23"/>
    </row>
    <row r="66" spans="8:9" x14ac:dyDescent="0.25">
      <c r="H66" s="10"/>
      <c r="I66" s="10"/>
    </row>
    <row r="67" spans="8:9" x14ac:dyDescent="0.25">
      <c r="H67" s="21"/>
      <c r="I67" s="22"/>
    </row>
    <row r="68" spans="8:9" x14ac:dyDescent="0.25">
      <c r="H68" s="21"/>
      <c r="I68" s="22"/>
    </row>
    <row r="69" spans="8:9" x14ac:dyDescent="0.25">
      <c r="H69" s="21"/>
      <c r="I69" s="22"/>
    </row>
    <row r="70" spans="8:9" x14ac:dyDescent="0.25">
      <c r="H70" s="21"/>
      <c r="I70" s="22"/>
    </row>
    <row r="71" spans="8:9" x14ac:dyDescent="0.25">
      <c r="H71" s="23"/>
      <c r="I71" s="24"/>
    </row>
  </sheetData>
  <mergeCells count="7">
    <mergeCell ref="B3:I3"/>
    <mergeCell ref="L3:P3"/>
    <mergeCell ref="B4:C4"/>
    <mergeCell ref="E4:F4"/>
    <mergeCell ref="H4:I4"/>
    <mergeCell ref="L4:M4"/>
    <mergeCell ref="O4:P4"/>
  </mergeCells>
  <conditionalFormatting sqref="A5">
    <cfRule type="duplicateValues" dxfId="6" priority="1"/>
  </conditionalFormatting>
  <hyperlinks>
    <hyperlink ref="B1" location="Contents!A1" display="Back to Contents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M11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21" sqref="C21"/>
    </sheetView>
  </sheetViews>
  <sheetFormatPr defaultRowHeight="15" x14ac:dyDescent="0.25"/>
  <cols>
    <col min="1" max="1" width="24.7109375" customWidth="1"/>
    <col min="2" max="3" width="16.85546875" customWidth="1"/>
    <col min="4" max="4" width="5.42578125" customWidth="1"/>
    <col min="5" max="5" width="16.85546875" customWidth="1"/>
    <col min="6" max="6" width="17.28515625" customWidth="1"/>
    <col min="7" max="8" width="11.42578125" customWidth="1"/>
    <col min="9" max="10" width="16.85546875" customWidth="1"/>
    <col min="11" max="11" width="5.42578125" customWidth="1"/>
    <col min="12" max="13" width="16.85546875" customWidth="1"/>
  </cols>
  <sheetData>
    <row r="1" spans="1:13" x14ac:dyDescent="0.25">
      <c r="A1" s="1" t="s">
        <v>0</v>
      </c>
      <c r="B1" s="87" t="s">
        <v>189</v>
      </c>
      <c r="C1" s="4"/>
    </row>
    <row r="2" spans="1:13" x14ac:dyDescent="0.25">
      <c r="A2" s="37" t="s">
        <v>159</v>
      </c>
      <c r="B2" s="13"/>
      <c r="C2" s="4"/>
    </row>
    <row r="3" spans="1:13" x14ac:dyDescent="0.25">
      <c r="A3" s="10" t="s">
        <v>16</v>
      </c>
      <c r="B3" s="128" t="s">
        <v>3</v>
      </c>
      <c r="C3" s="128"/>
      <c r="D3" s="128"/>
      <c r="E3" s="128"/>
      <c r="F3" s="128"/>
      <c r="G3" s="52"/>
      <c r="H3" s="52"/>
      <c r="I3" s="128" t="s">
        <v>97</v>
      </c>
      <c r="J3" s="128"/>
      <c r="K3" s="128"/>
      <c r="L3" s="128"/>
      <c r="M3" s="128"/>
    </row>
    <row r="4" spans="1:13" x14ac:dyDescent="0.25">
      <c r="A4" s="1" t="s">
        <v>6</v>
      </c>
      <c r="B4" s="122" t="s">
        <v>4</v>
      </c>
      <c r="C4" s="122"/>
      <c r="E4" s="126" t="s">
        <v>101</v>
      </c>
      <c r="F4" s="126"/>
      <c r="G4" s="23"/>
      <c r="H4" s="41"/>
      <c r="I4" s="122" t="s">
        <v>4</v>
      </c>
      <c r="J4" s="122"/>
      <c r="L4" s="126" t="s">
        <v>101</v>
      </c>
      <c r="M4" s="126"/>
    </row>
    <row r="5" spans="1:13" s="34" customFormat="1" ht="38.25" x14ac:dyDescent="0.25">
      <c r="A5" s="33" t="s">
        <v>11</v>
      </c>
      <c r="B5" s="38" t="s">
        <v>165</v>
      </c>
      <c r="C5" s="38" t="s">
        <v>144</v>
      </c>
      <c r="D5" s="36"/>
      <c r="E5" s="35" t="s">
        <v>165</v>
      </c>
      <c r="F5" s="38" t="s">
        <v>144</v>
      </c>
      <c r="G5" s="36"/>
      <c r="H5" s="36"/>
      <c r="I5" s="35" t="s">
        <v>165</v>
      </c>
      <c r="J5" s="38" t="s">
        <v>144</v>
      </c>
      <c r="K5" s="36"/>
      <c r="L5" s="35" t="s">
        <v>165</v>
      </c>
      <c r="M5" s="38" t="s">
        <v>144</v>
      </c>
    </row>
    <row r="6" spans="1:13" x14ac:dyDescent="0.25">
      <c r="A6" s="20" t="s">
        <v>22</v>
      </c>
      <c r="B6" s="21">
        <v>209</v>
      </c>
      <c r="C6" s="22">
        <v>1.5870605209203432E-2</v>
      </c>
      <c r="E6" s="21">
        <v>17</v>
      </c>
      <c r="F6" s="22">
        <v>1.3877551020408163E-2</v>
      </c>
      <c r="I6" s="21">
        <v>0</v>
      </c>
      <c r="J6" s="22">
        <v>0</v>
      </c>
      <c r="L6" s="21">
        <v>0</v>
      </c>
      <c r="M6" s="22">
        <v>0</v>
      </c>
    </row>
    <row r="7" spans="1:13" x14ac:dyDescent="0.25">
      <c r="A7" s="20" t="s">
        <v>23</v>
      </c>
      <c r="B7" s="21">
        <v>1420</v>
      </c>
      <c r="C7" s="22">
        <v>2.0631138490149359E-2</v>
      </c>
      <c r="E7" s="21">
        <v>25</v>
      </c>
      <c r="F7" s="22">
        <v>1.0633772862611655E-2</v>
      </c>
      <c r="I7" s="21">
        <v>700</v>
      </c>
      <c r="J7" s="22">
        <v>1.4999999999999999E-2</v>
      </c>
      <c r="L7" s="21">
        <v>0</v>
      </c>
      <c r="M7" s="22">
        <v>0</v>
      </c>
    </row>
    <row r="8" spans="1:13" x14ac:dyDescent="0.25">
      <c r="A8" s="20" t="s">
        <v>24</v>
      </c>
      <c r="B8" s="21">
        <v>4350</v>
      </c>
      <c r="C8" s="22">
        <v>3.5117178354901468E-3</v>
      </c>
      <c r="E8" s="21">
        <v>55</v>
      </c>
      <c r="F8" s="22">
        <v>5.804688077170689E-4</v>
      </c>
      <c r="I8" s="21">
        <v>3524</v>
      </c>
      <c r="J8" s="22">
        <v>5.1886709110505148E-3</v>
      </c>
      <c r="L8" s="21">
        <v>3</v>
      </c>
      <c r="M8" s="22">
        <v>1.7389288198469742E-4</v>
      </c>
    </row>
    <row r="9" spans="1:13" x14ac:dyDescent="0.25">
      <c r="A9" s="20" t="s">
        <v>25</v>
      </c>
      <c r="B9" s="21">
        <v>2338</v>
      </c>
      <c r="C9" s="22">
        <v>7.8792433499927546E-3</v>
      </c>
      <c r="E9" s="21">
        <v>30</v>
      </c>
      <c r="F9" s="22">
        <v>1.0974137615685701E-3</v>
      </c>
      <c r="I9" s="21">
        <v>587</v>
      </c>
      <c r="J9" s="22">
        <v>1.3509781357882623E-2</v>
      </c>
      <c r="L9" s="21">
        <v>0</v>
      </c>
      <c r="M9" s="22">
        <v>0</v>
      </c>
    </row>
    <row r="10" spans="1:13" x14ac:dyDescent="0.25">
      <c r="A10" s="20" t="s">
        <v>26</v>
      </c>
      <c r="B10" s="21">
        <v>1838</v>
      </c>
      <c r="C10" s="22">
        <v>1.9832748853520366E-2</v>
      </c>
      <c r="E10" s="21">
        <v>12</v>
      </c>
      <c r="F10" s="22">
        <v>4.125128910278446E-3</v>
      </c>
      <c r="I10" s="21">
        <v>494</v>
      </c>
      <c r="J10" s="22">
        <v>2.7E-2</v>
      </c>
      <c r="L10" s="21">
        <v>0</v>
      </c>
      <c r="M10" s="22">
        <v>0</v>
      </c>
    </row>
    <row r="11" spans="1:13" x14ac:dyDescent="0.25">
      <c r="A11" s="20" t="s">
        <v>27</v>
      </c>
      <c r="B11" s="21">
        <v>0</v>
      </c>
      <c r="C11" s="22">
        <v>0</v>
      </c>
      <c r="E11" s="21">
        <v>227</v>
      </c>
      <c r="F11" s="22">
        <v>6.309060589216231E-2</v>
      </c>
      <c r="I11" s="21">
        <v>0</v>
      </c>
      <c r="J11" s="22">
        <v>0</v>
      </c>
      <c r="L11" s="21">
        <v>0</v>
      </c>
      <c r="M11" s="22">
        <v>0</v>
      </c>
    </row>
    <row r="12" spans="1:13" x14ac:dyDescent="0.25">
      <c r="A12" s="20" t="s">
        <v>30</v>
      </c>
      <c r="B12" s="21">
        <v>92</v>
      </c>
      <c r="C12" s="22">
        <v>2.6077097505668934E-2</v>
      </c>
      <c r="E12" s="21">
        <v>279</v>
      </c>
      <c r="F12" s="22">
        <v>6.014227204138823E-2</v>
      </c>
      <c r="I12" s="21">
        <v>43</v>
      </c>
      <c r="J12" s="22">
        <v>2.1000000000000001E-2</v>
      </c>
      <c r="L12" s="21">
        <v>100</v>
      </c>
      <c r="M12" s="22">
        <v>4.3999999999999997E-2</v>
      </c>
    </row>
    <row r="13" spans="1:13" x14ac:dyDescent="0.25">
      <c r="A13" s="20" t="s">
        <v>34</v>
      </c>
      <c r="B13" s="21">
        <v>119</v>
      </c>
      <c r="C13" s="22">
        <v>1.5404530744336569E-2</v>
      </c>
      <c r="E13" s="21">
        <v>2</v>
      </c>
      <c r="F13" s="22">
        <v>5.9523809523809521E-3</v>
      </c>
      <c r="I13" s="21">
        <v>0</v>
      </c>
      <c r="J13" s="22">
        <v>0</v>
      </c>
      <c r="L13" s="21">
        <v>0</v>
      </c>
      <c r="M13" s="22">
        <v>0</v>
      </c>
    </row>
    <row r="14" spans="1:13" x14ac:dyDescent="0.25">
      <c r="A14" s="20" t="s">
        <v>35</v>
      </c>
      <c r="B14" s="21">
        <v>2796</v>
      </c>
      <c r="C14" s="22">
        <v>3.0873944643326438E-3</v>
      </c>
      <c r="E14" s="21">
        <v>434</v>
      </c>
      <c r="F14" s="22">
        <v>6.627067141046588E-3</v>
      </c>
      <c r="I14" s="21">
        <v>1092</v>
      </c>
      <c r="J14" s="22">
        <v>2.7628992224918215E-3</v>
      </c>
      <c r="L14" s="21">
        <v>11</v>
      </c>
      <c r="M14" s="22">
        <v>2.0347761746207916E-3</v>
      </c>
    </row>
    <row r="15" spans="1:13" x14ac:dyDescent="0.25">
      <c r="A15" s="20" t="s">
        <v>42</v>
      </c>
      <c r="B15" s="21">
        <v>212</v>
      </c>
      <c r="C15" s="22">
        <v>5.9843053124823574E-3</v>
      </c>
      <c r="E15" s="21">
        <v>37</v>
      </c>
      <c r="F15" s="22">
        <v>9.9302200751476121E-3</v>
      </c>
      <c r="I15" s="21">
        <v>13</v>
      </c>
      <c r="J15" s="22">
        <v>2E-3</v>
      </c>
      <c r="L15" s="21">
        <v>0</v>
      </c>
      <c r="M15" s="22">
        <v>0</v>
      </c>
    </row>
    <row r="16" spans="1:13" x14ac:dyDescent="0.25">
      <c r="A16" s="20" t="s">
        <v>48</v>
      </c>
      <c r="B16" s="21">
        <v>56924</v>
      </c>
      <c r="C16" s="22">
        <v>3.9396825221055198E-2</v>
      </c>
      <c r="E16" s="21">
        <v>4295</v>
      </c>
      <c r="F16" s="22">
        <v>2.9412368945468989E-2</v>
      </c>
      <c r="I16" s="21">
        <v>20915</v>
      </c>
      <c r="J16" s="22">
        <v>4.291629731770577E-2</v>
      </c>
      <c r="L16" s="21">
        <v>1250</v>
      </c>
      <c r="M16" s="22">
        <v>3.9E-2</v>
      </c>
    </row>
    <row r="17" spans="1:13" x14ac:dyDescent="0.25">
      <c r="A17" s="20" t="s">
        <v>139</v>
      </c>
      <c r="B17" s="21">
        <v>601</v>
      </c>
      <c r="C17" s="22">
        <v>1.3122843792305341E-2</v>
      </c>
      <c r="E17" s="21">
        <v>16</v>
      </c>
      <c r="F17" s="22">
        <v>1.3796671552987843E-3</v>
      </c>
      <c r="I17" s="21">
        <v>0</v>
      </c>
      <c r="J17" s="22">
        <v>0</v>
      </c>
      <c r="L17" s="21">
        <v>0</v>
      </c>
      <c r="M17" s="22">
        <v>0</v>
      </c>
    </row>
    <row r="18" spans="1:13" x14ac:dyDescent="0.25">
      <c r="A18" s="20" t="s">
        <v>60</v>
      </c>
      <c r="B18" s="21">
        <v>60252</v>
      </c>
      <c r="C18" s="22">
        <v>0.48240192153722977</v>
      </c>
      <c r="E18" s="21">
        <v>3868</v>
      </c>
      <c r="F18" s="22">
        <v>0.62518183287538387</v>
      </c>
      <c r="I18" s="21">
        <v>21853</v>
      </c>
      <c r="J18" s="22">
        <v>0.46800000000000003</v>
      </c>
      <c r="L18" s="21">
        <v>45</v>
      </c>
      <c r="M18" s="22">
        <v>0.16</v>
      </c>
    </row>
    <row r="19" spans="1:13" x14ac:dyDescent="0.25">
      <c r="A19" s="20" t="s">
        <v>62</v>
      </c>
      <c r="B19" s="21">
        <v>1182</v>
      </c>
      <c r="C19" s="22">
        <v>3.2264228197079296E-2</v>
      </c>
      <c r="E19" s="21">
        <v>101</v>
      </c>
      <c r="F19" s="22">
        <v>4.2171189979123176E-2</v>
      </c>
      <c r="I19" s="21">
        <v>0</v>
      </c>
      <c r="J19" s="22">
        <v>0</v>
      </c>
      <c r="L19" s="21">
        <v>0</v>
      </c>
      <c r="M19" s="22">
        <v>0</v>
      </c>
    </row>
    <row r="20" spans="1:13" x14ac:dyDescent="0.25">
      <c r="A20" s="1" t="s">
        <v>67</v>
      </c>
      <c r="B20" s="23">
        <v>132333</v>
      </c>
      <c r="C20" s="24">
        <v>2.7798019501655176E-2</v>
      </c>
      <c r="E20" s="23">
        <v>9398</v>
      </c>
      <c r="F20" s="24">
        <v>2.2767079549115891E-2</v>
      </c>
      <c r="I20" s="23">
        <v>49221</v>
      </c>
      <c r="J20" s="24">
        <v>2.7440431723661177E-2</v>
      </c>
      <c r="L20" s="23">
        <v>1409</v>
      </c>
      <c r="M20" s="24">
        <v>2.4185519585293008E-2</v>
      </c>
    </row>
    <row r="21" spans="1:13" x14ac:dyDescent="0.25">
      <c r="A21" s="25"/>
      <c r="B21" s="21"/>
      <c r="C21" s="21"/>
      <c r="E21" s="21"/>
      <c r="F21" s="21"/>
      <c r="I21" s="21"/>
      <c r="J21" s="21"/>
      <c r="L21" s="21"/>
      <c r="M21" s="21"/>
    </row>
    <row r="22" spans="1:13" x14ac:dyDescent="0.25">
      <c r="A22" s="1" t="s">
        <v>68</v>
      </c>
      <c r="B22" s="21"/>
      <c r="C22" s="21"/>
      <c r="E22" s="21"/>
      <c r="F22" s="21"/>
      <c r="I22" s="21"/>
      <c r="J22" s="21"/>
      <c r="L22" s="21"/>
      <c r="M22" s="21"/>
    </row>
    <row r="23" spans="1:13" x14ac:dyDescent="0.25">
      <c r="A23" s="26" t="s">
        <v>69</v>
      </c>
      <c r="B23" s="27"/>
      <c r="C23" s="27"/>
      <c r="E23" s="27"/>
      <c r="F23" s="27"/>
      <c r="I23" s="27"/>
      <c r="J23" s="27"/>
      <c r="L23" s="27"/>
      <c r="M23" s="27"/>
    </row>
    <row r="24" spans="1:13" x14ac:dyDescent="0.25">
      <c r="A24" s="20" t="s">
        <v>23</v>
      </c>
      <c r="B24" s="21">
        <v>764</v>
      </c>
      <c r="C24" s="22">
        <v>1.4918669817031497E-2</v>
      </c>
      <c r="E24" s="21">
        <v>7</v>
      </c>
      <c r="F24" s="22">
        <v>3.7573805689747721E-3</v>
      </c>
      <c r="I24" s="21">
        <v>473</v>
      </c>
      <c r="J24" s="22">
        <v>1.34E-2</v>
      </c>
      <c r="L24" s="21">
        <v>0</v>
      </c>
      <c r="M24" s="22">
        <v>0</v>
      </c>
    </row>
    <row r="25" spans="1:13" x14ac:dyDescent="0.25">
      <c r="A25" s="20" t="s">
        <v>35</v>
      </c>
      <c r="B25" s="21">
        <v>14</v>
      </c>
      <c r="C25" s="22">
        <v>2.1002100210021002E-3</v>
      </c>
      <c r="E25" s="21">
        <v>0</v>
      </c>
      <c r="F25" s="22">
        <v>0</v>
      </c>
      <c r="I25" s="21">
        <v>10</v>
      </c>
      <c r="J25" s="22">
        <v>2.0420665713702267E-3</v>
      </c>
      <c r="L25" s="21">
        <v>1</v>
      </c>
      <c r="M25" s="22">
        <v>1.4E-2</v>
      </c>
    </row>
    <row r="26" spans="1:13" x14ac:dyDescent="0.25">
      <c r="A26" s="20" t="s">
        <v>48</v>
      </c>
      <c r="B26" s="21">
        <v>584</v>
      </c>
      <c r="C26" s="22">
        <v>2.835915116787258E-2</v>
      </c>
      <c r="E26" s="21">
        <v>39</v>
      </c>
      <c r="F26" s="22">
        <v>2.3297491039426525E-2</v>
      </c>
      <c r="I26" s="21">
        <v>366</v>
      </c>
      <c r="J26" s="22">
        <v>2.5999999999999999E-2</v>
      </c>
      <c r="L26" s="21">
        <v>19</v>
      </c>
      <c r="M26" s="22">
        <v>2.7E-2</v>
      </c>
    </row>
    <row r="27" spans="1:13" x14ac:dyDescent="0.25">
      <c r="A27" s="28" t="s">
        <v>70</v>
      </c>
      <c r="B27" s="29">
        <v>1362</v>
      </c>
      <c r="C27" s="24">
        <v>1.7290407759102219E-2</v>
      </c>
      <c r="E27" s="29">
        <v>46</v>
      </c>
      <c r="F27" s="24">
        <v>1.1592741935483871E-2</v>
      </c>
      <c r="I27" s="29">
        <v>849</v>
      </c>
      <c r="J27" s="24">
        <v>1.4999999999999999E-2</v>
      </c>
      <c r="L27" s="29">
        <v>20</v>
      </c>
      <c r="M27" s="24">
        <v>1.9E-2</v>
      </c>
    </row>
    <row r="28" spans="1:13" x14ac:dyDescent="0.25">
      <c r="A28" s="20"/>
      <c r="B28" s="21"/>
      <c r="C28" s="21"/>
      <c r="E28" s="21"/>
      <c r="F28" s="21"/>
      <c r="I28" s="21"/>
      <c r="J28" s="21"/>
      <c r="L28" s="21"/>
      <c r="M28" s="21"/>
    </row>
    <row r="29" spans="1:13" x14ac:dyDescent="0.25">
      <c r="A29" s="30" t="s">
        <v>71</v>
      </c>
      <c r="B29" s="27"/>
      <c r="C29" s="27"/>
      <c r="E29" s="27"/>
      <c r="F29" s="27"/>
      <c r="I29" s="27"/>
      <c r="J29" s="27"/>
      <c r="L29" s="27"/>
      <c r="M29" s="27"/>
    </row>
    <row r="30" spans="1:13" x14ac:dyDescent="0.25">
      <c r="A30" s="20" t="s">
        <v>22</v>
      </c>
      <c r="B30" s="21">
        <v>150</v>
      </c>
      <c r="C30" s="22">
        <v>1.7859268960590546E-2</v>
      </c>
      <c r="E30" s="21">
        <v>16</v>
      </c>
      <c r="F30" s="22">
        <v>1.4084507042253521E-2</v>
      </c>
      <c r="I30" s="21">
        <v>0</v>
      </c>
      <c r="J30" s="22">
        <v>0</v>
      </c>
      <c r="L30" s="21">
        <v>0</v>
      </c>
      <c r="M30" s="22">
        <v>0</v>
      </c>
    </row>
    <row r="31" spans="1:13" x14ac:dyDescent="0.25">
      <c r="A31" s="20" t="s">
        <v>23</v>
      </c>
      <c r="B31" s="21">
        <v>656</v>
      </c>
      <c r="C31" s="22">
        <v>3.7236759947777712E-2</v>
      </c>
      <c r="E31" s="21">
        <v>18</v>
      </c>
      <c r="F31" s="22">
        <v>2.9173419773095625E-2</v>
      </c>
      <c r="I31" s="21">
        <v>227</v>
      </c>
      <c r="J31" s="22">
        <v>2.7E-2</v>
      </c>
      <c r="L31" s="21">
        <v>0</v>
      </c>
      <c r="M31" s="22">
        <v>0</v>
      </c>
    </row>
    <row r="32" spans="1:13" x14ac:dyDescent="0.25">
      <c r="A32" s="20" t="s">
        <v>24</v>
      </c>
      <c r="B32" s="21">
        <v>1875</v>
      </c>
      <c r="C32" s="22">
        <v>2.6483013442071411E-3</v>
      </c>
      <c r="E32" s="21">
        <v>2</v>
      </c>
      <c r="F32" s="22">
        <v>3.7869463957737679E-5</v>
      </c>
      <c r="I32" s="21">
        <v>962</v>
      </c>
      <c r="J32" s="22">
        <v>1.9382734456537946E-3</v>
      </c>
      <c r="L32" s="21">
        <v>0</v>
      </c>
      <c r="M32" s="22">
        <v>0</v>
      </c>
    </row>
    <row r="33" spans="1:13" x14ac:dyDescent="0.25">
      <c r="A33" s="20" t="s">
        <v>25</v>
      </c>
      <c r="B33" s="21">
        <v>1176</v>
      </c>
      <c r="C33" s="22">
        <v>1.4839303965980643E-2</v>
      </c>
      <c r="E33" s="21">
        <v>12</v>
      </c>
      <c r="F33" s="22">
        <v>1.2424932698281218E-3</v>
      </c>
      <c r="I33" s="21">
        <v>238</v>
      </c>
      <c r="J33" s="22">
        <v>1.1022322745599E-2</v>
      </c>
      <c r="L33" s="21">
        <v>0</v>
      </c>
      <c r="M33" s="22">
        <v>0</v>
      </c>
    </row>
    <row r="34" spans="1:13" x14ac:dyDescent="0.25">
      <c r="A34" s="20" t="s">
        <v>26</v>
      </c>
      <c r="B34" s="21">
        <v>911</v>
      </c>
      <c r="C34" s="22">
        <v>1.8571370326578872E-2</v>
      </c>
      <c r="E34" s="21">
        <v>6</v>
      </c>
      <c r="F34" s="22">
        <v>3.8265306122448979E-3</v>
      </c>
      <c r="I34" s="21">
        <v>494</v>
      </c>
      <c r="J34" s="22">
        <v>2.7210000000000002E-2</v>
      </c>
      <c r="L34" s="21">
        <v>0</v>
      </c>
      <c r="M34" s="22">
        <v>0</v>
      </c>
    </row>
    <row r="35" spans="1:13" x14ac:dyDescent="0.25">
      <c r="A35" s="20" t="s">
        <v>30</v>
      </c>
      <c r="B35" s="21">
        <v>92</v>
      </c>
      <c r="C35" s="22">
        <v>2.6077097505668934E-2</v>
      </c>
      <c r="E35" s="21">
        <v>279</v>
      </c>
      <c r="F35" s="22">
        <v>6.014227204138823E-2</v>
      </c>
      <c r="I35" s="21">
        <v>43</v>
      </c>
      <c r="J35" s="22">
        <v>2.1000000000000001E-2</v>
      </c>
      <c r="L35" s="21">
        <v>100</v>
      </c>
      <c r="M35" s="22">
        <v>4.3999999999999997E-2</v>
      </c>
    </row>
    <row r="36" spans="1:13" x14ac:dyDescent="0.25">
      <c r="A36" s="20" t="s">
        <v>34</v>
      </c>
      <c r="B36" s="21">
        <v>86</v>
      </c>
      <c r="C36" s="22">
        <v>1.8963616317530321E-2</v>
      </c>
      <c r="E36" s="21">
        <v>2</v>
      </c>
      <c r="F36" s="22">
        <v>7.7519379844961239E-3</v>
      </c>
      <c r="I36" s="21">
        <v>0</v>
      </c>
      <c r="J36" s="22">
        <v>0</v>
      </c>
      <c r="L36" s="21">
        <v>0</v>
      </c>
      <c r="M36" s="22">
        <v>0</v>
      </c>
    </row>
    <row r="37" spans="1:13" x14ac:dyDescent="0.25">
      <c r="A37" s="20" t="s">
        <v>35</v>
      </c>
      <c r="B37" s="21">
        <v>2327</v>
      </c>
      <c r="C37" s="22">
        <v>3.1532532575938251E-3</v>
      </c>
      <c r="E37" s="21">
        <v>363</v>
      </c>
      <c r="F37" s="22">
        <v>6.6622618654333223E-3</v>
      </c>
      <c r="I37" s="21">
        <v>936</v>
      </c>
      <c r="J37" s="22">
        <v>2.7240660760643066E-3</v>
      </c>
      <c r="L37" s="21">
        <v>9</v>
      </c>
      <c r="M37" s="22">
        <v>1.8587360594795538E-3</v>
      </c>
    </row>
    <row r="38" spans="1:13" x14ac:dyDescent="0.25">
      <c r="A38" s="20" t="s">
        <v>42</v>
      </c>
      <c r="B38" s="21">
        <v>31</v>
      </c>
      <c r="C38" s="22">
        <v>0.47692307692307695</v>
      </c>
      <c r="E38" s="21">
        <v>13</v>
      </c>
      <c r="F38" s="22">
        <v>2.0186335403726708E-2</v>
      </c>
      <c r="I38" s="21">
        <v>13</v>
      </c>
      <c r="J38" s="22">
        <v>0.68400000000000005</v>
      </c>
      <c r="L38" s="21">
        <v>0</v>
      </c>
      <c r="M38" s="22">
        <v>0</v>
      </c>
    </row>
    <row r="39" spans="1:13" x14ac:dyDescent="0.25">
      <c r="A39" s="20" t="s">
        <v>48</v>
      </c>
      <c r="B39" s="21">
        <v>33227</v>
      </c>
      <c r="C39" s="22">
        <v>4.2468589833714647E-2</v>
      </c>
      <c r="E39" s="21">
        <v>2651</v>
      </c>
      <c r="F39" s="22">
        <v>2.9060016442861058E-2</v>
      </c>
      <c r="I39" s="21">
        <v>11330</v>
      </c>
      <c r="J39" s="22">
        <v>4.5337778565416001E-2</v>
      </c>
      <c r="L39" s="21">
        <v>600</v>
      </c>
      <c r="M39" s="22">
        <v>3.5325287017957022E-2</v>
      </c>
    </row>
    <row r="40" spans="1:13" x14ac:dyDescent="0.25">
      <c r="A40" s="20" t="s">
        <v>60</v>
      </c>
      <c r="B40" s="21">
        <v>15736</v>
      </c>
      <c r="C40" s="22">
        <v>0.51315832382194682</v>
      </c>
      <c r="E40" s="21">
        <v>1450</v>
      </c>
      <c r="F40" s="22">
        <v>0.625</v>
      </c>
      <c r="I40" s="21">
        <v>117</v>
      </c>
      <c r="J40" s="22">
        <v>2.3576072821847E-2</v>
      </c>
      <c r="L40" s="21">
        <v>0</v>
      </c>
      <c r="M40" s="22">
        <v>0</v>
      </c>
    </row>
    <row r="41" spans="1:13" x14ac:dyDescent="0.25">
      <c r="A41" s="31" t="s">
        <v>72</v>
      </c>
      <c r="B41" s="29">
        <v>56267</v>
      </c>
      <c r="C41" s="24">
        <v>2.0380553879321275E-2</v>
      </c>
      <c r="E41" s="29">
        <v>4812</v>
      </c>
      <c r="F41" s="24">
        <v>1.9173912004016479E-2</v>
      </c>
      <c r="I41" s="29">
        <v>14360</v>
      </c>
      <c r="J41" s="24">
        <v>1.1947858745691159E-2</v>
      </c>
      <c r="L41" s="29">
        <v>709</v>
      </c>
      <c r="M41" s="24">
        <v>1.8291581744537034E-2</v>
      </c>
    </row>
    <row r="42" spans="1:13" x14ac:dyDescent="0.25">
      <c r="A42" s="20"/>
      <c r="B42" s="21"/>
      <c r="C42" s="21"/>
      <c r="E42" s="21"/>
      <c r="F42" s="21"/>
      <c r="I42" s="21"/>
      <c r="J42" s="21"/>
      <c r="L42" s="21"/>
      <c r="M42" s="21"/>
    </row>
    <row r="43" spans="1:13" x14ac:dyDescent="0.25">
      <c r="A43" s="30" t="s">
        <v>73</v>
      </c>
      <c r="B43" s="27"/>
      <c r="C43" s="27"/>
      <c r="E43" s="27"/>
      <c r="F43" s="27"/>
      <c r="I43" s="27"/>
      <c r="J43" s="27"/>
      <c r="L43" s="27"/>
      <c r="M43" s="27"/>
    </row>
    <row r="44" spans="1:13" x14ac:dyDescent="0.25">
      <c r="A44" s="20" t="s">
        <v>22</v>
      </c>
      <c r="B44" s="21">
        <v>59</v>
      </c>
      <c r="C44" s="22">
        <v>1.2550521165709424E-2</v>
      </c>
      <c r="E44" s="21">
        <v>1</v>
      </c>
      <c r="F44" s="22">
        <v>1.1904761904761904E-2</v>
      </c>
      <c r="I44" s="21">
        <v>0</v>
      </c>
      <c r="J44" s="22">
        <v>0</v>
      </c>
      <c r="L44" s="21">
        <v>0</v>
      </c>
      <c r="M44" s="22">
        <v>0</v>
      </c>
    </row>
    <row r="45" spans="1:13" x14ac:dyDescent="0.25">
      <c r="A45" s="20" t="s">
        <v>24</v>
      </c>
      <c r="B45" s="21">
        <v>1365</v>
      </c>
      <c r="C45" s="22">
        <v>4.7291725853503049E-3</v>
      </c>
      <c r="E45" s="21">
        <v>47</v>
      </c>
      <c r="F45" s="22">
        <v>3.0000000000000001E-3</v>
      </c>
      <c r="I45" s="21">
        <v>2137</v>
      </c>
      <c r="J45" s="22">
        <v>3.2336162936734913E-2</v>
      </c>
      <c r="L45" s="21">
        <v>1</v>
      </c>
      <c r="M45" s="22">
        <v>5.963029218843172E-4</v>
      </c>
    </row>
    <row r="46" spans="1:13" x14ac:dyDescent="0.25">
      <c r="A46" s="20" t="s">
        <v>25</v>
      </c>
      <c r="B46" s="21">
        <v>189</v>
      </c>
      <c r="C46" s="22">
        <v>1.1249330397000178E-3</v>
      </c>
      <c r="E46" s="21">
        <v>4</v>
      </c>
      <c r="F46" s="22">
        <v>4.4558315695666706E-4</v>
      </c>
      <c r="I46" s="21">
        <v>0</v>
      </c>
      <c r="J46" s="22">
        <v>0</v>
      </c>
      <c r="L46" s="21">
        <v>0</v>
      </c>
      <c r="M46" s="22">
        <v>0</v>
      </c>
    </row>
    <row r="47" spans="1:13" x14ac:dyDescent="0.25">
      <c r="A47" s="20" t="s">
        <v>26</v>
      </c>
      <c r="B47" s="21">
        <v>800</v>
      </c>
      <c r="C47" s="22">
        <v>2.0837674515524068E-2</v>
      </c>
      <c r="E47" s="21">
        <v>6</v>
      </c>
      <c r="F47" s="22">
        <v>5.2128583840139013E-3</v>
      </c>
      <c r="I47" s="21">
        <v>0</v>
      </c>
      <c r="J47" s="22">
        <v>0</v>
      </c>
      <c r="L47" s="21">
        <v>0</v>
      </c>
      <c r="M47" s="22">
        <v>0</v>
      </c>
    </row>
    <row r="48" spans="1:13" x14ac:dyDescent="0.25">
      <c r="A48" s="20" t="s">
        <v>34</v>
      </c>
      <c r="B48" s="21">
        <v>23</v>
      </c>
      <c r="C48" s="22">
        <v>1.3649851632047478E-2</v>
      </c>
      <c r="E48" s="21">
        <v>0</v>
      </c>
      <c r="F48" s="22">
        <v>0</v>
      </c>
      <c r="I48" s="21">
        <v>0</v>
      </c>
      <c r="J48" s="22">
        <v>0</v>
      </c>
      <c r="L48" s="21">
        <v>0</v>
      </c>
      <c r="M48" s="22">
        <v>0</v>
      </c>
    </row>
    <row r="49" spans="1:13" x14ac:dyDescent="0.25">
      <c r="A49" s="20" t="s">
        <v>35</v>
      </c>
      <c r="B49" s="21">
        <v>220</v>
      </c>
      <c r="C49" s="22">
        <v>2.2371364653243847E-3</v>
      </c>
      <c r="E49" s="21">
        <v>65</v>
      </c>
      <c r="F49" s="22">
        <v>8.9999999999999993E-3</v>
      </c>
      <c r="I49" s="21">
        <v>0</v>
      </c>
      <c r="J49" s="22">
        <v>0</v>
      </c>
      <c r="L49" s="21">
        <v>0</v>
      </c>
      <c r="M49" s="22">
        <v>0</v>
      </c>
    </row>
    <row r="50" spans="1:13" x14ac:dyDescent="0.25">
      <c r="A50" s="20" t="s">
        <v>42</v>
      </c>
      <c r="B50" s="21">
        <v>69</v>
      </c>
      <c r="C50" s="22">
        <v>0.46938775510204084</v>
      </c>
      <c r="E50" s="21">
        <v>12</v>
      </c>
      <c r="F50" s="22">
        <v>2.4144869215291749E-2</v>
      </c>
      <c r="I50" s="21">
        <v>0</v>
      </c>
      <c r="J50" s="22">
        <v>0</v>
      </c>
      <c r="L50" s="21">
        <v>0</v>
      </c>
      <c r="M50" s="22">
        <v>0</v>
      </c>
    </row>
    <row r="51" spans="1:13" x14ac:dyDescent="0.25">
      <c r="A51" s="20" t="s">
        <v>48</v>
      </c>
      <c r="B51" s="21">
        <v>17633</v>
      </c>
      <c r="C51" s="22">
        <v>3.9452193329842976E-2</v>
      </c>
      <c r="E51" s="21">
        <v>1037</v>
      </c>
      <c r="F51" s="22">
        <v>3.2845559356391739E-2</v>
      </c>
      <c r="I51" s="21">
        <v>4190</v>
      </c>
      <c r="J51" s="22">
        <v>5.2878001993967617E-2</v>
      </c>
      <c r="L51" s="21">
        <v>513</v>
      </c>
      <c r="M51" s="22">
        <v>5.0999999999999997E-2</v>
      </c>
    </row>
    <row r="52" spans="1:13" x14ac:dyDescent="0.25">
      <c r="A52" s="20" t="s">
        <v>139</v>
      </c>
      <c r="B52" s="21">
        <v>601</v>
      </c>
      <c r="C52" s="22">
        <v>7.3869223205506387E-2</v>
      </c>
      <c r="E52" s="21">
        <v>16</v>
      </c>
      <c r="F52" s="22">
        <v>3.3606385213190504E-3</v>
      </c>
      <c r="I52" s="21">
        <v>0</v>
      </c>
      <c r="J52" s="22">
        <v>0</v>
      </c>
      <c r="L52" s="21">
        <v>0</v>
      </c>
      <c r="M52" s="22">
        <v>0</v>
      </c>
    </row>
    <row r="53" spans="1:13" x14ac:dyDescent="0.25">
      <c r="A53" s="20" t="s">
        <v>60</v>
      </c>
      <c r="B53" s="21">
        <v>730</v>
      </c>
      <c r="C53" s="22">
        <v>4.83603842331898E-2</v>
      </c>
      <c r="E53" s="21">
        <v>0</v>
      </c>
      <c r="F53" s="22">
        <v>0</v>
      </c>
      <c r="I53" s="21">
        <v>0</v>
      </c>
      <c r="J53" s="22">
        <v>0</v>
      </c>
      <c r="L53" s="21">
        <v>0</v>
      </c>
      <c r="M53" s="22">
        <v>0</v>
      </c>
    </row>
    <row r="54" spans="1:13" x14ac:dyDescent="0.25">
      <c r="A54" s="20" t="s">
        <v>62</v>
      </c>
      <c r="B54" s="21">
        <v>1182</v>
      </c>
      <c r="C54" s="22">
        <v>3.2264228197079296E-2</v>
      </c>
      <c r="E54" s="21">
        <v>101</v>
      </c>
      <c r="F54" s="22">
        <v>4.2188805346700081E-2</v>
      </c>
      <c r="I54" s="21">
        <v>0</v>
      </c>
      <c r="J54" s="22">
        <v>0</v>
      </c>
      <c r="L54" s="21">
        <v>0</v>
      </c>
      <c r="M54" s="22">
        <v>0</v>
      </c>
    </row>
    <row r="55" spans="1:13" x14ac:dyDescent="0.25">
      <c r="A55" s="31" t="s">
        <v>74</v>
      </c>
      <c r="B55" s="29">
        <v>22871</v>
      </c>
      <c r="C55" s="24">
        <v>1.9099211346456403E-2</v>
      </c>
      <c r="E55" s="29">
        <v>1289</v>
      </c>
      <c r="F55" s="24">
        <v>1.621016625166629E-2</v>
      </c>
      <c r="I55" s="29">
        <v>6327</v>
      </c>
      <c r="J55" s="24">
        <v>4.3208654023451636E-2</v>
      </c>
      <c r="L55" s="29">
        <v>514</v>
      </c>
      <c r="M55" s="24">
        <v>4.3999999999999997E-2</v>
      </c>
    </row>
    <row r="56" spans="1:13" x14ac:dyDescent="0.25">
      <c r="A56" s="20"/>
      <c r="B56" s="21"/>
      <c r="C56" s="21"/>
      <c r="E56" s="21"/>
      <c r="F56" s="21"/>
      <c r="I56" s="21"/>
      <c r="J56" s="21"/>
      <c r="L56" s="21"/>
      <c r="M56" s="21"/>
    </row>
    <row r="57" spans="1:13" x14ac:dyDescent="0.25">
      <c r="A57" s="30" t="s">
        <v>75</v>
      </c>
      <c r="B57" s="27"/>
      <c r="C57" s="27"/>
      <c r="E57" s="27"/>
      <c r="F57" s="27"/>
      <c r="I57" s="27"/>
      <c r="J57" s="27"/>
      <c r="L57" s="27"/>
      <c r="M57" s="27"/>
    </row>
    <row r="58" spans="1:13" x14ac:dyDescent="0.25">
      <c r="A58" s="20" t="s">
        <v>24</v>
      </c>
      <c r="B58" s="21">
        <v>1110</v>
      </c>
      <c r="C58" s="22">
        <v>4.5853557781679235E-3</v>
      </c>
      <c r="E58" s="21">
        <v>6</v>
      </c>
      <c r="F58" s="22">
        <v>2.2667170381564036E-4</v>
      </c>
      <c r="I58" s="21">
        <v>425</v>
      </c>
      <c r="J58" s="22">
        <v>3.6397269776563585E-3</v>
      </c>
      <c r="L58" s="21">
        <v>2</v>
      </c>
      <c r="M58" s="22">
        <v>9.5602294455066918E-4</v>
      </c>
    </row>
    <row r="59" spans="1:13" x14ac:dyDescent="0.25">
      <c r="A59" s="20" t="s">
        <v>25</v>
      </c>
      <c r="B59" s="21">
        <v>973</v>
      </c>
      <c r="C59" s="22">
        <v>1.9668485951081463E-2</v>
      </c>
      <c r="E59" s="21">
        <v>14</v>
      </c>
      <c r="F59" s="22">
        <v>1.6914340944786759E-3</v>
      </c>
      <c r="I59" s="21">
        <v>349</v>
      </c>
      <c r="J59" s="22">
        <v>1.6100380754586401E-2</v>
      </c>
      <c r="L59" s="21">
        <v>0</v>
      </c>
      <c r="M59" s="22">
        <v>0</v>
      </c>
    </row>
    <row r="60" spans="1:13" x14ac:dyDescent="0.25">
      <c r="A60" s="20" t="s">
        <v>26</v>
      </c>
      <c r="B60" s="21">
        <v>127</v>
      </c>
      <c r="C60" s="22">
        <v>2.0550161812297733E-2</v>
      </c>
      <c r="E60" s="21">
        <v>0</v>
      </c>
      <c r="F60" s="22">
        <v>0</v>
      </c>
      <c r="I60" s="21">
        <v>0</v>
      </c>
      <c r="J60" s="22">
        <v>0</v>
      </c>
      <c r="L60" s="21">
        <v>0</v>
      </c>
      <c r="M60" s="22">
        <v>0</v>
      </c>
    </row>
    <row r="61" spans="1:13" x14ac:dyDescent="0.25">
      <c r="A61" s="20" t="s">
        <v>34</v>
      </c>
      <c r="B61" s="21">
        <v>10</v>
      </c>
      <c r="C61" s="22">
        <v>8.0128205128205121E-3</v>
      </c>
      <c r="E61" s="21">
        <v>0</v>
      </c>
      <c r="F61" s="22">
        <v>0</v>
      </c>
      <c r="I61" s="21">
        <v>0</v>
      </c>
      <c r="J61" s="22">
        <v>0</v>
      </c>
      <c r="L61" s="21">
        <v>0</v>
      </c>
      <c r="M61" s="22">
        <v>0</v>
      </c>
    </row>
    <row r="62" spans="1:13" x14ac:dyDescent="0.25">
      <c r="A62" s="20" t="s">
        <v>35</v>
      </c>
      <c r="B62" s="21">
        <v>235</v>
      </c>
      <c r="C62" s="22">
        <v>3.7513568737628502E-3</v>
      </c>
      <c r="E62" s="21">
        <v>6</v>
      </c>
      <c r="F62" s="22">
        <v>1.5839493136219642E-3</v>
      </c>
      <c r="I62" s="21">
        <v>146</v>
      </c>
      <c r="J62" s="22">
        <v>3.1239301609037999E-3</v>
      </c>
      <c r="L62" s="21">
        <v>1</v>
      </c>
      <c r="M62" s="22">
        <v>2.012072434607646E-3</v>
      </c>
    </row>
    <row r="63" spans="1:13" x14ac:dyDescent="0.25">
      <c r="A63" s="20" t="s">
        <v>42</v>
      </c>
      <c r="B63" s="21">
        <v>112</v>
      </c>
      <c r="C63" s="22">
        <v>3.1805531890725281E-3</v>
      </c>
      <c r="E63" s="21">
        <v>12</v>
      </c>
      <c r="F63" s="22">
        <v>4.6421663442940036E-3</v>
      </c>
      <c r="I63" s="21">
        <v>0</v>
      </c>
      <c r="J63" s="22">
        <v>0</v>
      </c>
      <c r="L63" s="21">
        <v>0</v>
      </c>
      <c r="M63" s="22">
        <v>0</v>
      </c>
    </row>
    <row r="64" spans="1:13" x14ac:dyDescent="0.25">
      <c r="A64" s="20" t="s">
        <v>48</v>
      </c>
      <c r="B64" s="21">
        <v>5480</v>
      </c>
      <c r="C64" s="22">
        <v>2.8108474089423931E-2</v>
      </c>
      <c r="E64" s="21">
        <v>568</v>
      </c>
      <c r="F64" s="22">
        <v>2.6349972165522359E-2</v>
      </c>
      <c r="I64" s="21">
        <v>5029</v>
      </c>
      <c r="J64" s="22">
        <v>3.4029854786103854E-2</v>
      </c>
      <c r="L64" s="21">
        <v>118</v>
      </c>
      <c r="M64" s="22">
        <v>2.8000000000000001E-2</v>
      </c>
    </row>
    <row r="65" spans="1:13" x14ac:dyDescent="0.25">
      <c r="A65" s="20" t="s">
        <v>60</v>
      </c>
      <c r="B65" s="21">
        <v>43786</v>
      </c>
      <c r="C65" s="22">
        <v>0.55355246523388113</v>
      </c>
      <c r="E65" s="21">
        <v>2418</v>
      </c>
      <c r="F65" s="22">
        <v>0.63866877971473845</v>
      </c>
      <c r="I65" s="21">
        <v>21736</v>
      </c>
      <c r="J65" s="22">
        <v>0.52400000000000002</v>
      </c>
      <c r="L65" s="21">
        <v>45</v>
      </c>
      <c r="M65" s="22">
        <v>0.23799999999999999</v>
      </c>
    </row>
    <row r="66" spans="1:13" x14ac:dyDescent="0.25">
      <c r="A66" s="31" t="s">
        <v>76</v>
      </c>
      <c r="B66" s="29">
        <v>51833</v>
      </c>
      <c r="C66" s="24">
        <v>7.3080496687387822E-2</v>
      </c>
      <c r="E66" s="29">
        <v>3024</v>
      </c>
      <c r="F66" s="24">
        <v>4.0549238360866768E-2</v>
      </c>
      <c r="I66" s="29">
        <v>27685</v>
      </c>
      <c r="J66" s="24">
        <v>7.2294977085482243E-2</v>
      </c>
      <c r="L66" s="29">
        <v>166</v>
      </c>
      <c r="M66" s="24">
        <v>2.4054484857267064E-2</v>
      </c>
    </row>
    <row r="67" spans="1:13" x14ac:dyDescent="0.25">
      <c r="A67" s="20"/>
      <c r="B67" s="21"/>
      <c r="C67" s="21"/>
      <c r="E67" s="21"/>
      <c r="F67" s="21"/>
      <c r="I67" s="21"/>
      <c r="J67" s="21"/>
      <c r="L67" s="21"/>
      <c r="M67" s="21"/>
    </row>
    <row r="68" spans="1:13" x14ac:dyDescent="0.25">
      <c r="A68" s="30" t="s">
        <v>77</v>
      </c>
      <c r="B68" s="27"/>
      <c r="C68" s="27"/>
      <c r="E68" s="27"/>
      <c r="F68" s="27"/>
      <c r="I68" s="27"/>
      <c r="J68" s="27"/>
      <c r="L68" s="27"/>
      <c r="M68" s="27"/>
    </row>
    <row r="69" spans="1:13" x14ac:dyDescent="0.25">
      <c r="A69" s="20" t="s">
        <v>27</v>
      </c>
      <c r="B69" s="21">
        <v>0</v>
      </c>
      <c r="C69" s="22">
        <v>0</v>
      </c>
      <c r="E69" s="21">
        <v>227</v>
      </c>
      <c r="F69" s="22">
        <v>6.309060589216231E-2</v>
      </c>
      <c r="I69" s="21"/>
      <c r="J69" s="22"/>
      <c r="L69" s="21"/>
      <c r="M69" s="22"/>
    </row>
    <row r="70" spans="1:13" x14ac:dyDescent="0.25">
      <c r="A70" s="31" t="s">
        <v>78</v>
      </c>
      <c r="B70" s="29">
        <v>0</v>
      </c>
      <c r="C70" s="24">
        <v>0</v>
      </c>
      <c r="E70" s="29">
        <v>227</v>
      </c>
      <c r="F70" s="24">
        <v>6.035628822121776E-2</v>
      </c>
      <c r="I70" s="29"/>
      <c r="J70" s="24"/>
      <c r="L70" s="29"/>
      <c r="M70" s="24"/>
    </row>
    <row r="71" spans="1:13" x14ac:dyDescent="0.25">
      <c r="A71" s="20"/>
      <c r="B71" s="21"/>
      <c r="C71" s="21"/>
      <c r="E71" s="21"/>
      <c r="F71" s="21"/>
      <c r="I71" s="21"/>
      <c r="J71" s="21"/>
      <c r="L71" s="21"/>
      <c r="M71" s="21"/>
    </row>
    <row r="72" spans="1:13" x14ac:dyDescent="0.25">
      <c r="A72" s="2"/>
      <c r="B72" s="21"/>
      <c r="C72" s="21"/>
      <c r="E72" s="21"/>
      <c r="F72" s="21"/>
      <c r="I72" s="21"/>
      <c r="J72" s="21"/>
      <c r="L72" s="21"/>
      <c r="M72" s="21"/>
    </row>
    <row r="73" spans="1:13" x14ac:dyDescent="0.25">
      <c r="A73" s="1"/>
      <c r="B73" s="23"/>
      <c r="C73" s="23"/>
      <c r="E73" s="23"/>
      <c r="F73" s="23"/>
      <c r="I73" s="23"/>
      <c r="J73" s="23"/>
      <c r="L73" s="23"/>
      <c r="M73" s="23"/>
    </row>
    <row r="74" spans="1:13" x14ac:dyDescent="0.25">
      <c r="A74" s="10"/>
      <c r="B74" s="10"/>
      <c r="C74" s="10"/>
      <c r="E74" s="10"/>
      <c r="F74" s="10"/>
      <c r="I74" s="10"/>
      <c r="J74" s="10"/>
      <c r="L74" s="10"/>
      <c r="M74" s="10"/>
    </row>
    <row r="75" spans="1:13" x14ac:dyDescent="0.25">
      <c r="A75" s="20"/>
      <c r="B75" s="21"/>
      <c r="C75" s="22"/>
      <c r="E75" s="21"/>
      <c r="F75" s="22"/>
      <c r="I75" s="21"/>
      <c r="J75" s="22"/>
      <c r="L75" s="21"/>
      <c r="M75" s="22"/>
    </row>
    <row r="76" spans="1:13" x14ac:dyDescent="0.25">
      <c r="A76" s="20"/>
      <c r="B76" s="21"/>
      <c r="C76" s="22"/>
      <c r="E76" s="21"/>
      <c r="F76" s="22"/>
      <c r="I76" s="21"/>
      <c r="J76" s="22"/>
      <c r="L76" s="21"/>
      <c r="M76" s="22"/>
    </row>
    <row r="77" spans="1:13" x14ac:dyDescent="0.25">
      <c r="A77" s="20"/>
      <c r="B77" s="21"/>
      <c r="C77" s="22"/>
      <c r="E77" s="21"/>
      <c r="F77" s="22"/>
      <c r="I77" s="21"/>
      <c r="J77" s="22"/>
      <c r="L77" s="21"/>
      <c r="M77" s="22"/>
    </row>
    <row r="78" spans="1:13" x14ac:dyDescent="0.25">
      <c r="A78" s="20"/>
      <c r="B78" s="21"/>
      <c r="C78" s="22"/>
      <c r="E78" s="21"/>
      <c r="F78" s="22"/>
      <c r="I78" s="21"/>
      <c r="J78" s="22"/>
      <c r="L78" s="21"/>
      <c r="M78" s="22"/>
    </row>
    <row r="79" spans="1:13" x14ac:dyDescent="0.25">
      <c r="A79" s="31"/>
      <c r="B79" s="23"/>
      <c r="C79" s="24"/>
      <c r="E79" s="23"/>
      <c r="F79" s="24"/>
      <c r="I79" s="23"/>
      <c r="J79" s="24"/>
      <c r="L79" s="23"/>
      <c r="M79" s="24"/>
    </row>
    <row r="80" spans="1:13" x14ac:dyDescent="0.25">
      <c r="A80" s="20"/>
      <c r="B80" s="21"/>
      <c r="C80" s="21"/>
      <c r="E80" s="21"/>
      <c r="F80" s="21"/>
      <c r="I80" s="21"/>
      <c r="J80" s="21"/>
      <c r="L80" s="21"/>
      <c r="M80" s="21"/>
    </row>
    <row r="81" spans="1:13" x14ac:dyDescent="0.25">
      <c r="A81" s="10"/>
      <c r="B81" s="10"/>
      <c r="C81" s="10"/>
      <c r="E81" s="10"/>
      <c r="F81" s="10"/>
      <c r="I81" s="10"/>
      <c r="J81" s="10"/>
      <c r="L81" s="10"/>
      <c r="M81" s="10"/>
    </row>
    <row r="82" spans="1:13" x14ac:dyDescent="0.25">
      <c r="A82" s="20"/>
      <c r="B82" s="21"/>
      <c r="C82" s="22"/>
      <c r="E82" s="21"/>
      <c r="F82" s="22"/>
      <c r="I82" s="21"/>
      <c r="J82" s="22"/>
      <c r="L82" s="21"/>
      <c r="M82" s="22"/>
    </row>
    <row r="83" spans="1:13" x14ac:dyDescent="0.25">
      <c r="A83" s="20"/>
      <c r="B83" s="21"/>
      <c r="C83" s="22"/>
      <c r="E83" s="21"/>
      <c r="F83" s="22"/>
      <c r="I83" s="21"/>
      <c r="J83" s="22"/>
      <c r="L83" s="21"/>
      <c r="M83" s="22"/>
    </row>
    <row r="84" spans="1:13" x14ac:dyDescent="0.25">
      <c r="A84" s="20"/>
      <c r="B84" s="21"/>
      <c r="C84" s="22"/>
      <c r="E84" s="21"/>
      <c r="F84" s="22"/>
      <c r="I84" s="21"/>
      <c r="J84" s="22"/>
      <c r="L84" s="21"/>
      <c r="M84" s="22"/>
    </row>
    <row r="85" spans="1:13" x14ac:dyDescent="0.25">
      <c r="A85" s="20"/>
      <c r="B85" s="21"/>
      <c r="C85" s="22"/>
      <c r="E85" s="21"/>
      <c r="F85" s="22"/>
      <c r="I85" s="21"/>
      <c r="J85" s="22"/>
      <c r="L85" s="21"/>
      <c r="M85" s="22"/>
    </row>
    <row r="86" spans="1:13" x14ac:dyDescent="0.25">
      <c r="A86" s="31"/>
      <c r="B86" s="23"/>
      <c r="C86" s="24"/>
      <c r="E86" s="23"/>
      <c r="F86" s="24"/>
      <c r="I86" s="23"/>
      <c r="J86" s="24"/>
      <c r="L86" s="23"/>
      <c r="M86" s="24"/>
    </row>
    <row r="87" spans="1:13" x14ac:dyDescent="0.25">
      <c r="A87" s="20"/>
      <c r="B87" s="21"/>
      <c r="C87" s="21"/>
      <c r="E87" s="21"/>
      <c r="F87" s="21"/>
      <c r="I87" s="21"/>
      <c r="J87" s="21"/>
      <c r="L87" s="21"/>
      <c r="M87" s="21"/>
    </row>
    <row r="88" spans="1:13" x14ac:dyDescent="0.25">
      <c r="A88" s="10"/>
      <c r="B88" s="10"/>
      <c r="C88" s="10"/>
      <c r="E88" s="10"/>
      <c r="F88" s="10"/>
      <c r="I88" s="10"/>
      <c r="J88" s="10"/>
      <c r="L88" s="10"/>
      <c r="M88" s="10"/>
    </row>
    <row r="89" spans="1:13" x14ac:dyDescent="0.25">
      <c r="A89" s="20"/>
      <c r="B89" s="21"/>
      <c r="C89" s="22"/>
      <c r="E89" s="21"/>
      <c r="F89" s="22"/>
      <c r="I89" s="21"/>
      <c r="J89" s="22"/>
      <c r="L89" s="21"/>
      <c r="M89" s="22"/>
    </row>
    <row r="90" spans="1:13" x14ac:dyDescent="0.25">
      <c r="A90" s="20"/>
      <c r="B90" s="21"/>
      <c r="C90" s="22"/>
      <c r="E90" s="21"/>
      <c r="F90" s="22"/>
      <c r="I90" s="21"/>
      <c r="J90" s="22"/>
      <c r="L90" s="21"/>
      <c r="M90" s="22"/>
    </row>
    <row r="91" spans="1:13" x14ac:dyDescent="0.25">
      <c r="A91" s="20"/>
      <c r="B91" s="21"/>
      <c r="C91" s="22"/>
      <c r="E91" s="21"/>
      <c r="F91" s="22"/>
      <c r="I91" s="21"/>
      <c r="J91" s="22"/>
      <c r="L91" s="21"/>
      <c r="M91" s="22"/>
    </row>
    <row r="92" spans="1:13" x14ac:dyDescent="0.25">
      <c r="A92" s="20"/>
      <c r="B92" s="21"/>
      <c r="C92" s="22"/>
      <c r="E92" s="21"/>
      <c r="F92" s="22"/>
      <c r="I92" s="21"/>
      <c r="J92" s="22"/>
      <c r="L92" s="21"/>
      <c r="M92" s="22"/>
    </row>
    <row r="93" spans="1:13" x14ac:dyDescent="0.25">
      <c r="A93" s="31"/>
      <c r="B93" s="23"/>
      <c r="C93" s="24"/>
      <c r="E93" s="23"/>
      <c r="F93" s="24"/>
      <c r="I93" s="23"/>
      <c r="J93" s="24"/>
      <c r="L93" s="23"/>
      <c r="M93" s="24"/>
    </row>
    <row r="94" spans="1:13" x14ac:dyDescent="0.25">
      <c r="A94" s="20"/>
      <c r="B94" s="21"/>
      <c r="C94" s="21"/>
      <c r="E94" s="21"/>
      <c r="F94" s="21"/>
      <c r="I94" s="21"/>
      <c r="J94" s="21"/>
      <c r="L94" s="21"/>
      <c r="M94" s="21"/>
    </row>
    <row r="95" spans="1:13" x14ac:dyDescent="0.25">
      <c r="A95" s="10"/>
      <c r="B95" s="10"/>
      <c r="C95" s="10"/>
      <c r="E95" s="10"/>
      <c r="F95" s="10"/>
      <c r="I95" s="10"/>
      <c r="J95" s="10"/>
      <c r="L95" s="10"/>
      <c r="M95" s="10"/>
    </row>
    <row r="96" spans="1:13" x14ac:dyDescent="0.25">
      <c r="A96" s="20"/>
      <c r="B96" s="21"/>
      <c r="C96" s="22"/>
      <c r="E96" s="21"/>
      <c r="F96" s="22"/>
      <c r="I96" s="21"/>
      <c r="J96" s="22"/>
      <c r="L96" s="21"/>
      <c r="M96" s="22"/>
    </row>
    <row r="97" spans="1:13" x14ac:dyDescent="0.25">
      <c r="A97" s="20"/>
      <c r="B97" s="21"/>
      <c r="C97" s="22"/>
      <c r="E97" s="21"/>
      <c r="F97" s="22"/>
      <c r="I97" s="21"/>
      <c r="J97" s="22"/>
      <c r="L97" s="21"/>
      <c r="M97" s="22"/>
    </row>
    <row r="98" spans="1:13" x14ac:dyDescent="0.25">
      <c r="A98" s="20"/>
      <c r="B98" s="21"/>
      <c r="C98" s="22"/>
      <c r="E98" s="21"/>
      <c r="F98" s="22"/>
      <c r="I98" s="21"/>
      <c r="J98" s="22"/>
      <c r="L98" s="21"/>
      <c r="M98" s="22"/>
    </row>
    <row r="99" spans="1:13" x14ac:dyDescent="0.25">
      <c r="A99" s="20"/>
      <c r="B99" s="21"/>
      <c r="C99" s="22"/>
      <c r="E99" s="21"/>
      <c r="F99" s="22"/>
      <c r="I99" s="21"/>
      <c r="J99" s="22"/>
      <c r="L99" s="21"/>
      <c r="M99" s="22"/>
    </row>
    <row r="100" spans="1:13" x14ac:dyDescent="0.25">
      <c r="A100" s="31"/>
      <c r="B100" s="23"/>
      <c r="C100" s="24"/>
      <c r="E100" s="23"/>
      <c r="F100" s="24"/>
      <c r="I100" s="23"/>
      <c r="J100" s="24"/>
      <c r="L100" s="23"/>
      <c r="M100" s="24"/>
    </row>
    <row r="101" spans="1:13" x14ac:dyDescent="0.25">
      <c r="A101" s="20"/>
      <c r="B101" s="21"/>
      <c r="C101" s="21"/>
      <c r="E101" s="21"/>
      <c r="F101" s="21"/>
      <c r="I101" s="21"/>
      <c r="J101" s="21"/>
      <c r="L101" s="21"/>
      <c r="M101" s="21"/>
    </row>
    <row r="102" spans="1:13" x14ac:dyDescent="0.25">
      <c r="A102" s="10"/>
      <c r="B102" s="10"/>
      <c r="C102" s="10"/>
      <c r="E102" s="10"/>
      <c r="F102" s="10"/>
      <c r="I102" s="10"/>
      <c r="J102" s="10"/>
      <c r="L102" s="10"/>
      <c r="M102" s="10"/>
    </row>
    <row r="103" spans="1:13" x14ac:dyDescent="0.25">
      <c r="A103" s="20"/>
      <c r="B103" s="21"/>
      <c r="C103" s="22"/>
      <c r="E103" s="21"/>
      <c r="F103" s="22"/>
      <c r="I103" s="21"/>
      <c r="J103" s="22"/>
      <c r="L103" s="21"/>
      <c r="M103" s="22"/>
    </row>
    <row r="104" spans="1:13" x14ac:dyDescent="0.25">
      <c r="A104" s="20"/>
      <c r="B104" s="21"/>
      <c r="C104" s="22"/>
      <c r="E104" s="21"/>
      <c r="F104" s="22"/>
      <c r="I104" s="21"/>
      <c r="J104" s="22"/>
      <c r="L104" s="21"/>
      <c r="M104" s="22"/>
    </row>
    <row r="105" spans="1:13" x14ac:dyDescent="0.25">
      <c r="A105" s="20"/>
      <c r="B105" s="21"/>
      <c r="C105" s="22"/>
      <c r="E105" s="21"/>
      <c r="F105" s="22"/>
      <c r="I105" s="21"/>
      <c r="J105" s="22"/>
      <c r="L105" s="21"/>
      <c r="M105" s="22"/>
    </row>
    <row r="106" spans="1:13" x14ac:dyDescent="0.25">
      <c r="A106" s="20"/>
      <c r="B106" s="21"/>
      <c r="C106" s="22"/>
      <c r="E106" s="21"/>
      <c r="F106" s="22"/>
      <c r="I106" s="21"/>
      <c r="J106" s="22"/>
      <c r="L106" s="21"/>
      <c r="M106" s="22"/>
    </row>
    <row r="107" spans="1:13" x14ac:dyDescent="0.25">
      <c r="A107" s="31"/>
      <c r="B107" s="23"/>
      <c r="C107" s="24"/>
      <c r="E107" s="23"/>
      <c r="F107" s="24"/>
      <c r="I107" s="23"/>
      <c r="J107" s="24"/>
      <c r="L107" s="23"/>
      <c r="M107" s="24"/>
    </row>
    <row r="108" spans="1:13" x14ac:dyDescent="0.25">
      <c r="A108" s="20"/>
      <c r="B108" s="21"/>
      <c r="C108" s="21"/>
      <c r="E108" s="21"/>
      <c r="F108" s="21"/>
      <c r="I108" s="21"/>
      <c r="J108" s="21"/>
      <c r="L108" s="21"/>
      <c r="M108" s="21"/>
    </row>
    <row r="109" spans="1:13" x14ac:dyDescent="0.25">
      <c r="A109" s="10"/>
      <c r="B109" s="10"/>
      <c r="C109" s="10"/>
      <c r="E109" s="10"/>
      <c r="F109" s="10"/>
      <c r="I109" s="10"/>
      <c r="J109" s="10"/>
      <c r="L109" s="10"/>
      <c r="M109" s="10"/>
    </row>
    <row r="110" spans="1:13" x14ac:dyDescent="0.25">
      <c r="A110" s="20"/>
      <c r="B110" s="21"/>
      <c r="C110" s="22"/>
      <c r="E110" s="21"/>
      <c r="F110" s="22"/>
      <c r="I110" s="21"/>
      <c r="J110" s="22"/>
      <c r="L110" s="21"/>
      <c r="M110" s="22"/>
    </row>
    <row r="111" spans="1:13" x14ac:dyDescent="0.25">
      <c r="A111" s="20"/>
      <c r="B111" s="21"/>
      <c r="C111" s="22"/>
      <c r="E111" s="21"/>
      <c r="F111" s="22"/>
      <c r="I111" s="21"/>
      <c r="J111" s="22"/>
      <c r="L111" s="21"/>
      <c r="M111" s="22"/>
    </row>
    <row r="112" spans="1:13" x14ac:dyDescent="0.25">
      <c r="A112" s="20"/>
      <c r="B112" s="21"/>
      <c r="C112" s="22"/>
      <c r="E112" s="21"/>
      <c r="F112" s="22"/>
      <c r="I112" s="21"/>
      <c r="J112" s="22"/>
      <c r="L112" s="21"/>
      <c r="M112" s="22"/>
    </row>
    <row r="113" spans="1:13" x14ac:dyDescent="0.25">
      <c r="A113" s="20"/>
      <c r="B113" s="21"/>
      <c r="C113" s="22"/>
      <c r="E113" s="21"/>
      <c r="F113" s="22"/>
      <c r="I113" s="21"/>
      <c r="J113" s="22"/>
      <c r="L113" s="21"/>
      <c r="M113" s="22"/>
    </row>
    <row r="114" spans="1:13" x14ac:dyDescent="0.25">
      <c r="A114" s="31"/>
      <c r="B114" s="23"/>
      <c r="C114" s="24"/>
      <c r="E114" s="23"/>
      <c r="F114" s="24"/>
      <c r="I114" s="23"/>
      <c r="J114" s="24"/>
      <c r="L114" s="23"/>
      <c r="M114" s="24"/>
    </row>
  </sheetData>
  <mergeCells count="6">
    <mergeCell ref="B4:C4"/>
    <mergeCell ref="E4:F4"/>
    <mergeCell ref="I4:J4"/>
    <mergeCell ref="L4:M4"/>
    <mergeCell ref="B3:F3"/>
    <mergeCell ref="I3:M3"/>
  </mergeCells>
  <conditionalFormatting sqref="A5">
    <cfRule type="duplicateValues" dxfId="5" priority="1"/>
  </conditionalFormatting>
  <dataValidations count="1">
    <dataValidation type="list" allowBlank="1" showInputMessage="1" showErrorMessage="1" sqref="A75:A77 A82:A84 A89:A91 A96:A98 A103:A105 A110:A112">
      <formula1>$A$13:$A$24</formula1>
    </dataValidation>
  </dataValidations>
  <hyperlinks>
    <hyperlink ref="B1" location="Contents!A1" display="Back to Contents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S10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109375" defaultRowHeight="12.75" x14ac:dyDescent="0.2"/>
  <cols>
    <col min="1" max="1" width="28" style="21" customWidth="1"/>
    <col min="2" max="2" width="11.7109375" style="21" customWidth="1"/>
    <col min="3" max="3" width="11.7109375" style="54" customWidth="1"/>
    <col min="4" max="4" width="5.7109375" style="21" customWidth="1"/>
    <col min="5" max="5" width="11.7109375" style="21" customWidth="1"/>
    <col min="6" max="6" width="11.7109375" style="54" customWidth="1"/>
    <col min="7" max="7" width="5.7109375" style="21" customWidth="1"/>
    <col min="8" max="8" width="11.7109375" style="21" customWidth="1"/>
    <col min="9" max="10" width="11.7109375" style="54" customWidth="1"/>
    <col min="11" max="12" width="11.7109375" style="21" customWidth="1"/>
    <col min="13" max="13" width="11.7109375" style="54" customWidth="1"/>
    <col min="14" max="14" width="5.7109375" style="21" customWidth="1"/>
    <col min="15" max="15" width="11.7109375" style="21" customWidth="1"/>
    <col min="16" max="16" width="11.7109375" style="54" customWidth="1"/>
    <col min="17" max="17" width="5.7109375" style="21" customWidth="1"/>
    <col min="18" max="19" width="11.7109375" style="21" customWidth="1"/>
    <col min="20" max="16384" width="8.7109375" style="21"/>
  </cols>
  <sheetData>
    <row r="1" spans="1:19" customFormat="1" ht="15" x14ac:dyDescent="0.25">
      <c r="A1" s="32" t="s">
        <v>0</v>
      </c>
      <c r="B1" s="87" t="s">
        <v>189</v>
      </c>
      <c r="C1" s="4"/>
    </row>
    <row r="2" spans="1:19" customFormat="1" ht="15" x14ac:dyDescent="0.25">
      <c r="A2" s="44" t="s">
        <v>160</v>
      </c>
      <c r="B2" s="13"/>
      <c r="C2" s="4"/>
    </row>
    <row r="3" spans="1:19" s="27" customFormat="1" x14ac:dyDescent="0.2">
      <c r="A3" s="42" t="s">
        <v>16</v>
      </c>
      <c r="B3" s="53" t="s">
        <v>3</v>
      </c>
      <c r="C3" s="53"/>
      <c r="D3" s="53"/>
      <c r="E3" s="53"/>
      <c r="F3" s="53"/>
      <c r="G3" s="53"/>
      <c r="H3" s="53"/>
      <c r="I3" s="53"/>
      <c r="L3" s="27" t="s">
        <v>97</v>
      </c>
    </row>
    <row r="4" spans="1:19" ht="15" x14ac:dyDescent="0.25">
      <c r="B4" s="122" t="s">
        <v>4</v>
      </c>
      <c r="C4" s="122"/>
      <c r="D4"/>
      <c r="E4" s="126" t="s">
        <v>101</v>
      </c>
      <c r="F4" s="126"/>
      <c r="G4" s="23"/>
      <c r="H4" s="126" t="s">
        <v>86</v>
      </c>
      <c r="I4" s="126"/>
      <c r="L4" s="122" t="s">
        <v>4</v>
      </c>
      <c r="M4" s="122"/>
      <c r="N4"/>
      <c r="O4" s="126" t="s">
        <v>101</v>
      </c>
      <c r="P4" s="126"/>
      <c r="Q4" s="23"/>
      <c r="R4" s="126" t="s">
        <v>86</v>
      </c>
      <c r="S4" s="126"/>
    </row>
    <row r="5" spans="1:19" s="55" customFormat="1" ht="51" x14ac:dyDescent="0.25">
      <c r="A5" s="55" t="s">
        <v>11</v>
      </c>
      <c r="B5" s="35" t="s">
        <v>166</v>
      </c>
      <c r="C5" s="35" t="s">
        <v>100</v>
      </c>
      <c r="E5" s="35" t="s">
        <v>166</v>
      </c>
      <c r="F5" s="35" t="s">
        <v>100</v>
      </c>
      <c r="H5" s="35" t="s">
        <v>166</v>
      </c>
      <c r="I5" s="35" t="s">
        <v>99</v>
      </c>
      <c r="J5" s="35"/>
      <c r="L5" s="35" t="s">
        <v>166</v>
      </c>
      <c r="M5" s="35" t="s">
        <v>100</v>
      </c>
      <c r="O5" s="35" t="s">
        <v>166</v>
      </c>
      <c r="P5" s="35" t="s">
        <v>100</v>
      </c>
      <c r="R5" s="35" t="s">
        <v>166</v>
      </c>
      <c r="S5" s="35" t="s">
        <v>100</v>
      </c>
    </row>
    <row r="6" spans="1:19" ht="15" customHeight="1" x14ac:dyDescent="0.2">
      <c r="A6" s="21" t="s">
        <v>22</v>
      </c>
      <c r="B6" s="21">
        <v>83</v>
      </c>
      <c r="C6" s="54">
        <v>6.0319767441860466E-3</v>
      </c>
      <c r="E6" s="21">
        <v>31</v>
      </c>
      <c r="F6" s="54">
        <v>2.2861356932153392E-2</v>
      </c>
      <c r="H6" s="21">
        <v>0</v>
      </c>
      <c r="I6" s="54">
        <v>0</v>
      </c>
      <c r="L6" s="21">
        <v>0</v>
      </c>
      <c r="M6" s="54">
        <v>0</v>
      </c>
      <c r="O6" s="21">
        <v>0</v>
      </c>
      <c r="P6" s="54">
        <v>0</v>
      </c>
      <c r="R6" s="21">
        <v>0</v>
      </c>
      <c r="S6" s="22">
        <v>0</v>
      </c>
    </row>
    <row r="7" spans="1:19" ht="15" customHeight="1" x14ac:dyDescent="0.2">
      <c r="A7" s="21" t="s">
        <v>23</v>
      </c>
      <c r="B7" s="21">
        <v>0</v>
      </c>
      <c r="C7" s="54">
        <v>0</v>
      </c>
      <c r="E7" s="21">
        <v>0</v>
      </c>
      <c r="F7" s="54">
        <v>0</v>
      </c>
      <c r="H7" s="21">
        <v>0</v>
      </c>
      <c r="I7" s="54">
        <v>0</v>
      </c>
      <c r="L7" s="21">
        <v>455</v>
      </c>
      <c r="M7" s="54">
        <v>3.6950713433005515E-3</v>
      </c>
      <c r="O7" s="21">
        <v>5</v>
      </c>
      <c r="P7" s="54">
        <v>2.077274615704196E-3</v>
      </c>
      <c r="R7" s="21">
        <v>0</v>
      </c>
      <c r="S7" s="22">
        <v>0</v>
      </c>
    </row>
    <row r="8" spans="1:19" ht="15" customHeight="1" x14ac:dyDescent="0.2">
      <c r="A8" s="21" t="s">
        <v>24</v>
      </c>
      <c r="B8" s="21">
        <v>3590</v>
      </c>
      <c r="C8" s="54">
        <v>2.5977070712625578E-3</v>
      </c>
      <c r="E8" s="21">
        <v>1840</v>
      </c>
      <c r="F8" s="54">
        <v>1.5498521744257546E-2</v>
      </c>
      <c r="H8" s="21">
        <v>7</v>
      </c>
      <c r="I8" s="54">
        <v>5.7875155022736667E-4</v>
      </c>
      <c r="L8" s="21">
        <v>11277</v>
      </c>
      <c r="M8" s="54">
        <v>1.3616901041100655E-2</v>
      </c>
      <c r="O8" s="21">
        <v>1087</v>
      </c>
      <c r="P8" s="54">
        <v>4.6405396174863389E-2</v>
      </c>
      <c r="R8" s="21">
        <v>7</v>
      </c>
      <c r="S8" s="22">
        <v>3.6515388628064684E-3</v>
      </c>
    </row>
    <row r="9" spans="1:19" ht="15" customHeight="1" x14ac:dyDescent="0.2">
      <c r="A9" s="21" t="s">
        <v>25</v>
      </c>
      <c r="B9" s="21">
        <v>1313</v>
      </c>
      <c r="C9" s="54">
        <v>4.3767833808901575E-3</v>
      </c>
      <c r="E9" s="21">
        <v>402</v>
      </c>
      <c r="F9" s="54">
        <v>1.423764830883655E-2</v>
      </c>
      <c r="H9" s="21">
        <v>3</v>
      </c>
      <c r="I9" s="54">
        <v>1.020408163265306E-2</v>
      </c>
      <c r="L9" s="21">
        <v>663</v>
      </c>
      <c r="M9" s="54">
        <v>1.4656144306651634E-2</v>
      </c>
      <c r="O9" s="21">
        <v>1</v>
      </c>
      <c r="P9" s="54">
        <v>9.2592592592592587E-3</v>
      </c>
      <c r="R9" s="21">
        <v>0</v>
      </c>
      <c r="S9" s="22">
        <v>0</v>
      </c>
    </row>
    <row r="10" spans="1:19" ht="15" customHeight="1" x14ac:dyDescent="0.2">
      <c r="A10" s="21" t="s">
        <v>26</v>
      </c>
      <c r="B10" s="21">
        <v>866</v>
      </c>
      <c r="C10" s="54">
        <v>8.9952530823803143E-3</v>
      </c>
      <c r="E10" s="21">
        <v>191</v>
      </c>
      <c r="F10" s="54">
        <v>5.7066029279952198E-2</v>
      </c>
      <c r="H10" s="21">
        <v>0</v>
      </c>
      <c r="I10" s="54">
        <v>0</v>
      </c>
      <c r="L10" s="21">
        <v>291</v>
      </c>
      <c r="M10" s="54">
        <v>1.4885671901376029E-2</v>
      </c>
      <c r="O10" s="21">
        <v>27</v>
      </c>
      <c r="P10" s="54">
        <v>7.8717201166180764E-2</v>
      </c>
      <c r="R10" s="21">
        <v>0</v>
      </c>
      <c r="S10" s="22">
        <v>0</v>
      </c>
    </row>
    <row r="11" spans="1:19" ht="15" customHeight="1" x14ac:dyDescent="0.2">
      <c r="A11" s="21" t="s">
        <v>27</v>
      </c>
      <c r="B11" s="21">
        <v>648</v>
      </c>
      <c r="C11" s="54">
        <v>2.6564126950290646E-3</v>
      </c>
      <c r="E11" s="21">
        <v>283</v>
      </c>
      <c r="F11" s="54">
        <v>7.9245071684587807E-3</v>
      </c>
      <c r="H11" s="21">
        <v>5</v>
      </c>
      <c r="I11" s="54">
        <v>2.3685457129322598E-3</v>
      </c>
      <c r="L11" s="21">
        <v>0</v>
      </c>
      <c r="M11" s="54">
        <v>0</v>
      </c>
      <c r="O11" s="21">
        <v>0</v>
      </c>
      <c r="P11" s="54">
        <v>0</v>
      </c>
      <c r="R11" s="21">
        <v>0</v>
      </c>
      <c r="S11" s="22">
        <v>0</v>
      </c>
    </row>
    <row r="12" spans="1:19" ht="15" customHeight="1" x14ac:dyDescent="0.2">
      <c r="A12" s="21" t="s">
        <v>30</v>
      </c>
      <c r="B12" s="21">
        <v>29</v>
      </c>
      <c r="C12" s="54">
        <v>7.9692223138224782E-3</v>
      </c>
      <c r="E12" s="21">
        <v>109</v>
      </c>
      <c r="F12" s="54">
        <v>2.2011308562197091E-2</v>
      </c>
      <c r="H12" s="21">
        <v>0</v>
      </c>
      <c r="I12" s="54">
        <v>0</v>
      </c>
      <c r="L12" s="21">
        <v>39</v>
      </c>
      <c r="M12" s="54">
        <v>1.7743403093721567E-2</v>
      </c>
      <c r="O12" s="21">
        <v>91</v>
      </c>
      <c r="P12" s="54">
        <v>3.6590269400884598E-2</v>
      </c>
      <c r="R12" s="21">
        <v>0</v>
      </c>
      <c r="S12" s="22">
        <v>0</v>
      </c>
    </row>
    <row r="13" spans="1:19" ht="15" customHeight="1" x14ac:dyDescent="0.2">
      <c r="A13" s="21" t="s">
        <v>31</v>
      </c>
      <c r="B13" s="21">
        <v>44</v>
      </c>
      <c r="C13" s="54">
        <v>4.3560043560043563E-3</v>
      </c>
      <c r="E13" s="21">
        <v>0</v>
      </c>
      <c r="F13" s="54">
        <v>0</v>
      </c>
      <c r="H13" s="21">
        <v>0</v>
      </c>
      <c r="I13" s="54">
        <v>0</v>
      </c>
      <c r="L13" s="21">
        <v>0</v>
      </c>
      <c r="M13" s="54">
        <v>0</v>
      </c>
      <c r="O13" s="21">
        <v>0</v>
      </c>
      <c r="P13" s="54">
        <v>0</v>
      </c>
      <c r="R13" s="21">
        <v>0</v>
      </c>
      <c r="S13" s="22">
        <v>0</v>
      </c>
    </row>
    <row r="14" spans="1:19" ht="15" customHeight="1" x14ac:dyDescent="0.2">
      <c r="A14" s="21" t="s">
        <v>34</v>
      </c>
      <c r="B14" s="21">
        <v>78</v>
      </c>
      <c r="C14" s="54">
        <v>9.9948744233726294E-3</v>
      </c>
      <c r="E14" s="21">
        <v>0</v>
      </c>
      <c r="F14" s="54">
        <v>0</v>
      </c>
      <c r="H14" s="21">
        <v>0</v>
      </c>
      <c r="I14" s="54">
        <v>0</v>
      </c>
      <c r="L14" s="21">
        <v>0</v>
      </c>
      <c r="M14" s="54">
        <v>0</v>
      </c>
      <c r="O14" s="21">
        <v>0</v>
      </c>
      <c r="P14" s="54">
        <v>0</v>
      </c>
      <c r="R14" s="21">
        <v>0</v>
      </c>
      <c r="S14" s="22">
        <v>0</v>
      </c>
    </row>
    <row r="15" spans="1:19" ht="15" customHeight="1" x14ac:dyDescent="0.2">
      <c r="A15" s="21" t="s">
        <v>36</v>
      </c>
      <c r="B15" s="21">
        <v>48</v>
      </c>
      <c r="C15" s="54">
        <v>9.2006900517538816E-3</v>
      </c>
      <c r="E15" s="21">
        <v>15</v>
      </c>
      <c r="F15" s="54">
        <v>4.0431266846361183E-2</v>
      </c>
      <c r="H15" s="21">
        <v>0</v>
      </c>
      <c r="I15" s="54">
        <v>0</v>
      </c>
      <c r="L15" s="21">
        <v>0</v>
      </c>
      <c r="M15" s="54">
        <v>0</v>
      </c>
      <c r="O15" s="21">
        <v>0</v>
      </c>
      <c r="P15" s="54">
        <v>0</v>
      </c>
      <c r="R15" s="21">
        <v>0</v>
      </c>
      <c r="S15" s="22">
        <v>0</v>
      </c>
    </row>
    <row r="16" spans="1:19" ht="15" customHeight="1" x14ac:dyDescent="0.2">
      <c r="A16" s="21" t="s">
        <v>85</v>
      </c>
      <c r="B16" s="21">
        <v>0</v>
      </c>
      <c r="C16" s="54">
        <v>0</v>
      </c>
      <c r="E16" s="21">
        <v>1240</v>
      </c>
      <c r="F16" s="54">
        <v>0.41059602649006621</v>
      </c>
      <c r="H16" s="21">
        <v>5</v>
      </c>
      <c r="I16" s="54">
        <v>1.7901897601145722E-3</v>
      </c>
      <c r="L16" s="21">
        <v>0</v>
      </c>
      <c r="M16" s="54">
        <v>0</v>
      </c>
      <c r="O16" s="21">
        <v>0</v>
      </c>
      <c r="P16" s="54">
        <v>0</v>
      </c>
      <c r="R16" s="21">
        <v>0</v>
      </c>
      <c r="S16" s="22">
        <v>0</v>
      </c>
    </row>
    <row r="17" spans="1:19" ht="15" customHeight="1" x14ac:dyDescent="0.2">
      <c r="A17" s="21" t="s">
        <v>39</v>
      </c>
      <c r="B17" s="21">
        <v>366</v>
      </c>
      <c r="C17" s="54">
        <v>0.12983327421071303</v>
      </c>
      <c r="E17" s="21">
        <v>100</v>
      </c>
      <c r="F17" s="54">
        <v>0.20242914979757085</v>
      </c>
      <c r="H17" s="21">
        <v>0</v>
      </c>
      <c r="I17" s="54">
        <v>0</v>
      </c>
      <c r="L17" s="21">
        <v>0</v>
      </c>
      <c r="M17" s="54">
        <v>0</v>
      </c>
      <c r="O17" s="21">
        <v>0</v>
      </c>
      <c r="P17" s="54">
        <v>0</v>
      </c>
      <c r="R17" s="21">
        <v>0</v>
      </c>
      <c r="S17" s="22">
        <v>0</v>
      </c>
    </row>
    <row r="18" spans="1:19" ht="15" customHeight="1" x14ac:dyDescent="0.2">
      <c r="A18" s="21" t="s">
        <v>42</v>
      </c>
      <c r="B18" s="21">
        <v>10</v>
      </c>
      <c r="C18" s="54">
        <v>2.7824925568324107E-4</v>
      </c>
      <c r="E18" s="21">
        <v>15</v>
      </c>
      <c r="F18" s="54">
        <v>3.8471402923826621E-3</v>
      </c>
      <c r="H18" s="21">
        <v>0</v>
      </c>
      <c r="I18" s="54">
        <v>0</v>
      </c>
      <c r="L18" s="21">
        <v>5</v>
      </c>
      <c r="M18" s="54">
        <v>7.4895146794487716E-4</v>
      </c>
      <c r="O18" s="21">
        <v>0</v>
      </c>
      <c r="P18" s="54">
        <v>0</v>
      </c>
      <c r="R18" s="21">
        <v>0</v>
      </c>
      <c r="S18" s="22">
        <v>0</v>
      </c>
    </row>
    <row r="19" spans="1:19" ht="15" customHeight="1" x14ac:dyDescent="0.2">
      <c r="A19" s="21" t="s">
        <v>45</v>
      </c>
      <c r="B19" s="21">
        <v>46</v>
      </c>
      <c r="C19" s="54">
        <v>3.0307023323230993E-3</v>
      </c>
      <c r="E19" s="21">
        <v>144</v>
      </c>
      <c r="F19" s="54">
        <v>1.7758046614872364E-2</v>
      </c>
      <c r="H19" s="21">
        <v>0</v>
      </c>
      <c r="I19" s="54">
        <v>0</v>
      </c>
      <c r="L19" s="21">
        <v>0</v>
      </c>
      <c r="M19" s="54">
        <v>0</v>
      </c>
      <c r="O19" s="21">
        <v>0</v>
      </c>
      <c r="P19" s="54">
        <v>0</v>
      </c>
      <c r="R19" s="21">
        <v>0</v>
      </c>
      <c r="S19" s="22">
        <v>0</v>
      </c>
    </row>
    <row r="20" spans="1:19" ht="15" customHeight="1" x14ac:dyDescent="0.2">
      <c r="A20" s="21" t="s">
        <v>46</v>
      </c>
      <c r="B20" s="21">
        <v>2</v>
      </c>
      <c r="C20" s="54">
        <v>1.9607843137254902E-2</v>
      </c>
      <c r="E20" s="21">
        <v>61</v>
      </c>
      <c r="F20" s="54">
        <v>8.4628190899001116E-3</v>
      </c>
      <c r="H20" s="21">
        <v>9</v>
      </c>
      <c r="I20" s="54">
        <v>1.4263074484944533E-2</v>
      </c>
      <c r="L20" s="21">
        <v>0</v>
      </c>
      <c r="M20" s="54">
        <v>0</v>
      </c>
      <c r="O20" s="21">
        <v>0</v>
      </c>
      <c r="P20" s="54">
        <v>0</v>
      </c>
      <c r="R20" s="21">
        <v>0</v>
      </c>
      <c r="S20" s="22">
        <v>0</v>
      </c>
    </row>
    <row r="21" spans="1:19" ht="15" customHeight="1" x14ac:dyDescent="0.2">
      <c r="A21" s="21" t="s">
        <v>48</v>
      </c>
      <c r="B21" s="21">
        <v>6336</v>
      </c>
      <c r="C21" s="54">
        <v>3.6138826480588216E-3</v>
      </c>
      <c r="E21" s="21">
        <v>2958</v>
      </c>
      <c r="F21" s="54">
        <v>1.5059412896722362E-2</v>
      </c>
      <c r="H21" s="21">
        <v>7</v>
      </c>
      <c r="I21" s="54">
        <v>4.0648045990360605E-4</v>
      </c>
      <c r="L21" s="21">
        <v>10799</v>
      </c>
      <c r="M21" s="54">
        <v>1.856385008646742E-2</v>
      </c>
      <c r="O21" s="21">
        <v>1989</v>
      </c>
      <c r="P21" s="54">
        <v>4.6820931710647114E-2</v>
      </c>
      <c r="R21" s="21">
        <v>27</v>
      </c>
      <c r="S21" s="22">
        <v>1.1790393013100437E-2</v>
      </c>
    </row>
    <row r="22" spans="1:19" ht="15" customHeight="1" x14ac:dyDescent="0.2">
      <c r="A22" s="21" t="s">
        <v>139</v>
      </c>
      <c r="B22" s="21">
        <v>135</v>
      </c>
      <c r="C22" s="54">
        <v>2.8742361983435881E-3</v>
      </c>
      <c r="E22" s="21">
        <v>330</v>
      </c>
      <c r="F22" s="54">
        <v>2.4040212719458002E-2</v>
      </c>
      <c r="H22" s="21">
        <v>0</v>
      </c>
      <c r="I22" s="54">
        <v>0</v>
      </c>
      <c r="L22" s="21">
        <v>0</v>
      </c>
      <c r="M22" s="54">
        <v>0</v>
      </c>
      <c r="O22" s="21">
        <v>0</v>
      </c>
      <c r="P22" s="54">
        <v>0</v>
      </c>
      <c r="R22" s="21">
        <v>0</v>
      </c>
      <c r="S22" s="22">
        <v>0</v>
      </c>
    </row>
    <row r="23" spans="1:19" ht="15" customHeight="1" x14ac:dyDescent="0.2">
      <c r="A23" s="21" t="s">
        <v>53</v>
      </c>
      <c r="B23" s="21">
        <v>156</v>
      </c>
      <c r="C23" s="54">
        <v>4.1577825159914714E-3</v>
      </c>
      <c r="E23" s="21">
        <v>64</v>
      </c>
      <c r="F23" s="54">
        <v>2.6197298403602128E-2</v>
      </c>
      <c r="H23" s="21">
        <v>0</v>
      </c>
      <c r="I23" s="54">
        <v>0</v>
      </c>
      <c r="L23" s="21">
        <v>0</v>
      </c>
      <c r="M23" s="54">
        <v>0</v>
      </c>
      <c r="O23" s="21">
        <v>0</v>
      </c>
      <c r="P23" s="54">
        <v>0</v>
      </c>
      <c r="R23" s="21">
        <v>0</v>
      </c>
      <c r="S23" s="22">
        <v>0</v>
      </c>
    </row>
    <row r="24" spans="1:19" ht="15" customHeight="1" x14ac:dyDescent="0.2">
      <c r="A24" s="21" t="s">
        <v>54</v>
      </c>
      <c r="B24" s="21">
        <v>111</v>
      </c>
      <c r="C24" s="54">
        <v>1.8435475834578975E-2</v>
      </c>
      <c r="E24" s="21">
        <v>460</v>
      </c>
      <c r="F24" s="54">
        <v>6.6330209084354719E-2</v>
      </c>
      <c r="H24" s="21">
        <v>0</v>
      </c>
      <c r="I24" s="54">
        <v>0</v>
      </c>
      <c r="L24" s="21">
        <v>0</v>
      </c>
      <c r="M24" s="54">
        <v>0</v>
      </c>
      <c r="O24" s="21">
        <v>0</v>
      </c>
      <c r="P24" s="54">
        <v>0</v>
      </c>
      <c r="R24" s="21">
        <v>0</v>
      </c>
      <c r="S24" s="22">
        <v>0</v>
      </c>
    </row>
    <row r="25" spans="1:19" ht="15" customHeight="1" x14ac:dyDescent="0.2">
      <c r="A25" s="21" t="s">
        <v>55</v>
      </c>
      <c r="B25" s="21">
        <v>44</v>
      </c>
      <c r="C25" s="54">
        <v>7.3578595317725759E-2</v>
      </c>
      <c r="E25" s="21">
        <v>0</v>
      </c>
      <c r="F25" s="54">
        <v>0</v>
      </c>
      <c r="H25" s="21">
        <v>0</v>
      </c>
      <c r="I25" s="54">
        <v>0</v>
      </c>
      <c r="L25" s="21">
        <v>24</v>
      </c>
      <c r="M25" s="54">
        <v>0.10256410256410256</v>
      </c>
      <c r="O25" s="21">
        <v>0</v>
      </c>
      <c r="P25" s="54">
        <v>0</v>
      </c>
      <c r="R25" s="21">
        <v>0</v>
      </c>
      <c r="S25" s="22">
        <v>0</v>
      </c>
    </row>
    <row r="26" spans="1:19" ht="15" customHeight="1" x14ac:dyDescent="0.2">
      <c r="A26" s="21" t="s">
        <v>59</v>
      </c>
      <c r="B26" s="21">
        <v>104</v>
      </c>
      <c r="C26" s="54">
        <v>4.2190669371196754E-2</v>
      </c>
      <c r="E26" s="21">
        <v>8</v>
      </c>
      <c r="F26" s="54">
        <v>4.519774011299435E-2</v>
      </c>
      <c r="H26" s="21">
        <v>0</v>
      </c>
      <c r="I26" s="54">
        <v>0</v>
      </c>
      <c r="L26" s="21">
        <v>39</v>
      </c>
      <c r="M26" s="54">
        <v>3.7107516650808754E-2</v>
      </c>
      <c r="O26" s="21">
        <v>0</v>
      </c>
      <c r="P26" s="54">
        <v>0</v>
      </c>
      <c r="R26" s="21">
        <v>0</v>
      </c>
      <c r="S26" s="22">
        <v>0</v>
      </c>
    </row>
    <row r="27" spans="1:19" ht="15" customHeight="1" x14ac:dyDescent="0.2">
      <c r="A27" s="21" t="s">
        <v>60</v>
      </c>
      <c r="B27" s="21">
        <v>148</v>
      </c>
      <c r="C27" s="54">
        <v>1.1776126290997629E-3</v>
      </c>
      <c r="E27" s="21">
        <v>65</v>
      </c>
      <c r="F27" s="54">
        <v>1.0322375734476735E-2</v>
      </c>
      <c r="H27" s="21">
        <v>1</v>
      </c>
      <c r="I27" s="54">
        <v>2.6455026455026454E-3</v>
      </c>
      <c r="L27" s="21">
        <v>80</v>
      </c>
      <c r="M27" s="54">
        <v>1.7011865776379025E-3</v>
      </c>
      <c r="O27" s="21">
        <v>1</v>
      </c>
      <c r="P27" s="54">
        <v>3.4965034965034965E-3</v>
      </c>
      <c r="R27" s="21">
        <v>0</v>
      </c>
      <c r="S27" s="22">
        <v>0</v>
      </c>
    </row>
    <row r="28" spans="1:19" ht="15" customHeight="1" x14ac:dyDescent="0.2">
      <c r="A28" s="21" t="s">
        <v>61</v>
      </c>
      <c r="B28" s="21">
        <v>177</v>
      </c>
      <c r="C28" s="54">
        <v>3.2536764705882355E-2</v>
      </c>
      <c r="E28" s="21">
        <v>0</v>
      </c>
      <c r="F28" s="54">
        <v>0</v>
      </c>
      <c r="H28" s="21">
        <v>0</v>
      </c>
      <c r="I28" s="54">
        <v>0</v>
      </c>
      <c r="L28" s="21">
        <v>0</v>
      </c>
      <c r="M28" s="54">
        <v>0</v>
      </c>
      <c r="O28" s="21">
        <v>0</v>
      </c>
      <c r="P28" s="54">
        <v>0</v>
      </c>
      <c r="R28" s="21">
        <v>0</v>
      </c>
      <c r="S28" s="22">
        <v>0</v>
      </c>
    </row>
    <row r="29" spans="1:19" ht="15" customHeight="1" x14ac:dyDescent="0.2">
      <c r="A29" s="21" t="s">
        <v>62</v>
      </c>
      <c r="B29" s="21">
        <v>213</v>
      </c>
      <c r="C29" s="54">
        <v>2.6916369702024412E-3</v>
      </c>
      <c r="E29" s="21">
        <v>86</v>
      </c>
      <c r="F29" s="54">
        <v>1.0638297872340425E-2</v>
      </c>
      <c r="H29" s="21">
        <v>1</v>
      </c>
      <c r="I29" s="54">
        <v>7.575757575757576E-3</v>
      </c>
      <c r="L29" s="21">
        <v>0</v>
      </c>
      <c r="M29" s="54">
        <v>0</v>
      </c>
      <c r="O29" s="21">
        <v>0</v>
      </c>
      <c r="P29" s="54">
        <v>0</v>
      </c>
      <c r="R29" s="21">
        <v>0</v>
      </c>
      <c r="S29" s="22">
        <v>0</v>
      </c>
    </row>
    <row r="30" spans="1:19" s="23" customFormat="1" ht="15" customHeight="1" x14ac:dyDescent="0.2">
      <c r="A30" s="23" t="s">
        <v>67</v>
      </c>
      <c r="B30" s="23">
        <v>14547</v>
      </c>
      <c r="C30" s="56">
        <v>2.279581316741454E-3</v>
      </c>
      <c r="E30" s="23">
        <v>8402</v>
      </c>
      <c r="F30" s="56">
        <v>1.2797587315126499E-2</v>
      </c>
      <c r="H30" s="23">
        <v>38</v>
      </c>
      <c r="I30" s="56">
        <v>5.8407623731939753E-4</v>
      </c>
      <c r="J30" s="56"/>
      <c r="L30" s="23">
        <v>23672</v>
      </c>
      <c r="M30" s="56">
        <v>1.1042826874113079E-2</v>
      </c>
      <c r="O30" s="23">
        <v>3201</v>
      </c>
      <c r="P30" s="56">
        <v>4.0732445982745016E-2</v>
      </c>
      <c r="R30" s="23">
        <v>34</v>
      </c>
      <c r="S30" s="24">
        <v>6.9246435845213847E-3</v>
      </c>
    </row>
    <row r="31" spans="1:19" ht="15" customHeight="1" x14ac:dyDescent="0.2"/>
    <row r="32" spans="1:19" s="23" customFormat="1" ht="15" customHeight="1" x14ac:dyDescent="0.2">
      <c r="A32" s="23" t="s">
        <v>68</v>
      </c>
      <c r="C32" s="56"/>
      <c r="F32" s="56"/>
      <c r="I32" s="56"/>
      <c r="J32" s="56"/>
      <c r="M32" s="56"/>
      <c r="P32" s="56"/>
    </row>
    <row r="33" spans="1:19" s="27" customFormat="1" ht="15" customHeight="1" x14ac:dyDescent="0.2">
      <c r="A33" s="27" t="s">
        <v>69</v>
      </c>
      <c r="C33" s="57"/>
      <c r="F33" s="57"/>
      <c r="I33" s="57"/>
      <c r="J33" s="57"/>
      <c r="M33" s="57"/>
      <c r="P33" s="57"/>
    </row>
    <row r="34" spans="1:19" ht="15" customHeight="1" x14ac:dyDescent="0.2">
      <c r="A34" s="21" t="s">
        <v>23</v>
      </c>
      <c r="B34" s="21">
        <v>0</v>
      </c>
      <c r="C34" s="54">
        <v>0</v>
      </c>
      <c r="E34" s="21">
        <v>0</v>
      </c>
      <c r="F34" s="54">
        <v>0</v>
      </c>
      <c r="H34" s="21">
        <v>0</v>
      </c>
      <c r="I34" s="54">
        <v>0</v>
      </c>
      <c r="L34" s="21">
        <v>366</v>
      </c>
      <c r="M34" s="54">
        <v>3.5189262467671067E-3</v>
      </c>
      <c r="O34" s="21">
        <v>4</v>
      </c>
      <c r="P34" s="54">
        <v>2.2123893805309734E-3</v>
      </c>
      <c r="R34" s="21">
        <v>0</v>
      </c>
      <c r="S34" s="22">
        <v>0</v>
      </c>
    </row>
    <row r="35" spans="1:19" ht="15" customHeight="1" x14ac:dyDescent="0.2">
      <c r="A35" s="21" t="s">
        <v>34</v>
      </c>
      <c r="B35" s="21">
        <v>1</v>
      </c>
      <c r="C35" s="54">
        <v>3.8610038610038611E-3</v>
      </c>
      <c r="E35" s="21">
        <v>0</v>
      </c>
      <c r="F35" s="54">
        <v>0</v>
      </c>
      <c r="H35" s="21">
        <v>0</v>
      </c>
      <c r="I35" s="54">
        <v>0</v>
      </c>
      <c r="L35" s="21">
        <v>0</v>
      </c>
      <c r="M35" s="54">
        <v>0</v>
      </c>
      <c r="O35" s="21">
        <v>0</v>
      </c>
      <c r="P35" s="54">
        <v>0</v>
      </c>
      <c r="R35" s="21">
        <v>0</v>
      </c>
      <c r="S35" s="22">
        <v>0</v>
      </c>
    </row>
    <row r="36" spans="1:19" ht="15" customHeight="1" x14ac:dyDescent="0.2">
      <c r="A36" s="21" t="s">
        <v>85</v>
      </c>
      <c r="B36" s="21">
        <v>0</v>
      </c>
      <c r="C36" s="54">
        <v>0</v>
      </c>
      <c r="E36" s="21">
        <v>6</v>
      </c>
      <c r="F36" s="54">
        <v>0.15789473684210525</v>
      </c>
      <c r="H36" s="21">
        <v>1</v>
      </c>
      <c r="I36" s="54">
        <v>1.6949152542372881E-2</v>
      </c>
      <c r="L36" s="21">
        <v>0</v>
      </c>
      <c r="M36" s="54">
        <v>0</v>
      </c>
      <c r="O36" s="21">
        <v>0</v>
      </c>
      <c r="P36" s="54">
        <v>0</v>
      </c>
      <c r="R36" s="21">
        <v>0</v>
      </c>
      <c r="S36" s="22">
        <v>0</v>
      </c>
    </row>
    <row r="37" spans="1:19" ht="15" customHeight="1" x14ac:dyDescent="0.2">
      <c r="A37" s="21" t="s">
        <v>46</v>
      </c>
      <c r="B37" s="21">
        <v>0</v>
      </c>
      <c r="C37" s="54">
        <v>0</v>
      </c>
      <c r="E37" s="21">
        <v>1</v>
      </c>
      <c r="F37" s="54">
        <v>1.1235955056179775E-2</v>
      </c>
      <c r="H37" s="21">
        <v>0</v>
      </c>
      <c r="I37" s="54">
        <v>0</v>
      </c>
      <c r="L37" s="21">
        <v>0</v>
      </c>
      <c r="M37" s="54">
        <v>0</v>
      </c>
      <c r="O37" s="21">
        <v>0</v>
      </c>
      <c r="P37" s="54">
        <v>0</v>
      </c>
      <c r="R37" s="21">
        <v>0</v>
      </c>
      <c r="S37" s="22">
        <v>0</v>
      </c>
    </row>
    <row r="38" spans="1:19" ht="15" customHeight="1" x14ac:dyDescent="0.2">
      <c r="A38" s="21" t="s">
        <v>48</v>
      </c>
      <c r="B38" s="21">
        <v>66</v>
      </c>
      <c r="C38" s="54">
        <v>3.0676272368115268E-3</v>
      </c>
      <c r="E38" s="21">
        <v>27</v>
      </c>
      <c r="F38" s="54">
        <v>1.4867841409691629E-2</v>
      </c>
      <c r="H38" s="21">
        <v>0</v>
      </c>
      <c r="I38" s="54">
        <v>0</v>
      </c>
      <c r="L38" s="21">
        <v>192</v>
      </c>
      <c r="M38" s="54">
        <v>1.3256921908444384E-2</v>
      </c>
      <c r="O38" s="21">
        <v>27</v>
      </c>
      <c r="P38" s="54">
        <v>3.4928848641655887E-2</v>
      </c>
      <c r="R38" s="21">
        <v>0</v>
      </c>
      <c r="S38" s="22">
        <v>0</v>
      </c>
    </row>
    <row r="39" spans="1:19" s="23" customFormat="1" ht="15" customHeight="1" x14ac:dyDescent="0.2">
      <c r="A39" s="23" t="s">
        <v>70</v>
      </c>
      <c r="B39" s="23">
        <v>67</v>
      </c>
      <c r="C39" s="56">
        <v>3.8342899982259256E-4</v>
      </c>
      <c r="E39" s="23">
        <v>34</v>
      </c>
      <c r="F39" s="56">
        <v>2.6266996291718172E-3</v>
      </c>
      <c r="H39" s="23">
        <v>1</v>
      </c>
      <c r="I39" s="56">
        <v>5.0125313283208019E-4</v>
      </c>
      <c r="J39" s="56"/>
      <c r="L39" s="23">
        <v>558</v>
      </c>
      <c r="M39" s="56">
        <v>4.5148553304420998E-3</v>
      </c>
      <c r="O39" s="23">
        <v>31</v>
      </c>
      <c r="P39" s="56">
        <v>1.1676082862523541E-2</v>
      </c>
      <c r="R39" s="29">
        <v>0</v>
      </c>
      <c r="S39" s="24">
        <v>0</v>
      </c>
    </row>
    <row r="40" spans="1:19" ht="15" customHeight="1" x14ac:dyDescent="0.2"/>
    <row r="41" spans="1:19" s="27" customFormat="1" ht="15" customHeight="1" x14ac:dyDescent="0.2">
      <c r="A41" s="27" t="s">
        <v>71</v>
      </c>
      <c r="C41" s="57"/>
      <c r="F41" s="57"/>
      <c r="I41" s="57"/>
      <c r="J41" s="57"/>
      <c r="M41" s="57"/>
      <c r="P41" s="57"/>
    </row>
    <row r="42" spans="1:19" ht="15" customHeight="1" x14ac:dyDescent="0.2">
      <c r="A42" s="21" t="s">
        <v>22</v>
      </c>
      <c r="B42" s="21">
        <v>67</v>
      </c>
      <c r="C42" s="54">
        <v>7.5492957746478876E-3</v>
      </c>
      <c r="E42" s="21">
        <v>31</v>
      </c>
      <c r="F42" s="54">
        <v>2.456418383518225E-2</v>
      </c>
      <c r="H42" s="21">
        <v>0</v>
      </c>
      <c r="I42" s="54">
        <v>0</v>
      </c>
      <c r="L42" s="21">
        <v>0</v>
      </c>
      <c r="M42" s="54">
        <v>0</v>
      </c>
      <c r="O42" s="21">
        <v>0</v>
      </c>
      <c r="P42" s="54">
        <v>0</v>
      </c>
      <c r="R42" s="21">
        <v>0</v>
      </c>
      <c r="S42" s="22">
        <v>0</v>
      </c>
    </row>
    <row r="43" spans="1:19" ht="15" customHeight="1" x14ac:dyDescent="0.2">
      <c r="A43" s="21" t="s">
        <v>23</v>
      </c>
      <c r="B43" s="21">
        <v>0</v>
      </c>
      <c r="C43" s="54">
        <v>0</v>
      </c>
      <c r="E43" s="21">
        <v>0</v>
      </c>
      <c r="F43" s="54">
        <v>0</v>
      </c>
      <c r="H43" s="21">
        <v>0</v>
      </c>
      <c r="I43" s="54">
        <v>0</v>
      </c>
      <c r="L43" s="21">
        <v>89</v>
      </c>
      <c r="M43" s="54">
        <v>4.6528649100794645E-3</v>
      </c>
      <c r="O43" s="21">
        <v>1</v>
      </c>
      <c r="P43" s="54">
        <v>1.6694490818030051E-3</v>
      </c>
      <c r="R43" s="21">
        <v>0</v>
      </c>
      <c r="S43" s="22">
        <v>0</v>
      </c>
    </row>
    <row r="44" spans="1:19" ht="15" customHeight="1" x14ac:dyDescent="0.2">
      <c r="A44" s="21" t="s">
        <v>24</v>
      </c>
      <c r="B44" s="21">
        <v>2491</v>
      </c>
      <c r="C44" s="54">
        <v>3.3304053575272377E-3</v>
      </c>
      <c r="E44" s="21">
        <v>1188</v>
      </c>
      <c r="F44" s="54">
        <v>1.9843987505637498E-2</v>
      </c>
      <c r="H44" s="21">
        <v>4</v>
      </c>
      <c r="I44" s="54">
        <v>6.3461843566555614E-4</v>
      </c>
      <c r="L44" s="21">
        <v>10246</v>
      </c>
      <c r="M44" s="54">
        <v>1.6480060991988368E-2</v>
      </c>
      <c r="O44" s="21">
        <v>970</v>
      </c>
      <c r="P44" s="54">
        <v>5.3876916240835369E-2</v>
      </c>
      <c r="R44" s="21">
        <v>5</v>
      </c>
      <c r="S44" s="22">
        <v>3.7257824143070045E-3</v>
      </c>
    </row>
    <row r="45" spans="1:19" ht="15" customHeight="1" x14ac:dyDescent="0.2">
      <c r="A45" s="21" t="s">
        <v>25</v>
      </c>
      <c r="B45" s="21">
        <v>945</v>
      </c>
      <c r="C45" s="54">
        <v>1.1609479231931596E-2</v>
      </c>
      <c r="E45" s="21">
        <v>236</v>
      </c>
      <c r="F45" s="54">
        <v>2.3255813953488372E-2</v>
      </c>
      <c r="H45" s="21">
        <v>1</v>
      </c>
      <c r="I45" s="54">
        <v>1.2500000000000001E-2</v>
      </c>
      <c r="L45" s="21">
        <v>371</v>
      </c>
      <c r="M45" s="54">
        <v>1.7033194068224601E-2</v>
      </c>
      <c r="O45" s="21">
        <v>0</v>
      </c>
      <c r="P45" s="54">
        <v>0</v>
      </c>
      <c r="R45" s="21">
        <v>0</v>
      </c>
      <c r="S45" s="22">
        <v>0</v>
      </c>
    </row>
    <row r="46" spans="1:19" ht="15" customHeight="1" x14ac:dyDescent="0.2">
      <c r="A46" s="21" t="s">
        <v>26</v>
      </c>
      <c r="B46" s="21">
        <v>488</v>
      </c>
      <c r="C46" s="54">
        <v>9.6435064421784844E-3</v>
      </c>
      <c r="E46" s="21">
        <v>74</v>
      </c>
      <c r="F46" s="54">
        <v>4.2431192660550461E-2</v>
      </c>
      <c r="H46" s="21">
        <v>0</v>
      </c>
      <c r="I46" s="54">
        <v>0</v>
      </c>
      <c r="L46" s="21">
        <v>291</v>
      </c>
      <c r="M46" s="54">
        <v>1.4885671901376029E-2</v>
      </c>
      <c r="O46" s="21">
        <v>27</v>
      </c>
      <c r="P46" s="54">
        <v>7.8717201166180764E-2</v>
      </c>
      <c r="R46" s="21">
        <v>0</v>
      </c>
      <c r="S46" s="22">
        <v>0</v>
      </c>
    </row>
    <row r="47" spans="1:19" ht="15" customHeight="1" x14ac:dyDescent="0.2">
      <c r="A47" s="21" t="s">
        <v>30</v>
      </c>
      <c r="B47" s="21">
        <v>29</v>
      </c>
      <c r="C47" s="54">
        <v>7.9692223138224782E-3</v>
      </c>
      <c r="E47" s="21">
        <v>109</v>
      </c>
      <c r="F47" s="54">
        <v>2.2011308562197091E-2</v>
      </c>
      <c r="H47" s="21">
        <v>0</v>
      </c>
      <c r="I47" s="54">
        <v>0</v>
      </c>
      <c r="L47" s="21">
        <v>39</v>
      </c>
      <c r="M47" s="54">
        <v>1.7743403093721567E-2</v>
      </c>
      <c r="O47" s="21">
        <v>91</v>
      </c>
      <c r="P47" s="54">
        <v>3.6590269400884598E-2</v>
      </c>
      <c r="R47" s="21">
        <v>0</v>
      </c>
      <c r="S47" s="22">
        <v>0</v>
      </c>
    </row>
    <row r="48" spans="1:19" ht="15" customHeight="1" x14ac:dyDescent="0.2">
      <c r="A48" s="21" t="s">
        <v>31</v>
      </c>
      <c r="B48" s="21">
        <v>30</v>
      </c>
      <c r="C48" s="54">
        <v>8.3542188805346695E-3</v>
      </c>
      <c r="E48" s="21">
        <v>0</v>
      </c>
      <c r="F48" s="54">
        <v>0</v>
      </c>
      <c r="H48" s="21">
        <v>0</v>
      </c>
      <c r="I48" s="54">
        <v>0</v>
      </c>
      <c r="L48" s="21">
        <v>0</v>
      </c>
      <c r="M48" s="54">
        <v>0</v>
      </c>
      <c r="O48" s="21">
        <v>0</v>
      </c>
      <c r="P48" s="54">
        <v>0</v>
      </c>
      <c r="R48" s="21">
        <v>0</v>
      </c>
      <c r="S48" s="22">
        <v>0</v>
      </c>
    </row>
    <row r="49" spans="1:19" ht="15" customHeight="1" x14ac:dyDescent="0.2">
      <c r="A49" s="21" t="s">
        <v>34</v>
      </c>
      <c r="B49" s="21">
        <v>59</v>
      </c>
      <c r="C49" s="54">
        <v>1.2842838484980409E-2</v>
      </c>
      <c r="E49" s="21">
        <v>0</v>
      </c>
      <c r="F49" s="54">
        <v>0</v>
      </c>
      <c r="H49" s="21">
        <v>0</v>
      </c>
      <c r="I49" s="54">
        <v>0</v>
      </c>
      <c r="L49" s="21">
        <v>0</v>
      </c>
      <c r="M49" s="54">
        <v>0</v>
      </c>
      <c r="O49" s="21">
        <v>0</v>
      </c>
      <c r="P49" s="54">
        <v>0</v>
      </c>
      <c r="R49" s="21">
        <v>0</v>
      </c>
      <c r="S49" s="22">
        <v>0</v>
      </c>
    </row>
    <row r="50" spans="1:19" ht="15" customHeight="1" x14ac:dyDescent="0.2">
      <c r="A50" s="21" t="s">
        <v>36</v>
      </c>
      <c r="B50" s="21">
        <v>48</v>
      </c>
      <c r="C50" s="54">
        <v>9.2006900517538816E-3</v>
      </c>
      <c r="E50" s="21">
        <v>15</v>
      </c>
      <c r="F50" s="54">
        <v>4.0431266846361183E-2</v>
      </c>
      <c r="H50" s="21">
        <v>0</v>
      </c>
      <c r="I50" s="54">
        <v>0</v>
      </c>
      <c r="L50" s="21">
        <v>0</v>
      </c>
      <c r="M50" s="54">
        <v>0</v>
      </c>
      <c r="O50" s="21">
        <v>0</v>
      </c>
      <c r="P50" s="54">
        <v>0</v>
      </c>
      <c r="R50" s="21">
        <v>0</v>
      </c>
      <c r="S50" s="22">
        <v>0</v>
      </c>
    </row>
    <row r="51" spans="1:19" ht="15" customHeight="1" x14ac:dyDescent="0.2">
      <c r="A51" s="21" t="s">
        <v>85</v>
      </c>
      <c r="B51" s="21">
        <v>0</v>
      </c>
      <c r="C51" s="54">
        <v>0</v>
      </c>
      <c r="E51" s="21">
        <v>1187</v>
      </c>
      <c r="F51" s="54">
        <v>0.45064540622627181</v>
      </c>
      <c r="H51" s="21">
        <v>1</v>
      </c>
      <c r="I51" s="54">
        <v>6.779661016949153E-4</v>
      </c>
      <c r="L51" s="21">
        <v>0</v>
      </c>
      <c r="M51" s="54">
        <v>0</v>
      </c>
      <c r="O51" s="21">
        <v>0</v>
      </c>
      <c r="P51" s="54">
        <v>0</v>
      </c>
      <c r="R51" s="21">
        <v>0</v>
      </c>
      <c r="S51" s="22">
        <v>0</v>
      </c>
    </row>
    <row r="52" spans="1:19" ht="15" customHeight="1" x14ac:dyDescent="0.2">
      <c r="A52" s="21" t="s">
        <v>39</v>
      </c>
      <c r="B52" s="21">
        <v>47</v>
      </c>
      <c r="C52" s="54">
        <v>9.1262135922330095E-2</v>
      </c>
      <c r="E52" s="21">
        <v>0</v>
      </c>
      <c r="F52" s="54">
        <v>0</v>
      </c>
      <c r="H52" s="21">
        <v>0</v>
      </c>
      <c r="I52" s="54">
        <v>0</v>
      </c>
      <c r="L52" s="21">
        <v>0</v>
      </c>
      <c r="M52" s="54">
        <v>0</v>
      </c>
      <c r="O52" s="21">
        <v>0</v>
      </c>
      <c r="P52" s="54">
        <v>0</v>
      </c>
      <c r="R52" s="21">
        <v>0</v>
      </c>
      <c r="S52" s="22">
        <v>0</v>
      </c>
    </row>
    <row r="53" spans="1:19" ht="15" customHeight="1" x14ac:dyDescent="0.2">
      <c r="A53" s="21" t="s">
        <v>42</v>
      </c>
      <c r="B53" s="21">
        <v>0</v>
      </c>
      <c r="C53" s="54">
        <v>0</v>
      </c>
      <c r="E53" s="21">
        <v>1</v>
      </c>
      <c r="F53" s="54">
        <v>1.488095238095238E-3</v>
      </c>
      <c r="H53" s="21">
        <v>0</v>
      </c>
      <c r="I53" s="54">
        <v>0</v>
      </c>
      <c r="L53" s="21">
        <v>5</v>
      </c>
      <c r="M53" s="54">
        <v>0.16129032258064516</v>
      </c>
      <c r="O53" s="21">
        <v>0</v>
      </c>
      <c r="P53" s="54">
        <v>0</v>
      </c>
      <c r="R53" s="21">
        <v>0</v>
      </c>
      <c r="S53" s="22">
        <v>0</v>
      </c>
    </row>
    <row r="54" spans="1:19" ht="15" customHeight="1" x14ac:dyDescent="0.2">
      <c r="A54" s="21" t="s">
        <v>45</v>
      </c>
      <c r="B54" s="21">
        <v>35</v>
      </c>
      <c r="C54" s="54">
        <v>3.0495774157009671E-3</v>
      </c>
      <c r="E54" s="21">
        <v>108</v>
      </c>
      <c r="F54" s="54">
        <v>2.0987174504469491E-2</v>
      </c>
      <c r="H54" s="21">
        <v>0</v>
      </c>
      <c r="I54" s="54">
        <v>0</v>
      </c>
      <c r="L54" s="21">
        <v>0</v>
      </c>
      <c r="M54" s="54">
        <v>0</v>
      </c>
      <c r="O54" s="21">
        <v>0</v>
      </c>
      <c r="P54" s="54">
        <v>0</v>
      </c>
      <c r="R54" s="21">
        <v>0</v>
      </c>
      <c r="S54" s="22">
        <v>0</v>
      </c>
    </row>
    <row r="55" spans="1:19" ht="15" customHeight="1" x14ac:dyDescent="0.2">
      <c r="A55" s="21" t="s">
        <v>46</v>
      </c>
      <c r="B55" s="21">
        <v>2</v>
      </c>
      <c r="C55" s="54">
        <v>1.9607843137254902E-2</v>
      </c>
      <c r="E55" s="21">
        <v>48</v>
      </c>
      <c r="F55" s="54">
        <v>7.7884147330845371E-3</v>
      </c>
      <c r="H55" s="21">
        <v>9</v>
      </c>
      <c r="I55" s="54">
        <v>1.6393442622950821E-2</v>
      </c>
      <c r="L55" s="21">
        <v>0</v>
      </c>
      <c r="M55" s="54">
        <v>0</v>
      </c>
      <c r="O55" s="21">
        <v>0</v>
      </c>
      <c r="P55" s="54">
        <v>0</v>
      </c>
      <c r="R55" s="21">
        <v>0</v>
      </c>
      <c r="S55" s="22">
        <v>0</v>
      </c>
    </row>
    <row r="56" spans="1:19" ht="15" customHeight="1" x14ac:dyDescent="0.2">
      <c r="A56" s="21" t="s">
        <v>48</v>
      </c>
      <c r="B56" s="21">
        <v>4639</v>
      </c>
      <c r="C56" s="54">
        <v>4.6308081004702677E-3</v>
      </c>
      <c r="E56" s="21">
        <v>2275</v>
      </c>
      <c r="F56" s="54">
        <v>1.7668118947213096E-2</v>
      </c>
      <c r="H56" s="21">
        <v>5</v>
      </c>
      <c r="I56" s="54">
        <v>4.8510720869312119E-4</v>
      </c>
      <c r="L56" s="21">
        <v>6381</v>
      </c>
      <c r="M56" s="54">
        <v>2.2957862015370003E-2</v>
      </c>
      <c r="O56" s="21">
        <v>1112</v>
      </c>
      <c r="P56" s="54">
        <v>5.2972560975609755E-2</v>
      </c>
      <c r="R56" s="21">
        <v>8</v>
      </c>
      <c r="S56" s="22">
        <v>6.4672594987873885E-3</v>
      </c>
    </row>
    <row r="57" spans="1:19" ht="15" customHeight="1" x14ac:dyDescent="0.2">
      <c r="A57" s="21" t="s">
        <v>139</v>
      </c>
      <c r="B57" s="21">
        <v>79</v>
      </c>
      <c r="C57" s="54">
        <v>4.5215201465201469E-3</v>
      </c>
      <c r="E57" s="21">
        <v>194</v>
      </c>
      <c r="F57" s="54">
        <v>4.657863145258103E-2</v>
      </c>
      <c r="H57" s="21">
        <v>0</v>
      </c>
      <c r="I57" s="54">
        <v>0</v>
      </c>
      <c r="L57" s="21">
        <v>0</v>
      </c>
      <c r="M57" s="54">
        <v>0</v>
      </c>
      <c r="O57" s="21">
        <v>0</v>
      </c>
      <c r="P57" s="54">
        <v>0</v>
      </c>
      <c r="R57" s="21">
        <v>0</v>
      </c>
      <c r="S57" s="22">
        <v>0</v>
      </c>
    </row>
    <row r="58" spans="1:19" ht="15" customHeight="1" x14ac:dyDescent="0.2">
      <c r="A58" s="21" t="s">
        <v>53</v>
      </c>
      <c r="B58" s="21">
        <v>141</v>
      </c>
      <c r="C58" s="54">
        <v>4.7037630104083267E-3</v>
      </c>
      <c r="E58" s="21">
        <v>62</v>
      </c>
      <c r="F58" s="54">
        <v>3.3622559652928416E-2</v>
      </c>
      <c r="H58" s="21">
        <v>0</v>
      </c>
      <c r="I58" s="54">
        <v>0</v>
      </c>
      <c r="L58" s="21">
        <v>0</v>
      </c>
      <c r="M58" s="54">
        <v>0</v>
      </c>
      <c r="O58" s="21">
        <v>0</v>
      </c>
      <c r="P58" s="54">
        <v>0</v>
      </c>
      <c r="R58" s="21">
        <v>0</v>
      </c>
      <c r="S58" s="22">
        <v>0</v>
      </c>
    </row>
    <row r="59" spans="1:19" ht="15" customHeight="1" x14ac:dyDescent="0.2">
      <c r="A59" s="21" t="s">
        <v>54</v>
      </c>
      <c r="B59" s="21">
        <v>64</v>
      </c>
      <c r="C59" s="54">
        <v>1.7034868245940912E-2</v>
      </c>
      <c r="E59" s="21">
        <v>196</v>
      </c>
      <c r="F59" s="54">
        <v>6.3266623628147195E-2</v>
      </c>
      <c r="H59" s="21">
        <v>0</v>
      </c>
      <c r="I59" s="54">
        <v>0</v>
      </c>
      <c r="L59" s="21">
        <v>0</v>
      </c>
      <c r="M59" s="54">
        <v>0</v>
      </c>
      <c r="O59" s="21">
        <v>0</v>
      </c>
      <c r="P59" s="54">
        <v>0</v>
      </c>
      <c r="R59" s="21">
        <v>0</v>
      </c>
      <c r="S59" s="22">
        <v>0</v>
      </c>
    </row>
    <row r="60" spans="1:19" ht="15" customHeight="1" x14ac:dyDescent="0.2">
      <c r="A60" s="21" t="s">
        <v>55</v>
      </c>
      <c r="B60" s="21">
        <v>44</v>
      </c>
      <c r="C60" s="54">
        <v>7.3578595317725759E-2</v>
      </c>
      <c r="E60" s="21">
        <v>0</v>
      </c>
      <c r="F60" s="54">
        <v>0</v>
      </c>
      <c r="H60" s="21">
        <v>0</v>
      </c>
      <c r="I60" s="54">
        <v>0</v>
      </c>
      <c r="L60" s="21">
        <v>24</v>
      </c>
      <c r="M60" s="54">
        <v>0.10256410256410256</v>
      </c>
      <c r="O60" s="21">
        <v>0</v>
      </c>
      <c r="P60" s="54">
        <v>0</v>
      </c>
      <c r="R60" s="21">
        <v>0</v>
      </c>
      <c r="S60" s="22">
        <v>0</v>
      </c>
    </row>
    <row r="61" spans="1:19" ht="15" customHeight="1" x14ac:dyDescent="0.2">
      <c r="A61" s="21" t="s">
        <v>60</v>
      </c>
      <c r="B61" s="21">
        <v>93</v>
      </c>
      <c r="C61" s="54">
        <v>3.0122433115242599E-3</v>
      </c>
      <c r="E61" s="21">
        <v>48</v>
      </c>
      <c r="F61" s="54">
        <v>2.0236087689713321E-2</v>
      </c>
      <c r="H61" s="21">
        <v>1</v>
      </c>
      <c r="I61" s="54">
        <v>9.433962264150943E-3</v>
      </c>
      <c r="L61" s="21">
        <v>38</v>
      </c>
      <c r="M61" s="54">
        <v>7.3133179368745187E-3</v>
      </c>
      <c r="O61" s="21">
        <v>1</v>
      </c>
      <c r="P61" s="54">
        <v>1.0752688172043012E-2</v>
      </c>
      <c r="R61" s="21">
        <v>0</v>
      </c>
      <c r="S61" s="22">
        <v>0</v>
      </c>
    </row>
    <row r="62" spans="1:19" ht="15" customHeight="1" x14ac:dyDescent="0.2">
      <c r="A62" s="21" t="s">
        <v>61</v>
      </c>
      <c r="B62" s="21">
        <v>177</v>
      </c>
      <c r="C62" s="54">
        <v>3.2536764705882355E-2</v>
      </c>
      <c r="E62" s="21">
        <v>0</v>
      </c>
      <c r="F62" s="54">
        <v>0</v>
      </c>
      <c r="H62" s="21">
        <v>0</v>
      </c>
      <c r="I62" s="54">
        <v>0</v>
      </c>
      <c r="L62" s="21">
        <v>0</v>
      </c>
      <c r="M62" s="54">
        <v>0</v>
      </c>
      <c r="O62" s="21">
        <v>0</v>
      </c>
      <c r="P62" s="54">
        <v>0</v>
      </c>
      <c r="R62" s="21">
        <v>0</v>
      </c>
      <c r="S62" s="22">
        <v>0</v>
      </c>
    </row>
    <row r="63" spans="1:19" s="23" customFormat="1" ht="15" customHeight="1" x14ac:dyDescent="0.2">
      <c r="A63" s="23" t="s">
        <v>72</v>
      </c>
      <c r="B63" s="23">
        <v>9478</v>
      </c>
      <c r="C63" s="56">
        <v>2.9780766677213631E-3</v>
      </c>
      <c r="E63" s="23">
        <v>5772</v>
      </c>
      <c r="F63" s="56">
        <v>1.7750824189342124E-2</v>
      </c>
      <c r="H63" s="23">
        <v>21</v>
      </c>
      <c r="I63" s="56">
        <v>6.722366272928071E-4</v>
      </c>
      <c r="J63" s="56"/>
      <c r="L63" s="23">
        <v>17484</v>
      </c>
      <c r="M63" s="56">
        <v>1.2573668218838209E-2</v>
      </c>
      <c r="O63" s="23">
        <v>2202</v>
      </c>
      <c r="P63" s="56">
        <v>4.4923189913703407E-2</v>
      </c>
      <c r="R63" s="29">
        <v>13</v>
      </c>
      <c r="S63" s="24">
        <v>4.1401273885350318E-3</v>
      </c>
    </row>
    <row r="64" spans="1:19" ht="15" customHeight="1" x14ac:dyDescent="0.2"/>
    <row r="65" spans="1:19" s="27" customFormat="1" ht="15" customHeight="1" x14ac:dyDescent="0.2">
      <c r="A65" s="27" t="s">
        <v>73</v>
      </c>
      <c r="C65" s="57"/>
      <c r="F65" s="57"/>
      <c r="I65" s="57"/>
      <c r="J65" s="57"/>
      <c r="M65" s="57"/>
      <c r="P65" s="57"/>
    </row>
    <row r="66" spans="1:19" ht="15" customHeight="1" x14ac:dyDescent="0.2">
      <c r="A66" s="21" t="s">
        <v>22</v>
      </c>
      <c r="B66" s="21">
        <v>16</v>
      </c>
      <c r="C66" s="54">
        <v>3.3222591362126247E-3</v>
      </c>
      <c r="E66" s="21">
        <v>0</v>
      </c>
      <c r="F66" s="54">
        <v>0</v>
      </c>
      <c r="H66" s="21">
        <v>0</v>
      </c>
      <c r="I66" s="54">
        <v>0</v>
      </c>
      <c r="L66" s="21">
        <v>0</v>
      </c>
      <c r="M66" s="54">
        <v>0</v>
      </c>
      <c r="O66" s="21">
        <v>0</v>
      </c>
      <c r="P66" s="54">
        <v>0</v>
      </c>
      <c r="R66" s="21">
        <v>0</v>
      </c>
      <c r="S66" s="22">
        <v>0</v>
      </c>
    </row>
    <row r="67" spans="1:19" ht="15" customHeight="1" x14ac:dyDescent="0.2">
      <c r="A67" s="21" t="s">
        <v>24</v>
      </c>
      <c r="B67" s="21">
        <v>567</v>
      </c>
      <c r="C67" s="54">
        <v>1.6900300151715217E-3</v>
      </c>
      <c r="E67" s="21">
        <v>209</v>
      </c>
      <c r="F67" s="54">
        <v>1.0224548701139867E-2</v>
      </c>
      <c r="H67" s="21">
        <v>3</v>
      </c>
      <c r="I67" s="54">
        <v>7.0290534208059983E-4</v>
      </c>
      <c r="L67" s="21">
        <v>666</v>
      </c>
      <c r="M67" s="54">
        <v>8.3376106360870811E-3</v>
      </c>
      <c r="O67" s="21">
        <v>75</v>
      </c>
      <c r="P67" s="54">
        <v>2.508361204013378E-2</v>
      </c>
      <c r="R67" s="21">
        <v>2</v>
      </c>
      <c r="S67" s="22">
        <v>5.1679586563307496E-3</v>
      </c>
    </row>
    <row r="68" spans="1:19" ht="15" customHeight="1" x14ac:dyDescent="0.2">
      <c r="A68" s="21" t="s">
        <v>25</v>
      </c>
      <c r="B68" s="21">
        <v>46</v>
      </c>
      <c r="C68" s="54">
        <v>2.7366617486078719E-4</v>
      </c>
      <c r="E68" s="21">
        <v>87</v>
      </c>
      <c r="F68" s="54">
        <v>9.0305169192443427E-3</v>
      </c>
      <c r="H68" s="21">
        <v>1</v>
      </c>
      <c r="I68" s="54">
        <v>1.6393442622950821E-2</v>
      </c>
      <c r="L68" s="21">
        <v>0</v>
      </c>
      <c r="M68" s="54">
        <v>0</v>
      </c>
      <c r="O68" s="21">
        <v>0</v>
      </c>
      <c r="P68" s="54">
        <v>0</v>
      </c>
      <c r="R68" s="21">
        <v>0</v>
      </c>
      <c r="S68" s="22">
        <v>0</v>
      </c>
    </row>
    <row r="69" spans="1:19" ht="15" customHeight="1" x14ac:dyDescent="0.2">
      <c r="A69" s="21" t="s">
        <v>26</v>
      </c>
      <c r="B69" s="21">
        <v>342</v>
      </c>
      <c r="C69" s="54">
        <v>8.6835089501079085E-3</v>
      </c>
      <c r="E69" s="21">
        <v>109</v>
      </c>
      <c r="F69" s="54">
        <v>7.9100145137880981E-2</v>
      </c>
      <c r="H69" s="21">
        <v>0</v>
      </c>
      <c r="I69" s="54">
        <v>0</v>
      </c>
      <c r="L69" s="21">
        <v>0</v>
      </c>
      <c r="M69" s="54">
        <v>0</v>
      </c>
      <c r="O69" s="21">
        <v>0</v>
      </c>
      <c r="P69" s="54">
        <v>0</v>
      </c>
      <c r="R69" s="21">
        <v>0</v>
      </c>
      <c r="S69" s="22">
        <v>0</v>
      </c>
    </row>
    <row r="70" spans="1:19" ht="15" customHeight="1" x14ac:dyDescent="0.2">
      <c r="A70" s="21" t="s">
        <v>31</v>
      </c>
      <c r="B70" s="21">
        <v>10</v>
      </c>
      <c r="C70" s="54">
        <v>2.205071664829107E-3</v>
      </c>
      <c r="E70" s="21">
        <v>0</v>
      </c>
      <c r="F70" s="54">
        <v>0</v>
      </c>
      <c r="H70" s="21">
        <v>0</v>
      </c>
      <c r="I70" s="54">
        <v>0</v>
      </c>
      <c r="L70" s="21">
        <v>0</v>
      </c>
      <c r="M70" s="54">
        <v>0</v>
      </c>
      <c r="O70" s="21">
        <v>0</v>
      </c>
      <c r="P70" s="54">
        <v>0</v>
      </c>
      <c r="R70" s="21">
        <v>0</v>
      </c>
      <c r="S70" s="22">
        <v>0</v>
      </c>
    </row>
    <row r="71" spans="1:19" ht="15" customHeight="1" x14ac:dyDescent="0.2">
      <c r="A71" s="21" t="s">
        <v>34</v>
      </c>
      <c r="B71" s="21">
        <v>17</v>
      </c>
      <c r="C71" s="54">
        <v>9.9882491186839006E-3</v>
      </c>
      <c r="E71" s="21">
        <v>0</v>
      </c>
      <c r="F71" s="54">
        <v>0</v>
      </c>
      <c r="H71" s="21">
        <v>0</v>
      </c>
      <c r="I71" s="54">
        <v>0</v>
      </c>
      <c r="L71" s="21">
        <v>0</v>
      </c>
      <c r="M71" s="54">
        <v>0</v>
      </c>
      <c r="O71" s="21">
        <v>0</v>
      </c>
      <c r="P71" s="54">
        <v>0</v>
      </c>
      <c r="R71" s="21">
        <v>0</v>
      </c>
      <c r="S71" s="22">
        <v>0</v>
      </c>
    </row>
    <row r="72" spans="1:19" ht="15" customHeight="1" x14ac:dyDescent="0.2">
      <c r="A72" s="21" t="s">
        <v>85</v>
      </c>
      <c r="B72" s="21">
        <v>0</v>
      </c>
      <c r="C72" s="54">
        <v>0</v>
      </c>
      <c r="E72" s="21">
        <v>4</v>
      </c>
      <c r="F72" s="54">
        <v>6.8965517241379309E-2</v>
      </c>
      <c r="H72" s="21">
        <v>1</v>
      </c>
      <c r="I72" s="54">
        <v>1.0729613733905579E-3</v>
      </c>
      <c r="L72" s="21">
        <v>0</v>
      </c>
      <c r="M72" s="54">
        <v>0</v>
      </c>
      <c r="O72" s="21">
        <v>0</v>
      </c>
      <c r="P72" s="54">
        <v>0</v>
      </c>
      <c r="R72" s="21">
        <v>0</v>
      </c>
      <c r="S72" s="22">
        <v>0</v>
      </c>
    </row>
    <row r="73" spans="1:19" ht="15" customHeight="1" x14ac:dyDescent="0.2">
      <c r="A73" s="21" t="s">
        <v>39</v>
      </c>
      <c r="B73" s="21">
        <v>319</v>
      </c>
      <c r="C73" s="54">
        <v>0.1384548611111111</v>
      </c>
      <c r="E73" s="21">
        <v>100</v>
      </c>
      <c r="F73" s="54">
        <v>0.20618556701030927</v>
      </c>
      <c r="H73" s="21">
        <v>0</v>
      </c>
      <c r="I73" s="54">
        <v>0</v>
      </c>
      <c r="L73" s="21">
        <v>0</v>
      </c>
      <c r="M73" s="54">
        <v>0</v>
      </c>
      <c r="O73" s="21">
        <v>0</v>
      </c>
      <c r="P73" s="54">
        <v>0</v>
      </c>
      <c r="R73" s="21">
        <v>0</v>
      </c>
      <c r="S73" s="22">
        <v>0</v>
      </c>
    </row>
    <row r="74" spans="1:19" ht="15" customHeight="1" x14ac:dyDescent="0.2">
      <c r="A74" s="21" t="s">
        <v>42</v>
      </c>
      <c r="B74" s="21">
        <v>0</v>
      </c>
      <c r="C74" s="54">
        <v>0</v>
      </c>
      <c r="E74" s="21">
        <v>3</v>
      </c>
      <c r="F74" s="54">
        <v>5.6390977443609019E-3</v>
      </c>
      <c r="H74" s="21">
        <v>0</v>
      </c>
      <c r="I74" s="54">
        <v>0</v>
      </c>
      <c r="L74" s="21">
        <v>0</v>
      </c>
      <c r="M74" s="54">
        <v>0</v>
      </c>
      <c r="O74" s="21">
        <v>0</v>
      </c>
      <c r="P74" s="54">
        <v>0</v>
      </c>
      <c r="R74" s="21">
        <v>0</v>
      </c>
      <c r="S74" s="22">
        <v>0</v>
      </c>
    </row>
    <row r="75" spans="1:19" ht="15" customHeight="1" x14ac:dyDescent="0.2">
      <c r="A75" s="21" t="s">
        <v>46</v>
      </c>
      <c r="B75" s="21">
        <v>0</v>
      </c>
      <c r="C75" s="54">
        <v>0</v>
      </c>
      <c r="E75" s="21">
        <v>6</v>
      </c>
      <c r="F75" s="54">
        <v>8.5959885386819486E-3</v>
      </c>
      <c r="H75" s="21">
        <v>0</v>
      </c>
      <c r="I75" s="54">
        <v>0</v>
      </c>
      <c r="L75" s="21">
        <v>0</v>
      </c>
      <c r="M75" s="54">
        <v>0</v>
      </c>
      <c r="O75" s="21">
        <v>0</v>
      </c>
      <c r="P75" s="54">
        <v>0</v>
      </c>
      <c r="R75" s="21">
        <v>0</v>
      </c>
      <c r="S75" s="22">
        <v>0</v>
      </c>
    </row>
    <row r="76" spans="1:19" ht="15" customHeight="1" x14ac:dyDescent="0.2">
      <c r="A76" s="21" t="s">
        <v>48</v>
      </c>
      <c r="B76" s="21">
        <v>1355</v>
      </c>
      <c r="C76" s="54">
        <v>2.5676349145290238E-3</v>
      </c>
      <c r="E76" s="21">
        <v>497</v>
      </c>
      <c r="F76" s="54">
        <v>1.1526775981631375E-2</v>
      </c>
      <c r="H76" s="21">
        <v>1</v>
      </c>
      <c r="I76" s="54">
        <v>2.0279862096937742E-4</v>
      </c>
      <c r="L76" s="21">
        <v>2506</v>
      </c>
      <c r="M76" s="54">
        <v>2.3873487663141849E-2</v>
      </c>
      <c r="O76" s="21">
        <v>579</v>
      </c>
      <c r="P76" s="54">
        <v>4.1011474713132171E-2</v>
      </c>
      <c r="R76" s="21">
        <v>9</v>
      </c>
      <c r="S76" s="22">
        <v>2.0361990950226245E-2</v>
      </c>
    </row>
    <row r="77" spans="1:19" ht="15" customHeight="1" x14ac:dyDescent="0.2">
      <c r="A77" s="21" t="s">
        <v>139</v>
      </c>
      <c r="B77" s="21">
        <v>23</v>
      </c>
      <c r="C77" s="54">
        <v>2.7338642576964223E-3</v>
      </c>
      <c r="E77" s="21">
        <v>74</v>
      </c>
      <c r="F77" s="54">
        <v>1.2632297712529874E-2</v>
      </c>
      <c r="H77" s="21">
        <v>0</v>
      </c>
      <c r="I77" s="54">
        <v>0</v>
      </c>
      <c r="L77" s="21">
        <v>0</v>
      </c>
      <c r="M77" s="54">
        <v>0</v>
      </c>
      <c r="O77" s="21">
        <v>0</v>
      </c>
      <c r="P77" s="54">
        <v>0</v>
      </c>
      <c r="R77" s="21">
        <v>0</v>
      </c>
      <c r="S77" s="22">
        <v>0</v>
      </c>
    </row>
    <row r="78" spans="1:19" ht="15" customHeight="1" x14ac:dyDescent="0.2">
      <c r="A78" s="21" t="s">
        <v>53</v>
      </c>
      <c r="B78" s="21">
        <v>15</v>
      </c>
      <c r="C78" s="54">
        <v>1.9973368841544607E-3</v>
      </c>
      <c r="E78" s="21">
        <v>2</v>
      </c>
      <c r="F78" s="54">
        <v>3.3500837520938024E-3</v>
      </c>
      <c r="H78" s="21">
        <v>0</v>
      </c>
      <c r="I78" s="54">
        <v>0</v>
      </c>
      <c r="L78" s="21">
        <v>0</v>
      </c>
      <c r="M78" s="54">
        <v>0</v>
      </c>
      <c r="O78" s="21">
        <v>0</v>
      </c>
      <c r="P78" s="54">
        <v>0</v>
      </c>
      <c r="R78" s="21">
        <v>0</v>
      </c>
      <c r="S78" s="22">
        <v>0</v>
      </c>
    </row>
    <row r="79" spans="1:19" ht="15" customHeight="1" x14ac:dyDescent="0.2">
      <c r="A79" s="21" t="s">
        <v>54</v>
      </c>
      <c r="B79" s="21">
        <v>43</v>
      </c>
      <c r="C79" s="54">
        <v>2.0102851799906497E-2</v>
      </c>
      <c r="E79" s="21">
        <v>253</v>
      </c>
      <c r="F79" s="54">
        <v>6.8918550803595754E-2</v>
      </c>
      <c r="H79" s="21">
        <v>0</v>
      </c>
      <c r="I79" s="54">
        <v>0</v>
      </c>
      <c r="L79" s="21">
        <v>0</v>
      </c>
      <c r="M79" s="54">
        <v>0</v>
      </c>
      <c r="O79" s="21">
        <v>0</v>
      </c>
      <c r="P79" s="54">
        <v>0</v>
      </c>
      <c r="R79" s="21">
        <v>0</v>
      </c>
      <c r="S79" s="22">
        <v>0</v>
      </c>
    </row>
    <row r="80" spans="1:19" ht="15" customHeight="1" x14ac:dyDescent="0.2">
      <c r="A80" s="21" t="s">
        <v>59</v>
      </c>
      <c r="B80" s="21">
        <v>73</v>
      </c>
      <c r="C80" s="54">
        <v>0.11947626841243862</v>
      </c>
      <c r="E80" s="21">
        <v>8</v>
      </c>
      <c r="F80" s="54">
        <v>5.9259259259259262E-2</v>
      </c>
      <c r="H80" s="21">
        <v>0</v>
      </c>
      <c r="I80" s="54">
        <v>0</v>
      </c>
      <c r="L80" s="21">
        <v>5</v>
      </c>
      <c r="M80" s="54">
        <v>5.3191489361702128E-2</v>
      </c>
      <c r="O80" s="21">
        <v>0</v>
      </c>
      <c r="P80" s="54">
        <v>0</v>
      </c>
      <c r="R80" s="21">
        <v>0</v>
      </c>
      <c r="S80" s="22">
        <v>0</v>
      </c>
    </row>
    <row r="81" spans="1:19" ht="15" customHeight="1" x14ac:dyDescent="0.2">
      <c r="A81" s="21" t="s">
        <v>60</v>
      </c>
      <c r="B81" s="21">
        <v>11</v>
      </c>
      <c r="C81" s="54">
        <v>7.2789835892006353E-4</v>
      </c>
      <c r="E81" s="21">
        <v>0</v>
      </c>
      <c r="F81" s="54">
        <v>0</v>
      </c>
      <c r="H81" s="21">
        <v>0</v>
      </c>
      <c r="I81" s="54">
        <v>0</v>
      </c>
      <c r="L81" s="21">
        <v>0</v>
      </c>
      <c r="M81" s="54">
        <v>0</v>
      </c>
      <c r="O81" s="21">
        <v>0</v>
      </c>
      <c r="P81" s="54">
        <v>0</v>
      </c>
      <c r="R81" s="21">
        <v>0</v>
      </c>
      <c r="S81" s="22">
        <v>0</v>
      </c>
    </row>
    <row r="82" spans="1:19" ht="15" customHeight="1" x14ac:dyDescent="0.2">
      <c r="A82" s="21" t="s">
        <v>62</v>
      </c>
      <c r="B82" s="21">
        <v>213</v>
      </c>
      <c r="C82" s="54">
        <v>2.6916369702024412E-3</v>
      </c>
      <c r="E82" s="21">
        <v>86</v>
      </c>
      <c r="F82" s="54">
        <v>1.0639614004701224E-2</v>
      </c>
      <c r="H82" s="21">
        <v>1</v>
      </c>
      <c r="I82" s="54">
        <v>7.575757575757576E-3</v>
      </c>
      <c r="L82" s="21">
        <v>0</v>
      </c>
      <c r="M82" s="54">
        <v>0</v>
      </c>
      <c r="O82" s="21">
        <v>0</v>
      </c>
      <c r="P82" s="54">
        <v>0</v>
      </c>
      <c r="R82" s="21">
        <v>0</v>
      </c>
      <c r="S82" s="22">
        <v>0</v>
      </c>
    </row>
    <row r="83" spans="1:19" s="23" customFormat="1" ht="15" customHeight="1" x14ac:dyDescent="0.2">
      <c r="A83" s="23" t="s">
        <v>74</v>
      </c>
      <c r="B83" s="23">
        <v>3050</v>
      </c>
      <c r="C83" s="56">
        <v>1.5221733241370774E-3</v>
      </c>
      <c r="E83" s="23">
        <v>1438</v>
      </c>
      <c r="F83" s="56">
        <v>7.4035555601320076E-3</v>
      </c>
      <c r="H83" s="23">
        <v>7</v>
      </c>
      <c r="I83" s="56">
        <v>3.7257824143070045E-4</v>
      </c>
      <c r="J83" s="56"/>
      <c r="L83" s="23">
        <v>3177</v>
      </c>
      <c r="M83" s="56">
        <v>1.6146164206032577E-2</v>
      </c>
      <c r="O83" s="23">
        <v>654</v>
      </c>
      <c r="P83" s="56">
        <v>3.8227729717091416E-2</v>
      </c>
      <c r="R83" s="29">
        <v>11</v>
      </c>
      <c r="S83" s="24">
        <v>1.3142174432497013E-2</v>
      </c>
    </row>
    <row r="84" spans="1:19" ht="15" customHeight="1" x14ac:dyDescent="0.2"/>
    <row r="85" spans="1:19" s="27" customFormat="1" ht="15" customHeight="1" x14ac:dyDescent="0.2">
      <c r="A85" s="27" t="s">
        <v>75</v>
      </c>
      <c r="C85" s="57"/>
      <c r="F85" s="57"/>
      <c r="I85" s="57"/>
      <c r="J85" s="57"/>
      <c r="M85" s="57"/>
      <c r="P85" s="57"/>
    </row>
    <row r="86" spans="1:19" ht="15" customHeight="1" x14ac:dyDescent="0.2">
      <c r="A86" s="21" t="s">
        <v>24</v>
      </c>
      <c r="B86" s="21">
        <v>532</v>
      </c>
      <c r="C86" s="54">
        <v>1.7820415765038488E-3</v>
      </c>
      <c r="E86" s="21">
        <v>443</v>
      </c>
      <c r="F86" s="54">
        <v>1.1532554083253065E-2</v>
      </c>
      <c r="H86" s="21">
        <v>0</v>
      </c>
      <c r="I86" s="54">
        <v>0</v>
      </c>
      <c r="L86" s="21">
        <v>365</v>
      </c>
      <c r="M86" s="54">
        <v>2.8839620107141166E-3</v>
      </c>
      <c r="O86" s="21">
        <v>42</v>
      </c>
      <c r="P86" s="54">
        <v>1.7283950617283949E-2</v>
      </c>
      <c r="R86" s="21">
        <v>0</v>
      </c>
      <c r="S86" s="22">
        <v>0</v>
      </c>
    </row>
    <row r="87" spans="1:19" ht="15" customHeight="1" x14ac:dyDescent="0.2">
      <c r="A87" s="21" t="s">
        <v>25</v>
      </c>
      <c r="B87" s="21">
        <v>322</v>
      </c>
      <c r="C87" s="54">
        <v>6.3756063756063757E-3</v>
      </c>
      <c r="E87" s="21">
        <v>79</v>
      </c>
      <c r="F87" s="54">
        <v>9.3457943925233638E-3</v>
      </c>
      <c r="H87" s="21">
        <v>1</v>
      </c>
      <c r="I87" s="54">
        <v>6.5359477124183009E-3</v>
      </c>
      <c r="L87" s="21">
        <v>292</v>
      </c>
      <c r="M87" s="54">
        <v>1.2448840381991814E-2</v>
      </c>
      <c r="O87" s="21">
        <v>1</v>
      </c>
      <c r="P87" s="54">
        <v>7.6923076923076927E-2</v>
      </c>
      <c r="R87" s="21">
        <v>0</v>
      </c>
      <c r="S87" s="22">
        <v>0</v>
      </c>
    </row>
    <row r="88" spans="1:19" ht="15" customHeight="1" x14ac:dyDescent="0.2">
      <c r="A88" s="21" t="s">
        <v>26</v>
      </c>
      <c r="B88" s="21">
        <v>36</v>
      </c>
      <c r="C88" s="54">
        <v>5.7288351368555059E-3</v>
      </c>
      <c r="E88" s="21">
        <v>8</v>
      </c>
      <c r="F88" s="54">
        <v>3.5555555555555556E-2</v>
      </c>
      <c r="H88" s="21">
        <v>0</v>
      </c>
      <c r="I88" s="54">
        <v>0</v>
      </c>
      <c r="L88" s="21">
        <v>0</v>
      </c>
      <c r="M88" s="54">
        <v>0</v>
      </c>
      <c r="O88" s="21">
        <v>0</v>
      </c>
      <c r="P88" s="54">
        <v>0</v>
      </c>
      <c r="R88" s="21">
        <v>0</v>
      </c>
      <c r="S88" s="22">
        <v>0</v>
      </c>
    </row>
    <row r="89" spans="1:19" ht="15" customHeight="1" x14ac:dyDescent="0.2">
      <c r="A89" s="21" t="s">
        <v>31</v>
      </c>
      <c r="B89" s="21">
        <v>4</v>
      </c>
      <c r="C89" s="54">
        <v>2.0253164556962027E-3</v>
      </c>
      <c r="E89" s="21">
        <v>0</v>
      </c>
      <c r="F89" s="54">
        <v>0</v>
      </c>
      <c r="H89" s="21">
        <v>0</v>
      </c>
      <c r="I89" s="54">
        <v>0</v>
      </c>
      <c r="L89" s="21">
        <v>0</v>
      </c>
      <c r="M89" s="54">
        <v>0</v>
      </c>
      <c r="O89" s="21">
        <v>0</v>
      </c>
      <c r="P89" s="54">
        <v>0</v>
      </c>
      <c r="R89" s="21">
        <v>0</v>
      </c>
      <c r="S89" s="22">
        <v>0</v>
      </c>
    </row>
    <row r="90" spans="1:19" ht="15" customHeight="1" x14ac:dyDescent="0.2">
      <c r="A90" s="21" t="s">
        <v>34</v>
      </c>
      <c r="B90" s="21">
        <v>1</v>
      </c>
      <c r="C90" s="54">
        <v>8.0064051240992789E-4</v>
      </c>
      <c r="E90" s="21">
        <v>0</v>
      </c>
      <c r="F90" s="54">
        <v>0</v>
      </c>
      <c r="H90" s="21">
        <v>0</v>
      </c>
      <c r="I90" s="54">
        <v>0</v>
      </c>
      <c r="L90" s="21">
        <v>0</v>
      </c>
      <c r="M90" s="54">
        <v>0</v>
      </c>
      <c r="O90" s="21">
        <v>0</v>
      </c>
      <c r="P90" s="54">
        <v>0</v>
      </c>
      <c r="R90" s="21">
        <v>0</v>
      </c>
      <c r="S90" s="22">
        <v>0</v>
      </c>
    </row>
    <row r="91" spans="1:19" ht="15" customHeight="1" x14ac:dyDescent="0.2">
      <c r="A91" s="21" t="s">
        <v>85</v>
      </c>
      <c r="B91" s="21">
        <v>0</v>
      </c>
      <c r="C91" s="54">
        <v>0</v>
      </c>
      <c r="E91" s="21">
        <v>13</v>
      </c>
      <c r="F91" s="54">
        <v>0.23636363636363636</v>
      </c>
      <c r="H91" s="21">
        <v>1</v>
      </c>
      <c r="I91" s="54">
        <v>1.6129032258064516E-2</v>
      </c>
      <c r="L91" s="21">
        <v>0</v>
      </c>
      <c r="M91" s="54">
        <v>0</v>
      </c>
      <c r="O91" s="21">
        <v>0</v>
      </c>
      <c r="P91" s="54">
        <v>0</v>
      </c>
      <c r="R91" s="21">
        <v>0</v>
      </c>
      <c r="S91" s="22">
        <v>0</v>
      </c>
    </row>
    <row r="92" spans="1:19" ht="15" customHeight="1" x14ac:dyDescent="0.2">
      <c r="A92" s="21" t="s">
        <v>42</v>
      </c>
      <c r="B92" s="21">
        <v>10</v>
      </c>
      <c r="C92" s="54">
        <v>2.802140835598397E-4</v>
      </c>
      <c r="E92" s="21">
        <v>11</v>
      </c>
      <c r="F92" s="54">
        <v>4.0816326530612249E-3</v>
      </c>
      <c r="H92" s="21">
        <v>0</v>
      </c>
      <c r="I92" s="54">
        <v>0</v>
      </c>
      <c r="L92" s="21">
        <v>0</v>
      </c>
      <c r="M92" s="54">
        <v>0</v>
      </c>
      <c r="O92" s="21">
        <v>0</v>
      </c>
      <c r="P92" s="54">
        <v>0</v>
      </c>
      <c r="R92" s="21">
        <v>0</v>
      </c>
      <c r="S92" s="22">
        <v>0</v>
      </c>
    </row>
    <row r="93" spans="1:19" ht="15" customHeight="1" x14ac:dyDescent="0.2">
      <c r="A93" s="21" t="s">
        <v>45</v>
      </c>
      <c r="B93" s="21">
        <v>11</v>
      </c>
      <c r="C93" s="54">
        <v>2.9737766964044337E-3</v>
      </c>
      <c r="E93" s="21">
        <v>36</v>
      </c>
      <c r="F93" s="54">
        <v>1.2224108658743633E-2</v>
      </c>
      <c r="H93" s="21">
        <v>0</v>
      </c>
      <c r="I93" s="54">
        <v>0</v>
      </c>
      <c r="L93" s="21">
        <v>0</v>
      </c>
      <c r="M93" s="54">
        <v>0</v>
      </c>
      <c r="O93" s="21">
        <v>0</v>
      </c>
      <c r="P93" s="54">
        <v>0</v>
      </c>
      <c r="R93" s="21">
        <v>0</v>
      </c>
      <c r="S93" s="22">
        <v>0</v>
      </c>
    </row>
    <row r="94" spans="1:19" ht="15" customHeight="1" x14ac:dyDescent="0.2">
      <c r="A94" s="21" t="s">
        <v>46</v>
      </c>
      <c r="B94" s="21">
        <v>0</v>
      </c>
      <c r="C94" s="54">
        <v>0</v>
      </c>
      <c r="E94" s="21">
        <v>6</v>
      </c>
      <c r="F94" s="54">
        <v>2.3255813953488372E-2</v>
      </c>
      <c r="H94" s="21">
        <v>0</v>
      </c>
      <c r="I94" s="54">
        <v>0</v>
      </c>
      <c r="L94" s="21">
        <v>0</v>
      </c>
      <c r="M94" s="54">
        <v>0</v>
      </c>
      <c r="O94" s="21">
        <v>0</v>
      </c>
      <c r="P94" s="54">
        <v>0</v>
      </c>
      <c r="R94" s="21">
        <v>0</v>
      </c>
      <c r="S94" s="22">
        <v>0</v>
      </c>
    </row>
    <row r="95" spans="1:19" ht="15" customHeight="1" x14ac:dyDescent="0.2">
      <c r="A95" s="21" t="s">
        <v>48</v>
      </c>
      <c r="B95" s="21">
        <v>276</v>
      </c>
      <c r="C95" s="54">
        <v>1.3647691759958859E-3</v>
      </c>
      <c r="E95" s="21">
        <v>159</v>
      </c>
      <c r="F95" s="54">
        <v>6.9963917979406843E-3</v>
      </c>
      <c r="H95" s="21">
        <v>1</v>
      </c>
      <c r="I95" s="54">
        <v>5.7339449541284407E-4</v>
      </c>
      <c r="L95" s="21">
        <v>1720</v>
      </c>
      <c r="M95" s="54">
        <v>9.3313440933134404E-3</v>
      </c>
      <c r="O95" s="21">
        <v>271</v>
      </c>
      <c r="P95" s="54">
        <v>4.1073052440133373E-2</v>
      </c>
      <c r="R95" s="21">
        <v>10</v>
      </c>
      <c r="S95" s="22">
        <v>1.86219739292365E-2</v>
      </c>
    </row>
    <row r="96" spans="1:19" ht="15" customHeight="1" x14ac:dyDescent="0.2">
      <c r="A96" s="21" t="s">
        <v>139</v>
      </c>
      <c r="B96" s="21">
        <v>33</v>
      </c>
      <c r="C96" s="54">
        <v>1.5651678998292544E-3</v>
      </c>
      <c r="E96" s="21">
        <v>62</v>
      </c>
      <c r="F96" s="54">
        <v>1.6990956426418197E-2</v>
      </c>
      <c r="H96" s="21">
        <v>0</v>
      </c>
      <c r="I96" s="54">
        <v>0</v>
      </c>
      <c r="L96" s="21">
        <v>0</v>
      </c>
      <c r="M96" s="54">
        <v>0</v>
      </c>
      <c r="O96" s="21">
        <v>0</v>
      </c>
      <c r="P96" s="54">
        <v>0</v>
      </c>
      <c r="R96" s="21">
        <v>0</v>
      </c>
      <c r="S96" s="22">
        <v>0</v>
      </c>
    </row>
    <row r="97" spans="1:19" ht="15" customHeight="1" x14ac:dyDescent="0.2">
      <c r="A97" s="21" t="s">
        <v>54</v>
      </c>
      <c r="B97" s="21">
        <v>4</v>
      </c>
      <c r="C97" s="54">
        <v>3.2000000000000001E-2</v>
      </c>
      <c r="E97" s="21">
        <v>11</v>
      </c>
      <c r="F97" s="54">
        <v>6.6265060240963861E-2</v>
      </c>
      <c r="H97" s="21">
        <v>0</v>
      </c>
      <c r="I97" s="54">
        <v>0</v>
      </c>
      <c r="L97" s="21">
        <v>0</v>
      </c>
      <c r="M97" s="54">
        <v>0</v>
      </c>
      <c r="O97" s="21">
        <v>0</v>
      </c>
      <c r="P97" s="54">
        <v>0</v>
      </c>
      <c r="R97" s="21">
        <v>0</v>
      </c>
      <c r="S97" s="22">
        <v>0</v>
      </c>
    </row>
    <row r="98" spans="1:19" ht="15" customHeight="1" x14ac:dyDescent="0.2">
      <c r="A98" s="21" t="s">
        <v>59</v>
      </c>
      <c r="B98" s="21">
        <v>31</v>
      </c>
      <c r="C98" s="54">
        <v>1.7960602549246814E-2</v>
      </c>
      <c r="E98" s="21">
        <v>0</v>
      </c>
      <c r="F98" s="54">
        <v>0</v>
      </c>
      <c r="H98" s="21">
        <v>0</v>
      </c>
      <c r="I98" s="54">
        <v>0</v>
      </c>
      <c r="L98" s="21">
        <v>34</v>
      </c>
      <c r="M98" s="54">
        <v>3.5527690700104496E-2</v>
      </c>
      <c r="O98" s="21">
        <v>0</v>
      </c>
      <c r="P98" s="54">
        <v>0</v>
      </c>
      <c r="R98" s="21">
        <v>0</v>
      </c>
      <c r="S98" s="22">
        <v>0</v>
      </c>
    </row>
    <row r="99" spans="1:19" ht="15" customHeight="1" x14ac:dyDescent="0.2">
      <c r="A99" s="21" t="s">
        <v>60</v>
      </c>
      <c r="B99" s="21">
        <v>44</v>
      </c>
      <c r="C99" s="54">
        <v>5.5240295284487517E-4</v>
      </c>
      <c r="E99" s="21">
        <v>17</v>
      </c>
      <c r="F99" s="54">
        <v>4.4224765868886573E-3</v>
      </c>
      <c r="H99" s="21">
        <v>0</v>
      </c>
      <c r="I99" s="54">
        <v>0</v>
      </c>
      <c r="L99" s="21">
        <v>42</v>
      </c>
      <c r="M99" s="54">
        <v>1.0040640688501075E-3</v>
      </c>
      <c r="O99" s="21">
        <v>0</v>
      </c>
      <c r="P99" s="54">
        <v>0</v>
      </c>
      <c r="R99" s="21">
        <v>0</v>
      </c>
      <c r="S99" s="22">
        <v>0</v>
      </c>
    </row>
    <row r="100" spans="1:19" s="23" customFormat="1" ht="15" customHeight="1" x14ac:dyDescent="0.2">
      <c r="A100" s="23" t="s">
        <v>76</v>
      </c>
      <c r="B100" s="23">
        <v>1304</v>
      </c>
      <c r="C100" s="56">
        <v>1.6795812381501937E-3</v>
      </c>
      <c r="E100" s="23">
        <v>845</v>
      </c>
      <c r="F100" s="56">
        <v>9.5769156664739941E-3</v>
      </c>
      <c r="H100" s="23">
        <v>3</v>
      </c>
      <c r="I100" s="56">
        <v>2.8153153153153153E-4</v>
      </c>
      <c r="J100" s="56"/>
      <c r="L100" s="23">
        <v>2453</v>
      </c>
      <c r="M100" s="56">
        <v>5.6681116153540429E-3</v>
      </c>
      <c r="O100" s="23">
        <v>314</v>
      </c>
      <c r="P100" s="56">
        <v>3.2021211503161333E-2</v>
      </c>
      <c r="R100" s="29">
        <v>10</v>
      </c>
      <c r="S100" s="24">
        <v>1.2195121951219513E-2</v>
      </c>
    </row>
    <row r="101" spans="1:19" ht="15" customHeight="1" x14ac:dyDescent="0.2"/>
    <row r="102" spans="1:19" s="27" customFormat="1" ht="15" customHeight="1" x14ac:dyDescent="0.2">
      <c r="A102" s="27" t="s">
        <v>77</v>
      </c>
      <c r="C102" s="57"/>
      <c r="F102" s="57"/>
      <c r="I102" s="57"/>
      <c r="J102" s="57"/>
      <c r="M102" s="57"/>
      <c r="P102" s="57"/>
    </row>
    <row r="103" spans="1:19" ht="15" customHeight="1" x14ac:dyDescent="0.2">
      <c r="A103" s="21" t="s">
        <v>27</v>
      </c>
      <c r="B103" s="21">
        <v>648</v>
      </c>
      <c r="C103" s="54">
        <v>2.6564126950290646E-3</v>
      </c>
      <c r="E103" s="21">
        <v>283</v>
      </c>
      <c r="F103" s="54">
        <v>7.9245071684587807E-3</v>
      </c>
      <c r="H103" s="21">
        <v>5</v>
      </c>
      <c r="I103" s="54">
        <v>2.3685457129322598E-3</v>
      </c>
      <c r="S103" s="22"/>
    </row>
    <row r="104" spans="1:19" ht="15" customHeight="1" x14ac:dyDescent="0.2">
      <c r="A104" s="21" t="s">
        <v>85</v>
      </c>
      <c r="B104" s="21">
        <v>0</v>
      </c>
      <c r="C104" s="54">
        <v>0</v>
      </c>
      <c r="E104" s="21">
        <v>30</v>
      </c>
      <c r="F104" s="54">
        <v>0.1276595744680851</v>
      </c>
      <c r="H104" s="21">
        <v>1</v>
      </c>
      <c r="I104" s="54">
        <v>3.7735849056603774E-3</v>
      </c>
      <c r="S104" s="22"/>
    </row>
    <row r="105" spans="1:19" s="23" customFormat="1" ht="15" customHeight="1" x14ac:dyDescent="0.2">
      <c r="A105" s="23" t="s">
        <v>78</v>
      </c>
      <c r="B105" s="23">
        <v>648</v>
      </c>
      <c r="C105" s="56">
        <v>2.6556615179072732E-3</v>
      </c>
      <c r="E105" s="23">
        <v>313</v>
      </c>
      <c r="F105" s="56">
        <v>8.7055682260666414E-3</v>
      </c>
      <c r="H105" s="23">
        <v>6</v>
      </c>
      <c r="I105" s="56">
        <v>2.5188916876574307E-3</v>
      </c>
      <c r="J105" s="56"/>
      <c r="M105" s="56"/>
      <c r="P105" s="56"/>
      <c r="R105" s="29"/>
      <c r="S105" s="24"/>
    </row>
  </sheetData>
  <mergeCells count="6">
    <mergeCell ref="R4:S4"/>
    <mergeCell ref="B4:C4"/>
    <mergeCell ref="E4:F4"/>
    <mergeCell ref="H4:I4"/>
    <mergeCell ref="L4:M4"/>
    <mergeCell ref="O4:P4"/>
  </mergeCells>
  <conditionalFormatting sqref="A5">
    <cfRule type="duplicateValues" dxfId="4" priority="2"/>
  </conditionalFormatting>
  <conditionalFormatting sqref="K5">
    <cfRule type="duplicateValues" dxfId="3" priority="1"/>
  </conditionalFormatting>
  <dataValidations count="2">
    <dataValidation type="list" allowBlank="1" showInputMessage="1" showErrorMessage="1" sqref="A103:A105 A138:A140 A131:A133 A124:A126 A117:A119 A110:A112">
      <formula1>$A$12:$A$31</formula1>
    </dataValidation>
    <dataValidation type="list" allowBlank="1" showInputMessage="1" showErrorMessage="1" sqref="K119:K121 K126:K128 K133:K135 K140:K142 K147:K149 K154:K156">
      <formula1>$A$10:$A$20</formula1>
    </dataValidation>
  </dataValidations>
  <hyperlinks>
    <hyperlink ref="B1" location="Contents!A1" display="Back to Contents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3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 x14ac:dyDescent="0.25"/>
  <cols>
    <col min="1" max="1" width="21.140625" style="49" customWidth="1"/>
    <col min="2" max="5" width="13.85546875" customWidth="1"/>
    <col min="6" max="6" width="1.7109375" customWidth="1"/>
    <col min="7" max="7" width="13.85546875" style="21" customWidth="1"/>
    <col min="9" max="12" width="13.85546875" style="22" customWidth="1"/>
  </cols>
  <sheetData>
    <row r="1" spans="1:12" x14ac:dyDescent="0.25">
      <c r="A1" s="1" t="s">
        <v>0</v>
      </c>
      <c r="B1" s="87" t="s">
        <v>189</v>
      </c>
      <c r="C1" s="4"/>
    </row>
    <row r="2" spans="1:12" x14ac:dyDescent="0.25">
      <c r="A2" s="37" t="s">
        <v>161</v>
      </c>
      <c r="B2" s="13"/>
      <c r="C2" s="4"/>
    </row>
    <row r="3" spans="1:12" x14ac:dyDescent="0.25">
      <c r="A3" s="10" t="s">
        <v>16</v>
      </c>
      <c r="B3" s="59" t="s">
        <v>3</v>
      </c>
      <c r="C3" s="58"/>
      <c r="D3" s="58"/>
      <c r="E3" s="58"/>
      <c r="F3" s="58"/>
      <c r="G3" s="58"/>
    </row>
    <row r="4" spans="1:12" x14ac:dyDescent="0.25">
      <c r="A4" s="1" t="s">
        <v>6</v>
      </c>
      <c r="B4" s="122" t="s">
        <v>132</v>
      </c>
      <c r="C4" s="122"/>
      <c r="D4" s="122"/>
      <c r="E4" s="122"/>
      <c r="F4" s="122"/>
      <c r="G4" s="122"/>
      <c r="H4" s="129" t="s">
        <v>145</v>
      </c>
      <c r="I4" s="129"/>
      <c r="J4" s="129"/>
      <c r="K4" s="129"/>
      <c r="L4" s="129"/>
    </row>
    <row r="5" spans="1:12" s="36" customFormat="1" ht="63.6" customHeight="1" x14ac:dyDescent="0.25">
      <c r="A5" s="48" t="s">
        <v>11</v>
      </c>
      <c r="B5" s="35" t="s">
        <v>108</v>
      </c>
      <c r="C5" s="35" t="s">
        <v>109</v>
      </c>
      <c r="D5" s="35" t="s">
        <v>110</v>
      </c>
      <c r="E5" s="35" t="s">
        <v>111</v>
      </c>
      <c r="G5" s="45" t="s">
        <v>107</v>
      </c>
      <c r="I5" s="69" t="s">
        <v>108</v>
      </c>
      <c r="J5" s="69" t="s">
        <v>109</v>
      </c>
      <c r="K5" s="69" t="s">
        <v>110</v>
      </c>
      <c r="L5" s="69" t="s">
        <v>111</v>
      </c>
    </row>
    <row r="6" spans="1:12" x14ac:dyDescent="0.25">
      <c r="A6" s="20" t="s">
        <v>22</v>
      </c>
      <c r="B6" s="21">
        <v>0</v>
      </c>
      <c r="C6" s="21">
        <v>26</v>
      </c>
      <c r="D6" s="21">
        <v>1</v>
      </c>
      <c r="E6" s="21">
        <v>63</v>
      </c>
      <c r="G6" s="21">
        <f>SUM(B6:E6)</f>
        <v>90</v>
      </c>
      <c r="I6" s="22">
        <f>IFERROR(B6/$G6,0)</f>
        <v>0</v>
      </c>
      <c r="J6" s="22">
        <f t="shared" ref="J6:L6" si="0">IFERROR(C6/$G6,0)</f>
        <v>0.28888888888888886</v>
      </c>
      <c r="K6" s="22">
        <f t="shared" si="0"/>
        <v>1.1111111111111112E-2</v>
      </c>
      <c r="L6" s="22">
        <f t="shared" si="0"/>
        <v>0.7</v>
      </c>
    </row>
    <row r="7" spans="1:12" x14ac:dyDescent="0.25">
      <c r="A7" s="20" t="s">
        <v>23</v>
      </c>
      <c r="B7" s="21">
        <v>0</v>
      </c>
      <c r="C7" s="21">
        <v>460</v>
      </c>
      <c r="D7" s="21">
        <v>895</v>
      </c>
      <c r="E7" s="21">
        <v>776</v>
      </c>
      <c r="G7" s="21">
        <f t="shared" ref="G7:G39" si="1">SUM(B7:E7)</f>
        <v>2131</v>
      </c>
      <c r="I7" s="22">
        <f t="shared" ref="I7:I70" si="2">IFERROR(B7/$G7,0)</f>
        <v>0</v>
      </c>
      <c r="J7" s="22">
        <f t="shared" ref="J7:J70" si="3">IFERROR(C7/$G7,0)</f>
        <v>0.21586109807602064</v>
      </c>
      <c r="K7" s="22">
        <f t="shared" ref="K7:K70" si="4">IFERROR(D7/$G7,0)</f>
        <v>0.41999061473486626</v>
      </c>
      <c r="L7" s="22">
        <f t="shared" ref="L7:L70" si="5">IFERROR(E7/$G7,0)</f>
        <v>0.36414828718911307</v>
      </c>
    </row>
    <row r="8" spans="1:12" x14ac:dyDescent="0.25">
      <c r="A8" s="20" t="s">
        <v>24</v>
      </c>
      <c r="B8" s="21">
        <v>0</v>
      </c>
      <c r="C8" s="21">
        <v>5325</v>
      </c>
      <c r="D8" s="21">
        <v>10156</v>
      </c>
      <c r="E8" s="21">
        <v>6975</v>
      </c>
      <c r="G8" s="21">
        <f t="shared" si="1"/>
        <v>22456</v>
      </c>
      <c r="I8" s="22">
        <f t="shared" si="2"/>
        <v>0</v>
      </c>
      <c r="J8" s="22">
        <f t="shared" si="3"/>
        <v>0.23713038831492697</v>
      </c>
      <c r="K8" s="22">
        <f t="shared" si="4"/>
        <v>0.45226220163876024</v>
      </c>
      <c r="L8" s="22">
        <f t="shared" si="5"/>
        <v>0.31060741004631282</v>
      </c>
    </row>
    <row r="9" spans="1:12" x14ac:dyDescent="0.25">
      <c r="A9" s="20" t="s">
        <v>25</v>
      </c>
      <c r="B9" s="21">
        <v>0</v>
      </c>
      <c r="C9" s="21">
        <v>883</v>
      </c>
      <c r="D9" s="21">
        <v>153</v>
      </c>
      <c r="E9" s="21">
        <v>2239</v>
      </c>
      <c r="G9" s="21">
        <f t="shared" si="1"/>
        <v>3275</v>
      </c>
      <c r="I9" s="22">
        <f t="shared" si="2"/>
        <v>0</v>
      </c>
      <c r="J9" s="22">
        <f t="shared" si="3"/>
        <v>0.26961832061068702</v>
      </c>
      <c r="K9" s="22">
        <f t="shared" si="4"/>
        <v>4.6717557251908397E-2</v>
      </c>
      <c r="L9" s="22">
        <f t="shared" si="5"/>
        <v>0.68366412213740457</v>
      </c>
    </row>
    <row r="10" spans="1:12" x14ac:dyDescent="0.25">
      <c r="A10" s="20" t="s">
        <v>26</v>
      </c>
      <c r="B10" s="21">
        <v>0</v>
      </c>
      <c r="C10" s="21">
        <v>756</v>
      </c>
      <c r="D10" s="21">
        <v>423</v>
      </c>
      <c r="E10" s="21">
        <v>105</v>
      </c>
      <c r="G10" s="21">
        <f t="shared" si="1"/>
        <v>1284</v>
      </c>
      <c r="I10" s="22">
        <f t="shared" si="2"/>
        <v>0</v>
      </c>
      <c r="J10" s="22">
        <f t="shared" si="3"/>
        <v>0.58878504672897192</v>
      </c>
      <c r="K10" s="22">
        <f t="shared" si="4"/>
        <v>0.32943925233644861</v>
      </c>
      <c r="L10" s="22">
        <f t="shared" si="5"/>
        <v>8.1775700934579434E-2</v>
      </c>
    </row>
    <row r="11" spans="1:12" x14ac:dyDescent="0.25">
      <c r="A11" s="20" t="s">
        <v>27</v>
      </c>
      <c r="B11" s="21">
        <v>2290</v>
      </c>
      <c r="C11" s="21">
        <v>87</v>
      </c>
      <c r="D11" s="21">
        <v>777</v>
      </c>
      <c r="E11" s="21">
        <v>2929</v>
      </c>
      <c r="G11" s="21">
        <f t="shared" si="1"/>
        <v>6083</v>
      </c>
      <c r="I11" s="22">
        <f t="shared" si="2"/>
        <v>0.37645898405392075</v>
      </c>
      <c r="J11" s="22">
        <f t="shared" si="3"/>
        <v>1.4302153542659872E-2</v>
      </c>
      <c r="K11" s="22">
        <f t="shared" si="4"/>
        <v>0.12773302646720369</v>
      </c>
      <c r="L11" s="22">
        <f t="shared" si="5"/>
        <v>0.48150583593621571</v>
      </c>
    </row>
    <row r="12" spans="1:12" x14ac:dyDescent="0.25">
      <c r="A12" s="20" t="s">
        <v>29</v>
      </c>
      <c r="B12" s="21">
        <v>0</v>
      </c>
      <c r="C12" s="21">
        <v>1</v>
      </c>
      <c r="D12" s="21">
        <v>0</v>
      </c>
      <c r="E12" s="21">
        <v>23</v>
      </c>
      <c r="G12" s="21">
        <f t="shared" si="1"/>
        <v>24</v>
      </c>
      <c r="I12" s="22">
        <f t="shared" si="2"/>
        <v>0</v>
      </c>
      <c r="J12" s="22">
        <f t="shared" si="3"/>
        <v>4.1666666666666664E-2</v>
      </c>
      <c r="K12" s="22">
        <f t="shared" si="4"/>
        <v>0</v>
      </c>
      <c r="L12" s="22">
        <f t="shared" si="5"/>
        <v>0.95833333333333337</v>
      </c>
    </row>
    <row r="13" spans="1:12" x14ac:dyDescent="0.25">
      <c r="A13" s="20" t="s">
        <v>30</v>
      </c>
      <c r="B13" s="21">
        <v>0</v>
      </c>
      <c r="C13" s="21">
        <v>4</v>
      </c>
      <c r="D13" s="21">
        <v>5</v>
      </c>
      <c r="E13" s="21">
        <v>74</v>
      </c>
      <c r="G13" s="21">
        <f t="shared" si="1"/>
        <v>83</v>
      </c>
      <c r="I13" s="22">
        <f t="shared" si="2"/>
        <v>0</v>
      </c>
      <c r="J13" s="22">
        <f t="shared" si="3"/>
        <v>4.8192771084337352E-2</v>
      </c>
      <c r="K13" s="22">
        <f t="shared" si="4"/>
        <v>6.0240963855421686E-2</v>
      </c>
      <c r="L13" s="22">
        <f t="shared" si="5"/>
        <v>0.89156626506024095</v>
      </c>
    </row>
    <row r="14" spans="1:12" x14ac:dyDescent="0.25">
      <c r="A14" s="20" t="s">
        <v>31</v>
      </c>
      <c r="B14" s="21">
        <v>0</v>
      </c>
      <c r="C14" s="21">
        <v>13</v>
      </c>
      <c r="D14" s="21">
        <v>10</v>
      </c>
      <c r="E14" s="21">
        <v>79</v>
      </c>
      <c r="G14" s="21">
        <f t="shared" si="1"/>
        <v>102</v>
      </c>
      <c r="I14" s="22">
        <f t="shared" si="2"/>
        <v>0</v>
      </c>
      <c r="J14" s="22">
        <f t="shared" si="3"/>
        <v>0.12745098039215685</v>
      </c>
      <c r="K14" s="22">
        <f t="shared" si="4"/>
        <v>9.8039215686274508E-2</v>
      </c>
      <c r="L14" s="22">
        <f t="shared" si="5"/>
        <v>0.77450980392156865</v>
      </c>
    </row>
    <row r="15" spans="1:12" x14ac:dyDescent="0.25">
      <c r="A15" s="20" t="s">
        <v>33</v>
      </c>
      <c r="B15" s="21">
        <v>0</v>
      </c>
      <c r="C15" s="21">
        <v>31</v>
      </c>
      <c r="D15" s="21">
        <v>0</v>
      </c>
      <c r="E15" s="21">
        <v>140</v>
      </c>
      <c r="G15" s="21">
        <f t="shared" si="1"/>
        <v>171</v>
      </c>
      <c r="I15" s="22">
        <f t="shared" si="2"/>
        <v>0</v>
      </c>
      <c r="J15" s="22">
        <f t="shared" si="3"/>
        <v>0.18128654970760233</v>
      </c>
      <c r="K15" s="22">
        <f t="shared" si="4"/>
        <v>0</v>
      </c>
      <c r="L15" s="22">
        <f t="shared" si="5"/>
        <v>0.81871345029239762</v>
      </c>
    </row>
    <row r="16" spans="1:12" x14ac:dyDescent="0.25">
      <c r="A16" s="20" t="s">
        <v>34</v>
      </c>
      <c r="B16" s="21">
        <v>0</v>
      </c>
      <c r="C16" s="21">
        <v>1</v>
      </c>
      <c r="D16" s="21">
        <v>9</v>
      </c>
      <c r="E16" s="21">
        <v>352</v>
      </c>
      <c r="G16" s="21">
        <f t="shared" si="1"/>
        <v>362</v>
      </c>
      <c r="I16" s="22">
        <f t="shared" si="2"/>
        <v>0</v>
      </c>
      <c r="J16" s="22">
        <f t="shared" si="3"/>
        <v>2.7624309392265192E-3</v>
      </c>
      <c r="K16" s="22">
        <f t="shared" si="4"/>
        <v>2.4861878453038673E-2</v>
      </c>
      <c r="L16" s="22">
        <f t="shared" si="5"/>
        <v>0.97237569060773477</v>
      </c>
    </row>
    <row r="17" spans="1:12" x14ac:dyDescent="0.25">
      <c r="A17" s="20" t="s">
        <v>35</v>
      </c>
      <c r="B17" s="21">
        <v>1652</v>
      </c>
      <c r="C17" s="21">
        <v>1205</v>
      </c>
      <c r="D17" s="21">
        <v>3142</v>
      </c>
      <c r="E17" s="21">
        <v>5427</v>
      </c>
      <c r="G17" s="21">
        <f t="shared" si="1"/>
        <v>11426</v>
      </c>
      <c r="I17" s="22">
        <f t="shared" si="2"/>
        <v>0.14458253106949062</v>
      </c>
      <c r="J17" s="22">
        <f t="shared" si="3"/>
        <v>0.10546122877647471</v>
      </c>
      <c r="K17" s="22">
        <f t="shared" si="4"/>
        <v>0.27498687204621042</v>
      </c>
      <c r="L17" s="22">
        <f t="shared" si="5"/>
        <v>0.47496936810782425</v>
      </c>
    </row>
    <row r="18" spans="1:12" x14ac:dyDescent="0.25">
      <c r="A18" s="20" t="s">
        <v>36</v>
      </c>
      <c r="B18" s="21">
        <v>107</v>
      </c>
      <c r="C18" s="21">
        <v>131</v>
      </c>
      <c r="D18" s="21">
        <v>12</v>
      </c>
      <c r="E18" s="21">
        <v>122</v>
      </c>
      <c r="G18" s="21">
        <f t="shared" si="1"/>
        <v>372</v>
      </c>
      <c r="I18" s="22">
        <f t="shared" si="2"/>
        <v>0.28763440860215056</v>
      </c>
      <c r="J18" s="22">
        <f t="shared" si="3"/>
        <v>0.35215053763440862</v>
      </c>
      <c r="K18" s="22">
        <f t="shared" si="4"/>
        <v>3.2258064516129031E-2</v>
      </c>
      <c r="L18" s="22">
        <f t="shared" si="5"/>
        <v>0.32795698924731181</v>
      </c>
    </row>
    <row r="19" spans="1:12" x14ac:dyDescent="0.25">
      <c r="A19" s="20" t="s">
        <v>37</v>
      </c>
      <c r="B19" s="21">
        <v>0</v>
      </c>
      <c r="C19" s="21">
        <v>2374</v>
      </c>
      <c r="D19" s="21">
        <v>1210</v>
      </c>
      <c r="E19" s="21">
        <v>4504</v>
      </c>
      <c r="G19" s="21">
        <f t="shared" si="1"/>
        <v>8088</v>
      </c>
      <c r="I19" s="22">
        <f t="shared" si="2"/>
        <v>0</v>
      </c>
      <c r="J19" s="22">
        <f t="shared" si="3"/>
        <v>0.29352126607319484</v>
      </c>
      <c r="K19" s="22">
        <f t="shared" si="4"/>
        <v>0.14960435212660733</v>
      </c>
      <c r="L19" s="22">
        <f t="shared" si="5"/>
        <v>0.55687438180019777</v>
      </c>
    </row>
    <row r="20" spans="1:12" x14ac:dyDescent="0.25">
      <c r="A20" s="20" t="s">
        <v>85</v>
      </c>
      <c r="B20" s="21">
        <v>0</v>
      </c>
      <c r="C20" s="21">
        <v>3</v>
      </c>
      <c r="D20" s="21">
        <v>0</v>
      </c>
      <c r="E20" s="21">
        <v>0</v>
      </c>
      <c r="G20" s="21">
        <f t="shared" si="1"/>
        <v>3</v>
      </c>
      <c r="I20" s="22">
        <f t="shared" si="2"/>
        <v>0</v>
      </c>
      <c r="J20" s="22">
        <f t="shared" si="3"/>
        <v>1</v>
      </c>
      <c r="K20" s="22">
        <f t="shared" si="4"/>
        <v>0</v>
      </c>
      <c r="L20" s="22">
        <f t="shared" si="5"/>
        <v>0</v>
      </c>
    </row>
    <row r="21" spans="1:12" x14ac:dyDescent="0.25">
      <c r="A21" s="20" t="s">
        <v>41</v>
      </c>
      <c r="B21" s="21">
        <v>103</v>
      </c>
      <c r="C21" s="21">
        <v>5</v>
      </c>
      <c r="D21" s="21">
        <v>27</v>
      </c>
      <c r="E21" s="21">
        <v>0</v>
      </c>
      <c r="G21" s="21">
        <f t="shared" si="1"/>
        <v>135</v>
      </c>
      <c r="I21" s="22">
        <f t="shared" si="2"/>
        <v>0.76296296296296295</v>
      </c>
      <c r="J21" s="22">
        <f t="shared" si="3"/>
        <v>3.7037037037037035E-2</v>
      </c>
      <c r="K21" s="22">
        <f t="shared" si="4"/>
        <v>0.2</v>
      </c>
      <c r="L21" s="22">
        <f t="shared" si="5"/>
        <v>0</v>
      </c>
    </row>
    <row r="22" spans="1:12" x14ac:dyDescent="0.25">
      <c r="A22" s="20" t="s">
        <v>42</v>
      </c>
      <c r="B22" s="21">
        <v>2</v>
      </c>
      <c r="C22" s="21">
        <v>22</v>
      </c>
      <c r="D22" s="21">
        <v>8</v>
      </c>
      <c r="E22" s="21">
        <v>297</v>
      </c>
      <c r="G22" s="21">
        <f t="shared" si="1"/>
        <v>329</v>
      </c>
      <c r="I22" s="22">
        <f t="shared" si="2"/>
        <v>6.0790273556231003E-3</v>
      </c>
      <c r="J22" s="22">
        <f t="shared" si="3"/>
        <v>6.6869300911854099E-2</v>
      </c>
      <c r="K22" s="22">
        <f t="shared" si="4"/>
        <v>2.4316109422492401E-2</v>
      </c>
      <c r="L22" s="22">
        <f t="shared" si="5"/>
        <v>0.90273556231003038</v>
      </c>
    </row>
    <row r="23" spans="1:12" x14ac:dyDescent="0.25">
      <c r="A23" s="20" t="s">
        <v>43</v>
      </c>
      <c r="B23" s="21">
        <v>1361</v>
      </c>
      <c r="C23" s="21">
        <v>0</v>
      </c>
      <c r="D23" s="21">
        <v>0</v>
      </c>
      <c r="E23" s="21">
        <v>0</v>
      </c>
      <c r="G23" s="21">
        <f t="shared" si="1"/>
        <v>1361</v>
      </c>
      <c r="I23" s="22">
        <f t="shared" si="2"/>
        <v>1</v>
      </c>
      <c r="J23" s="22">
        <f t="shared" si="3"/>
        <v>0</v>
      </c>
      <c r="K23" s="22">
        <f t="shared" si="4"/>
        <v>0</v>
      </c>
      <c r="L23" s="22">
        <f t="shared" si="5"/>
        <v>0</v>
      </c>
    </row>
    <row r="24" spans="1:12" x14ac:dyDescent="0.25">
      <c r="A24" s="20" t="s">
        <v>44</v>
      </c>
      <c r="B24" s="21">
        <v>529</v>
      </c>
      <c r="C24" s="21">
        <v>8</v>
      </c>
      <c r="D24" s="21">
        <v>0</v>
      </c>
      <c r="E24" s="21">
        <v>0</v>
      </c>
      <c r="G24" s="21">
        <f t="shared" si="1"/>
        <v>537</v>
      </c>
      <c r="I24" s="22">
        <f t="shared" si="2"/>
        <v>0.98510242085661082</v>
      </c>
      <c r="J24" s="22">
        <f t="shared" si="3"/>
        <v>1.4897579143389199E-2</v>
      </c>
      <c r="K24" s="22">
        <f t="shared" si="4"/>
        <v>0</v>
      </c>
      <c r="L24" s="22">
        <f t="shared" si="5"/>
        <v>0</v>
      </c>
    </row>
    <row r="25" spans="1:12" x14ac:dyDescent="0.25">
      <c r="A25" s="20" t="s">
        <v>45</v>
      </c>
      <c r="B25" s="21">
        <v>0</v>
      </c>
      <c r="C25" s="21">
        <v>93</v>
      </c>
      <c r="D25" s="21">
        <v>20</v>
      </c>
      <c r="E25" s="21">
        <v>91</v>
      </c>
      <c r="G25" s="21">
        <f t="shared" si="1"/>
        <v>204</v>
      </c>
      <c r="I25" s="22">
        <f t="shared" si="2"/>
        <v>0</v>
      </c>
      <c r="J25" s="22">
        <f t="shared" si="3"/>
        <v>0.45588235294117646</v>
      </c>
      <c r="K25" s="22">
        <f t="shared" si="4"/>
        <v>9.8039215686274508E-2</v>
      </c>
      <c r="L25" s="22">
        <f t="shared" si="5"/>
        <v>0.44607843137254904</v>
      </c>
    </row>
    <row r="26" spans="1:12" x14ac:dyDescent="0.25">
      <c r="A26" s="20" t="s">
        <v>46</v>
      </c>
      <c r="B26" s="21">
        <v>0</v>
      </c>
      <c r="C26" s="21">
        <v>75</v>
      </c>
      <c r="D26" s="21">
        <v>31</v>
      </c>
      <c r="E26" s="21">
        <v>106</v>
      </c>
      <c r="G26" s="21">
        <f t="shared" si="1"/>
        <v>212</v>
      </c>
      <c r="I26" s="22">
        <f t="shared" si="2"/>
        <v>0</v>
      </c>
      <c r="J26" s="22">
        <f t="shared" si="3"/>
        <v>0.35377358490566035</v>
      </c>
      <c r="K26" s="22">
        <f t="shared" si="4"/>
        <v>0.14622641509433962</v>
      </c>
      <c r="L26" s="22">
        <f t="shared" si="5"/>
        <v>0.5</v>
      </c>
    </row>
    <row r="27" spans="1:12" x14ac:dyDescent="0.25">
      <c r="A27" s="20" t="s">
        <v>48</v>
      </c>
      <c r="B27" s="21">
        <v>0</v>
      </c>
      <c r="C27" s="21">
        <v>3083</v>
      </c>
      <c r="D27" s="21">
        <v>5942</v>
      </c>
      <c r="E27" s="21">
        <v>8710</v>
      </c>
      <c r="G27" s="21">
        <f t="shared" si="1"/>
        <v>17735</v>
      </c>
      <c r="I27" s="22">
        <f t="shared" si="2"/>
        <v>0</v>
      </c>
      <c r="J27" s="22">
        <f t="shared" si="3"/>
        <v>0.17383704539047082</v>
      </c>
      <c r="K27" s="22">
        <f t="shared" si="4"/>
        <v>0.3350436989004793</v>
      </c>
      <c r="L27" s="22">
        <f t="shared" si="5"/>
        <v>0.49111925570904991</v>
      </c>
    </row>
    <row r="28" spans="1:12" x14ac:dyDescent="0.25">
      <c r="A28" s="20" t="s">
        <v>50</v>
      </c>
      <c r="B28" s="21">
        <v>0</v>
      </c>
      <c r="C28" s="21">
        <v>0</v>
      </c>
      <c r="D28" s="21">
        <v>0</v>
      </c>
      <c r="E28" s="21">
        <v>134</v>
      </c>
      <c r="G28" s="21">
        <f t="shared" si="1"/>
        <v>134</v>
      </c>
      <c r="I28" s="22">
        <f t="shared" si="2"/>
        <v>0</v>
      </c>
      <c r="J28" s="22">
        <f t="shared" si="3"/>
        <v>0</v>
      </c>
      <c r="K28" s="22">
        <f t="shared" si="4"/>
        <v>0</v>
      </c>
      <c r="L28" s="22">
        <f t="shared" si="5"/>
        <v>1</v>
      </c>
    </row>
    <row r="29" spans="1:12" x14ac:dyDescent="0.25">
      <c r="A29" s="20" t="s">
        <v>139</v>
      </c>
      <c r="B29" s="21">
        <v>0</v>
      </c>
      <c r="C29" s="21">
        <v>173</v>
      </c>
      <c r="D29" s="21">
        <v>23</v>
      </c>
      <c r="E29" s="21">
        <v>320</v>
      </c>
      <c r="G29" s="21">
        <f>SUM(B29:E29)</f>
        <v>516</v>
      </c>
      <c r="I29" s="22">
        <f t="shared" si="2"/>
        <v>0</v>
      </c>
      <c r="J29" s="22">
        <f t="shared" si="3"/>
        <v>0.33527131782945735</v>
      </c>
      <c r="K29" s="22">
        <f t="shared" si="4"/>
        <v>4.4573643410852716E-2</v>
      </c>
      <c r="L29" s="22">
        <f t="shared" si="5"/>
        <v>0.62015503875968991</v>
      </c>
    </row>
    <row r="30" spans="1:12" x14ac:dyDescent="0.25">
      <c r="A30" s="20" t="s">
        <v>53</v>
      </c>
      <c r="B30" s="21">
        <v>0</v>
      </c>
      <c r="C30" s="21">
        <v>368</v>
      </c>
      <c r="D30" s="21">
        <v>81</v>
      </c>
      <c r="E30" s="21">
        <v>635</v>
      </c>
      <c r="G30" s="21">
        <f t="shared" si="1"/>
        <v>1084</v>
      </c>
      <c r="I30" s="22">
        <f t="shared" si="2"/>
        <v>0</v>
      </c>
      <c r="J30" s="22">
        <f t="shared" si="3"/>
        <v>0.33948339483394835</v>
      </c>
      <c r="K30" s="22">
        <f t="shared" si="4"/>
        <v>7.4723247232472326E-2</v>
      </c>
      <c r="L30" s="22">
        <f t="shared" si="5"/>
        <v>0.58579335793357934</v>
      </c>
    </row>
    <row r="31" spans="1:12" x14ac:dyDescent="0.25">
      <c r="A31" s="20" t="s">
        <v>54</v>
      </c>
      <c r="B31" s="21">
        <v>0</v>
      </c>
      <c r="C31" s="21">
        <v>67</v>
      </c>
      <c r="D31" s="21">
        <v>55</v>
      </c>
      <c r="E31" s="21">
        <v>89</v>
      </c>
      <c r="G31" s="21">
        <f t="shared" si="1"/>
        <v>211</v>
      </c>
      <c r="I31" s="22">
        <f t="shared" si="2"/>
        <v>0</v>
      </c>
      <c r="J31" s="22">
        <f t="shared" si="3"/>
        <v>0.31753554502369669</v>
      </c>
      <c r="K31" s="22">
        <f t="shared" si="4"/>
        <v>0.26066350710900477</v>
      </c>
      <c r="L31" s="22">
        <f t="shared" si="5"/>
        <v>0.4218009478672986</v>
      </c>
    </row>
    <row r="32" spans="1:12" x14ac:dyDescent="0.25">
      <c r="A32" s="20" t="s">
        <v>56</v>
      </c>
      <c r="B32" s="21">
        <v>0</v>
      </c>
      <c r="C32" s="21">
        <v>2</v>
      </c>
      <c r="D32" s="21">
        <v>0</v>
      </c>
      <c r="E32" s="21">
        <v>4</v>
      </c>
      <c r="G32" s="21">
        <f t="shared" si="1"/>
        <v>6</v>
      </c>
      <c r="I32" s="22">
        <f t="shared" si="2"/>
        <v>0</v>
      </c>
      <c r="J32" s="22">
        <f t="shared" si="3"/>
        <v>0.33333333333333331</v>
      </c>
      <c r="K32" s="22">
        <f t="shared" si="4"/>
        <v>0</v>
      </c>
      <c r="L32" s="22">
        <f t="shared" si="5"/>
        <v>0.66666666666666663</v>
      </c>
    </row>
    <row r="33" spans="1:12" x14ac:dyDescent="0.25">
      <c r="A33" s="20" t="s">
        <v>57</v>
      </c>
      <c r="B33" s="21">
        <v>308</v>
      </c>
      <c r="C33" s="21">
        <v>196</v>
      </c>
      <c r="D33" s="21">
        <v>93</v>
      </c>
      <c r="E33" s="21">
        <v>2276</v>
      </c>
      <c r="G33" s="21">
        <f t="shared" si="1"/>
        <v>2873</v>
      </c>
      <c r="I33" s="22">
        <f t="shared" si="2"/>
        <v>0.10720501218238775</v>
      </c>
      <c r="J33" s="22">
        <f t="shared" si="3"/>
        <v>6.822137138879221E-2</v>
      </c>
      <c r="K33" s="22">
        <f t="shared" si="4"/>
        <v>3.2370344587539158E-2</v>
      </c>
      <c r="L33" s="22">
        <f t="shared" si="5"/>
        <v>0.79220327184128092</v>
      </c>
    </row>
    <row r="34" spans="1:12" x14ac:dyDescent="0.25">
      <c r="A34" s="20" t="s">
        <v>58</v>
      </c>
      <c r="B34" s="21">
        <v>460</v>
      </c>
      <c r="C34" s="21">
        <v>0</v>
      </c>
      <c r="D34" s="21">
        <v>0</v>
      </c>
      <c r="E34" s="21">
        <v>0</v>
      </c>
      <c r="G34" s="21">
        <f t="shared" si="1"/>
        <v>460</v>
      </c>
      <c r="I34" s="22">
        <f t="shared" si="2"/>
        <v>1</v>
      </c>
      <c r="J34" s="22">
        <f t="shared" si="3"/>
        <v>0</v>
      </c>
      <c r="K34" s="22">
        <f t="shared" si="4"/>
        <v>0</v>
      </c>
      <c r="L34" s="22">
        <f t="shared" si="5"/>
        <v>0</v>
      </c>
    </row>
    <row r="35" spans="1:12" x14ac:dyDescent="0.25">
      <c r="A35" s="20" t="s">
        <v>59</v>
      </c>
      <c r="B35" s="21">
        <v>0</v>
      </c>
      <c r="C35" s="21">
        <v>0</v>
      </c>
      <c r="D35" s="21">
        <v>19</v>
      </c>
      <c r="E35" s="21">
        <v>0</v>
      </c>
      <c r="G35" s="21">
        <f t="shared" si="1"/>
        <v>19</v>
      </c>
      <c r="I35" s="22">
        <f t="shared" si="2"/>
        <v>0</v>
      </c>
      <c r="J35" s="22">
        <f t="shared" si="3"/>
        <v>0</v>
      </c>
      <c r="K35" s="22">
        <f t="shared" si="4"/>
        <v>1</v>
      </c>
      <c r="L35" s="22">
        <f t="shared" si="5"/>
        <v>0</v>
      </c>
    </row>
    <row r="36" spans="1:12" x14ac:dyDescent="0.25">
      <c r="A36" s="20" t="s">
        <v>60</v>
      </c>
      <c r="B36" s="21">
        <v>890</v>
      </c>
      <c r="C36" s="21">
        <v>181</v>
      </c>
      <c r="D36" s="21">
        <v>66</v>
      </c>
      <c r="E36" s="21">
        <v>709</v>
      </c>
      <c r="G36" s="21">
        <f t="shared" si="1"/>
        <v>1846</v>
      </c>
      <c r="I36" s="22">
        <f t="shared" si="2"/>
        <v>0.48212351029252437</v>
      </c>
      <c r="J36" s="22">
        <f t="shared" si="3"/>
        <v>9.8049837486457209E-2</v>
      </c>
      <c r="K36" s="22">
        <f t="shared" si="4"/>
        <v>3.5752979414951244E-2</v>
      </c>
      <c r="L36" s="22">
        <f t="shared" si="5"/>
        <v>0.38407367280606719</v>
      </c>
    </row>
    <row r="37" spans="1:12" x14ac:dyDescent="0.25">
      <c r="A37" s="20" t="s">
        <v>61</v>
      </c>
      <c r="B37" s="21">
        <v>0</v>
      </c>
      <c r="C37" s="21">
        <v>0</v>
      </c>
      <c r="D37" s="21">
        <v>0</v>
      </c>
      <c r="E37" s="21">
        <v>19</v>
      </c>
      <c r="G37" s="21">
        <f t="shared" si="1"/>
        <v>19</v>
      </c>
      <c r="I37" s="22">
        <f t="shared" si="2"/>
        <v>0</v>
      </c>
      <c r="J37" s="22">
        <f t="shared" si="3"/>
        <v>0</v>
      </c>
      <c r="K37" s="22">
        <f t="shared" si="4"/>
        <v>0</v>
      </c>
      <c r="L37" s="22">
        <f t="shared" si="5"/>
        <v>1</v>
      </c>
    </row>
    <row r="38" spans="1:12" s="47" customFormat="1" x14ac:dyDescent="0.25">
      <c r="A38" s="20" t="s">
        <v>62</v>
      </c>
      <c r="B38" s="21">
        <v>0</v>
      </c>
      <c r="C38" s="21">
        <v>91</v>
      </c>
      <c r="D38" s="21">
        <v>0</v>
      </c>
      <c r="E38" s="21">
        <v>300</v>
      </c>
      <c r="G38" s="21">
        <f t="shared" si="1"/>
        <v>391</v>
      </c>
      <c r="I38" s="22">
        <f t="shared" si="2"/>
        <v>0</v>
      </c>
      <c r="J38" s="22">
        <f t="shared" si="3"/>
        <v>0.23273657289002558</v>
      </c>
      <c r="K38" s="22">
        <f t="shared" si="4"/>
        <v>0</v>
      </c>
      <c r="L38" s="22">
        <f t="shared" si="5"/>
        <v>0.76726342710997442</v>
      </c>
    </row>
    <row r="39" spans="1:12" x14ac:dyDescent="0.25">
      <c r="A39" s="20" t="s">
        <v>63</v>
      </c>
      <c r="B39" s="21">
        <v>0</v>
      </c>
      <c r="C39" s="21">
        <v>0</v>
      </c>
      <c r="D39" s="21">
        <v>1</v>
      </c>
      <c r="E39" s="21">
        <v>0</v>
      </c>
      <c r="G39" s="21">
        <f t="shared" si="1"/>
        <v>1</v>
      </c>
      <c r="I39" s="22">
        <f t="shared" si="2"/>
        <v>0</v>
      </c>
      <c r="J39" s="22">
        <f t="shared" si="3"/>
        <v>0</v>
      </c>
      <c r="K39" s="22">
        <f t="shared" si="4"/>
        <v>1</v>
      </c>
      <c r="L39" s="22">
        <f t="shared" si="5"/>
        <v>0</v>
      </c>
    </row>
    <row r="40" spans="1:12" s="47" customFormat="1" x14ac:dyDescent="0.25">
      <c r="A40" s="1" t="s">
        <v>67</v>
      </c>
      <c r="B40" s="23">
        <v>7702</v>
      </c>
      <c r="C40" s="23">
        <v>15664</v>
      </c>
      <c r="D40" s="23">
        <v>23159</v>
      </c>
      <c r="E40" s="23">
        <v>37498</v>
      </c>
      <c r="G40" s="23">
        <f>SUM(B40:E40)</f>
        <v>84023</v>
      </c>
      <c r="I40" s="24">
        <f t="shared" si="2"/>
        <v>9.1665377337157683E-2</v>
      </c>
      <c r="J40" s="24">
        <f t="shared" si="3"/>
        <v>0.18642514549587613</v>
      </c>
      <c r="K40" s="24">
        <f t="shared" si="4"/>
        <v>0.27562691167894504</v>
      </c>
      <c r="L40" s="24">
        <f t="shared" si="5"/>
        <v>0.44628256548802114</v>
      </c>
    </row>
    <row r="41" spans="1:12" x14ac:dyDescent="0.25">
      <c r="A41" s="25"/>
      <c r="B41" s="21"/>
      <c r="C41" s="21"/>
      <c r="D41" s="21"/>
      <c r="E41" s="21"/>
    </row>
    <row r="42" spans="1:12" x14ac:dyDescent="0.25">
      <c r="A42" s="1" t="s">
        <v>68</v>
      </c>
      <c r="B42" s="21"/>
      <c r="C42" s="21"/>
      <c r="D42" s="21"/>
      <c r="E42" s="21"/>
    </row>
    <row r="43" spans="1:12" x14ac:dyDescent="0.25">
      <c r="A43" s="26" t="s">
        <v>69</v>
      </c>
      <c r="B43" s="27"/>
      <c r="C43" s="27"/>
      <c r="D43" s="27"/>
      <c r="E43" s="27"/>
    </row>
    <row r="44" spans="1:12" x14ac:dyDescent="0.25">
      <c r="A44" s="20" t="s">
        <v>23</v>
      </c>
      <c r="B44" s="21">
        <v>0</v>
      </c>
      <c r="C44" s="21">
        <v>348</v>
      </c>
      <c r="D44" s="21">
        <v>633</v>
      </c>
      <c r="E44" s="21">
        <v>631</v>
      </c>
      <c r="G44" s="21">
        <f t="shared" ref="G44:G104" si="6">SUM(B44:E44)</f>
        <v>1612</v>
      </c>
      <c r="I44" s="22">
        <f t="shared" si="2"/>
        <v>0</v>
      </c>
      <c r="J44" s="22">
        <f t="shared" si="3"/>
        <v>0.21588089330024815</v>
      </c>
      <c r="K44" s="22">
        <f t="shared" si="4"/>
        <v>0.39267990074441689</v>
      </c>
      <c r="L44" s="22">
        <f t="shared" si="5"/>
        <v>0.39143920595533499</v>
      </c>
    </row>
    <row r="45" spans="1:12" x14ac:dyDescent="0.25">
      <c r="A45" s="20" t="s">
        <v>34</v>
      </c>
      <c r="B45" s="21">
        <v>0</v>
      </c>
      <c r="C45" s="21">
        <v>0</v>
      </c>
      <c r="D45" s="21">
        <v>0</v>
      </c>
      <c r="E45" s="21">
        <v>1</v>
      </c>
      <c r="G45" s="21">
        <f t="shared" si="6"/>
        <v>1</v>
      </c>
      <c r="I45" s="22">
        <f t="shared" si="2"/>
        <v>0</v>
      </c>
      <c r="J45" s="22">
        <f t="shared" si="3"/>
        <v>0</v>
      </c>
      <c r="K45" s="22">
        <f t="shared" si="4"/>
        <v>0</v>
      </c>
      <c r="L45" s="22">
        <f t="shared" si="5"/>
        <v>1</v>
      </c>
    </row>
    <row r="46" spans="1:12" s="47" customFormat="1" x14ac:dyDescent="0.25">
      <c r="A46" s="20" t="s">
        <v>35</v>
      </c>
      <c r="B46" s="21">
        <v>0</v>
      </c>
      <c r="C46" s="21">
        <v>2</v>
      </c>
      <c r="D46" s="21">
        <v>2</v>
      </c>
      <c r="E46" s="21">
        <v>21</v>
      </c>
      <c r="G46" s="21">
        <f t="shared" si="6"/>
        <v>25</v>
      </c>
      <c r="I46" s="22">
        <f t="shared" si="2"/>
        <v>0</v>
      </c>
      <c r="J46" s="22">
        <f t="shared" si="3"/>
        <v>0.08</v>
      </c>
      <c r="K46" s="22">
        <f t="shared" si="4"/>
        <v>0.08</v>
      </c>
      <c r="L46" s="22">
        <f t="shared" si="5"/>
        <v>0.84</v>
      </c>
    </row>
    <row r="47" spans="1:12" x14ac:dyDescent="0.25">
      <c r="A47" s="20" t="s">
        <v>48</v>
      </c>
      <c r="B47" s="21">
        <v>0</v>
      </c>
      <c r="C47" s="21">
        <v>20</v>
      </c>
      <c r="D47" s="21">
        <v>55</v>
      </c>
      <c r="E47" s="21">
        <v>95</v>
      </c>
      <c r="G47" s="21">
        <f t="shared" si="6"/>
        <v>170</v>
      </c>
      <c r="I47" s="22">
        <f t="shared" si="2"/>
        <v>0</v>
      </c>
      <c r="J47" s="22">
        <f t="shared" si="3"/>
        <v>0.11764705882352941</v>
      </c>
      <c r="K47" s="22">
        <f t="shared" si="4"/>
        <v>0.3235294117647059</v>
      </c>
      <c r="L47" s="22">
        <f t="shared" si="5"/>
        <v>0.55882352941176472</v>
      </c>
    </row>
    <row r="48" spans="1:12" s="47" customFormat="1" x14ac:dyDescent="0.25">
      <c r="A48" s="28" t="s">
        <v>70</v>
      </c>
      <c r="B48" s="29">
        <v>0</v>
      </c>
      <c r="C48" s="29">
        <v>370</v>
      </c>
      <c r="D48" s="29">
        <v>690</v>
      </c>
      <c r="E48" s="29">
        <v>748</v>
      </c>
      <c r="G48" s="23">
        <f t="shared" si="6"/>
        <v>1808</v>
      </c>
      <c r="I48" s="24">
        <f t="shared" si="2"/>
        <v>0</v>
      </c>
      <c r="J48" s="24">
        <f t="shared" si="3"/>
        <v>0.20464601769911506</v>
      </c>
      <c r="K48" s="24">
        <f t="shared" si="4"/>
        <v>0.38163716814159293</v>
      </c>
      <c r="L48" s="24">
        <f t="shared" si="5"/>
        <v>0.41371681415929201</v>
      </c>
    </row>
    <row r="49" spans="1:12" x14ac:dyDescent="0.25">
      <c r="A49" s="20"/>
      <c r="B49" s="21"/>
      <c r="C49" s="21"/>
      <c r="D49" s="21"/>
      <c r="E49" s="21"/>
    </row>
    <row r="50" spans="1:12" x14ac:dyDescent="0.25">
      <c r="A50" s="30" t="s">
        <v>71</v>
      </c>
      <c r="B50" s="27"/>
      <c r="C50" s="27"/>
      <c r="D50" s="27"/>
      <c r="E50" s="27"/>
    </row>
    <row r="51" spans="1:12" x14ac:dyDescent="0.25">
      <c r="A51" s="20" t="s">
        <v>22</v>
      </c>
      <c r="B51" s="21">
        <v>0</v>
      </c>
      <c r="C51" s="21">
        <v>19</v>
      </c>
      <c r="D51" s="21">
        <v>1</v>
      </c>
      <c r="E51" s="21">
        <v>41</v>
      </c>
      <c r="G51" s="21">
        <f t="shared" si="6"/>
        <v>61</v>
      </c>
      <c r="I51" s="22">
        <f t="shared" si="2"/>
        <v>0</v>
      </c>
      <c r="J51" s="22">
        <f t="shared" si="3"/>
        <v>0.31147540983606559</v>
      </c>
      <c r="K51" s="22">
        <f t="shared" si="4"/>
        <v>1.6393442622950821E-2</v>
      </c>
      <c r="L51" s="22">
        <f t="shared" si="5"/>
        <v>0.67213114754098358</v>
      </c>
    </row>
    <row r="52" spans="1:12" x14ac:dyDescent="0.25">
      <c r="A52" s="20" t="s">
        <v>23</v>
      </c>
      <c r="B52" s="21">
        <v>0</v>
      </c>
      <c r="C52" s="21">
        <v>112</v>
      </c>
      <c r="D52" s="21">
        <v>262</v>
      </c>
      <c r="E52" s="21">
        <v>145</v>
      </c>
      <c r="G52" s="21">
        <f t="shared" si="6"/>
        <v>519</v>
      </c>
      <c r="I52" s="22">
        <f t="shared" si="2"/>
        <v>0</v>
      </c>
      <c r="J52" s="22">
        <f t="shared" si="3"/>
        <v>0.21579961464354527</v>
      </c>
      <c r="K52" s="22">
        <f t="shared" si="4"/>
        <v>0.50481695568400775</v>
      </c>
      <c r="L52" s="22">
        <f t="shared" si="5"/>
        <v>0.279383429672447</v>
      </c>
    </row>
    <row r="53" spans="1:12" x14ac:dyDescent="0.25">
      <c r="A53" s="20" t="s">
        <v>24</v>
      </c>
      <c r="B53" s="21">
        <v>0</v>
      </c>
      <c r="C53" s="21">
        <v>4391</v>
      </c>
      <c r="D53" s="21">
        <v>6789</v>
      </c>
      <c r="E53" s="21">
        <v>3376</v>
      </c>
      <c r="G53" s="21">
        <f t="shared" si="6"/>
        <v>14556</v>
      </c>
      <c r="I53" s="22">
        <f t="shared" si="2"/>
        <v>0</v>
      </c>
      <c r="J53" s="22">
        <f t="shared" si="3"/>
        <v>0.30166254465512504</v>
      </c>
      <c r="K53" s="22">
        <f t="shared" si="4"/>
        <v>0.46640560593569663</v>
      </c>
      <c r="L53" s="22">
        <f t="shared" si="5"/>
        <v>0.23193184940917835</v>
      </c>
    </row>
    <row r="54" spans="1:12" x14ac:dyDescent="0.25">
      <c r="A54" s="20" t="s">
        <v>25</v>
      </c>
      <c r="B54" s="21">
        <v>0</v>
      </c>
      <c r="C54" s="21">
        <v>517</v>
      </c>
      <c r="D54" s="21">
        <v>35</v>
      </c>
      <c r="E54" s="21">
        <v>529</v>
      </c>
      <c r="G54" s="21">
        <f t="shared" si="6"/>
        <v>1081</v>
      </c>
      <c r="I54" s="22">
        <f t="shared" si="2"/>
        <v>0</v>
      </c>
      <c r="J54" s="22">
        <f t="shared" si="3"/>
        <v>0.47826086956521741</v>
      </c>
      <c r="K54" s="22">
        <f t="shared" si="4"/>
        <v>3.2377428307123035E-2</v>
      </c>
      <c r="L54" s="22">
        <f t="shared" si="5"/>
        <v>0.48936170212765956</v>
      </c>
    </row>
    <row r="55" spans="1:12" x14ac:dyDescent="0.25">
      <c r="A55" s="20" t="s">
        <v>26</v>
      </c>
      <c r="B55" s="21">
        <v>0</v>
      </c>
      <c r="C55" s="21">
        <v>469</v>
      </c>
      <c r="D55" s="21">
        <v>262</v>
      </c>
      <c r="E55" s="21">
        <v>65</v>
      </c>
      <c r="G55" s="21">
        <f t="shared" si="6"/>
        <v>796</v>
      </c>
      <c r="I55" s="22">
        <f t="shared" si="2"/>
        <v>0</v>
      </c>
      <c r="J55" s="22">
        <f t="shared" si="3"/>
        <v>0.58919597989949746</v>
      </c>
      <c r="K55" s="22">
        <f t="shared" si="4"/>
        <v>0.32914572864321606</v>
      </c>
      <c r="L55" s="22">
        <f t="shared" si="5"/>
        <v>8.1658291457286439E-2</v>
      </c>
    </row>
    <row r="56" spans="1:12" x14ac:dyDescent="0.25">
      <c r="A56" s="20" t="s">
        <v>29</v>
      </c>
      <c r="B56" s="21">
        <v>0</v>
      </c>
      <c r="C56" s="21">
        <v>1</v>
      </c>
      <c r="D56" s="21">
        <v>0</v>
      </c>
      <c r="E56" s="21">
        <v>20</v>
      </c>
      <c r="G56" s="21">
        <f t="shared" si="6"/>
        <v>21</v>
      </c>
      <c r="I56" s="22">
        <f t="shared" si="2"/>
        <v>0</v>
      </c>
      <c r="J56" s="22">
        <f t="shared" si="3"/>
        <v>4.7619047619047616E-2</v>
      </c>
      <c r="K56" s="22">
        <f t="shared" si="4"/>
        <v>0</v>
      </c>
      <c r="L56" s="22">
        <f t="shared" si="5"/>
        <v>0.95238095238095233</v>
      </c>
    </row>
    <row r="57" spans="1:12" x14ac:dyDescent="0.25">
      <c r="A57" s="20" t="s">
        <v>30</v>
      </c>
      <c r="B57" s="21">
        <v>0</v>
      </c>
      <c r="C57" s="21">
        <v>4</v>
      </c>
      <c r="D57" s="21">
        <v>5</v>
      </c>
      <c r="E57" s="21">
        <v>74</v>
      </c>
      <c r="G57" s="21">
        <f t="shared" si="6"/>
        <v>83</v>
      </c>
      <c r="I57" s="22">
        <f t="shared" si="2"/>
        <v>0</v>
      </c>
      <c r="J57" s="22">
        <f t="shared" si="3"/>
        <v>4.8192771084337352E-2</v>
      </c>
      <c r="K57" s="22">
        <f t="shared" si="4"/>
        <v>6.0240963855421686E-2</v>
      </c>
      <c r="L57" s="22">
        <f t="shared" si="5"/>
        <v>0.89156626506024095</v>
      </c>
    </row>
    <row r="58" spans="1:12" x14ac:dyDescent="0.25">
      <c r="A58" s="20" t="s">
        <v>31</v>
      </c>
      <c r="B58" s="21">
        <v>0</v>
      </c>
      <c r="C58" s="21">
        <v>5</v>
      </c>
      <c r="D58" s="21">
        <v>2</v>
      </c>
      <c r="E58" s="21">
        <v>16</v>
      </c>
      <c r="G58" s="21">
        <f t="shared" si="6"/>
        <v>23</v>
      </c>
      <c r="I58" s="22">
        <f t="shared" si="2"/>
        <v>0</v>
      </c>
      <c r="J58" s="22">
        <f t="shared" si="3"/>
        <v>0.21739130434782608</v>
      </c>
      <c r="K58" s="22">
        <f t="shared" si="4"/>
        <v>8.6956521739130432E-2</v>
      </c>
      <c r="L58" s="22">
        <f t="shared" si="5"/>
        <v>0.69565217391304346</v>
      </c>
    </row>
    <row r="59" spans="1:12" x14ac:dyDescent="0.25">
      <c r="A59" s="20" t="s">
        <v>33</v>
      </c>
      <c r="B59" s="21">
        <v>0</v>
      </c>
      <c r="C59" s="21">
        <v>22</v>
      </c>
      <c r="D59" s="21">
        <v>0</v>
      </c>
      <c r="E59" s="21">
        <v>89</v>
      </c>
      <c r="G59" s="21">
        <f t="shared" si="6"/>
        <v>111</v>
      </c>
      <c r="I59" s="22">
        <f t="shared" si="2"/>
        <v>0</v>
      </c>
      <c r="J59" s="22">
        <f t="shared" si="3"/>
        <v>0.1981981981981982</v>
      </c>
      <c r="K59" s="22">
        <f t="shared" si="4"/>
        <v>0</v>
      </c>
      <c r="L59" s="22">
        <f t="shared" si="5"/>
        <v>0.80180180180180183</v>
      </c>
    </row>
    <row r="60" spans="1:12" x14ac:dyDescent="0.25">
      <c r="A60" s="20" t="s">
        <v>34</v>
      </c>
      <c r="B60" s="21">
        <v>0</v>
      </c>
      <c r="C60" s="21">
        <v>1</v>
      </c>
      <c r="D60" s="21">
        <v>7</v>
      </c>
      <c r="E60" s="21">
        <v>85</v>
      </c>
      <c r="G60" s="21">
        <f t="shared" si="6"/>
        <v>93</v>
      </c>
      <c r="I60" s="22">
        <f t="shared" si="2"/>
        <v>0</v>
      </c>
      <c r="J60" s="22">
        <f t="shared" si="3"/>
        <v>1.0752688172043012E-2</v>
      </c>
      <c r="K60" s="22">
        <f t="shared" si="4"/>
        <v>7.5268817204301078E-2</v>
      </c>
      <c r="L60" s="22">
        <f t="shared" si="5"/>
        <v>0.91397849462365588</v>
      </c>
    </row>
    <row r="61" spans="1:12" x14ac:dyDescent="0.25">
      <c r="A61" s="20" t="s">
        <v>35</v>
      </c>
      <c r="B61" s="21">
        <v>1401</v>
      </c>
      <c r="C61" s="21">
        <v>990</v>
      </c>
      <c r="D61" s="21">
        <v>2659</v>
      </c>
      <c r="E61" s="21">
        <v>3889</v>
      </c>
      <c r="G61" s="21">
        <f t="shared" si="6"/>
        <v>8939</v>
      </c>
      <c r="I61" s="22">
        <f t="shared" si="2"/>
        <v>0.15672894059738227</v>
      </c>
      <c r="J61" s="22">
        <f t="shared" si="3"/>
        <v>0.11075064324868554</v>
      </c>
      <c r="K61" s="22">
        <f t="shared" si="4"/>
        <v>0.29746056605884325</v>
      </c>
      <c r="L61" s="22">
        <f t="shared" si="5"/>
        <v>0.43505985009508896</v>
      </c>
    </row>
    <row r="62" spans="1:12" x14ac:dyDescent="0.25">
      <c r="A62" s="20" t="s">
        <v>36</v>
      </c>
      <c r="B62" s="21">
        <v>107</v>
      </c>
      <c r="C62" s="21">
        <v>131</v>
      </c>
      <c r="D62" s="21">
        <v>12</v>
      </c>
      <c r="E62" s="21">
        <v>122</v>
      </c>
      <c r="G62" s="21">
        <f t="shared" si="6"/>
        <v>372</v>
      </c>
      <c r="I62" s="22">
        <f t="shared" si="2"/>
        <v>0.28763440860215056</v>
      </c>
      <c r="J62" s="22">
        <f t="shared" si="3"/>
        <v>0.35215053763440862</v>
      </c>
      <c r="K62" s="22">
        <f t="shared" si="4"/>
        <v>3.2258064516129031E-2</v>
      </c>
      <c r="L62" s="22">
        <f t="shared" si="5"/>
        <v>0.32795698924731181</v>
      </c>
    </row>
    <row r="63" spans="1:12" x14ac:dyDescent="0.25">
      <c r="A63" s="20" t="s">
        <v>85</v>
      </c>
      <c r="B63" s="21">
        <v>0</v>
      </c>
      <c r="C63" s="21">
        <v>2</v>
      </c>
      <c r="D63" s="21">
        <v>0</v>
      </c>
      <c r="E63" s="21">
        <v>0</v>
      </c>
      <c r="G63" s="21">
        <f t="shared" si="6"/>
        <v>2</v>
      </c>
      <c r="I63" s="22">
        <f t="shared" si="2"/>
        <v>0</v>
      </c>
      <c r="J63" s="22">
        <f t="shared" si="3"/>
        <v>1</v>
      </c>
      <c r="K63" s="22">
        <f t="shared" si="4"/>
        <v>0</v>
      </c>
      <c r="L63" s="22">
        <f t="shared" si="5"/>
        <v>0</v>
      </c>
    </row>
    <row r="64" spans="1:12" x14ac:dyDescent="0.25">
      <c r="A64" s="20" t="s">
        <v>42</v>
      </c>
      <c r="B64" s="21">
        <v>0</v>
      </c>
      <c r="C64" s="21">
        <v>1</v>
      </c>
      <c r="D64" s="21">
        <v>0</v>
      </c>
      <c r="E64" s="21">
        <v>5</v>
      </c>
      <c r="G64" s="21">
        <f t="shared" si="6"/>
        <v>6</v>
      </c>
      <c r="I64" s="22">
        <f t="shared" si="2"/>
        <v>0</v>
      </c>
      <c r="J64" s="22">
        <f t="shared" si="3"/>
        <v>0.16666666666666666</v>
      </c>
      <c r="K64" s="22">
        <f t="shared" si="4"/>
        <v>0</v>
      </c>
      <c r="L64" s="22">
        <f t="shared" si="5"/>
        <v>0.83333333333333337</v>
      </c>
    </row>
    <row r="65" spans="1:12" x14ac:dyDescent="0.25">
      <c r="A65" s="20" t="s">
        <v>44</v>
      </c>
      <c r="B65" s="21">
        <v>428</v>
      </c>
      <c r="C65" s="21">
        <v>6</v>
      </c>
      <c r="D65" s="21">
        <v>0</v>
      </c>
      <c r="E65" s="21">
        <v>0</v>
      </c>
      <c r="G65" s="21">
        <f t="shared" si="6"/>
        <v>434</v>
      </c>
      <c r="I65" s="22">
        <f t="shared" si="2"/>
        <v>0.98617511520737322</v>
      </c>
      <c r="J65" s="22">
        <f t="shared" si="3"/>
        <v>1.3824884792626729E-2</v>
      </c>
      <c r="K65" s="22">
        <f t="shared" si="4"/>
        <v>0</v>
      </c>
      <c r="L65" s="22">
        <f t="shared" si="5"/>
        <v>0</v>
      </c>
    </row>
    <row r="66" spans="1:12" x14ac:dyDescent="0.25">
      <c r="A66" s="20" t="s">
        <v>45</v>
      </c>
      <c r="B66" s="21">
        <v>0</v>
      </c>
      <c r="C66" s="21">
        <v>73</v>
      </c>
      <c r="D66" s="21">
        <v>14</v>
      </c>
      <c r="E66" s="21">
        <v>54</v>
      </c>
      <c r="G66" s="21">
        <f t="shared" si="6"/>
        <v>141</v>
      </c>
      <c r="I66" s="22">
        <f t="shared" si="2"/>
        <v>0</v>
      </c>
      <c r="J66" s="22">
        <f t="shared" si="3"/>
        <v>0.51773049645390068</v>
      </c>
      <c r="K66" s="22">
        <f t="shared" si="4"/>
        <v>9.9290780141843976E-2</v>
      </c>
      <c r="L66" s="22">
        <f t="shared" si="5"/>
        <v>0.38297872340425532</v>
      </c>
    </row>
    <row r="67" spans="1:12" x14ac:dyDescent="0.25">
      <c r="A67" s="20" t="s">
        <v>46</v>
      </c>
      <c r="B67" s="21">
        <v>0</v>
      </c>
      <c r="C67" s="21">
        <v>62</v>
      </c>
      <c r="D67" s="21">
        <v>31</v>
      </c>
      <c r="E67" s="21">
        <v>93</v>
      </c>
      <c r="G67" s="21">
        <f t="shared" si="6"/>
        <v>186</v>
      </c>
      <c r="I67" s="22">
        <f t="shared" si="2"/>
        <v>0</v>
      </c>
      <c r="J67" s="22">
        <f t="shared" si="3"/>
        <v>0.33333333333333331</v>
      </c>
      <c r="K67" s="22">
        <f t="shared" si="4"/>
        <v>0.16666666666666666</v>
      </c>
      <c r="L67" s="22">
        <f t="shared" si="5"/>
        <v>0.5</v>
      </c>
    </row>
    <row r="68" spans="1:12" x14ac:dyDescent="0.25">
      <c r="A68" s="20" t="s">
        <v>48</v>
      </c>
      <c r="B68" s="21">
        <v>0</v>
      </c>
      <c r="C68" s="21">
        <v>2091</v>
      </c>
      <c r="D68" s="21">
        <v>2508</v>
      </c>
      <c r="E68" s="21">
        <v>4370</v>
      </c>
      <c r="G68" s="21">
        <f t="shared" si="6"/>
        <v>8969</v>
      </c>
      <c r="I68" s="22">
        <f t="shared" si="2"/>
        <v>0</v>
      </c>
      <c r="J68" s="22">
        <f t="shared" si="3"/>
        <v>0.23313635856840229</v>
      </c>
      <c r="K68" s="22">
        <f t="shared" si="4"/>
        <v>0.27962983610212955</v>
      </c>
      <c r="L68" s="22">
        <f t="shared" si="5"/>
        <v>0.48723380532946819</v>
      </c>
    </row>
    <row r="69" spans="1:12" x14ac:dyDescent="0.25">
      <c r="A69" s="20" t="s">
        <v>50</v>
      </c>
      <c r="B69" s="21">
        <v>0</v>
      </c>
      <c r="C69" s="21">
        <v>0</v>
      </c>
      <c r="D69" s="21">
        <v>0</v>
      </c>
      <c r="E69" s="21">
        <v>134</v>
      </c>
      <c r="G69" s="21">
        <f t="shared" si="6"/>
        <v>134</v>
      </c>
      <c r="I69" s="22">
        <f t="shared" si="2"/>
        <v>0</v>
      </c>
      <c r="J69" s="22">
        <f t="shared" si="3"/>
        <v>0</v>
      </c>
      <c r="K69" s="22">
        <f t="shared" si="4"/>
        <v>0</v>
      </c>
      <c r="L69" s="22">
        <f t="shared" si="5"/>
        <v>1</v>
      </c>
    </row>
    <row r="70" spans="1:12" x14ac:dyDescent="0.25">
      <c r="A70" s="20" t="s">
        <v>139</v>
      </c>
      <c r="B70" s="21">
        <v>0</v>
      </c>
      <c r="C70" s="21">
        <v>102</v>
      </c>
      <c r="D70" s="21">
        <v>1</v>
      </c>
      <c r="E70" s="21">
        <v>75</v>
      </c>
      <c r="G70" s="21">
        <f t="shared" si="6"/>
        <v>178</v>
      </c>
      <c r="I70" s="22">
        <f t="shared" si="2"/>
        <v>0</v>
      </c>
      <c r="J70" s="22">
        <f t="shared" si="3"/>
        <v>0.5730337078651685</v>
      </c>
      <c r="K70" s="22">
        <f t="shared" si="4"/>
        <v>5.6179775280898875E-3</v>
      </c>
      <c r="L70" s="22">
        <f t="shared" si="5"/>
        <v>0.42134831460674155</v>
      </c>
    </row>
    <row r="71" spans="1:12" x14ac:dyDescent="0.25">
      <c r="A71" s="20" t="s">
        <v>53</v>
      </c>
      <c r="B71" s="21">
        <v>0</v>
      </c>
      <c r="C71" s="21">
        <v>354</v>
      </c>
      <c r="D71" s="21">
        <v>5</v>
      </c>
      <c r="E71" s="21">
        <v>408</v>
      </c>
      <c r="G71" s="21">
        <f t="shared" si="6"/>
        <v>767</v>
      </c>
      <c r="I71" s="22">
        <f t="shared" ref="I71:I134" si="7">IFERROR(B71/$G71,0)</f>
        <v>0</v>
      </c>
      <c r="J71" s="22">
        <f t="shared" ref="J71:J134" si="8">IFERROR(C71/$G71,0)</f>
        <v>0.46153846153846156</v>
      </c>
      <c r="K71" s="22">
        <f t="shared" ref="K71:K134" si="9">IFERROR(D71/$G71,0)</f>
        <v>6.51890482398957E-3</v>
      </c>
      <c r="L71" s="22">
        <f t="shared" ref="L71:L134" si="10">IFERROR(E71/$G71,0)</f>
        <v>0.5319426336375489</v>
      </c>
    </row>
    <row r="72" spans="1:12" x14ac:dyDescent="0.25">
      <c r="A72" s="20" t="s">
        <v>54</v>
      </c>
      <c r="B72" s="21">
        <v>0</v>
      </c>
      <c r="C72" s="21">
        <v>16</v>
      </c>
      <c r="D72" s="21">
        <v>5</v>
      </c>
      <c r="E72" s="21">
        <v>35</v>
      </c>
      <c r="G72" s="21">
        <f t="shared" si="6"/>
        <v>56</v>
      </c>
      <c r="I72" s="22">
        <f t="shared" si="7"/>
        <v>0</v>
      </c>
      <c r="J72" s="22">
        <f t="shared" si="8"/>
        <v>0.2857142857142857</v>
      </c>
      <c r="K72" s="22">
        <f t="shared" si="9"/>
        <v>8.9285714285714288E-2</v>
      </c>
      <c r="L72" s="22">
        <f t="shared" si="10"/>
        <v>0.625</v>
      </c>
    </row>
    <row r="73" spans="1:12" x14ac:dyDescent="0.25">
      <c r="A73" s="20" t="s">
        <v>56</v>
      </c>
      <c r="B73" s="21">
        <v>0</v>
      </c>
      <c r="C73" s="21">
        <v>2</v>
      </c>
      <c r="D73" s="21">
        <v>0</v>
      </c>
      <c r="E73" s="21">
        <v>3</v>
      </c>
      <c r="G73" s="21">
        <f t="shared" si="6"/>
        <v>5</v>
      </c>
      <c r="I73" s="22">
        <f t="shared" si="7"/>
        <v>0</v>
      </c>
      <c r="J73" s="22">
        <f t="shared" si="8"/>
        <v>0.4</v>
      </c>
      <c r="K73" s="22">
        <f t="shared" si="9"/>
        <v>0</v>
      </c>
      <c r="L73" s="22">
        <f t="shared" si="10"/>
        <v>0.6</v>
      </c>
    </row>
    <row r="74" spans="1:12" s="47" customFormat="1" x14ac:dyDescent="0.25">
      <c r="A74" s="20" t="s">
        <v>57</v>
      </c>
      <c r="B74" s="21">
        <v>255</v>
      </c>
      <c r="C74" s="21">
        <v>169</v>
      </c>
      <c r="D74" s="21">
        <v>82</v>
      </c>
      <c r="E74" s="21">
        <v>1887</v>
      </c>
      <c r="G74" s="21">
        <f t="shared" si="6"/>
        <v>2393</v>
      </c>
      <c r="I74" s="22">
        <f t="shared" si="7"/>
        <v>0.1065608023401588</v>
      </c>
      <c r="J74" s="22">
        <f t="shared" si="8"/>
        <v>7.0622649394066025E-2</v>
      </c>
      <c r="K74" s="22">
        <f t="shared" si="9"/>
        <v>3.4266610948600083E-2</v>
      </c>
      <c r="L74" s="22">
        <f t="shared" si="10"/>
        <v>0.78854993731717504</v>
      </c>
    </row>
    <row r="75" spans="1:12" x14ac:dyDescent="0.25">
      <c r="A75" s="20" t="s">
        <v>58</v>
      </c>
      <c r="B75" s="21">
        <v>450</v>
      </c>
      <c r="C75" s="21">
        <v>0</v>
      </c>
      <c r="D75" s="21">
        <v>0</v>
      </c>
      <c r="E75" s="21">
        <v>0</v>
      </c>
      <c r="G75" s="21">
        <f t="shared" si="6"/>
        <v>450</v>
      </c>
      <c r="I75" s="22">
        <f t="shared" si="7"/>
        <v>1</v>
      </c>
      <c r="J75" s="22">
        <f t="shared" si="8"/>
        <v>0</v>
      </c>
      <c r="K75" s="22">
        <f t="shared" si="9"/>
        <v>0</v>
      </c>
      <c r="L75" s="22">
        <f t="shared" si="10"/>
        <v>0</v>
      </c>
    </row>
    <row r="76" spans="1:12" x14ac:dyDescent="0.25">
      <c r="A76" s="20" t="s">
        <v>60</v>
      </c>
      <c r="B76" s="21">
        <v>161</v>
      </c>
      <c r="C76" s="21">
        <v>46</v>
      </c>
      <c r="D76" s="21">
        <v>2</v>
      </c>
      <c r="E76" s="21">
        <v>115</v>
      </c>
      <c r="G76" s="21">
        <f t="shared" si="6"/>
        <v>324</v>
      </c>
      <c r="I76" s="22">
        <f t="shared" si="7"/>
        <v>0.49691358024691357</v>
      </c>
      <c r="J76" s="22">
        <f t="shared" si="8"/>
        <v>0.1419753086419753</v>
      </c>
      <c r="K76" s="22">
        <f t="shared" si="9"/>
        <v>6.1728395061728392E-3</v>
      </c>
      <c r="L76" s="22">
        <f t="shared" si="10"/>
        <v>0.35493827160493829</v>
      </c>
    </row>
    <row r="77" spans="1:12" x14ac:dyDescent="0.25">
      <c r="A77" s="20" t="s">
        <v>61</v>
      </c>
      <c r="B77" s="21">
        <v>0</v>
      </c>
      <c r="C77" s="21">
        <v>0</v>
      </c>
      <c r="D77" s="21">
        <v>0</v>
      </c>
      <c r="E77" s="21">
        <v>19</v>
      </c>
      <c r="G77" s="21">
        <f t="shared" si="6"/>
        <v>19</v>
      </c>
      <c r="I77" s="22">
        <f t="shared" si="7"/>
        <v>0</v>
      </c>
      <c r="J77" s="22">
        <f t="shared" si="8"/>
        <v>0</v>
      </c>
      <c r="K77" s="22">
        <f t="shared" si="9"/>
        <v>0</v>
      </c>
      <c r="L77" s="22">
        <f t="shared" si="10"/>
        <v>1</v>
      </c>
    </row>
    <row r="78" spans="1:12" s="47" customFormat="1" x14ac:dyDescent="0.25">
      <c r="A78" s="31" t="s">
        <v>72</v>
      </c>
      <c r="B78" s="29">
        <v>2802</v>
      </c>
      <c r="C78" s="29">
        <v>9586</v>
      </c>
      <c r="D78" s="29">
        <v>12682</v>
      </c>
      <c r="E78" s="29">
        <v>15649</v>
      </c>
      <c r="G78" s="23">
        <f t="shared" si="6"/>
        <v>40719</v>
      </c>
      <c r="I78" s="24">
        <f t="shared" si="7"/>
        <v>6.8813084800707289E-2</v>
      </c>
      <c r="J78" s="24">
        <f t="shared" si="8"/>
        <v>0.23541835506765882</v>
      </c>
      <c r="K78" s="24">
        <f t="shared" si="9"/>
        <v>0.31145165647486434</v>
      </c>
      <c r="L78" s="24">
        <f t="shared" si="10"/>
        <v>0.38431690365676957</v>
      </c>
    </row>
    <row r="79" spans="1:12" x14ac:dyDescent="0.25">
      <c r="A79" s="20"/>
      <c r="B79" s="21"/>
      <c r="C79" s="21"/>
      <c r="D79" s="21"/>
      <c r="E79" s="21"/>
    </row>
    <row r="80" spans="1:12" x14ac:dyDescent="0.25">
      <c r="A80" s="30" t="s">
        <v>73</v>
      </c>
      <c r="B80" s="27"/>
      <c r="C80" s="27"/>
      <c r="D80" s="27"/>
      <c r="E80" s="27"/>
    </row>
    <row r="81" spans="1:12" x14ac:dyDescent="0.25">
      <c r="A81" s="20" t="s">
        <v>22</v>
      </c>
      <c r="B81" s="21">
        <v>0</v>
      </c>
      <c r="C81" s="21">
        <v>7</v>
      </c>
      <c r="D81" s="21">
        <v>0</v>
      </c>
      <c r="E81" s="21">
        <v>22</v>
      </c>
      <c r="G81" s="21">
        <f t="shared" si="6"/>
        <v>29</v>
      </c>
      <c r="I81" s="22">
        <f t="shared" si="7"/>
        <v>0</v>
      </c>
      <c r="J81" s="22">
        <f t="shared" si="8"/>
        <v>0.2413793103448276</v>
      </c>
      <c r="K81" s="22">
        <f t="shared" si="9"/>
        <v>0</v>
      </c>
      <c r="L81" s="22">
        <f t="shared" si="10"/>
        <v>0.75862068965517238</v>
      </c>
    </row>
    <row r="82" spans="1:12" x14ac:dyDescent="0.25">
      <c r="A82" s="20" t="s">
        <v>24</v>
      </c>
      <c r="B82" s="21">
        <v>0</v>
      </c>
      <c r="C82" s="21">
        <v>308</v>
      </c>
      <c r="D82" s="21">
        <v>2106</v>
      </c>
      <c r="E82" s="21">
        <v>1777</v>
      </c>
      <c r="G82" s="21">
        <f t="shared" si="6"/>
        <v>4191</v>
      </c>
      <c r="I82" s="22">
        <f t="shared" si="7"/>
        <v>0</v>
      </c>
      <c r="J82" s="22">
        <f t="shared" si="8"/>
        <v>7.3490813648293962E-2</v>
      </c>
      <c r="K82" s="22">
        <f t="shared" si="9"/>
        <v>0.50250536864710094</v>
      </c>
      <c r="L82" s="22">
        <f t="shared" si="10"/>
        <v>0.4240038177046051</v>
      </c>
    </row>
    <row r="83" spans="1:12" x14ac:dyDescent="0.25">
      <c r="A83" s="20" t="s">
        <v>25</v>
      </c>
      <c r="B83" s="21">
        <v>0</v>
      </c>
      <c r="C83" s="21">
        <v>176</v>
      </c>
      <c r="D83" s="21">
        <v>101</v>
      </c>
      <c r="E83" s="21">
        <v>1219</v>
      </c>
      <c r="G83" s="21">
        <f t="shared" si="6"/>
        <v>1496</v>
      </c>
      <c r="I83" s="22">
        <f t="shared" si="7"/>
        <v>0</v>
      </c>
      <c r="J83" s="22">
        <f t="shared" si="8"/>
        <v>0.11764705882352941</v>
      </c>
      <c r="K83" s="22">
        <f t="shared" si="9"/>
        <v>6.7513368983957225E-2</v>
      </c>
      <c r="L83" s="22">
        <f t="shared" si="10"/>
        <v>0.81483957219251335</v>
      </c>
    </row>
    <row r="84" spans="1:12" x14ac:dyDescent="0.25">
      <c r="A84" s="20" t="s">
        <v>26</v>
      </c>
      <c r="B84" s="21">
        <v>0</v>
      </c>
      <c r="C84" s="21">
        <v>227</v>
      </c>
      <c r="D84" s="21">
        <v>127</v>
      </c>
      <c r="E84" s="21">
        <v>32</v>
      </c>
      <c r="G84" s="21">
        <f t="shared" si="6"/>
        <v>386</v>
      </c>
      <c r="I84" s="22">
        <f t="shared" si="7"/>
        <v>0</v>
      </c>
      <c r="J84" s="22">
        <f t="shared" si="8"/>
        <v>0.58808290155440412</v>
      </c>
      <c r="K84" s="22">
        <f t="shared" si="9"/>
        <v>0.32901554404145078</v>
      </c>
      <c r="L84" s="22">
        <f t="shared" si="10"/>
        <v>8.2901554404145081E-2</v>
      </c>
    </row>
    <row r="85" spans="1:12" x14ac:dyDescent="0.25">
      <c r="A85" s="20" t="s">
        <v>31</v>
      </c>
      <c r="B85" s="21">
        <v>0</v>
      </c>
      <c r="C85" s="21">
        <v>8</v>
      </c>
      <c r="D85" s="21">
        <v>6</v>
      </c>
      <c r="E85" s="21">
        <v>42</v>
      </c>
      <c r="G85" s="21">
        <f t="shared" si="6"/>
        <v>56</v>
      </c>
      <c r="I85" s="22">
        <f t="shared" si="7"/>
        <v>0</v>
      </c>
      <c r="J85" s="22">
        <f t="shared" si="8"/>
        <v>0.14285714285714285</v>
      </c>
      <c r="K85" s="22">
        <f t="shared" si="9"/>
        <v>0.10714285714285714</v>
      </c>
      <c r="L85" s="22">
        <f t="shared" si="10"/>
        <v>0.75</v>
      </c>
    </row>
    <row r="86" spans="1:12" x14ac:dyDescent="0.25">
      <c r="A86" s="20" t="s">
        <v>33</v>
      </c>
      <c r="B86" s="21">
        <v>0</v>
      </c>
      <c r="C86" s="21">
        <v>6</v>
      </c>
      <c r="D86" s="21">
        <v>0</v>
      </c>
      <c r="E86" s="21">
        <v>36</v>
      </c>
      <c r="G86" s="21">
        <f t="shared" si="6"/>
        <v>42</v>
      </c>
      <c r="I86" s="22">
        <f t="shared" si="7"/>
        <v>0</v>
      </c>
      <c r="J86" s="22">
        <f t="shared" si="8"/>
        <v>0.14285714285714285</v>
      </c>
      <c r="K86" s="22">
        <f t="shared" si="9"/>
        <v>0</v>
      </c>
      <c r="L86" s="22">
        <f t="shared" si="10"/>
        <v>0.8571428571428571</v>
      </c>
    </row>
    <row r="87" spans="1:12" x14ac:dyDescent="0.25">
      <c r="A87" s="20" t="s">
        <v>34</v>
      </c>
      <c r="B87" s="21">
        <v>0</v>
      </c>
      <c r="C87" s="21">
        <v>0</v>
      </c>
      <c r="D87" s="21">
        <v>1</v>
      </c>
      <c r="E87" s="21">
        <v>23</v>
      </c>
      <c r="G87" s="21">
        <f t="shared" si="6"/>
        <v>24</v>
      </c>
      <c r="I87" s="22">
        <f t="shared" si="7"/>
        <v>0</v>
      </c>
      <c r="J87" s="22">
        <f t="shared" si="8"/>
        <v>0</v>
      </c>
      <c r="K87" s="22">
        <f t="shared" si="9"/>
        <v>4.1666666666666664E-2</v>
      </c>
      <c r="L87" s="22">
        <f t="shared" si="10"/>
        <v>0.95833333333333337</v>
      </c>
    </row>
    <row r="88" spans="1:12" x14ac:dyDescent="0.25">
      <c r="A88" s="20" t="s">
        <v>35</v>
      </c>
      <c r="B88" s="21">
        <v>0</v>
      </c>
      <c r="C88" s="21">
        <v>126</v>
      </c>
      <c r="D88" s="21">
        <v>252</v>
      </c>
      <c r="E88" s="21">
        <v>1040</v>
      </c>
      <c r="G88" s="21">
        <f t="shared" si="6"/>
        <v>1418</v>
      </c>
      <c r="I88" s="22">
        <f t="shared" si="7"/>
        <v>0</v>
      </c>
      <c r="J88" s="22">
        <f t="shared" si="8"/>
        <v>8.8857545839210156E-2</v>
      </c>
      <c r="K88" s="22">
        <f t="shared" si="9"/>
        <v>0.17771509167842031</v>
      </c>
      <c r="L88" s="22">
        <f t="shared" si="10"/>
        <v>0.7334273624823695</v>
      </c>
    </row>
    <row r="89" spans="1:12" x14ac:dyDescent="0.25">
      <c r="A89" s="20" t="s">
        <v>37</v>
      </c>
      <c r="B89" s="21">
        <v>0</v>
      </c>
      <c r="C89" s="21">
        <v>2374</v>
      </c>
      <c r="D89" s="21">
        <v>1210</v>
      </c>
      <c r="E89" s="21">
        <v>4504</v>
      </c>
      <c r="G89" s="21">
        <f t="shared" si="6"/>
        <v>8088</v>
      </c>
      <c r="I89" s="22">
        <f t="shared" si="7"/>
        <v>0</v>
      </c>
      <c r="J89" s="22">
        <f t="shared" si="8"/>
        <v>0.29352126607319484</v>
      </c>
      <c r="K89" s="22">
        <f t="shared" si="9"/>
        <v>0.14960435212660733</v>
      </c>
      <c r="L89" s="22">
        <f t="shared" si="10"/>
        <v>0.55687438180019777</v>
      </c>
    </row>
    <row r="90" spans="1:12" x14ac:dyDescent="0.25">
      <c r="A90" s="20" t="s">
        <v>41</v>
      </c>
      <c r="B90" s="21">
        <v>103</v>
      </c>
      <c r="C90" s="21">
        <v>5</v>
      </c>
      <c r="D90" s="21">
        <v>27</v>
      </c>
      <c r="E90" s="21">
        <v>0</v>
      </c>
      <c r="G90" s="21">
        <f t="shared" si="6"/>
        <v>135</v>
      </c>
      <c r="I90" s="22">
        <f t="shared" si="7"/>
        <v>0.76296296296296295</v>
      </c>
      <c r="J90" s="22">
        <f t="shared" si="8"/>
        <v>3.7037037037037035E-2</v>
      </c>
      <c r="K90" s="22">
        <f t="shared" si="9"/>
        <v>0.2</v>
      </c>
      <c r="L90" s="22">
        <f t="shared" si="10"/>
        <v>0</v>
      </c>
    </row>
    <row r="91" spans="1:12" x14ac:dyDescent="0.25">
      <c r="A91" s="20" t="s">
        <v>42</v>
      </c>
      <c r="B91" s="21">
        <v>0</v>
      </c>
      <c r="C91" s="21">
        <v>2</v>
      </c>
      <c r="D91" s="21">
        <v>0</v>
      </c>
      <c r="E91" s="21">
        <v>4</v>
      </c>
      <c r="G91" s="21">
        <f t="shared" si="6"/>
        <v>6</v>
      </c>
      <c r="I91" s="22">
        <f t="shared" si="7"/>
        <v>0</v>
      </c>
      <c r="J91" s="22">
        <f t="shared" si="8"/>
        <v>0.33333333333333331</v>
      </c>
      <c r="K91" s="22">
        <f t="shared" si="9"/>
        <v>0</v>
      </c>
      <c r="L91" s="22">
        <f t="shared" si="10"/>
        <v>0.66666666666666663</v>
      </c>
    </row>
    <row r="92" spans="1:12" x14ac:dyDescent="0.25">
      <c r="A92" s="20" t="s">
        <v>43</v>
      </c>
      <c r="B92" s="21">
        <v>1361</v>
      </c>
      <c r="C92" s="21">
        <v>0</v>
      </c>
      <c r="D92" s="21">
        <v>0</v>
      </c>
      <c r="E92" s="21">
        <v>0</v>
      </c>
      <c r="G92" s="21">
        <f t="shared" si="6"/>
        <v>1361</v>
      </c>
      <c r="I92" s="22">
        <f t="shared" si="7"/>
        <v>1</v>
      </c>
      <c r="J92" s="22">
        <f t="shared" si="8"/>
        <v>0</v>
      </c>
      <c r="K92" s="22">
        <f t="shared" si="9"/>
        <v>0</v>
      </c>
      <c r="L92" s="22">
        <f t="shared" si="10"/>
        <v>0</v>
      </c>
    </row>
    <row r="93" spans="1:12" x14ac:dyDescent="0.25">
      <c r="A93" s="20" t="s">
        <v>44</v>
      </c>
      <c r="B93" s="21">
        <v>101</v>
      </c>
      <c r="C93" s="21">
        <v>2</v>
      </c>
      <c r="D93" s="21">
        <v>0</v>
      </c>
      <c r="E93" s="21">
        <v>0</v>
      </c>
      <c r="G93" s="21">
        <f t="shared" si="6"/>
        <v>103</v>
      </c>
      <c r="I93" s="22">
        <f t="shared" si="7"/>
        <v>0.98058252427184467</v>
      </c>
      <c r="J93" s="22">
        <f t="shared" si="8"/>
        <v>1.9417475728155338E-2</v>
      </c>
      <c r="K93" s="22">
        <f t="shared" si="9"/>
        <v>0</v>
      </c>
      <c r="L93" s="22">
        <f t="shared" si="10"/>
        <v>0</v>
      </c>
    </row>
    <row r="94" spans="1:12" x14ac:dyDescent="0.25">
      <c r="A94" s="20" t="s">
        <v>45</v>
      </c>
      <c r="B94" s="21">
        <v>0</v>
      </c>
      <c r="C94" s="21">
        <v>4</v>
      </c>
      <c r="D94" s="21">
        <v>1</v>
      </c>
      <c r="E94" s="21">
        <v>1</v>
      </c>
      <c r="G94" s="21">
        <f t="shared" si="6"/>
        <v>6</v>
      </c>
      <c r="I94" s="22">
        <f t="shared" si="7"/>
        <v>0</v>
      </c>
      <c r="J94" s="22">
        <f t="shared" si="8"/>
        <v>0.66666666666666663</v>
      </c>
      <c r="K94" s="22">
        <f t="shared" si="9"/>
        <v>0.16666666666666666</v>
      </c>
      <c r="L94" s="22">
        <f t="shared" si="10"/>
        <v>0.16666666666666666</v>
      </c>
    </row>
    <row r="95" spans="1:12" x14ac:dyDescent="0.25">
      <c r="A95" s="20" t="s">
        <v>46</v>
      </c>
      <c r="B95" s="21">
        <v>0</v>
      </c>
      <c r="C95" s="21">
        <v>12</v>
      </c>
      <c r="D95" s="21">
        <v>0</v>
      </c>
      <c r="E95" s="21">
        <v>12</v>
      </c>
      <c r="G95" s="21">
        <f t="shared" si="6"/>
        <v>24</v>
      </c>
      <c r="I95" s="22">
        <f t="shared" si="7"/>
        <v>0</v>
      </c>
      <c r="J95" s="22">
        <f t="shared" si="8"/>
        <v>0.5</v>
      </c>
      <c r="K95" s="22">
        <f t="shared" si="9"/>
        <v>0</v>
      </c>
      <c r="L95" s="22">
        <f t="shared" si="10"/>
        <v>0.5</v>
      </c>
    </row>
    <row r="96" spans="1:12" x14ac:dyDescent="0.25">
      <c r="A96" s="20" t="s">
        <v>48</v>
      </c>
      <c r="B96" s="21">
        <v>0</v>
      </c>
      <c r="C96" s="21">
        <v>716</v>
      </c>
      <c r="D96" s="21">
        <v>2784</v>
      </c>
      <c r="E96" s="21">
        <v>2895</v>
      </c>
      <c r="G96" s="21">
        <f t="shared" si="6"/>
        <v>6395</v>
      </c>
      <c r="I96" s="22">
        <f t="shared" si="7"/>
        <v>0</v>
      </c>
      <c r="J96" s="22">
        <f t="shared" si="8"/>
        <v>0.11196247068021892</v>
      </c>
      <c r="K96" s="22">
        <f t="shared" si="9"/>
        <v>0.43534010946051604</v>
      </c>
      <c r="L96" s="22">
        <f t="shared" si="10"/>
        <v>0.45269741985926504</v>
      </c>
    </row>
    <row r="97" spans="1:12" x14ac:dyDescent="0.25">
      <c r="A97" s="20" t="s">
        <v>139</v>
      </c>
      <c r="B97" s="21">
        <v>0</v>
      </c>
      <c r="C97" s="21">
        <v>17</v>
      </c>
      <c r="D97" s="21">
        <v>10</v>
      </c>
      <c r="E97" s="21">
        <v>60</v>
      </c>
      <c r="G97" s="21">
        <f t="shared" si="6"/>
        <v>87</v>
      </c>
      <c r="I97" s="22">
        <f t="shared" si="7"/>
        <v>0</v>
      </c>
      <c r="J97" s="22">
        <f t="shared" si="8"/>
        <v>0.19540229885057472</v>
      </c>
      <c r="K97" s="22">
        <f t="shared" si="9"/>
        <v>0.11494252873563218</v>
      </c>
      <c r="L97" s="22">
        <f t="shared" si="10"/>
        <v>0.68965517241379315</v>
      </c>
    </row>
    <row r="98" spans="1:12" x14ac:dyDescent="0.25">
      <c r="A98" s="20" t="s">
        <v>53</v>
      </c>
      <c r="B98" s="21">
        <v>0</v>
      </c>
      <c r="C98" s="21">
        <v>14</v>
      </c>
      <c r="D98" s="21">
        <v>76</v>
      </c>
      <c r="E98" s="21">
        <v>226</v>
      </c>
      <c r="G98" s="21">
        <f t="shared" si="6"/>
        <v>316</v>
      </c>
      <c r="I98" s="22">
        <f t="shared" si="7"/>
        <v>0</v>
      </c>
      <c r="J98" s="22">
        <f t="shared" si="8"/>
        <v>4.4303797468354431E-2</v>
      </c>
      <c r="K98" s="22">
        <f t="shared" si="9"/>
        <v>0.24050632911392406</v>
      </c>
      <c r="L98" s="22">
        <f t="shared" si="10"/>
        <v>0.71518987341772156</v>
      </c>
    </row>
    <row r="99" spans="1:12" x14ac:dyDescent="0.25">
      <c r="A99" s="20" t="s">
        <v>54</v>
      </c>
      <c r="B99" s="21">
        <v>0</v>
      </c>
      <c r="C99" s="21">
        <v>49</v>
      </c>
      <c r="D99" s="21">
        <v>50</v>
      </c>
      <c r="E99" s="21">
        <v>45</v>
      </c>
      <c r="G99" s="21">
        <f t="shared" si="6"/>
        <v>144</v>
      </c>
      <c r="I99" s="22">
        <f t="shared" si="7"/>
        <v>0</v>
      </c>
      <c r="J99" s="22">
        <f t="shared" si="8"/>
        <v>0.34027777777777779</v>
      </c>
      <c r="K99" s="22">
        <f t="shared" si="9"/>
        <v>0.34722222222222221</v>
      </c>
      <c r="L99" s="22">
        <f t="shared" si="10"/>
        <v>0.3125</v>
      </c>
    </row>
    <row r="100" spans="1:12" x14ac:dyDescent="0.25">
      <c r="A100" s="20" t="s">
        <v>56</v>
      </c>
      <c r="B100" s="21">
        <v>0</v>
      </c>
      <c r="C100" s="21">
        <v>0</v>
      </c>
      <c r="D100" s="21">
        <v>0</v>
      </c>
      <c r="E100" s="21">
        <v>1</v>
      </c>
      <c r="G100" s="21">
        <f t="shared" si="6"/>
        <v>1</v>
      </c>
      <c r="I100" s="22">
        <f t="shared" si="7"/>
        <v>0</v>
      </c>
      <c r="J100" s="22">
        <f t="shared" si="8"/>
        <v>0</v>
      </c>
      <c r="K100" s="22">
        <f t="shared" si="9"/>
        <v>0</v>
      </c>
      <c r="L100" s="22">
        <f t="shared" si="10"/>
        <v>1</v>
      </c>
    </row>
    <row r="101" spans="1:12" x14ac:dyDescent="0.25">
      <c r="A101" s="20" t="s">
        <v>57</v>
      </c>
      <c r="B101" s="21">
        <v>51</v>
      </c>
      <c r="C101" s="21">
        <v>24</v>
      </c>
      <c r="D101" s="21">
        <v>9</v>
      </c>
      <c r="E101" s="21">
        <v>336</v>
      </c>
      <c r="G101" s="21">
        <f t="shared" si="6"/>
        <v>420</v>
      </c>
      <c r="I101" s="22">
        <f t="shared" si="7"/>
        <v>0.12142857142857143</v>
      </c>
      <c r="J101" s="22">
        <f t="shared" si="8"/>
        <v>5.7142857142857141E-2</v>
      </c>
      <c r="K101" s="22">
        <f t="shared" si="9"/>
        <v>2.1428571428571429E-2</v>
      </c>
      <c r="L101" s="22">
        <f t="shared" si="10"/>
        <v>0.8</v>
      </c>
    </row>
    <row r="102" spans="1:12" x14ac:dyDescent="0.25">
      <c r="A102" s="20" t="s">
        <v>58</v>
      </c>
      <c r="B102" s="21">
        <v>7</v>
      </c>
      <c r="C102" s="21">
        <v>0</v>
      </c>
      <c r="D102" s="21">
        <v>0</v>
      </c>
      <c r="E102" s="21">
        <v>0</v>
      </c>
      <c r="G102" s="21">
        <f t="shared" si="6"/>
        <v>7</v>
      </c>
      <c r="I102" s="22">
        <f t="shared" si="7"/>
        <v>1</v>
      </c>
      <c r="J102" s="22">
        <f t="shared" si="8"/>
        <v>0</v>
      </c>
      <c r="K102" s="22">
        <f t="shared" si="9"/>
        <v>0</v>
      </c>
      <c r="L102" s="22">
        <f t="shared" si="10"/>
        <v>0</v>
      </c>
    </row>
    <row r="103" spans="1:12" x14ac:dyDescent="0.25">
      <c r="A103" s="20" t="s">
        <v>59</v>
      </c>
      <c r="B103" s="21">
        <v>0</v>
      </c>
      <c r="C103" s="21">
        <v>0</v>
      </c>
      <c r="D103" s="21">
        <v>2</v>
      </c>
      <c r="E103" s="21">
        <v>0</v>
      </c>
      <c r="G103" s="21">
        <f t="shared" si="6"/>
        <v>2</v>
      </c>
      <c r="I103" s="22">
        <f t="shared" si="7"/>
        <v>0</v>
      </c>
      <c r="J103" s="22">
        <f t="shared" si="8"/>
        <v>0</v>
      </c>
      <c r="K103" s="22">
        <f t="shared" si="9"/>
        <v>1</v>
      </c>
      <c r="L103" s="22">
        <f t="shared" si="10"/>
        <v>0</v>
      </c>
    </row>
    <row r="104" spans="1:12" x14ac:dyDescent="0.25">
      <c r="A104" s="20" t="s">
        <v>60</v>
      </c>
      <c r="B104" s="21">
        <v>94</v>
      </c>
      <c r="C104" s="21">
        <v>17</v>
      </c>
      <c r="D104" s="21">
        <v>4</v>
      </c>
      <c r="E104" s="21">
        <v>77</v>
      </c>
      <c r="G104" s="21">
        <f t="shared" si="6"/>
        <v>192</v>
      </c>
      <c r="I104" s="22">
        <f t="shared" si="7"/>
        <v>0.48958333333333331</v>
      </c>
      <c r="J104" s="22">
        <f t="shared" si="8"/>
        <v>8.8541666666666671E-2</v>
      </c>
      <c r="K104" s="22">
        <f t="shared" si="9"/>
        <v>2.0833333333333332E-2</v>
      </c>
      <c r="L104" s="22">
        <f t="shared" si="10"/>
        <v>0.40104166666666669</v>
      </c>
    </row>
    <row r="105" spans="1:12" x14ac:dyDescent="0.25">
      <c r="A105" s="20" t="s">
        <v>62</v>
      </c>
      <c r="B105" s="21">
        <v>0</v>
      </c>
      <c r="C105" s="21">
        <v>91</v>
      </c>
      <c r="D105" s="21">
        <v>0</v>
      </c>
      <c r="E105" s="21">
        <v>300</v>
      </c>
      <c r="G105" s="21">
        <f t="shared" ref="G105:G134" si="11">SUM(B105:E105)</f>
        <v>391</v>
      </c>
      <c r="I105" s="22">
        <f t="shared" si="7"/>
        <v>0</v>
      </c>
      <c r="J105" s="22">
        <f t="shared" si="8"/>
        <v>0.23273657289002558</v>
      </c>
      <c r="K105" s="22">
        <f t="shared" si="9"/>
        <v>0</v>
      </c>
      <c r="L105" s="22">
        <f t="shared" si="10"/>
        <v>0.76726342710997442</v>
      </c>
    </row>
    <row r="106" spans="1:12" s="47" customFormat="1" x14ac:dyDescent="0.25">
      <c r="A106" s="31" t="s">
        <v>74</v>
      </c>
      <c r="B106" s="29">
        <v>1717</v>
      </c>
      <c r="C106" s="29">
        <v>4185</v>
      </c>
      <c r="D106" s="29">
        <v>6766</v>
      </c>
      <c r="E106" s="29">
        <v>12652</v>
      </c>
      <c r="G106" s="23">
        <f t="shared" si="11"/>
        <v>25320</v>
      </c>
      <c r="I106" s="24">
        <f t="shared" si="7"/>
        <v>6.7812006319115326E-2</v>
      </c>
      <c r="J106" s="24">
        <f t="shared" si="8"/>
        <v>0.16528436018957346</v>
      </c>
      <c r="K106" s="24">
        <f t="shared" si="9"/>
        <v>0.26721958925750394</v>
      </c>
      <c r="L106" s="24">
        <f t="shared" si="10"/>
        <v>0.49968404423380725</v>
      </c>
    </row>
    <row r="107" spans="1:12" x14ac:dyDescent="0.25">
      <c r="A107" s="20"/>
      <c r="B107" s="21"/>
      <c r="C107" s="21"/>
      <c r="D107" s="21"/>
      <c r="E107" s="21"/>
    </row>
    <row r="108" spans="1:12" x14ac:dyDescent="0.25">
      <c r="A108" s="30" t="s">
        <v>75</v>
      </c>
      <c r="B108" s="27"/>
      <c r="C108" s="27"/>
      <c r="D108" s="27"/>
      <c r="E108" s="27"/>
    </row>
    <row r="109" spans="1:12" x14ac:dyDescent="0.25">
      <c r="A109" s="20" t="s">
        <v>24</v>
      </c>
      <c r="B109" s="21">
        <v>0</v>
      </c>
      <c r="C109" s="21">
        <v>626</v>
      </c>
      <c r="D109" s="21">
        <v>1261</v>
      </c>
      <c r="E109" s="21">
        <v>1822</v>
      </c>
      <c r="G109" s="21">
        <f t="shared" si="11"/>
        <v>3709</v>
      </c>
      <c r="I109" s="22">
        <f t="shared" si="7"/>
        <v>0</v>
      </c>
      <c r="J109" s="22">
        <f t="shared" si="8"/>
        <v>0.1687786465354543</v>
      </c>
      <c r="K109" s="22">
        <f t="shared" si="9"/>
        <v>0.33998382313291992</v>
      </c>
      <c r="L109" s="22">
        <f t="shared" si="10"/>
        <v>0.49123753033162576</v>
      </c>
    </row>
    <row r="110" spans="1:12" x14ac:dyDescent="0.25">
      <c r="A110" s="20" t="s">
        <v>25</v>
      </c>
      <c r="B110" s="21">
        <v>0</v>
      </c>
      <c r="C110" s="21">
        <v>190</v>
      </c>
      <c r="D110" s="21">
        <v>17</v>
      </c>
      <c r="E110" s="21">
        <v>491</v>
      </c>
      <c r="G110" s="21">
        <f t="shared" si="11"/>
        <v>698</v>
      </c>
      <c r="I110" s="22">
        <f t="shared" si="7"/>
        <v>0</v>
      </c>
      <c r="J110" s="22">
        <f t="shared" si="8"/>
        <v>0.27220630372492838</v>
      </c>
      <c r="K110" s="22">
        <f t="shared" si="9"/>
        <v>2.4355300859598854E-2</v>
      </c>
      <c r="L110" s="22">
        <f t="shared" si="10"/>
        <v>0.70343839541547282</v>
      </c>
    </row>
    <row r="111" spans="1:12" x14ac:dyDescent="0.25">
      <c r="A111" s="20" t="s">
        <v>26</v>
      </c>
      <c r="B111" s="21">
        <v>0</v>
      </c>
      <c r="C111" s="21">
        <v>60</v>
      </c>
      <c r="D111" s="21">
        <v>34</v>
      </c>
      <c r="E111" s="21">
        <v>8</v>
      </c>
      <c r="G111" s="21">
        <f t="shared" si="11"/>
        <v>102</v>
      </c>
      <c r="I111" s="22">
        <f t="shared" si="7"/>
        <v>0</v>
      </c>
      <c r="J111" s="22">
        <f t="shared" si="8"/>
        <v>0.58823529411764708</v>
      </c>
      <c r="K111" s="22">
        <f t="shared" si="9"/>
        <v>0.33333333333333331</v>
      </c>
      <c r="L111" s="22">
        <f t="shared" si="10"/>
        <v>7.8431372549019607E-2</v>
      </c>
    </row>
    <row r="112" spans="1:12" x14ac:dyDescent="0.25">
      <c r="A112" s="20" t="s">
        <v>29</v>
      </c>
      <c r="B112" s="21">
        <v>0</v>
      </c>
      <c r="C112" s="21">
        <v>0</v>
      </c>
      <c r="D112" s="21">
        <v>0</v>
      </c>
      <c r="E112" s="21">
        <v>3</v>
      </c>
      <c r="G112" s="21">
        <f t="shared" si="11"/>
        <v>3</v>
      </c>
      <c r="I112" s="22">
        <f t="shared" si="7"/>
        <v>0</v>
      </c>
      <c r="J112" s="22">
        <f t="shared" si="8"/>
        <v>0</v>
      </c>
      <c r="K112" s="22">
        <f t="shared" si="9"/>
        <v>0</v>
      </c>
      <c r="L112" s="22">
        <f t="shared" si="10"/>
        <v>1</v>
      </c>
    </row>
    <row r="113" spans="1:12" x14ac:dyDescent="0.25">
      <c r="A113" s="20" t="s">
        <v>31</v>
      </c>
      <c r="B113" s="21">
        <v>0</v>
      </c>
      <c r="C113" s="21">
        <v>0</v>
      </c>
      <c r="D113" s="21">
        <v>2</v>
      </c>
      <c r="E113" s="21">
        <v>21</v>
      </c>
      <c r="G113" s="21">
        <f t="shared" si="11"/>
        <v>23</v>
      </c>
      <c r="I113" s="22">
        <f t="shared" si="7"/>
        <v>0</v>
      </c>
      <c r="J113" s="22">
        <f t="shared" si="8"/>
        <v>0</v>
      </c>
      <c r="K113" s="22">
        <f t="shared" si="9"/>
        <v>8.6956521739130432E-2</v>
      </c>
      <c r="L113" s="22">
        <f t="shared" si="10"/>
        <v>0.91304347826086951</v>
      </c>
    </row>
    <row r="114" spans="1:12" x14ac:dyDescent="0.25">
      <c r="A114" s="20" t="s">
        <v>33</v>
      </c>
      <c r="B114" s="21">
        <v>0</v>
      </c>
      <c r="C114" s="21">
        <v>3</v>
      </c>
      <c r="D114" s="21">
        <v>0</v>
      </c>
      <c r="E114" s="21">
        <v>15</v>
      </c>
      <c r="G114" s="21">
        <f t="shared" si="11"/>
        <v>18</v>
      </c>
      <c r="I114" s="22">
        <f t="shared" si="7"/>
        <v>0</v>
      </c>
      <c r="J114" s="22">
        <f t="shared" si="8"/>
        <v>0.16666666666666666</v>
      </c>
      <c r="K114" s="22">
        <f t="shared" si="9"/>
        <v>0</v>
      </c>
      <c r="L114" s="22">
        <f t="shared" si="10"/>
        <v>0.83333333333333337</v>
      </c>
    </row>
    <row r="115" spans="1:12" x14ac:dyDescent="0.25">
      <c r="A115" s="20" t="s">
        <v>34</v>
      </c>
      <c r="B115" s="21">
        <v>0</v>
      </c>
      <c r="C115" s="21">
        <v>0</v>
      </c>
      <c r="D115" s="21">
        <v>1</v>
      </c>
      <c r="E115" s="21">
        <v>243</v>
      </c>
      <c r="G115" s="21">
        <f t="shared" si="11"/>
        <v>244</v>
      </c>
      <c r="I115" s="22">
        <f t="shared" si="7"/>
        <v>0</v>
      </c>
      <c r="J115" s="22">
        <f t="shared" si="8"/>
        <v>0</v>
      </c>
      <c r="K115" s="22">
        <f t="shared" si="9"/>
        <v>4.0983606557377051E-3</v>
      </c>
      <c r="L115" s="22">
        <f t="shared" si="10"/>
        <v>0.99590163934426235</v>
      </c>
    </row>
    <row r="116" spans="1:12" x14ac:dyDescent="0.25">
      <c r="A116" s="20" t="s">
        <v>35</v>
      </c>
      <c r="B116" s="21">
        <v>251</v>
      </c>
      <c r="C116" s="21">
        <v>87</v>
      </c>
      <c r="D116" s="21">
        <v>229</v>
      </c>
      <c r="E116" s="21">
        <v>477</v>
      </c>
      <c r="G116" s="21">
        <f t="shared" si="11"/>
        <v>1044</v>
      </c>
      <c r="I116" s="22">
        <f t="shared" si="7"/>
        <v>0.24042145593869732</v>
      </c>
      <c r="J116" s="22">
        <f t="shared" si="8"/>
        <v>8.3333333333333329E-2</v>
      </c>
      <c r="K116" s="22">
        <f t="shared" si="9"/>
        <v>0.21934865900383141</v>
      </c>
      <c r="L116" s="22">
        <f t="shared" si="10"/>
        <v>0.45689655172413796</v>
      </c>
    </row>
    <row r="117" spans="1:12" x14ac:dyDescent="0.25">
      <c r="A117" s="20" t="s">
        <v>42</v>
      </c>
      <c r="B117" s="21">
        <v>2</v>
      </c>
      <c r="C117" s="21">
        <v>19</v>
      </c>
      <c r="D117" s="21">
        <v>8</v>
      </c>
      <c r="E117" s="21">
        <v>288</v>
      </c>
      <c r="G117" s="21">
        <f t="shared" si="11"/>
        <v>317</v>
      </c>
      <c r="I117" s="22">
        <f t="shared" si="7"/>
        <v>6.3091482649842269E-3</v>
      </c>
      <c r="J117" s="22">
        <f t="shared" si="8"/>
        <v>5.993690851735016E-2</v>
      </c>
      <c r="K117" s="22">
        <f t="shared" si="9"/>
        <v>2.5236593059936908E-2</v>
      </c>
      <c r="L117" s="22">
        <f t="shared" si="10"/>
        <v>0.90851735015772872</v>
      </c>
    </row>
    <row r="118" spans="1:12" x14ac:dyDescent="0.25">
      <c r="A118" s="20" t="s">
        <v>45</v>
      </c>
      <c r="B118" s="21">
        <v>0</v>
      </c>
      <c r="C118" s="21">
        <v>16</v>
      </c>
      <c r="D118" s="21">
        <v>5</v>
      </c>
      <c r="E118" s="21">
        <v>36</v>
      </c>
      <c r="G118" s="21">
        <f t="shared" si="11"/>
        <v>57</v>
      </c>
      <c r="I118" s="22">
        <f t="shared" si="7"/>
        <v>0</v>
      </c>
      <c r="J118" s="22">
        <f t="shared" si="8"/>
        <v>0.2807017543859649</v>
      </c>
      <c r="K118" s="22">
        <f t="shared" si="9"/>
        <v>8.771929824561403E-2</v>
      </c>
      <c r="L118" s="22">
        <f t="shared" si="10"/>
        <v>0.63157894736842102</v>
      </c>
    </row>
    <row r="119" spans="1:12" x14ac:dyDescent="0.25">
      <c r="A119" s="20" t="s">
        <v>46</v>
      </c>
      <c r="B119" s="21">
        <v>0</v>
      </c>
      <c r="C119" s="21">
        <v>1</v>
      </c>
      <c r="D119" s="21">
        <v>0</v>
      </c>
      <c r="E119" s="21">
        <v>1</v>
      </c>
      <c r="G119" s="21">
        <f t="shared" si="11"/>
        <v>2</v>
      </c>
      <c r="I119" s="22">
        <f t="shared" si="7"/>
        <v>0</v>
      </c>
      <c r="J119" s="22">
        <f t="shared" si="8"/>
        <v>0.5</v>
      </c>
      <c r="K119" s="22">
        <f t="shared" si="9"/>
        <v>0</v>
      </c>
      <c r="L119" s="22">
        <f t="shared" si="10"/>
        <v>0.5</v>
      </c>
    </row>
    <row r="120" spans="1:12" x14ac:dyDescent="0.25">
      <c r="A120" s="20" t="s">
        <v>48</v>
      </c>
      <c r="B120" s="21">
        <v>0</v>
      </c>
      <c r="C120" s="21">
        <v>256</v>
      </c>
      <c r="D120" s="21">
        <v>595</v>
      </c>
      <c r="E120" s="21">
        <v>1350</v>
      </c>
      <c r="G120" s="21">
        <f t="shared" si="11"/>
        <v>2201</v>
      </c>
      <c r="I120" s="22">
        <f t="shared" si="7"/>
        <v>0</v>
      </c>
      <c r="J120" s="22">
        <f t="shared" si="8"/>
        <v>0.11631076783280327</v>
      </c>
      <c r="K120" s="22">
        <f t="shared" si="9"/>
        <v>0.27033166742389825</v>
      </c>
      <c r="L120" s="22">
        <f t="shared" si="10"/>
        <v>0.6133575647432985</v>
      </c>
    </row>
    <row r="121" spans="1:12" x14ac:dyDescent="0.25">
      <c r="A121" s="20" t="s">
        <v>139</v>
      </c>
      <c r="B121" s="21">
        <v>0</v>
      </c>
      <c r="C121" s="21">
        <v>54</v>
      </c>
      <c r="D121" s="21">
        <v>12</v>
      </c>
      <c r="E121" s="21">
        <v>185</v>
      </c>
      <c r="G121" s="21">
        <f t="shared" si="11"/>
        <v>251</v>
      </c>
      <c r="I121" s="22">
        <f t="shared" si="7"/>
        <v>0</v>
      </c>
      <c r="J121" s="22">
        <f t="shared" si="8"/>
        <v>0.2151394422310757</v>
      </c>
      <c r="K121" s="22">
        <f t="shared" si="9"/>
        <v>4.7808764940239043E-2</v>
      </c>
      <c r="L121" s="22">
        <f t="shared" si="10"/>
        <v>0.73705179282868527</v>
      </c>
    </row>
    <row r="122" spans="1:12" x14ac:dyDescent="0.25">
      <c r="A122" s="20" t="s">
        <v>53</v>
      </c>
      <c r="B122" s="21">
        <v>0</v>
      </c>
      <c r="C122" s="21">
        <v>0</v>
      </c>
      <c r="D122" s="21">
        <v>0</v>
      </c>
      <c r="E122" s="21">
        <v>1</v>
      </c>
      <c r="G122" s="21">
        <f t="shared" si="11"/>
        <v>1</v>
      </c>
      <c r="I122" s="22">
        <f t="shared" si="7"/>
        <v>0</v>
      </c>
      <c r="J122" s="22">
        <f t="shared" si="8"/>
        <v>0</v>
      </c>
      <c r="K122" s="22">
        <f t="shared" si="9"/>
        <v>0</v>
      </c>
      <c r="L122" s="22">
        <f t="shared" si="10"/>
        <v>1</v>
      </c>
    </row>
    <row r="123" spans="1:12" x14ac:dyDescent="0.25">
      <c r="A123" s="20" t="s">
        <v>54</v>
      </c>
      <c r="B123" s="21">
        <v>0</v>
      </c>
      <c r="C123" s="21">
        <v>2</v>
      </c>
      <c r="D123" s="21">
        <v>0</v>
      </c>
      <c r="E123" s="21">
        <v>9</v>
      </c>
      <c r="G123" s="21">
        <f t="shared" si="11"/>
        <v>11</v>
      </c>
      <c r="I123" s="22">
        <f t="shared" si="7"/>
        <v>0</v>
      </c>
      <c r="J123" s="22">
        <f t="shared" si="8"/>
        <v>0.18181818181818182</v>
      </c>
      <c r="K123" s="22">
        <f t="shared" si="9"/>
        <v>0</v>
      </c>
      <c r="L123" s="22">
        <f t="shared" si="10"/>
        <v>0.81818181818181823</v>
      </c>
    </row>
    <row r="124" spans="1:12" x14ac:dyDescent="0.25">
      <c r="A124" s="20" t="s">
        <v>57</v>
      </c>
      <c r="B124" s="21">
        <v>2</v>
      </c>
      <c r="C124" s="21">
        <v>3</v>
      </c>
      <c r="D124" s="21">
        <v>2</v>
      </c>
      <c r="E124" s="21">
        <v>53</v>
      </c>
      <c r="G124" s="21">
        <f t="shared" si="11"/>
        <v>60</v>
      </c>
      <c r="I124" s="22">
        <f t="shared" si="7"/>
        <v>3.3333333333333333E-2</v>
      </c>
      <c r="J124" s="22">
        <f t="shared" si="8"/>
        <v>0.05</v>
      </c>
      <c r="K124" s="22">
        <f t="shared" si="9"/>
        <v>3.3333333333333333E-2</v>
      </c>
      <c r="L124" s="22">
        <f t="shared" si="10"/>
        <v>0.8833333333333333</v>
      </c>
    </row>
    <row r="125" spans="1:12" x14ac:dyDescent="0.25">
      <c r="A125" s="20" t="s">
        <v>58</v>
      </c>
      <c r="B125" s="21">
        <v>3</v>
      </c>
      <c r="C125" s="21">
        <v>0</v>
      </c>
      <c r="D125" s="21">
        <v>0</v>
      </c>
      <c r="E125" s="21">
        <v>0</v>
      </c>
      <c r="G125" s="21">
        <f t="shared" si="11"/>
        <v>3</v>
      </c>
      <c r="I125" s="22">
        <f t="shared" si="7"/>
        <v>1</v>
      </c>
      <c r="J125" s="22">
        <f t="shared" si="8"/>
        <v>0</v>
      </c>
      <c r="K125" s="22">
        <f t="shared" si="9"/>
        <v>0</v>
      </c>
      <c r="L125" s="22">
        <f t="shared" si="10"/>
        <v>0</v>
      </c>
    </row>
    <row r="126" spans="1:12" x14ac:dyDescent="0.25">
      <c r="A126" s="20" t="s">
        <v>59</v>
      </c>
      <c r="B126" s="21">
        <v>0</v>
      </c>
      <c r="C126" s="21">
        <v>0</v>
      </c>
      <c r="D126" s="21">
        <v>17</v>
      </c>
      <c r="E126" s="21">
        <v>0</v>
      </c>
      <c r="G126" s="21">
        <f t="shared" si="11"/>
        <v>17</v>
      </c>
      <c r="I126" s="22">
        <f t="shared" si="7"/>
        <v>0</v>
      </c>
      <c r="J126" s="22">
        <f t="shared" si="8"/>
        <v>0</v>
      </c>
      <c r="K126" s="22">
        <f t="shared" si="9"/>
        <v>1</v>
      </c>
      <c r="L126" s="22">
        <f t="shared" si="10"/>
        <v>0</v>
      </c>
    </row>
    <row r="127" spans="1:12" x14ac:dyDescent="0.25">
      <c r="A127" s="20" t="s">
        <v>60</v>
      </c>
      <c r="B127" s="21">
        <v>635</v>
      </c>
      <c r="C127" s="21">
        <v>118</v>
      </c>
      <c r="D127" s="21">
        <v>60</v>
      </c>
      <c r="E127" s="21">
        <v>517</v>
      </c>
      <c r="G127" s="21">
        <f t="shared" si="11"/>
        <v>1330</v>
      </c>
      <c r="I127" s="22">
        <f t="shared" si="7"/>
        <v>0.47744360902255639</v>
      </c>
      <c r="J127" s="22">
        <f t="shared" si="8"/>
        <v>8.8721804511278202E-2</v>
      </c>
      <c r="K127" s="22">
        <f t="shared" si="9"/>
        <v>4.5112781954887216E-2</v>
      </c>
      <c r="L127" s="22">
        <f t="shared" si="10"/>
        <v>0.38872180451127819</v>
      </c>
    </row>
    <row r="128" spans="1:12" x14ac:dyDescent="0.25">
      <c r="A128" s="20" t="s">
        <v>63</v>
      </c>
      <c r="B128" s="21">
        <v>0</v>
      </c>
      <c r="C128" s="21">
        <v>0</v>
      </c>
      <c r="D128" s="21">
        <v>1</v>
      </c>
      <c r="E128" s="21">
        <v>0</v>
      </c>
      <c r="G128" s="21">
        <f t="shared" si="11"/>
        <v>1</v>
      </c>
      <c r="I128" s="22">
        <f t="shared" si="7"/>
        <v>0</v>
      </c>
      <c r="J128" s="22">
        <f t="shared" si="8"/>
        <v>0</v>
      </c>
      <c r="K128" s="22">
        <f t="shared" si="9"/>
        <v>1</v>
      </c>
      <c r="L128" s="22">
        <f t="shared" si="10"/>
        <v>0</v>
      </c>
    </row>
    <row r="129" spans="1:12" s="47" customFormat="1" x14ac:dyDescent="0.25">
      <c r="A129" s="31" t="s">
        <v>76</v>
      </c>
      <c r="B129" s="29">
        <v>893</v>
      </c>
      <c r="C129" s="29">
        <v>1435</v>
      </c>
      <c r="D129" s="29">
        <v>2244</v>
      </c>
      <c r="E129" s="29">
        <v>5520</v>
      </c>
      <c r="G129" s="23">
        <f t="shared" si="11"/>
        <v>10092</v>
      </c>
      <c r="I129" s="24">
        <f t="shared" si="7"/>
        <v>8.8485929449068565E-2</v>
      </c>
      <c r="J129" s="24">
        <f t="shared" si="8"/>
        <v>0.14219183511692429</v>
      </c>
      <c r="K129" s="24">
        <f t="shared" si="9"/>
        <v>0.22235434007134364</v>
      </c>
      <c r="L129" s="24">
        <f t="shared" si="10"/>
        <v>0.54696789536266355</v>
      </c>
    </row>
    <row r="130" spans="1:12" x14ac:dyDescent="0.25">
      <c r="A130" s="20"/>
      <c r="B130" s="21"/>
      <c r="C130" s="21"/>
      <c r="D130" s="21"/>
      <c r="E130" s="21"/>
    </row>
    <row r="131" spans="1:12" x14ac:dyDescent="0.25">
      <c r="A131" s="30" t="s">
        <v>77</v>
      </c>
      <c r="B131" s="27"/>
      <c r="C131" s="27"/>
      <c r="D131" s="27"/>
      <c r="E131" s="27"/>
    </row>
    <row r="132" spans="1:12" x14ac:dyDescent="0.25">
      <c r="A132" s="20" t="s">
        <v>27</v>
      </c>
      <c r="B132" s="21">
        <v>2290</v>
      </c>
      <c r="C132" s="21">
        <v>87</v>
      </c>
      <c r="D132" s="21">
        <v>777</v>
      </c>
      <c r="E132" s="21">
        <v>2929</v>
      </c>
      <c r="G132" s="21">
        <f t="shared" si="11"/>
        <v>6083</v>
      </c>
      <c r="I132" s="22">
        <f t="shared" si="7"/>
        <v>0.37645898405392075</v>
      </c>
      <c r="J132" s="22">
        <f t="shared" si="8"/>
        <v>1.4302153542659872E-2</v>
      </c>
      <c r="K132" s="22">
        <f t="shared" si="9"/>
        <v>0.12773302646720369</v>
      </c>
      <c r="L132" s="22">
        <f t="shared" si="10"/>
        <v>0.48150583593621571</v>
      </c>
    </row>
    <row r="133" spans="1:12" x14ac:dyDescent="0.25">
      <c r="A133" s="20" t="s">
        <v>85</v>
      </c>
      <c r="B133" s="21">
        <v>0</v>
      </c>
      <c r="C133" s="21">
        <v>1</v>
      </c>
      <c r="D133" s="21">
        <v>0</v>
      </c>
      <c r="E133" s="21">
        <v>0</v>
      </c>
      <c r="G133" s="21">
        <f t="shared" si="11"/>
        <v>1</v>
      </c>
      <c r="I133" s="22">
        <f t="shared" si="7"/>
        <v>0</v>
      </c>
      <c r="J133" s="22">
        <f t="shared" si="8"/>
        <v>1</v>
      </c>
      <c r="K133" s="22">
        <f t="shared" si="9"/>
        <v>0</v>
      </c>
      <c r="L133" s="22">
        <f t="shared" si="10"/>
        <v>0</v>
      </c>
    </row>
    <row r="134" spans="1:12" s="47" customFormat="1" x14ac:dyDescent="0.25">
      <c r="A134" s="31" t="s">
        <v>78</v>
      </c>
      <c r="B134" s="29">
        <v>2290</v>
      </c>
      <c r="C134" s="29">
        <v>88</v>
      </c>
      <c r="D134" s="29">
        <v>777</v>
      </c>
      <c r="E134" s="29">
        <v>2929</v>
      </c>
      <c r="G134" s="23">
        <f t="shared" si="11"/>
        <v>6084</v>
      </c>
      <c r="I134" s="24">
        <f t="shared" si="7"/>
        <v>0.37639710716633795</v>
      </c>
      <c r="J134" s="24">
        <f t="shared" si="8"/>
        <v>1.4464168310322156E-2</v>
      </c>
      <c r="K134" s="24">
        <f t="shared" si="9"/>
        <v>0.12771203155818542</v>
      </c>
      <c r="L134" s="24">
        <f t="shared" si="10"/>
        <v>0.4814266929651545</v>
      </c>
    </row>
  </sheetData>
  <mergeCells count="2">
    <mergeCell ref="B4:G4"/>
    <mergeCell ref="H4:L4"/>
  </mergeCells>
  <conditionalFormatting sqref="A5">
    <cfRule type="duplicateValues" dxfId="2" priority="1"/>
  </conditionalFormatting>
  <hyperlinks>
    <hyperlink ref="B1" location="Contents!A1" display="Back to Contents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5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" sqref="B1"/>
    </sheetView>
  </sheetViews>
  <sheetFormatPr defaultRowHeight="15" x14ac:dyDescent="0.25"/>
  <cols>
    <col min="1" max="1" width="21.140625" customWidth="1"/>
    <col min="2" max="5" width="20.42578125" customWidth="1"/>
    <col min="6" max="6" width="3.140625" customWidth="1"/>
    <col min="7" max="7" width="13.140625" style="23" customWidth="1"/>
    <col min="8" max="8" width="3.140625" style="23" customWidth="1"/>
    <col min="9" max="12" width="20.42578125" style="22" customWidth="1"/>
    <col min="13" max="13" width="14.85546875" customWidth="1"/>
  </cols>
  <sheetData>
    <row r="1" spans="1:12" x14ac:dyDescent="0.25">
      <c r="A1" s="1" t="s">
        <v>0</v>
      </c>
      <c r="B1" s="87" t="s">
        <v>189</v>
      </c>
      <c r="C1" s="4"/>
    </row>
    <row r="2" spans="1:12" x14ac:dyDescent="0.25">
      <c r="A2" s="37" t="s">
        <v>162</v>
      </c>
      <c r="B2" s="13"/>
      <c r="C2" s="4"/>
    </row>
    <row r="3" spans="1:12" x14ac:dyDescent="0.25">
      <c r="A3" s="10" t="s">
        <v>16</v>
      </c>
      <c r="B3" s="51" t="s">
        <v>3</v>
      </c>
      <c r="C3" s="50"/>
      <c r="D3" s="50"/>
      <c r="E3" s="50"/>
      <c r="F3" s="50"/>
    </row>
    <row r="4" spans="1:12" s="23" customFormat="1" ht="12.75" x14ac:dyDescent="0.2">
      <c r="A4" s="1" t="s">
        <v>6</v>
      </c>
      <c r="B4" s="122" t="s">
        <v>122</v>
      </c>
      <c r="C4" s="122"/>
      <c r="D4" s="122"/>
      <c r="E4" s="122"/>
      <c r="F4" s="122"/>
      <c r="G4" s="122"/>
      <c r="I4" s="125" t="s">
        <v>148</v>
      </c>
      <c r="J4" s="125"/>
      <c r="K4" s="125"/>
      <c r="L4" s="125"/>
    </row>
    <row r="5" spans="1:12" ht="90" customHeight="1" x14ac:dyDescent="0.25">
      <c r="A5" s="48" t="s">
        <v>11</v>
      </c>
      <c r="B5" s="35" t="s">
        <v>120</v>
      </c>
      <c r="C5" s="35" t="s">
        <v>121</v>
      </c>
      <c r="D5" s="35" t="s">
        <v>146</v>
      </c>
      <c r="E5" s="35" t="s">
        <v>147</v>
      </c>
      <c r="F5" s="36"/>
      <c r="G5" s="55" t="s">
        <v>82</v>
      </c>
      <c r="H5" s="55"/>
      <c r="I5" s="69" t="s">
        <v>120</v>
      </c>
      <c r="J5" s="69" t="s">
        <v>121</v>
      </c>
      <c r="K5" s="69" t="s">
        <v>146</v>
      </c>
      <c r="L5" s="69" t="s">
        <v>147</v>
      </c>
    </row>
    <row r="6" spans="1:12" x14ac:dyDescent="0.25">
      <c r="A6" s="20" t="s">
        <v>22</v>
      </c>
      <c r="B6" s="21">
        <v>456</v>
      </c>
      <c r="C6" s="21">
        <v>340</v>
      </c>
      <c r="D6" s="21">
        <v>1</v>
      </c>
      <c r="E6" s="21">
        <v>153</v>
      </c>
      <c r="G6" s="23">
        <f>SUM(B6:E6)</f>
        <v>950</v>
      </c>
      <c r="I6" s="22">
        <f>IFERROR(B6/$G6,0)</f>
        <v>0.48</v>
      </c>
      <c r="J6" s="22">
        <f t="shared" ref="J6:L6" si="0">IFERROR(C6/$G6,0)</f>
        <v>0.35789473684210527</v>
      </c>
      <c r="K6" s="22">
        <f t="shared" si="0"/>
        <v>1.0526315789473684E-3</v>
      </c>
      <c r="L6" s="22">
        <f t="shared" si="0"/>
        <v>0.16105263157894736</v>
      </c>
    </row>
    <row r="7" spans="1:12" x14ac:dyDescent="0.25">
      <c r="A7" s="20" t="s">
        <v>23</v>
      </c>
      <c r="B7" s="21">
        <v>6465</v>
      </c>
      <c r="C7" s="21">
        <v>1190</v>
      </c>
      <c r="D7" s="21">
        <v>2611</v>
      </c>
      <c r="E7" s="21">
        <v>0</v>
      </c>
      <c r="G7" s="23">
        <f t="shared" ref="G7:G70" si="1">SUM(B7:E7)</f>
        <v>10266</v>
      </c>
      <c r="I7" s="22">
        <f t="shared" ref="I7:I70" si="2">IFERROR(B7/$G7,0)</f>
        <v>0.62974868497954417</v>
      </c>
      <c r="J7" s="22">
        <f t="shared" ref="J7:J70" si="3">IFERROR(C7/$G7,0)</f>
        <v>0.11591661796220534</v>
      </c>
      <c r="K7" s="22">
        <f t="shared" ref="K7:K70" si="4">IFERROR(D7/$G7,0)</f>
        <v>0.25433469705825051</v>
      </c>
      <c r="L7" s="22">
        <f t="shared" ref="L7:L70" si="5">IFERROR(E7/$G7,0)</f>
        <v>0</v>
      </c>
    </row>
    <row r="8" spans="1:12" x14ac:dyDescent="0.25">
      <c r="A8" s="20" t="s">
        <v>24</v>
      </c>
      <c r="B8" s="21">
        <v>192004</v>
      </c>
      <c r="C8" s="21">
        <v>65086</v>
      </c>
      <c r="D8" s="21">
        <v>36</v>
      </c>
      <c r="E8" s="21">
        <v>37616</v>
      </c>
      <c r="G8" s="23">
        <f t="shared" si="1"/>
        <v>294742</v>
      </c>
      <c r="I8" s="22">
        <f t="shared" si="2"/>
        <v>0.65143074281914348</v>
      </c>
      <c r="J8" s="22">
        <f t="shared" si="3"/>
        <v>0.22082363558637724</v>
      </c>
      <c r="K8" s="22">
        <f t="shared" si="4"/>
        <v>1.2214071968026275E-4</v>
      </c>
      <c r="L8" s="22">
        <f t="shared" si="5"/>
        <v>0.12762348087479897</v>
      </c>
    </row>
    <row r="9" spans="1:12" x14ac:dyDescent="0.25">
      <c r="A9" s="20" t="s">
        <v>25</v>
      </c>
      <c r="B9" s="21">
        <v>43652</v>
      </c>
      <c r="C9" s="21">
        <v>23228</v>
      </c>
      <c r="D9" s="21">
        <v>0</v>
      </c>
      <c r="E9" s="21">
        <v>3387</v>
      </c>
      <c r="G9" s="23">
        <f t="shared" si="1"/>
        <v>70267</v>
      </c>
      <c r="I9" s="22">
        <f t="shared" si="2"/>
        <v>0.62123044957092233</v>
      </c>
      <c r="J9" s="22">
        <f t="shared" si="3"/>
        <v>0.3305676918041186</v>
      </c>
      <c r="K9" s="22">
        <f t="shared" si="4"/>
        <v>0</v>
      </c>
      <c r="L9" s="22">
        <f t="shared" si="5"/>
        <v>4.8201858624959085E-2</v>
      </c>
    </row>
    <row r="10" spans="1:12" x14ac:dyDescent="0.25">
      <c r="A10" s="20" t="s">
        <v>26</v>
      </c>
      <c r="B10" s="21">
        <v>6343</v>
      </c>
      <c r="C10" s="21">
        <v>2471</v>
      </c>
      <c r="D10" s="21">
        <v>0</v>
      </c>
      <c r="E10" s="21">
        <v>5709</v>
      </c>
      <c r="G10" s="23">
        <f t="shared" si="1"/>
        <v>14523</v>
      </c>
      <c r="I10" s="22">
        <f t="shared" si="2"/>
        <v>0.43675549128967844</v>
      </c>
      <c r="J10" s="22">
        <f t="shared" si="3"/>
        <v>0.17014390966053847</v>
      </c>
      <c r="K10" s="22">
        <f t="shared" si="4"/>
        <v>0</v>
      </c>
      <c r="L10" s="22">
        <f t="shared" si="5"/>
        <v>0.39310059904978312</v>
      </c>
    </row>
    <row r="11" spans="1:12" x14ac:dyDescent="0.25">
      <c r="A11" s="20" t="s">
        <v>27</v>
      </c>
      <c r="B11" s="21">
        <v>9752</v>
      </c>
      <c r="C11" s="21">
        <v>231</v>
      </c>
      <c r="D11" s="21">
        <v>0</v>
      </c>
      <c r="E11" s="21">
        <v>5320</v>
      </c>
      <c r="G11" s="23">
        <f t="shared" si="1"/>
        <v>15303</v>
      </c>
      <c r="I11" s="22">
        <f t="shared" si="2"/>
        <v>0.63726066784290658</v>
      </c>
      <c r="J11" s="22">
        <f t="shared" si="3"/>
        <v>1.5095079396196824E-2</v>
      </c>
      <c r="K11" s="22">
        <f t="shared" si="4"/>
        <v>0</v>
      </c>
      <c r="L11" s="22">
        <f t="shared" si="5"/>
        <v>0.34764425276089655</v>
      </c>
    </row>
    <row r="12" spans="1:12" x14ac:dyDescent="0.25">
      <c r="A12" s="20" t="s">
        <v>29</v>
      </c>
      <c r="B12" s="21">
        <v>103</v>
      </c>
      <c r="C12" s="21">
        <v>18</v>
      </c>
      <c r="D12" s="21">
        <v>326</v>
      </c>
      <c r="E12" s="21">
        <v>309</v>
      </c>
      <c r="G12" s="23">
        <f t="shared" si="1"/>
        <v>756</v>
      </c>
      <c r="I12" s="22">
        <f t="shared" si="2"/>
        <v>0.13624338624338625</v>
      </c>
      <c r="J12" s="22">
        <f t="shared" si="3"/>
        <v>2.3809523809523808E-2</v>
      </c>
      <c r="K12" s="22">
        <f t="shared" si="4"/>
        <v>0.43121693121693122</v>
      </c>
      <c r="L12" s="22">
        <f t="shared" si="5"/>
        <v>0.40873015873015872</v>
      </c>
    </row>
    <row r="13" spans="1:12" x14ac:dyDescent="0.25">
      <c r="A13" s="20" t="s">
        <v>30</v>
      </c>
      <c r="B13" s="21">
        <v>306</v>
      </c>
      <c r="C13" s="21">
        <v>120</v>
      </c>
      <c r="D13" s="21">
        <v>0</v>
      </c>
      <c r="E13" s="21">
        <v>537</v>
      </c>
      <c r="G13" s="23">
        <f t="shared" si="1"/>
        <v>963</v>
      </c>
      <c r="I13" s="22">
        <f t="shared" si="2"/>
        <v>0.31775700934579437</v>
      </c>
      <c r="J13" s="22">
        <f t="shared" si="3"/>
        <v>0.12461059190031153</v>
      </c>
      <c r="K13" s="22">
        <f t="shared" si="4"/>
        <v>0</v>
      </c>
      <c r="L13" s="22">
        <f t="shared" si="5"/>
        <v>0.55763239875389403</v>
      </c>
    </row>
    <row r="14" spans="1:12" x14ac:dyDescent="0.25">
      <c r="A14" s="20" t="s">
        <v>31</v>
      </c>
      <c r="B14" s="21">
        <v>686</v>
      </c>
      <c r="C14" s="21">
        <v>434</v>
      </c>
      <c r="D14" s="21">
        <v>0</v>
      </c>
      <c r="E14" s="21">
        <v>229</v>
      </c>
      <c r="G14" s="23">
        <f t="shared" si="1"/>
        <v>1349</v>
      </c>
      <c r="I14" s="22">
        <f t="shared" si="2"/>
        <v>0.50852483320978503</v>
      </c>
      <c r="J14" s="22">
        <f t="shared" si="3"/>
        <v>0.32171979243884358</v>
      </c>
      <c r="K14" s="22">
        <f t="shared" si="4"/>
        <v>0</v>
      </c>
      <c r="L14" s="22">
        <f t="shared" si="5"/>
        <v>0.16975537435137139</v>
      </c>
    </row>
    <row r="15" spans="1:12" x14ac:dyDescent="0.25">
      <c r="A15" s="20" t="s">
        <v>33</v>
      </c>
      <c r="B15" s="21">
        <v>2208</v>
      </c>
      <c r="C15" s="21">
        <v>798</v>
      </c>
      <c r="D15" s="21">
        <v>0</v>
      </c>
      <c r="E15" s="21">
        <v>3276</v>
      </c>
      <c r="G15" s="23">
        <f t="shared" si="1"/>
        <v>6282</v>
      </c>
      <c r="I15" s="22">
        <f t="shared" si="2"/>
        <v>0.35148042024832854</v>
      </c>
      <c r="J15" s="22">
        <f t="shared" si="3"/>
        <v>0.12702960840496658</v>
      </c>
      <c r="K15" s="22">
        <f t="shared" si="4"/>
        <v>0</v>
      </c>
      <c r="L15" s="22">
        <f t="shared" si="5"/>
        <v>0.52148997134670483</v>
      </c>
    </row>
    <row r="16" spans="1:12" x14ac:dyDescent="0.25">
      <c r="A16" s="20" t="s">
        <v>34</v>
      </c>
      <c r="B16" s="21">
        <v>235</v>
      </c>
      <c r="C16" s="21">
        <v>100</v>
      </c>
      <c r="D16" s="21">
        <v>0</v>
      </c>
      <c r="E16" s="21">
        <v>93</v>
      </c>
      <c r="G16" s="23">
        <f t="shared" si="1"/>
        <v>428</v>
      </c>
      <c r="I16" s="22">
        <f t="shared" si="2"/>
        <v>0.5490654205607477</v>
      </c>
      <c r="J16" s="22">
        <f t="shared" si="3"/>
        <v>0.23364485981308411</v>
      </c>
      <c r="K16" s="22">
        <f t="shared" si="4"/>
        <v>0</v>
      </c>
      <c r="L16" s="22">
        <f t="shared" si="5"/>
        <v>0.21728971962616822</v>
      </c>
    </row>
    <row r="17" spans="1:12" x14ac:dyDescent="0.25">
      <c r="A17" s="20" t="s">
        <v>35</v>
      </c>
      <c r="B17" s="21">
        <v>26277</v>
      </c>
      <c r="C17" s="21">
        <v>7672</v>
      </c>
      <c r="D17" s="21">
        <v>4764</v>
      </c>
      <c r="E17" s="21">
        <v>11396</v>
      </c>
      <c r="G17" s="23">
        <f t="shared" si="1"/>
        <v>50109</v>
      </c>
      <c r="I17" s="22">
        <f t="shared" si="2"/>
        <v>0.52439681494342338</v>
      </c>
      <c r="J17" s="22">
        <f t="shared" si="3"/>
        <v>0.15310622842203994</v>
      </c>
      <c r="K17" s="22">
        <f t="shared" si="4"/>
        <v>9.5072741423696344E-2</v>
      </c>
      <c r="L17" s="22">
        <f t="shared" si="5"/>
        <v>0.22742421521084036</v>
      </c>
    </row>
    <row r="18" spans="1:12" x14ac:dyDescent="0.25">
      <c r="A18" s="20" t="s">
        <v>36</v>
      </c>
      <c r="B18" s="21">
        <v>0</v>
      </c>
      <c r="C18" s="21">
        <v>0</v>
      </c>
      <c r="D18" s="21">
        <v>0</v>
      </c>
      <c r="E18" s="21">
        <v>143</v>
      </c>
      <c r="G18" s="23">
        <f t="shared" si="1"/>
        <v>143</v>
      </c>
      <c r="I18" s="22">
        <f t="shared" si="2"/>
        <v>0</v>
      </c>
      <c r="J18" s="22">
        <f t="shared" si="3"/>
        <v>0</v>
      </c>
      <c r="K18" s="22">
        <f t="shared" si="4"/>
        <v>0</v>
      </c>
      <c r="L18" s="22">
        <f t="shared" si="5"/>
        <v>1</v>
      </c>
    </row>
    <row r="19" spans="1:12" x14ac:dyDescent="0.25">
      <c r="A19" s="20" t="s">
        <v>37</v>
      </c>
      <c r="B19" s="21">
        <v>22739</v>
      </c>
      <c r="C19" s="21">
        <v>19029</v>
      </c>
      <c r="D19" s="21">
        <v>1158</v>
      </c>
      <c r="E19" s="21">
        <v>105</v>
      </c>
      <c r="G19" s="23">
        <f t="shared" si="1"/>
        <v>43031</v>
      </c>
      <c r="I19" s="22">
        <f t="shared" si="2"/>
        <v>0.52843299016987755</v>
      </c>
      <c r="J19" s="22">
        <f t="shared" si="3"/>
        <v>0.44221607678185493</v>
      </c>
      <c r="K19" s="22">
        <f t="shared" si="4"/>
        <v>2.6910831725965003E-2</v>
      </c>
      <c r="L19" s="22">
        <f t="shared" si="5"/>
        <v>2.4401013223025259E-3</v>
      </c>
    </row>
    <row r="20" spans="1:12" x14ac:dyDescent="0.25">
      <c r="A20" s="20" t="s">
        <v>85</v>
      </c>
      <c r="B20" s="21">
        <v>24</v>
      </c>
      <c r="C20" s="21">
        <v>0</v>
      </c>
      <c r="D20" s="21">
        <v>0</v>
      </c>
      <c r="E20" s="21">
        <v>37</v>
      </c>
      <c r="G20" s="23">
        <f t="shared" si="1"/>
        <v>61</v>
      </c>
      <c r="I20" s="22">
        <f t="shared" si="2"/>
        <v>0.39344262295081966</v>
      </c>
      <c r="J20" s="22">
        <f t="shared" si="3"/>
        <v>0</v>
      </c>
      <c r="K20" s="22">
        <f t="shared" si="4"/>
        <v>0</v>
      </c>
      <c r="L20" s="22">
        <f t="shared" si="5"/>
        <v>0.60655737704918034</v>
      </c>
    </row>
    <row r="21" spans="1:12" x14ac:dyDescent="0.25">
      <c r="A21" s="20" t="s">
        <v>38</v>
      </c>
      <c r="B21" s="21">
        <v>595</v>
      </c>
      <c r="C21" s="21">
        <v>0</v>
      </c>
      <c r="D21" s="21">
        <v>6</v>
      </c>
      <c r="E21" s="21">
        <v>0</v>
      </c>
      <c r="G21" s="23">
        <f t="shared" si="1"/>
        <v>601</v>
      </c>
      <c r="I21" s="22">
        <f t="shared" si="2"/>
        <v>0.99001663893510816</v>
      </c>
      <c r="J21" s="22">
        <f t="shared" si="3"/>
        <v>0</v>
      </c>
      <c r="K21" s="22">
        <f t="shared" si="4"/>
        <v>9.9833610648918467E-3</v>
      </c>
      <c r="L21" s="22">
        <f t="shared" si="5"/>
        <v>0</v>
      </c>
    </row>
    <row r="22" spans="1:12" x14ac:dyDescent="0.25">
      <c r="A22" s="20" t="s">
        <v>39</v>
      </c>
      <c r="B22" s="21">
        <v>542</v>
      </c>
      <c r="C22" s="21">
        <v>0</v>
      </c>
      <c r="D22" s="21">
        <v>0</v>
      </c>
      <c r="E22" s="21">
        <v>0</v>
      </c>
      <c r="G22" s="23">
        <f t="shared" si="1"/>
        <v>542</v>
      </c>
      <c r="I22" s="22">
        <f t="shared" si="2"/>
        <v>1</v>
      </c>
      <c r="J22" s="22">
        <f t="shared" si="3"/>
        <v>0</v>
      </c>
      <c r="K22" s="22">
        <f t="shared" si="4"/>
        <v>0</v>
      </c>
      <c r="L22" s="22">
        <f t="shared" si="5"/>
        <v>0</v>
      </c>
    </row>
    <row r="23" spans="1:12" x14ac:dyDescent="0.25">
      <c r="A23" s="20" t="s">
        <v>41</v>
      </c>
      <c r="B23" s="21">
        <v>87</v>
      </c>
      <c r="C23" s="21">
        <v>17</v>
      </c>
      <c r="D23" s="21">
        <v>0</v>
      </c>
      <c r="E23" s="21">
        <v>0</v>
      </c>
      <c r="G23" s="23">
        <f t="shared" si="1"/>
        <v>104</v>
      </c>
      <c r="I23" s="22">
        <f t="shared" si="2"/>
        <v>0.83653846153846156</v>
      </c>
      <c r="J23" s="22">
        <f t="shared" si="3"/>
        <v>0.16346153846153846</v>
      </c>
      <c r="K23" s="22">
        <f t="shared" si="4"/>
        <v>0</v>
      </c>
      <c r="L23" s="22">
        <f t="shared" si="5"/>
        <v>0</v>
      </c>
    </row>
    <row r="24" spans="1:12" x14ac:dyDescent="0.25">
      <c r="A24" s="20" t="s">
        <v>42</v>
      </c>
      <c r="B24" s="21">
        <v>954</v>
      </c>
      <c r="C24" s="21">
        <v>552</v>
      </c>
      <c r="D24" s="21">
        <v>0</v>
      </c>
      <c r="E24" s="21">
        <v>108</v>
      </c>
      <c r="G24" s="23">
        <f t="shared" si="1"/>
        <v>1614</v>
      </c>
      <c r="I24" s="22">
        <f t="shared" si="2"/>
        <v>0.59107806691449816</v>
      </c>
      <c r="J24" s="22">
        <f t="shared" si="3"/>
        <v>0.34200743494423791</v>
      </c>
      <c r="K24" s="22">
        <f t="shared" si="4"/>
        <v>0</v>
      </c>
      <c r="L24" s="22">
        <f t="shared" si="5"/>
        <v>6.6914498141263934E-2</v>
      </c>
    </row>
    <row r="25" spans="1:12" x14ac:dyDescent="0.25">
      <c r="A25" s="20" t="s">
        <v>43</v>
      </c>
      <c r="B25" s="21">
        <v>1361</v>
      </c>
      <c r="C25" s="21">
        <v>0</v>
      </c>
      <c r="D25" s="21">
        <v>0</v>
      </c>
      <c r="E25" s="21">
        <v>0</v>
      </c>
      <c r="G25" s="23">
        <f t="shared" si="1"/>
        <v>1361</v>
      </c>
      <c r="I25" s="22">
        <f t="shared" si="2"/>
        <v>1</v>
      </c>
      <c r="J25" s="22">
        <f t="shared" si="3"/>
        <v>0</v>
      </c>
      <c r="K25" s="22">
        <f t="shared" si="4"/>
        <v>0</v>
      </c>
      <c r="L25" s="22">
        <f t="shared" si="5"/>
        <v>0</v>
      </c>
    </row>
    <row r="26" spans="1:12" x14ac:dyDescent="0.25">
      <c r="A26" s="20" t="s">
        <v>44</v>
      </c>
      <c r="B26" s="21">
        <v>803</v>
      </c>
      <c r="C26" s="21">
        <v>827</v>
      </c>
      <c r="D26" s="21">
        <v>0</v>
      </c>
      <c r="E26" s="21">
        <v>652</v>
      </c>
      <c r="G26" s="23">
        <f t="shared" si="1"/>
        <v>2282</v>
      </c>
      <c r="I26" s="22">
        <f t="shared" si="2"/>
        <v>0.35188431200701137</v>
      </c>
      <c r="J26" s="22">
        <f t="shared" si="3"/>
        <v>0.36240140227870288</v>
      </c>
      <c r="K26" s="22">
        <f t="shared" si="4"/>
        <v>0</v>
      </c>
      <c r="L26" s="22">
        <f t="shared" si="5"/>
        <v>0.2857142857142857</v>
      </c>
    </row>
    <row r="27" spans="1:12" x14ac:dyDescent="0.25">
      <c r="A27" s="20" t="s">
        <v>45</v>
      </c>
      <c r="B27" s="21">
        <v>76</v>
      </c>
      <c r="C27" s="21">
        <v>61</v>
      </c>
      <c r="D27" s="21">
        <v>0</v>
      </c>
      <c r="E27" s="21">
        <v>67</v>
      </c>
      <c r="G27" s="23">
        <f t="shared" si="1"/>
        <v>204</v>
      </c>
      <c r="I27" s="22">
        <f t="shared" si="2"/>
        <v>0.37254901960784315</v>
      </c>
      <c r="J27" s="22">
        <f t="shared" si="3"/>
        <v>0.29901960784313725</v>
      </c>
      <c r="K27" s="22">
        <f t="shared" si="4"/>
        <v>0</v>
      </c>
      <c r="L27" s="22">
        <f t="shared" si="5"/>
        <v>0.32843137254901961</v>
      </c>
    </row>
    <row r="28" spans="1:12" x14ac:dyDescent="0.25">
      <c r="A28" s="20" t="s">
        <v>46</v>
      </c>
      <c r="B28" s="21">
        <v>273</v>
      </c>
      <c r="C28" s="21">
        <v>32</v>
      </c>
      <c r="D28" s="21">
        <v>657</v>
      </c>
      <c r="E28" s="21">
        <v>96</v>
      </c>
      <c r="G28" s="23">
        <f t="shared" si="1"/>
        <v>1058</v>
      </c>
      <c r="I28" s="22">
        <f t="shared" si="2"/>
        <v>0.25803402646502838</v>
      </c>
      <c r="J28" s="22">
        <f t="shared" si="3"/>
        <v>3.0245746691871456E-2</v>
      </c>
      <c r="K28" s="22">
        <f t="shared" si="4"/>
        <v>0.62098298676748587</v>
      </c>
      <c r="L28" s="22">
        <f t="shared" si="5"/>
        <v>9.0737240075614373E-2</v>
      </c>
    </row>
    <row r="29" spans="1:12" x14ac:dyDescent="0.25">
      <c r="A29" s="20" t="s">
        <v>48</v>
      </c>
      <c r="B29" s="21">
        <v>79418</v>
      </c>
      <c r="C29" s="21">
        <v>43163</v>
      </c>
      <c r="D29" s="21">
        <v>0</v>
      </c>
      <c r="E29" s="21">
        <v>21644</v>
      </c>
      <c r="G29" s="23">
        <f t="shared" si="1"/>
        <v>144225</v>
      </c>
      <c r="I29" s="22">
        <f t="shared" si="2"/>
        <v>0.55065349280637887</v>
      </c>
      <c r="J29" s="22">
        <f t="shared" si="3"/>
        <v>0.29927543768417403</v>
      </c>
      <c r="K29" s="22">
        <f t="shared" si="4"/>
        <v>0</v>
      </c>
      <c r="L29" s="22">
        <f t="shared" si="5"/>
        <v>0.15007106950944704</v>
      </c>
    </row>
    <row r="30" spans="1:12" x14ac:dyDescent="0.25">
      <c r="A30" s="20" t="s">
        <v>50</v>
      </c>
      <c r="B30" s="21">
        <v>274</v>
      </c>
      <c r="C30" s="21">
        <v>174</v>
      </c>
      <c r="D30" s="21">
        <v>377</v>
      </c>
      <c r="E30" s="21">
        <v>0</v>
      </c>
      <c r="G30" s="23">
        <f t="shared" si="1"/>
        <v>825</v>
      </c>
      <c r="I30" s="22">
        <f t="shared" si="2"/>
        <v>0.33212121212121209</v>
      </c>
      <c r="J30" s="22">
        <f t="shared" si="3"/>
        <v>0.21090909090909091</v>
      </c>
      <c r="K30" s="22">
        <f t="shared" si="4"/>
        <v>0.45696969696969697</v>
      </c>
      <c r="L30" s="22">
        <f t="shared" si="5"/>
        <v>0</v>
      </c>
    </row>
    <row r="31" spans="1:12" x14ac:dyDescent="0.25">
      <c r="A31" s="20" t="s">
        <v>139</v>
      </c>
      <c r="B31" s="21">
        <v>1907</v>
      </c>
      <c r="C31" s="21">
        <v>1420</v>
      </c>
      <c r="D31" s="21">
        <v>0</v>
      </c>
      <c r="E31" s="21">
        <v>731</v>
      </c>
      <c r="G31" s="23">
        <f t="shared" si="1"/>
        <v>4058</v>
      </c>
      <c r="I31" s="22">
        <f t="shared" si="2"/>
        <v>0.46993592902907838</v>
      </c>
      <c r="J31" s="22">
        <f t="shared" si="3"/>
        <v>0.34992607195662889</v>
      </c>
      <c r="K31" s="22">
        <f t="shared" si="4"/>
        <v>0</v>
      </c>
      <c r="L31" s="22">
        <f t="shared" si="5"/>
        <v>0.18013799901429275</v>
      </c>
    </row>
    <row r="32" spans="1:12" x14ac:dyDescent="0.25">
      <c r="A32" s="20" t="s">
        <v>53</v>
      </c>
      <c r="B32" s="21">
        <v>4161</v>
      </c>
      <c r="C32" s="21">
        <v>2993</v>
      </c>
      <c r="D32" s="21">
        <v>0</v>
      </c>
      <c r="E32" s="21">
        <v>4153</v>
      </c>
      <c r="G32" s="23">
        <f t="shared" si="1"/>
        <v>11307</v>
      </c>
      <c r="I32" s="22">
        <f t="shared" si="2"/>
        <v>0.36800212257893339</v>
      </c>
      <c r="J32" s="22">
        <f t="shared" si="3"/>
        <v>0.26470328115326791</v>
      </c>
      <c r="K32" s="22">
        <f t="shared" si="4"/>
        <v>0</v>
      </c>
      <c r="L32" s="22">
        <f t="shared" si="5"/>
        <v>0.3672945962677987</v>
      </c>
    </row>
    <row r="33" spans="1:12" x14ac:dyDescent="0.25">
      <c r="A33" s="20" t="s">
        <v>54</v>
      </c>
      <c r="B33" s="21">
        <v>328</v>
      </c>
      <c r="C33" s="21">
        <v>160</v>
      </c>
      <c r="D33" s="21">
        <v>3</v>
      </c>
      <c r="E33" s="21">
        <v>202</v>
      </c>
      <c r="G33" s="23">
        <f t="shared" si="1"/>
        <v>693</v>
      </c>
      <c r="I33" s="22">
        <f t="shared" si="2"/>
        <v>0.47330447330447328</v>
      </c>
      <c r="J33" s="22">
        <f t="shared" si="3"/>
        <v>0.23088023088023088</v>
      </c>
      <c r="K33" s="22">
        <f t="shared" si="4"/>
        <v>4.329004329004329E-3</v>
      </c>
      <c r="L33" s="22">
        <f t="shared" si="5"/>
        <v>0.29148629148629146</v>
      </c>
    </row>
    <row r="34" spans="1:12" x14ac:dyDescent="0.25">
      <c r="A34" s="20" t="s">
        <v>55</v>
      </c>
      <c r="B34" s="21">
        <v>4</v>
      </c>
      <c r="C34" s="21">
        <v>0</v>
      </c>
      <c r="D34" s="21">
        <v>0</v>
      </c>
      <c r="E34" s="21">
        <v>760</v>
      </c>
      <c r="G34" s="23">
        <f t="shared" si="1"/>
        <v>764</v>
      </c>
      <c r="I34" s="22">
        <f t="shared" si="2"/>
        <v>5.235602094240838E-3</v>
      </c>
      <c r="J34" s="22">
        <f t="shared" si="3"/>
        <v>0</v>
      </c>
      <c r="K34" s="22">
        <f t="shared" si="4"/>
        <v>0</v>
      </c>
      <c r="L34" s="22">
        <f t="shared" si="5"/>
        <v>0.99476439790575921</v>
      </c>
    </row>
    <row r="35" spans="1:12" x14ac:dyDescent="0.25">
      <c r="A35" s="20" t="s">
        <v>56</v>
      </c>
      <c r="B35" s="21">
        <v>24</v>
      </c>
      <c r="C35" s="21">
        <v>13</v>
      </c>
      <c r="D35" s="21">
        <v>0</v>
      </c>
      <c r="E35" s="21">
        <v>17</v>
      </c>
      <c r="G35" s="23">
        <f t="shared" si="1"/>
        <v>54</v>
      </c>
      <c r="I35" s="22">
        <f t="shared" si="2"/>
        <v>0.44444444444444442</v>
      </c>
      <c r="J35" s="22">
        <f t="shared" si="3"/>
        <v>0.24074074074074073</v>
      </c>
      <c r="K35" s="22">
        <f t="shared" si="4"/>
        <v>0</v>
      </c>
      <c r="L35" s="22">
        <f t="shared" si="5"/>
        <v>0.31481481481481483</v>
      </c>
    </row>
    <row r="36" spans="1:12" x14ac:dyDescent="0.25">
      <c r="A36" s="20" t="s">
        <v>57</v>
      </c>
      <c r="B36" s="21">
        <v>8799</v>
      </c>
      <c r="C36" s="21">
        <v>8318</v>
      </c>
      <c r="D36" s="21">
        <v>0</v>
      </c>
      <c r="E36" s="21">
        <v>7953</v>
      </c>
      <c r="G36" s="23">
        <f t="shared" si="1"/>
        <v>25070</v>
      </c>
      <c r="I36" s="22">
        <f t="shared" si="2"/>
        <v>0.35097726366174709</v>
      </c>
      <c r="J36" s="22">
        <f t="shared" si="3"/>
        <v>0.33179098524132428</v>
      </c>
      <c r="K36" s="22">
        <f t="shared" si="4"/>
        <v>0</v>
      </c>
      <c r="L36" s="22">
        <f t="shared" si="5"/>
        <v>0.31723175109692858</v>
      </c>
    </row>
    <row r="37" spans="1:12" x14ac:dyDescent="0.25">
      <c r="A37" s="20" t="s">
        <v>58</v>
      </c>
      <c r="B37" s="21">
        <v>710</v>
      </c>
      <c r="C37" s="21">
        <v>1063</v>
      </c>
      <c r="D37" s="21">
        <v>429</v>
      </c>
      <c r="E37" s="21">
        <v>185</v>
      </c>
      <c r="G37" s="23">
        <f t="shared" si="1"/>
        <v>2387</v>
      </c>
      <c r="I37" s="22">
        <f t="shared" si="2"/>
        <v>0.29744449099287806</v>
      </c>
      <c r="J37" s="22">
        <f t="shared" si="3"/>
        <v>0.44532886468370342</v>
      </c>
      <c r="K37" s="22">
        <f t="shared" si="4"/>
        <v>0.17972350230414746</v>
      </c>
      <c r="L37" s="22">
        <f t="shared" si="5"/>
        <v>7.7503142019271054E-2</v>
      </c>
    </row>
    <row r="38" spans="1:12" x14ac:dyDescent="0.25">
      <c r="A38" s="20" t="s">
        <v>59</v>
      </c>
      <c r="B38" s="21">
        <v>19</v>
      </c>
      <c r="C38" s="21">
        <v>0</v>
      </c>
      <c r="D38" s="21">
        <v>0</v>
      </c>
      <c r="E38" s="21">
        <v>0</v>
      </c>
      <c r="G38" s="23">
        <f t="shared" si="1"/>
        <v>19</v>
      </c>
      <c r="I38" s="22">
        <f t="shared" si="2"/>
        <v>1</v>
      </c>
      <c r="J38" s="22">
        <f t="shared" si="3"/>
        <v>0</v>
      </c>
      <c r="K38" s="22">
        <f t="shared" si="4"/>
        <v>0</v>
      </c>
      <c r="L38" s="22">
        <f t="shared" si="5"/>
        <v>0</v>
      </c>
    </row>
    <row r="39" spans="1:12" x14ac:dyDescent="0.25">
      <c r="A39" s="20" t="s">
        <v>60</v>
      </c>
      <c r="B39" s="21">
        <v>1897</v>
      </c>
      <c r="C39" s="21">
        <v>6018</v>
      </c>
      <c r="D39" s="21">
        <v>284</v>
      </c>
      <c r="E39" s="21">
        <v>179</v>
      </c>
      <c r="G39" s="23">
        <f t="shared" si="1"/>
        <v>8378</v>
      </c>
      <c r="I39" s="22">
        <f t="shared" si="2"/>
        <v>0.22642635473860109</v>
      </c>
      <c r="J39" s="22">
        <f t="shared" si="3"/>
        <v>0.71830985915492962</v>
      </c>
      <c r="K39" s="22">
        <f t="shared" si="4"/>
        <v>3.3898305084745763E-2</v>
      </c>
      <c r="L39" s="22">
        <f t="shared" si="5"/>
        <v>2.1365481021723563E-2</v>
      </c>
    </row>
    <row r="40" spans="1:12" x14ac:dyDescent="0.25">
      <c r="A40" s="20" t="s">
        <v>61</v>
      </c>
      <c r="B40" s="21">
        <v>160</v>
      </c>
      <c r="C40" s="21">
        <v>181</v>
      </c>
      <c r="D40" s="21">
        <v>21</v>
      </c>
      <c r="E40" s="21">
        <v>251</v>
      </c>
      <c r="G40" s="23">
        <f t="shared" si="1"/>
        <v>613</v>
      </c>
      <c r="I40" s="22">
        <f t="shared" si="2"/>
        <v>0.26101141924959215</v>
      </c>
      <c r="J40" s="22">
        <f t="shared" si="3"/>
        <v>0.29526916802610115</v>
      </c>
      <c r="K40" s="22">
        <f t="shared" si="4"/>
        <v>3.4257748776508973E-2</v>
      </c>
      <c r="L40" s="22">
        <f t="shared" si="5"/>
        <v>0.4094616639477977</v>
      </c>
    </row>
    <row r="41" spans="1:12" x14ac:dyDescent="0.25">
      <c r="A41" s="20" t="s">
        <v>62</v>
      </c>
      <c r="B41" s="21">
        <v>769</v>
      </c>
      <c r="C41" s="21">
        <v>749</v>
      </c>
      <c r="D41" s="21">
        <v>0</v>
      </c>
      <c r="E41" s="21">
        <v>35</v>
      </c>
      <c r="G41" s="23">
        <f t="shared" si="1"/>
        <v>1553</v>
      </c>
      <c r="I41" s="22">
        <f t="shared" si="2"/>
        <v>0.49517063747585321</v>
      </c>
      <c r="J41" s="22">
        <f t="shared" si="3"/>
        <v>0.48229233741146171</v>
      </c>
      <c r="K41" s="22">
        <f t="shared" si="4"/>
        <v>0</v>
      </c>
      <c r="L41" s="22">
        <f t="shared" si="5"/>
        <v>2.2537025112685124E-2</v>
      </c>
    </row>
    <row r="42" spans="1:12" x14ac:dyDescent="0.25">
      <c r="A42" s="20" t="s">
        <v>63</v>
      </c>
      <c r="B42" s="21">
        <v>78</v>
      </c>
      <c r="C42" s="21">
        <v>0</v>
      </c>
      <c r="D42" s="21">
        <v>0</v>
      </c>
      <c r="E42" s="21">
        <v>171</v>
      </c>
      <c r="G42" s="23">
        <f t="shared" si="1"/>
        <v>249</v>
      </c>
      <c r="I42" s="22">
        <f t="shared" si="2"/>
        <v>0.31325301204819278</v>
      </c>
      <c r="J42" s="22">
        <f t="shared" si="3"/>
        <v>0</v>
      </c>
      <c r="K42" s="22">
        <f t="shared" si="4"/>
        <v>0</v>
      </c>
      <c r="L42" s="22">
        <f t="shared" si="5"/>
        <v>0.68674698795180722</v>
      </c>
    </row>
    <row r="43" spans="1:12" x14ac:dyDescent="0.25">
      <c r="A43" s="20" t="s">
        <v>64</v>
      </c>
      <c r="B43" s="21">
        <v>5</v>
      </c>
      <c r="C43" s="21">
        <v>0</v>
      </c>
      <c r="D43" s="21">
        <v>0</v>
      </c>
      <c r="E43" s="21">
        <v>0</v>
      </c>
      <c r="G43" s="23">
        <f t="shared" si="1"/>
        <v>5</v>
      </c>
      <c r="I43" s="22">
        <f t="shared" si="2"/>
        <v>1</v>
      </c>
      <c r="J43" s="22">
        <f t="shared" si="3"/>
        <v>0</v>
      </c>
      <c r="K43" s="22">
        <f t="shared" si="4"/>
        <v>0</v>
      </c>
      <c r="L43" s="22">
        <f t="shared" si="5"/>
        <v>0</v>
      </c>
    </row>
    <row r="44" spans="1:12" s="47" customFormat="1" x14ac:dyDescent="0.25">
      <c r="A44" s="1" t="s">
        <v>67</v>
      </c>
      <c r="B44" s="23">
        <v>414494</v>
      </c>
      <c r="C44" s="23">
        <v>186458</v>
      </c>
      <c r="D44" s="23">
        <v>10673</v>
      </c>
      <c r="E44" s="23">
        <v>105514</v>
      </c>
      <c r="G44" s="23">
        <f t="shared" si="1"/>
        <v>717139</v>
      </c>
      <c r="H44" s="23"/>
      <c r="I44" s="24">
        <f t="shared" si="2"/>
        <v>0.57798278994727659</v>
      </c>
      <c r="J44" s="24">
        <f t="shared" si="3"/>
        <v>0.26000259363944789</v>
      </c>
      <c r="K44" s="24">
        <f t="shared" si="4"/>
        <v>1.4882749369369118E-2</v>
      </c>
      <c r="L44" s="24">
        <f t="shared" si="5"/>
        <v>0.14713186704390641</v>
      </c>
    </row>
    <row r="45" spans="1:12" x14ac:dyDescent="0.25">
      <c r="A45" s="25"/>
      <c r="B45" s="21"/>
      <c r="C45" s="21"/>
      <c r="D45" s="21"/>
      <c r="E45" s="21"/>
    </row>
    <row r="46" spans="1:12" x14ac:dyDescent="0.25">
      <c r="A46" s="1" t="s">
        <v>68</v>
      </c>
      <c r="B46" s="21"/>
      <c r="C46" s="21"/>
      <c r="D46" s="21"/>
      <c r="E46" s="21"/>
    </row>
    <row r="47" spans="1:12" x14ac:dyDescent="0.25">
      <c r="A47" s="26" t="s">
        <v>69</v>
      </c>
      <c r="B47" s="27"/>
      <c r="C47" s="27"/>
      <c r="D47" s="27"/>
      <c r="E47" s="27"/>
    </row>
    <row r="48" spans="1:12" x14ac:dyDescent="0.25">
      <c r="A48" s="20" t="s">
        <v>23</v>
      </c>
      <c r="B48" s="21">
        <v>5544</v>
      </c>
      <c r="C48" s="21">
        <v>789</v>
      </c>
      <c r="D48" s="21">
        <v>1810</v>
      </c>
      <c r="E48" s="21">
        <v>0</v>
      </c>
      <c r="G48" s="23">
        <f t="shared" si="1"/>
        <v>8143</v>
      </c>
      <c r="I48" s="22">
        <f t="shared" si="2"/>
        <v>0.68083016087437065</v>
      </c>
      <c r="J48" s="22">
        <f t="shared" si="3"/>
        <v>9.6893036964263782E-2</v>
      </c>
      <c r="K48" s="22">
        <f t="shared" si="4"/>
        <v>0.22227680216136558</v>
      </c>
      <c r="L48" s="22">
        <f t="shared" si="5"/>
        <v>0</v>
      </c>
    </row>
    <row r="49" spans="1:12" x14ac:dyDescent="0.25">
      <c r="A49" s="20" t="s">
        <v>139</v>
      </c>
      <c r="B49" s="21">
        <v>2</v>
      </c>
      <c r="C49" s="21">
        <v>0</v>
      </c>
      <c r="D49" s="21">
        <v>0</v>
      </c>
      <c r="E49" s="21">
        <v>0</v>
      </c>
      <c r="G49" s="23">
        <f t="shared" si="1"/>
        <v>2</v>
      </c>
      <c r="I49" s="22">
        <f t="shared" si="2"/>
        <v>1</v>
      </c>
      <c r="J49" s="22">
        <f t="shared" si="3"/>
        <v>0</v>
      </c>
      <c r="K49" s="22">
        <f t="shared" si="4"/>
        <v>0</v>
      </c>
      <c r="L49" s="22">
        <f t="shared" si="5"/>
        <v>0</v>
      </c>
    </row>
    <row r="50" spans="1:12" x14ac:dyDescent="0.25">
      <c r="A50" s="20" t="s">
        <v>34</v>
      </c>
      <c r="B50" s="21">
        <v>41</v>
      </c>
      <c r="C50" s="21">
        <v>0</v>
      </c>
      <c r="D50" s="21">
        <v>0</v>
      </c>
      <c r="E50" s="21">
        <v>0</v>
      </c>
      <c r="G50" s="23">
        <f t="shared" si="1"/>
        <v>41</v>
      </c>
      <c r="I50" s="22">
        <f t="shared" si="2"/>
        <v>1</v>
      </c>
      <c r="J50" s="22">
        <f t="shared" si="3"/>
        <v>0</v>
      </c>
      <c r="K50" s="22">
        <f t="shared" si="4"/>
        <v>0</v>
      </c>
      <c r="L50" s="22">
        <f t="shared" si="5"/>
        <v>0</v>
      </c>
    </row>
    <row r="51" spans="1:12" x14ac:dyDescent="0.25">
      <c r="A51" s="20" t="s">
        <v>35</v>
      </c>
      <c r="B51" s="21">
        <v>217</v>
      </c>
      <c r="C51" s="21">
        <v>14</v>
      </c>
      <c r="D51" s="21">
        <v>3</v>
      </c>
      <c r="E51" s="21">
        <v>193</v>
      </c>
      <c r="G51" s="23">
        <f t="shared" si="1"/>
        <v>427</v>
      </c>
      <c r="I51" s="22">
        <f t="shared" si="2"/>
        <v>0.50819672131147542</v>
      </c>
      <c r="J51" s="22">
        <f t="shared" si="3"/>
        <v>3.2786885245901641E-2</v>
      </c>
      <c r="K51" s="22">
        <f t="shared" si="4"/>
        <v>7.0257611241217799E-3</v>
      </c>
      <c r="L51" s="22">
        <f t="shared" si="5"/>
        <v>0.45199063231850117</v>
      </c>
    </row>
    <row r="52" spans="1:12" x14ac:dyDescent="0.25">
      <c r="A52" s="20" t="s">
        <v>85</v>
      </c>
      <c r="B52" s="21">
        <v>1</v>
      </c>
      <c r="C52" s="21">
        <v>0</v>
      </c>
      <c r="D52" s="21">
        <v>0</v>
      </c>
      <c r="E52" s="21">
        <v>0</v>
      </c>
      <c r="G52" s="23">
        <f t="shared" si="1"/>
        <v>1</v>
      </c>
      <c r="I52" s="22">
        <f t="shared" si="2"/>
        <v>1</v>
      </c>
      <c r="J52" s="22">
        <f t="shared" si="3"/>
        <v>0</v>
      </c>
      <c r="K52" s="22">
        <f t="shared" si="4"/>
        <v>0</v>
      </c>
      <c r="L52" s="22">
        <f t="shared" si="5"/>
        <v>0</v>
      </c>
    </row>
    <row r="53" spans="1:12" x14ac:dyDescent="0.25">
      <c r="A53" s="20" t="s">
        <v>46</v>
      </c>
      <c r="B53" s="21">
        <v>1</v>
      </c>
      <c r="C53" s="21">
        <v>0</v>
      </c>
      <c r="D53" s="21">
        <v>0</v>
      </c>
      <c r="E53" s="21">
        <v>0</v>
      </c>
      <c r="G53" s="23">
        <f t="shared" si="1"/>
        <v>1</v>
      </c>
      <c r="I53" s="22">
        <f t="shared" si="2"/>
        <v>1</v>
      </c>
      <c r="J53" s="22">
        <f t="shared" si="3"/>
        <v>0</v>
      </c>
      <c r="K53" s="22">
        <f t="shared" si="4"/>
        <v>0</v>
      </c>
      <c r="L53" s="22">
        <f t="shared" si="5"/>
        <v>0</v>
      </c>
    </row>
    <row r="54" spans="1:12" x14ac:dyDescent="0.25">
      <c r="A54" s="20" t="s">
        <v>48</v>
      </c>
      <c r="B54" s="21">
        <v>1427</v>
      </c>
      <c r="C54" s="21">
        <v>84</v>
      </c>
      <c r="D54" s="21">
        <v>0</v>
      </c>
      <c r="E54" s="21">
        <v>1101</v>
      </c>
      <c r="G54" s="23">
        <f t="shared" si="1"/>
        <v>2612</v>
      </c>
      <c r="I54" s="22">
        <f t="shared" si="2"/>
        <v>0.54632465543644715</v>
      </c>
      <c r="J54" s="22">
        <f t="shared" si="3"/>
        <v>3.2159264931087291E-2</v>
      </c>
      <c r="K54" s="22">
        <f t="shared" si="4"/>
        <v>0</v>
      </c>
      <c r="L54" s="22">
        <f t="shared" si="5"/>
        <v>0.42151607963246557</v>
      </c>
    </row>
    <row r="55" spans="1:12" x14ac:dyDescent="0.25">
      <c r="A55" s="20" t="s">
        <v>57</v>
      </c>
      <c r="B55" s="21">
        <v>0</v>
      </c>
      <c r="C55" s="21">
        <v>0</v>
      </c>
      <c r="D55" s="21">
        <v>0</v>
      </c>
      <c r="E55" s="21">
        <v>17</v>
      </c>
      <c r="G55" s="23">
        <f t="shared" si="1"/>
        <v>17</v>
      </c>
      <c r="I55" s="22">
        <f t="shared" si="2"/>
        <v>0</v>
      </c>
      <c r="J55" s="22">
        <f t="shared" si="3"/>
        <v>0</v>
      </c>
      <c r="K55" s="22">
        <f t="shared" si="4"/>
        <v>0</v>
      </c>
      <c r="L55" s="22">
        <f t="shared" si="5"/>
        <v>1</v>
      </c>
    </row>
    <row r="56" spans="1:12" x14ac:dyDescent="0.25">
      <c r="A56" s="20" t="s">
        <v>63</v>
      </c>
      <c r="B56" s="21">
        <v>0</v>
      </c>
      <c r="C56" s="21">
        <v>0</v>
      </c>
      <c r="D56" s="21">
        <v>0</v>
      </c>
      <c r="E56" s="21">
        <v>1</v>
      </c>
      <c r="G56" s="23">
        <f t="shared" si="1"/>
        <v>1</v>
      </c>
      <c r="I56" s="22">
        <f t="shared" si="2"/>
        <v>0</v>
      </c>
      <c r="J56" s="22">
        <f t="shared" si="3"/>
        <v>0</v>
      </c>
      <c r="K56" s="22">
        <f t="shared" si="4"/>
        <v>0</v>
      </c>
      <c r="L56" s="22">
        <f t="shared" si="5"/>
        <v>1</v>
      </c>
    </row>
    <row r="57" spans="1:12" s="47" customFormat="1" x14ac:dyDescent="0.25">
      <c r="A57" s="28" t="s">
        <v>70</v>
      </c>
      <c r="B57" s="29">
        <v>7233</v>
      </c>
      <c r="C57" s="29">
        <v>887</v>
      </c>
      <c r="D57" s="29">
        <v>1813</v>
      </c>
      <c r="E57" s="29">
        <v>1312</v>
      </c>
      <c r="G57" s="23">
        <f t="shared" si="1"/>
        <v>11245</v>
      </c>
      <c r="H57" s="23"/>
      <c r="I57" s="24">
        <f t="shared" si="2"/>
        <v>0.64321920853712766</v>
      </c>
      <c r="J57" s="24">
        <f t="shared" si="3"/>
        <v>7.8879502000889279E-2</v>
      </c>
      <c r="K57" s="24">
        <f t="shared" si="4"/>
        <v>0.16122721209426411</v>
      </c>
      <c r="L57" s="24">
        <f t="shared" si="5"/>
        <v>0.11667407736771898</v>
      </c>
    </row>
    <row r="58" spans="1:12" x14ac:dyDescent="0.25">
      <c r="A58" s="20"/>
      <c r="B58" s="21"/>
      <c r="C58" s="21"/>
      <c r="D58" s="21"/>
      <c r="E58" s="21"/>
    </row>
    <row r="59" spans="1:12" x14ac:dyDescent="0.25">
      <c r="A59" s="30" t="s">
        <v>71</v>
      </c>
      <c r="B59" s="27"/>
      <c r="C59" s="27"/>
      <c r="D59" s="27"/>
      <c r="E59" s="27"/>
    </row>
    <row r="60" spans="1:12" x14ac:dyDescent="0.25">
      <c r="A60" s="20" t="s">
        <v>22</v>
      </c>
      <c r="B60" s="21">
        <v>217</v>
      </c>
      <c r="C60" s="21">
        <v>141</v>
      </c>
      <c r="D60" s="21">
        <v>1</v>
      </c>
      <c r="E60" s="21">
        <v>144</v>
      </c>
      <c r="G60" s="23">
        <f t="shared" si="1"/>
        <v>503</v>
      </c>
      <c r="I60" s="22">
        <f t="shared" si="2"/>
        <v>0.43141153081510936</v>
      </c>
      <c r="J60" s="22">
        <f t="shared" si="3"/>
        <v>0.28031809145129227</v>
      </c>
      <c r="K60" s="22">
        <f t="shared" si="4"/>
        <v>1.9880715705765406E-3</v>
      </c>
      <c r="L60" s="22">
        <f t="shared" si="5"/>
        <v>0.28628230616302186</v>
      </c>
    </row>
    <row r="61" spans="1:12" x14ac:dyDescent="0.25">
      <c r="A61" s="20" t="s">
        <v>23</v>
      </c>
      <c r="B61" s="21">
        <v>921</v>
      </c>
      <c r="C61" s="21">
        <v>401</v>
      </c>
      <c r="D61" s="21">
        <v>801</v>
      </c>
      <c r="E61" s="21">
        <v>0</v>
      </c>
      <c r="G61" s="23">
        <f t="shared" si="1"/>
        <v>2123</v>
      </c>
      <c r="I61" s="22">
        <f t="shared" si="2"/>
        <v>0.4338200659444183</v>
      </c>
      <c r="J61" s="22">
        <f t="shared" si="3"/>
        <v>0.18888365520489872</v>
      </c>
      <c r="K61" s="22">
        <f t="shared" si="4"/>
        <v>0.37729627885068301</v>
      </c>
      <c r="L61" s="22">
        <f t="shared" si="5"/>
        <v>0</v>
      </c>
    </row>
    <row r="62" spans="1:12" x14ac:dyDescent="0.25">
      <c r="A62" s="20" t="s">
        <v>24</v>
      </c>
      <c r="B62" s="21">
        <v>95795</v>
      </c>
      <c r="C62" s="21">
        <v>17674</v>
      </c>
      <c r="D62" s="21">
        <v>33</v>
      </c>
      <c r="E62" s="21">
        <v>35914</v>
      </c>
      <c r="G62" s="23">
        <f t="shared" si="1"/>
        <v>149416</v>
      </c>
      <c r="I62" s="22">
        <f t="shared" si="2"/>
        <v>0.64112946404668847</v>
      </c>
      <c r="J62" s="22">
        <f t="shared" si="3"/>
        <v>0.11828719815816245</v>
      </c>
      <c r="K62" s="22">
        <f t="shared" si="4"/>
        <v>2.2085988113722762E-4</v>
      </c>
      <c r="L62" s="22">
        <f t="shared" si="5"/>
        <v>0.24036247791401189</v>
      </c>
    </row>
    <row r="63" spans="1:12" x14ac:dyDescent="0.25">
      <c r="A63" s="20" t="s">
        <v>25</v>
      </c>
      <c r="B63" s="21">
        <v>8701</v>
      </c>
      <c r="C63" s="21">
        <v>5397</v>
      </c>
      <c r="D63" s="21">
        <v>0</v>
      </c>
      <c r="E63" s="21">
        <v>2601</v>
      </c>
      <c r="G63" s="23">
        <f t="shared" si="1"/>
        <v>16699</v>
      </c>
      <c r="I63" s="22">
        <f t="shared" si="2"/>
        <v>0.521049164620636</v>
      </c>
      <c r="J63" s="22">
        <f t="shared" si="3"/>
        <v>0.32319300556919578</v>
      </c>
      <c r="K63" s="22">
        <f t="shared" si="4"/>
        <v>0</v>
      </c>
      <c r="L63" s="22">
        <f t="shared" si="5"/>
        <v>0.15575782981016828</v>
      </c>
    </row>
    <row r="64" spans="1:12" x14ac:dyDescent="0.25">
      <c r="A64" s="20" t="s">
        <v>26</v>
      </c>
      <c r="B64" s="21">
        <v>3839</v>
      </c>
      <c r="C64" s="21">
        <v>1456</v>
      </c>
      <c r="D64" s="21">
        <v>0</v>
      </c>
      <c r="E64" s="21">
        <v>5699</v>
      </c>
      <c r="G64" s="23">
        <f t="shared" si="1"/>
        <v>10994</v>
      </c>
      <c r="I64" s="22">
        <f t="shared" si="2"/>
        <v>0.34919046752774241</v>
      </c>
      <c r="J64" s="22">
        <f t="shared" si="3"/>
        <v>0.13243587411315264</v>
      </c>
      <c r="K64" s="22">
        <f t="shared" si="4"/>
        <v>0</v>
      </c>
      <c r="L64" s="22">
        <f t="shared" si="5"/>
        <v>0.51837365835910498</v>
      </c>
    </row>
    <row r="65" spans="1:12" x14ac:dyDescent="0.25">
      <c r="A65" s="20" t="s">
        <v>29</v>
      </c>
      <c r="B65" s="21">
        <v>95</v>
      </c>
      <c r="C65" s="21">
        <v>17</v>
      </c>
      <c r="D65" s="21">
        <v>310</v>
      </c>
      <c r="E65" s="21">
        <v>275</v>
      </c>
      <c r="G65" s="23">
        <f t="shared" si="1"/>
        <v>697</v>
      </c>
      <c r="I65" s="22">
        <f t="shared" si="2"/>
        <v>0.13629842180774748</v>
      </c>
      <c r="J65" s="22">
        <f t="shared" si="3"/>
        <v>2.4390243902439025E-2</v>
      </c>
      <c r="K65" s="22">
        <f t="shared" si="4"/>
        <v>0.44476327116212339</v>
      </c>
      <c r="L65" s="22">
        <f t="shared" si="5"/>
        <v>0.39454806312769009</v>
      </c>
    </row>
    <row r="66" spans="1:12" x14ac:dyDescent="0.25">
      <c r="A66" s="20" t="s">
        <v>30</v>
      </c>
      <c r="B66" s="21">
        <v>306</v>
      </c>
      <c r="C66" s="21">
        <v>120</v>
      </c>
      <c r="D66" s="21">
        <v>0</v>
      </c>
      <c r="E66" s="21">
        <v>537</v>
      </c>
      <c r="G66" s="23">
        <f t="shared" si="1"/>
        <v>963</v>
      </c>
      <c r="I66" s="22">
        <f t="shared" si="2"/>
        <v>0.31775700934579437</v>
      </c>
      <c r="J66" s="22">
        <f t="shared" si="3"/>
        <v>0.12461059190031153</v>
      </c>
      <c r="K66" s="22">
        <f t="shared" si="4"/>
        <v>0</v>
      </c>
      <c r="L66" s="22">
        <f t="shared" si="5"/>
        <v>0.55763239875389403</v>
      </c>
    </row>
    <row r="67" spans="1:12" x14ac:dyDescent="0.25">
      <c r="A67" s="20" t="s">
        <v>31</v>
      </c>
      <c r="B67" s="21">
        <v>144</v>
      </c>
      <c r="C67" s="21">
        <v>127</v>
      </c>
      <c r="D67" s="21">
        <v>0</v>
      </c>
      <c r="E67" s="21">
        <v>135</v>
      </c>
      <c r="G67" s="23">
        <f t="shared" si="1"/>
        <v>406</v>
      </c>
      <c r="I67" s="22">
        <f t="shared" si="2"/>
        <v>0.35467980295566504</v>
      </c>
      <c r="J67" s="22">
        <f t="shared" si="3"/>
        <v>0.31280788177339902</v>
      </c>
      <c r="K67" s="22">
        <f t="shared" si="4"/>
        <v>0</v>
      </c>
      <c r="L67" s="22">
        <f t="shared" si="5"/>
        <v>0.33251231527093594</v>
      </c>
    </row>
    <row r="68" spans="1:12" x14ac:dyDescent="0.25">
      <c r="A68" s="20" t="s">
        <v>33</v>
      </c>
      <c r="B68" s="21">
        <v>1627</v>
      </c>
      <c r="C68" s="21">
        <v>528</v>
      </c>
      <c r="D68" s="21">
        <v>0</v>
      </c>
      <c r="E68" s="21">
        <v>3276</v>
      </c>
      <c r="G68" s="23">
        <f t="shared" si="1"/>
        <v>5431</v>
      </c>
      <c r="I68" s="22">
        <f t="shared" si="2"/>
        <v>0.29957650524765239</v>
      </c>
      <c r="J68" s="22">
        <f t="shared" si="3"/>
        <v>9.721966488676119E-2</v>
      </c>
      <c r="K68" s="22">
        <f t="shared" si="4"/>
        <v>0</v>
      </c>
      <c r="L68" s="22">
        <f t="shared" si="5"/>
        <v>0.60320382986558641</v>
      </c>
    </row>
    <row r="69" spans="1:12" x14ac:dyDescent="0.25">
      <c r="A69" s="20" t="s">
        <v>34</v>
      </c>
      <c r="B69" s="21">
        <v>81</v>
      </c>
      <c r="C69" s="21">
        <v>88</v>
      </c>
      <c r="D69" s="21">
        <v>0</v>
      </c>
      <c r="E69" s="21">
        <v>93</v>
      </c>
      <c r="G69" s="23">
        <f t="shared" si="1"/>
        <v>262</v>
      </c>
      <c r="I69" s="22">
        <f t="shared" si="2"/>
        <v>0.30916030534351147</v>
      </c>
      <c r="J69" s="22">
        <f t="shared" si="3"/>
        <v>0.33587786259541985</v>
      </c>
      <c r="K69" s="22">
        <f t="shared" si="4"/>
        <v>0</v>
      </c>
      <c r="L69" s="22">
        <f t="shared" si="5"/>
        <v>0.35496183206106868</v>
      </c>
    </row>
    <row r="70" spans="1:12" x14ac:dyDescent="0.25">
      <c r="A70" s="20" t="s">
        <v>35</v>
      </c>
      <c r="B70" s="21">
        <v>19804</v>
      </c>
      <c r="C70" s="21">
        <v>5778</v>
      </c>
      <c r="D70" s="21">
        <v>4694</v>
      </c>
      <c r="E70" s="21">
        <v>11045</v>
      </c>
      <c r="G70" s="23">
        <f t="shared" si="1"/>
        <v>41321</v>
      </c>
      <c r="I70" s="22">
        <f t="shared" si="2"/>
        <v>0.47927204085089908</v>
      </c>
      <c r="J70" s="22">
        <f t="shared" si="3"/>
        <v>0.13983204665908375</v>
      </c>
      <c r="K70" s="22">
        <f t="shared" si="4"/>
        <v>0.11359841242951525</v>
      </c>
      <c r="L70" s="22">
        <f t="shared" si="5"/>
        <v>0.2672975000605019</v>
      </c>
    </row>
    <row r="71" spans="1:12" x14ac:dyDescent="0.25">
      <c r="A71" s="20" t="s">
        <v>36</v>
      </c>
      <c r="B71" s="21">
        <v>0</v>
      </c>
      <c r="C71" s="21">
        <v>0</v>
      </c>
      <c r="D71" s="21">
        <v>0</v>
      </c>
      <c r="E71" s="21">
        <v>143</v>
      </c>
      <c r="G71" s="23">
        <f t="shared" ref="G71:G134" si="6">SUM(B71:E71)</f>
        <v>143</v>
      </c>
      <c r="I71" s="22">
        <f t="shared" ref="I71:I134" si="7">IFERROR(B71/$G71,0)</f>
        <v>0</v>
      </c>
      <c r="J71" s="22">
        <f t="shared" ref="J71:J134" si="8">IFERROR(C71/$G71,0)</f>
        <v>0</v>
      </c>
      <c r="K71" s="22">
        <f t="shared" ref="K71:K134" si="9">IFERROR(D71/$G71,0)</f>
        <v>0</v>
      </c>
      <c r="L71" s="22">
        <f t="shared" ref="L71:L134" si="10">IFERROR(E71/$G71,0)</f>
        <v>1</v>
      </c>
    </row>
    <row r="72" spans="1:12" x14ac:dyDescent="0.25">
      <c r="A72" s="20" t="s">
        <v>85</v>
      </c>
      <c r="B72" s="21">
        <v>10</v>
      </c>
      <c r="C72" s="21">
        <v>0</v>
      </c>
      <c r="D72" s="21">
        <v>0</v>
      </c>
      <c r="E72" s="21">
        <v>26</v>
      </c>
      <c r="G72" s="23">
        <f t="shared" si="6"/>
        <v>36</v>
      </c>
      <c r="I72" s="22">
        <f t="shared" si="7"/>
        <v>0.27777777777777779</v>
      </c>
      <c r="J72" s="22">
        <f t="shared" si="8"/>
        <v>0</v>
      </c>
      <c r="K72" s="22">
        <f t="shared" si="9"/>
        <v>0</v>
      </c>
      <c r="L72" s="22">
        <f t="shared" si="10"/>
        <v>0.72222222222222221</v>
      </c>
    </row>
    <row r="73" spans="1:12" x14ac:dyDescent="0.25">
      <c r="A73" s="20" t="s">
        <v>38</v>
      </c>
      <c r="B73" s="21">
        <v>595</v>
      </c>
      <c r="C73" s="21">
        <v>0</v>
      </c>
      <c r="D73" s="21">
        <v>6</v>
      </c>
      <c r="E73" s="21">
        <v>0</v>
      </c>
      <c r="G73" s="23">
        <f t="shared" si="6"/>
        <v>601</v>
      </c>
      <c r="I73" s="22">
        <f t="shared" si="7"/>
        <v>0.99001663893510816</v>
      </c>
      <c r="J73" s="22">
        <f t="shared" si="8"/>
        <v>0</v>
      </c>
      <c r="K73" s="22">
        <f t="shared" si="9"/>
        <v>9.9833610648918467E-3</v>
      </c>
      <c r="L73" s="22">
        <f t="shared" si="10"/>
        <v>0</v>
      </c>
    </row>
    <row r="74" spans="1:12" x14ac:dyDescent="0.25">
      <c r="A74" s="20" t="s">
        <v>39</v>
      </c>
      <c r="B74" s="21">
        <v>207</v>
      </c>
      <c r="C74" s="21">
        <v>0</v>
      </c>
      <c r="D74" s="21">
        <v>0</v>
      </c>
      <c r="E74" s="21">
        <v>0</v>
      </c>
      <c r="G74" s="23">
        <f t="shared" si="6"/>
        <v>207</v>
      </c>
      <c r="I74" s="22">
        <f t="shared" si="7"/>
        <v>1</v>
      </c>
      <c r="J74" s="22">
        <f t="shared" si="8"/>
        <v>0</v>
      </c>
      <c r="K74" s="22">
        <f t="shared" si="9"/>
        <v>0</v>
      </c>
      <c r="L74" s="22">
        <f t="shared" si="10"/>
        <v>0</v>
      </c>
    </row>
    <row r="75" spans="1:12" x14ac:dyDescent="0.25">
      <c r="A75" s="20" t="s">
        <v>41</v>
      </c>
      <c r="B75" s="21">
        <v>0</v>
      </c>
      <c r="C75" s="21">
        <v>1</v>
      </c>
      <c r="D75" s="21">
        <v>0</v>
      </c>
      <c r="E75" s="21">
        <v>0</v>
      </c>
      <c r="G75" s="23">
        <f t="shared" si="6"/>
        <v>1</v>
      </c>
      <c r="I75" s="22">
        <f t="shared" si="7"/>
        <v>0</v>
      </c>
      <c r="J75" s="22">
        <f t="shared" si="8"/>
        <v>1</v>
      </c>
      <c r="K75" s="22">
        <f t="shared" si="9"/>
        <v>0</v>
      </c>
      <c r="L75" s="22">
        <f t="shared" si="10"/>
        <v>0</v>
      </c>
    </row>
    <row r="76" spans="1:12" x14ac:dyDescent="0.25">
      <c r="A76" s="20" t="s">
        <v>42</v>
      </c>
      <c r="B76" s="21">
        <v>0</v>
      </c>
      <c r="C76" s="21">
        <v>0</v>
      </c>
      <c r="D76" s="21">
        <v>0</v>
      </c>
      <c r="E76" s="21">
        <v>12</v>
      </c>
      <c r="G76" s="23">
        <f t="shared" si="6"/>
        <v>12</v>
      </c>
      <c r="I76" s="22">
        <f t="shared" si="7"/>
        <v>0</v>
      </c>
      <c r="J76" s="22">
        <f t="shared" si="8"/>
        <v>0</v>
      </c>
      <c r="K76" s="22">
        <f t="shared" si="9"/>
        <v>0</v>
      </c>
      <c r="L76" s="22">
        <f t="shared" si="10"/>
        <v>1</v>
      </c>
    </row>
    <row r="77" spans="1:12" x14ac:dyDescent="0.25">
      <c r="A77" s="20" t="s">
        <v>44</v>
      </c>
      <c r="B77" s="21">
        <v>620</v>
      </c>
      <c r="C77" s="21">
        <v>565</v>
      </c>
      <c r="D77" s="21">
        <v>0</v>
      </c>
      <c r="E77" s="21">
        <v>648</v>
      </c>
      <c r="G77" s="23">
        <f t="shared" si="6"/>
        <v>1833</v>
      </c>
      <c r="I77" s="22">
        <f t="shared" si="7"/>
        <v>0.33824331696672122</v>
      </c>
      <c r="J77" s="22">
        <f t="shared" si="8"/>
        <v>0.30823786142935078</v>
      </c>
      <c r="K77" s="22">
        <f t="shared" si="9"/>
        <v>0</v>
      </c>
      <c r="L77" s="22">
        <f t="shared" si="10"/>
        <v>0.353518821603928</v>
      </c>
    </row>
    <row r="78" spans="1:12" x14ac:dyDescent="0.25">
      <c r="A78" s="20" t="s">
        <v>45</v>
      </c>
      <c r="B78" s="21">
        <v>47</v>
      </c>
      <c r="C78" s="21">
        <v>46</v>
      </c>
      <c r="D78" s="21">
        <v>0</v>
      </c>
      <c r="E78" s="21">
        <v>48</v>
      </c>
      <c r="G78" s="23">
        <f t="shared" si="6"/>
        <v>141</v>
      </c>
      <c r="I78" s="22">
        <f t="shared" si="7"/>
        <v>0.33333333333333331</v>
      </c>
      <c r="J78" s="22">
        <f t="shared" si="8"/>
        <v>0.32624113475177308</v>
      </c>
      <c r="K78" s="22">
        <f t="shared" si="9"/>
        <v>0</v>
      </c>
      <c r="L78" s="22">
        <f t="shared" si="10"/>
        <v>0.34042553191489361</v>
      </c>
    </row>
    <row r="79" spans="1:12" x14ac:dyDescent="0.25">
      <c r="A79" s="20" t="s">
        <v>46</v>
      </c>
      <c r="B79" s="21">
        <v>226</v>
      </c>
      <c r="C79" s="21">
        <v>31</v>
      </c>
      <c r="D79" s="21">
        <v>551</v>
      </c>
      <c r="E79" s="21">
        <v>87</v>
      </c>
      <c r="G79" s="23">
        <f t="shared" si="6"/>
        <v>895</v>
      </c>
      <c r="I79" s="22">
        <f t="shared" si="7"/>
        <v>0.25251396648044694</v>
      </c>
      <c r="J79" s="22">
        <f t="shared" si="8"/>
        <v>3.4636871508379886E-2</v>
      </c>
      <c r="K79" s="22">
        <f t="shared" si="9"/>
        <v>0.61564245810055862</v>
      </c>
      <c r="L79" s="22">
        <f t="shared" si="10"/>
        <v>9.720670391061452E-2</v>
      </c>
    </row>
    <row r="80" spans="1:12" x14ac:dyDescent="0.25">
      <c r="A80" s="20" t="s">
        <v>48</v>
      </c>
      <c r="B80" s="21">
        <v>35415</v>
      </c>
      <c r="C80" s="21">
        <v>30975</v>
      </c>
      <c r="D80" s="21">
        <v>0</v>
      </c>
      <c r="E80" s="21">
        <v>19403</v>
      </c>
      <c r="G80" s="23">
        <f t="shared" si="6"/>
        <v>85793</v>
      </c>
      <c r="I80" s="22">
        <f t="shared" si="7"/>
        <v>0.41279591575070229</v>
      </c>
      <c r="J80" s="22">
        <f t="shared" si="8"/>
        <v>0.36104344177263881</v>
      </c>
      <c r="K80" s="22">
        <f t="shared" si="9"/>
        <v>0</v>
      </c>
      <c r="L80" s="22">
        <f t="shared" si="10"/>
        <v>0.22616064247665893</v>
      </c>
    </row>
    <row r="81" spans="1:12" x14ac:dyDescent="0.25">
      <c r="A81" s="20" t="s">
        <v>50</v>
      </c>
      <c r="B81" s="21">
        <v>274</v>
      </c>
      <c r="C81" s="21">
        <v>174</v>
      </c>
      <c r="D81" s="21">
        <v>377</v>
      </c>
      <c r="E81" s="21">
        <v>0</v>
      </c>
      <c r="G81" s="23">
        <f t="shared" si="6"/>
        <v>825</v>
      </c>
      <c r="I81" s="22">
        <f t="shared" si="7"/>
        <v>0.33212121212121209</v>
      </c>
      <c r="J81" s="22">
        <f t="shared" si="8"/>
        <v>0.21090909090909091</v>
      </c>
      <c r="K81" s="22">
        <f t="shared" si="9"/>
        <v>0.45696969696969697</v>
      </c>
      <c r="L81" s="22">
        <f t="shared" si="10"/>
        <v>0</v>
      </c>
    </row>
    <row r="82" spans="1:12" x14ac:dyDescent="0.25">
      <c r="A82" s="20" t="s">
        <v>139</v>
      </c>
      <c r="B82" s="21">
        <v>563</v>
      </c>
      <c r="C82" s="21">
        <v>475</v>
      </c>
      <c r="D82" s="21">
        <v>0</v>
      </c>
      <c r="E82" s="21">
        <v>545</v>
      </c>
      <c r="G82" s="23">
        <f t="shared" si="6"/>
        <v>1583</v>
      </c>
      <c r="I82" s="22">
        <f t="shared" si="7"/>
        <v>0.3556538218572331</v>
      </c>
      <c r="J82" s="22">
        <f t="shared" si="8"/>
        <v>0.30006317119393555</v>
      </c>
      <c r="K82" s="22">
        <f t="shared" si="9"/>
        <v>0</v>
      </c>
      <c r="L82" s="22">
        <f t="shared" si="10"/>
        <v>0.34428300694883135</v>
      </c>
    </row>
    <row r="83" spans="1:12" x14ac:dyDescent="0.25">
      <c r="A83" s="20" t="s">
        <v>53</v>
      </c>
      <c r="B83" s="21">
        <v>2801</v>
      </c>
      <c r="C83" s="21">
        <v>2187</v>
      </c>
      <c r="D83" s="21">
        <v>0</v>
      </c>
      <c r="E83" s="21">
        <v>4136</v>
      </c>
      <c r="G83" s="23">
        <f t="shared" si="6"/>
        <v>9124</v>
      </c>
      <c r="I83" s="22">
        <f t="shared" si="7"/>
        <v>0.30699254712845242</v>
      </c>
      <c r="J83" s="22">
        <f t="shared" si="8"/>
        <v>0.23969750109601051</v>
      </c>
      <c r="K83" s="22">
        <f t="shared" si="9"/>
        <v>0</v>
      </c>
      <c r="L83" s="22">
        <f t="shared" si="10"/>
        <v>0.45330995177553707</v>
      </c>
    </row>
    <row r="84" spans="1:12" x14ac:dyDescent="0.25">
      <c r="A84" s="20" t="s">
        <v>54</v>
      </c>
      <c r="B84" s="21">
        <v>84</v>
      </c>
      <c r="C84" s="21">
        <v>78</v>
      </c>
      <c r="D84" s="21">
        <v>0</v>
      </c>
      <c r="E84" s="21">
        <v>183</v>
      </c>
      <c r="G84" s="23">
        <f t="shared" si="6"/>
        <v>345</v>
      </c>
      <c r="I84" s="22">
        <f t="shared" si="7"/>
        <v>0.24347826086956523</v>
      </c>
      <c r="J84" s="22">
        <f t="shared" si="8"/>
        <v>0.22608695652173913</v>
      </c>
      <c r="K84" s="22">
        <f t="shared" si="9"/>
        <v>0</v>
      </c>
      <c r="L84" s="22">
        <f t="shared" si="10"/>
        <v>0.5304347826086957</v>
      </c>
    </row>
    <row r="85" spans="1:12" x14ac:dyDescent="0.25">
      <c r="A85" s="20" t="s">
        <v>55</v>
      </c>
      <c r="B85" s="21">
        <v>4</v>
      </c>
      <c r="C85" s="21">
        <v>0</v>
      </c>
      <c r="D85" s="21">
        <v>0</v>
      </c>
      <c r="E85" s="21">
        <v>760</v>
      </c>
      <c r="G85" s="23">
        <f t="shared" si="6"/>
        <v>764</v>
      </c>
      <c r="I85" s="22">
        <f t="shared" si="7"/>
        <v>5.235602094240838E-3</v>
      </c>
      <c r="J85" s="22">
        <f t="shared" si="8"/>
        <v>0</v>
      </c>
      <c r="K85" s="22">
        <f t="shared" si="9"/>
        <v>0</v>
      </c>
      <c r="L85" s="22">
        <f t="shared" si="10"/>
        <v>0.99476439790575921</v>
      </c>
    </row>
    <row r="86" spans="1:12" x14ac:dyDescent="0.25">
      <c r="A86" s="20" t="s">
        <v>56</v>
      </c>
      <c r="B86" s="21">
        <v>7</v>
      </c>
      <c r="C86" s="21">
        <v>1</v>
      </c>
      <c r="D86" s="21">
        <v>0</v>
      </c>
      <c r="E86" s="21">
        <v>17</v>
      </c>
      <c r="G86" s="23">
        <f t="shared" si="6"/>
        <v>25</v>
      </c>
      <c r="I86" s="22">
        <f t="shared" si="7"/>
        <v>0.28000000000000003</v>
      </c>
      <c r="J86" s="22">
        <f t="shared" si="8"/>
        <v>0.04</v>
      </c>
      <c r="K86" s="22">
        <f t="shared" si="9"/>
        <v>0</v>
      </c>
      <c r="L86" s="22">
        <f t="shared" si="10"/>
        <v>0.68</v>
      </c>
    </row>
    <row r="87" spans="1:12" x14ac:dyDescent="0.25">
      <c r="A87" s="20" t="s">
        <v>57</v>
      </c>
      <c r="B87" s="21">
        <v>6654</v>
      </c>
      <c r="C87" s="21">
        <v>7285</v>
      </c>
      <c r="D87" s="21">
        <v>0</v>
      </c>
      <c r="E87" s="21">
        <v>7898</v>
      </c>
      <c r="G87" s="23">
        <f t="shared" si="6"/>
        <v>21837</v>
      </c>
      <c r="I87" s="22">
        <f t="shared" si="7"/>
        <v>0.30471218573979941</v>
      </c>
      <c r="J87" s="22">
        <f t="shared" si="8"/>
        <v>0.33360809635023125</v>
      </c>
      <c r="K87" s="22">
        <f t="shared" si="9"/>
        <v>0</v>
      </c>
      <c r="L87" s="22">
        <f t="shared" si="10"/>
        <v>0.36167971790996933</v>
      </c>
    </row>
    <row r="88" spans="1:12" x14ac:dyDescent="0.25">
      <c r="A88" s="20" t="s">
        <v>58</v>
      </c>
      <c r="B88" s="21">
        <v>339</v>
      </c>
      <c r="C88" s="21">
        <v>479</v>
      </c>
      <c r="D88" s="21">
        <v>216</v>
      </c>
      <c r="E88" s="21">
        <v>185</v>
      </c>
      <c r="G88" s="23">
        <f t="shared" si="6"/>
        <v>1219</v>
      </c>
      <c r="I88" s="22">
        <f t="shared" si="7"/>
        <v>0.27809680065627562</v>
      </c>
      <c r="J88" s="22">
        <f t="shared" si="8"/>
        <v>0.39294503691550453</v>
      </c>
      <c r="K88" s="22">
        <f t="shared" si="9"/>
        <v>0.17719442165709598</v>
      </c>
      <c r="L88" s="22">
        <f t="shared" si="10"/>
        <v>0.15176374077112387</v>
      </c>
    </row>
    <row r="89" spans="1:12" x14ac:dyDescent="0.25">
      <c r="A89" s="20" t="s">
        <v>60</v>
      </c>
      <c r="B89" s="21">
        <v>665</v>
      </c>
      <c r="C89" s="21">
        <v>666</v>
      </c>
      <c r="D89" s="21">
        <v>244</v>
      </c>
      <c r="E89" s="21">
        <v>179</v>
      </c>
      <c r="G89" s="23">
        <f t="shared" si="6"/>
        <v>1754</v>
      </c>
      <c r="I89" s="22">
        <f t="shared" si="7"/>
        <v>0.37913340935005702</v>
      </c>
      <c r="J89" s="22">
        <f t="shared" si="8"/>
        <v>0.37970353477765106</v>
      </c>
      <c r="K89" s="22">
        <f t="shared" si="9"/>
        <v>0.13911060433295325</v>
      </c>
      <c r="L89" s="22">
        <f t="shared" si="10"/>
        <v>0.10205245153933866</v>
      </c>
    </row>
    <row r="90" spans="1:12" x14ac:dyDescent="0.25">
      <c r="A90" s="20" t="s">
        <v>61</v>
      </c>
      <c r="B90" s="21">
        <v>160</v>
      </c>
      <c r="C90" s="21">
        <v>181</v>
      </c>
      <c r="D90" s="21">
        <v>21</v>
      </c>
      <c r="E90" s="21">
        <v>251</v>
      </c>
      <c r="G90" s="23">
        <f t="shared" si="6"/>
        <v>613</v>
      </c>
      <c r="I90" s="22">
        <f t="shared" si="7"/>
        <v>0.26101141924959215</v>
      </c>
      <c r="J90" s="22">
        <f t="shared" si="8"/>
        <v>0.29526916802610115</v>
      </c>
      <c r="K90" s="22">
        <f t="shared" si="9"/>
        <v>3.4257748776508973E-2</v>
      </c>
      <c r="L90" s="22">
        <f t="shared" si="10"/>
        <v>0.4094616639477977</v>
      </c>
    </row>
    <row r="91" spans="1:12" x14ac:dyDescent="0.25">
      <c r="A91" s="20" t="s">
        <v>63</v>
      </c>
      <c r="B91" s="21">
        <v>10</v>
      </c>
      <c r="C91" s="21">
        <v>0</v>
      </c>
      <c r="D91" s="21">
        <v>0</v>
      </c>
      <c r="E91" s="21">
        <v>135</v>
      </c>
      <c r="G91" s="23">
        <f t="shared" si="6"/>
        <v>145</v>
      </c>
      <c r="I91" s="22">
        <f t="shared" si="7"/>
        <v>6.8965517241379309E-2</v>
      </c>
      <c r="J91" s="22">
        <f t="shared" si="8"/>
        <v>0</v>
      </c>
      <c r="K91" s="22">
        <f t="shared" si="9"/>
        <v>0</v>
      </c>
      <c r="L91" s="22">
        <f t="shared" si="10"/>
        <v>0.93103448275862066</v>
      </c>
    </row>
    <row r="92" spans="1:12" s="47" customFormat="1" x14ac:dyDescent="0.25">
      <c r="A92" s="31" t="s">
        <v>72</v>
      </c>
      <c r="B92" s="29">
        <v>180211</v>
      </c>
      <c r="C92" s="29">
        <v>74871</v>
      </c>
      <c r="D92" s="29">
        <v>7254</v>
      </c>
      <c r="E92" s="29">
        <v>94375</v>
      </c>
      <c r="G92" s="23">
        <f t="shared" si="6"/>
        <v>356711</v>
      </c>
      <c r="H92" s="23"/>
      <c r="I92" s="24">
        <f t="shared" si="7"/>
        <v>0.50520168988340697</v>
      </c>
      <c r="J92" s="24">
        <f t="shared" si="8"/>
        <v>0.20989260213450103</v>
      </c>
      <c r="K92" s="24">
        <f t="shared" si="9"/>
        <v>2.0335790037313117E-2</v>
      </c>
      <c r="L92" s="24">
        <f t="shared" si="10"/>
        <v>0.26456991794477885</v>
      </c>
    </row>
    <row r="93" spans="1:12" x14ac:dyDescent="0.25">
      <c r="A93" s="20"/>
      <c r="B93" s="21"/>
      <c r="C93" s="21"/>
      <c r="D93" s="21"/>
      <c r="E93" s="21"/>
    </row>
    <row r="94" spans="1:12" x14ac:dyDescent="0.25">
      <c r="A94" s="30" t="s">
        <v>73</v>
      </c>
      <c r="B94" s="27"/>
      <c r="C94" s="27"/>
      <c r="D94" s="27"/>
      <c r="E94" s="27"/>
    </row>
    <row r="95" spans="1:12" x14ac:dyDescent="0.25">
      <c r="A95" s="20" t="s">
        <v>22</v>
      </c>
      <c r="B95" s="21">
        <v>236</v>
      </c>
      <c r="C95" s="21">
        <v>184</v>
      </c>
      <c r="D95" s="21">
        <v>0</v>
      </c>
      <c r="E95" s="21">
        <v>0</v>
      </c>
      <c r="G95" s="23">
        <f t="shared" si="6"/>
        <v>420</v>
      </c>
      <c r="I95" s="22">
        <f t="shared" si="7"/>
        <v>0.56190476190476191</v>
      </c>
      <c r="J95" s="22">
        <f t="shared" si="8"/>
        <v>0.43809523809523809</v>
      </c>
      <c r="K95" s="22">
        <f t="shared" si="9"/>
        <v>0</v>
      </c>
      <c r="L95" s="22">
        <f t="shared" si="10"/>
        <v>0</v>
      </c>
    </row>
    <row r="96" spans="1:12" x14ac:dyDescent="0.25">
      <c r="A96" s="20" t="s">
        <v>24</v>
      </c>
      <c r="B96" s="21">
        <v>51864</v>
      </c>
      <c r="C96" s="21">
        <v>28616</v>
      </c>
      <c r="D96" s="21">
        <v>3</v>
      </c>
      <c r="E96" s="21">
        <v>260</v>
      </c>
      <c r="G96" s="23">
        <f t="shared" si="6"/>
        <v>80743</v>
      </c>
      <c r="I96" s="22">
        <f t="shared" si="7"/>
        <v>0.64233432000297241</v>
      </c>
      <c r="J96" s="22">
        <f t="shared" si="8"/>
        <v>0.35440843169067288</v>
      </c>
      <c r="K96" s="22">
        <f t="shared" si="9"/>
        <v>3.7154923646631906E-5</v>
      </c>
      <c r="L96" s="22">
        <f t="shared" si="10"/>
        <v>3.2200933827080985E-3</v>
      </c>
    </row>
    <row r="97" spans="1:12" x14ac:dyDescent="0.25">
      <c r="A97" s="20" t="s">
        <v>25</v>
      </c>
      <c r="B97" s="21">
        <v>30132</v>
      </c>
      <c r="C97" s="21">
        <v>14236</v>
      </c>
      <c r="D97" s="21">
        <v>0</v>
      </c>
      <c r="E97" s="21">
        <v>288</v>
      </c>
      <c r="G97" s="23">
        <f t="shared" si="6"/>
        <v>44656</v>
      </c>
      <c r="I97" s="22">
        <f t="shared" si="7"/>
        <v>0.67475815120028659</v>
      </c>
      <c r="J97" s="22">
        <f t="shared" si="8"/>
        <v>0.31879254747402364</v>
      </c>
      <c r="K97" s="22">
        <f t="shared" si="9"/>
        <v>0</v>
      </c>
      <c r="L97" s="22">
        <f t="shared" si="10"/>
        <v>6.4493013256897167E-3</v>
      </c>
    </row>
    <row r="98" spans="1:12" x14ac:dyDescent="0.25">
      <c r="A98" s="20" t="s">
        <v>26</v>
      </c>
      <c r="B98" s="21">
        <v>1986</v>
      </c>
      <c r="C98" s="21">
        <v>826</v>
      </c>
      <c r="D98" s="21">
        <v>0</v>
      </c>
      <c r="E98" s="21">
        <v>5</v>
      </c>
      <c r="G98" s="23">
        <f t="shared" si="6"/>
        <v>2817</v>
      </c>
      <c r="I98" s="22">
        <f t="shared" si="7"/>
        <v>0.70500532481363154</v>
      </c>
      <c r="J98" s="22">
        <f t="shared" si="8"/>
        <v>0.29321973730919415</v>
      </c>
      <c r="K98" s="22">
        <f t="shared" si="9"/>
        <v>0</v>
      </c>
      <c r="L98" s="22">
        <f t="shared" si="10"/>
        <v>1.774937877174299E-3</v>
      </c>
    </row>
    <row r="99" spans="1:12" x14ac:dyDescent="0.25">
      <c r="A99" s="20" t="s">
        <v>31</v>
      </c>
      <c r="B99" s="21">
        <v>337</v>
      </c>
      <c r="C99" s="21">
        <v>125</v>
      </c>
      <c r="D99" s="21">
        <v>0</v>
      </c>
      <c r="E99" s="21">
        <v>76</v>
      </c>
      <c r="G99" s="23">
        <f t="shared" si="6"/>
        <v>538</v>
      </c>
      <c r="I99" s="22">
        <f t="shared" si="7"/>
        <v>0.62639405204460963</v>
      </c>
      <c r="J99" s="22">
        <f t="shared" si="8"/>
        <v>0.23234200743494424</v>
      </c>
      <c r="K99" s="22">
        <f t="shared" si="9"/>
        <v>0</v>
      </c>
      <c r="L99" s="22">
        <f t="shared" si="10"/>
        <v>0.14126394052044611</v>
      </c>
    </row>
    <row r="100" spans="1:12" x14ac:dyDescent="0.25">
      <c r="A100" s="20" t="s">
        <v>33</v>
      </c>
      <c r="B100" s="21">
        <v>395</v>
      </c>
      <c r="C100" s="21">
        <v>176</v>
      </c>
      <c r="D100" s="21">
        <v>0</v>
      </c>
      <c r="E100" s="21">
        <v>0</v>
      </c>
      <c r="G100" s="23">
        <f t="shared" si="6"/>
        <v>571</v>
      </c>
      <c r="I100" s="22">
        <f t="shared" si="7"/>
        <v>0.69176882661996497</v>
      </c>
      <c r="J100" s="22">
        <f t="shared" si="8"/>
        <v>0.30823117338003503</v>
      </c>
      <c r="K100" s="22">
        <f t="shared" si="9"/>
        <v>0</v>
      </c>
      <c r="L100" s="22">
        <f t="shared" si="10"/>
        <v>0</v>
      </c>
    </row>
    <row r="101" spans="1:12" x14ac:dyDescent="0.25">
      <c r="A101" s="20" t="s">
        <v>34</v>
      </c>
      <c r="B101" s="21">
        <v>23</v>
      </c>
      <c r="C101" s="21">
        <v>4</v>
      </c>
      <c r="D101" s="21">
        <v>0</v>
      </c>
      <c r="E101" s="21">
        <v>0</v>
      </c>
      <c r="G101" s="23">
        <f t="shared" si="6"/>
        <v>27</v>
      </c>
      <c r="I101" s="22">
        <f t="shared" si="7"/>
        <v>0.85185185185185186</v>
      </c>
      <c r="J101" s="22">
        <f t="shared" si="8"/>
        <v>0.14814814814814814</v>
      </c>
      <c r="K101" s="22">
        <f t="shared" si="9"/>
        <v>0</v>
      </c>
      <c r="L101" s="22">
        <f t="shared" si="10"/>
        <v>0</v>
      </c>
    </row>
    <row r="102" spans="1:12" x14ac:dyDescent="0.25">
      <c r="A102" s="20" t="s">
        <v>35</v>
      </c>
      <c r="B102" s="21">
        <v>4120</v>
      </c>
      <c r="C102" s="21">
        <v>1375</v>
      </c>
      <c r="D102" s="21">
        <v>51</v>
      </c>
      <c r="E102" s="21">
        <v>114</v>
      </c>
      <c r="G102" s="23">
        <f t="shared" si="6"/>
        <v>5660</v>
      </c>
      <c r="I102" s="22">
        <f t="shared" si="7"/>
        <v>0.72791519434628971</v>
      </c>
      <c r="J102" s="22">
        <f t="shared" si="8"/>
        <v>0.24293286219081273</v>
      </c>
      <c r="K102" s="22">
        <f t="shared" si="9"/>
        <v>9.0106007067137801E-3</v>
      </c>
      <c r="L102" s="22">
        <f t="shared" si="10"/>
        <v>2.0141342756183747E-2</v>
      </c>
    </row>
    <row r="103" spans="1:12" x14ac:dyDescent="0.25">
      <c r="A103" s="20" t="s">
        <v>37</v>
      </c>
      <c r="B103" s="21">
        <v>22739</v>
      </c>
      <c r="C103" s="21">
        <v>19029</v>
      </c>
      <c r="D103" s="21">
        <v>1158</v>
      </c>
      <c r="E103" s="21">
        <v>105</v>
      </c>
      <c r="G103" s="23">
        <f t="shared" si="6"/>
        <v>43031</v>
      </c>
      <c r="I103" s="22">
        <f t="shared" si="7"/>
        <v>0.52843299016987755</v>
      </c>
      <c r="J103" s="22">
        <f t="shared" si="8"/>
        <v>0.44221607678185493</v>
      </c>
      <c r="K103" s="22">
        <f t="shared" si="9"/>
        <v>2.6910831725965003E-2</v>
      </c>
      <c r="L103" s="22">
        <f t="shared" si="10"/>
        <v>2.4401013223025259E-3</v>
      </c>
    </row>
    <row r="104" spans="1:12" x14ac:dyDescent="0.25">
      <c r="A104" s="20" t="s">
        <v>85</v>
      </c>
      <c r="B104" s="21">
        <v>8</v>
      </c>
      <c r="C104" s="21">
        <v>0</v>
      </c>
      <c r="D104" s="21">
        <v>0</v>
      </c>
      <c r="E104" s="21">
        <v>1</v>
      </c>
      <c r="G104" s="23">
        <f t="shared" si="6"/>
        <v>9</v>
      </c>
      <c r="I104" s="22">
        <f t="shared" si="7"/>
        <v>0.88888888888888884</v>
      </c>
      <c r="J104" s="22">
        <f t="shared" si="8"/>
        <v>0</v>
      </c>
      <c r="K104" s="22">
        <f t="shared" si="9"/>
        <v>0</v>
      </c>
      <c r="L104" s="22">
        <f t="shared" si="10"/>
        <v>0.1111111111111111</v>
      </c>
    </row>
    <row r="105" spans="1:12" x14ac:dyDescent="0.25">
      <c r="A105" s="20" t="s">
        <v>39</v>
      </c>
      <c r="B105" s="21">
        <v>335</v>
      </c>
      <c r="C105" s="21">
        <v>0</v>
      </c>
      <c r="D105" s="21">
        <v>0</v>
      </c>
      <c r="E105" s="21">
        <v>0</v>
      </c>
      <c r="G105" s="23">
        <f t="shared" si="6"/>
        <v>335</v>
      </c>
      <c r="I105" s="22">
        <f t="shared" si="7"/>
        <v>1</v>
      </c>
      <c r="J105" s="22">
        <f t="shared" si="8"/>
        <v>0</v>
      </c>
      <c r="K105" s="22">
        <f t="shared" si="9"/>
        <v>0</v>
      </c>
      <c r="L105" s="22">
        <f t="shared" si="10"/>
        <v>0</v>
      </c>
    </row>
    <row r="106" spans="1:12" x14ac:dyDescent="0.25">
      <c r="A106" s="20" t="s">
        <v>41</v>
      </c>
      <c r="B106" s="21">
        <v>87</v>
      </c>
      <c r="C106" s="21">
        <v>16</v>
      </c>
      <c r="D106" s="21">
        <v>0</v>
      </c>
      <c r="E106" s="21">
        <v>0</v>
      </c>
      <c r="G106" s="23">
        <f t="shared" si="6"/>
        <v>103</v>
      </c>
      <c r="I106" s="22">
        <f t="shared" si="7"/>
        <v>0.84466019417475724</v>
      </c>
      <c r="J106" s="22">
        <f t="shared" si="8"/>
        <v>0.1553398058252427</v>
      </c>
      <c r="K106" s="22">
        <f t="shared" si="9"/>
        <v>0</v>
      </c>
      <c r="L106" s="22">
        <f t="shared" si="10"/>
        <v>0</v>
      </c>
    </row>
    <row r="107" spans="1:12" x14ac:dyDescent="0.25">
      <c r="A107" s="20" t="s">
        <v>42</v>
      </c>
      <c r="B107" s="21">
        <v>0</v>
      </c>
      <c r="C107" s="21">
        <v>0</v>
      </c>
      <c r="D107" s="21">
        <v>0</v>
      </c>
      <c r="E107" s="21">
        <v>5</v>
      </c>
      <c r="G107" s="23">
        <f t="shared" si="6"/>
        <v>5</v>
      </c>
      <c r="I107" s="22">
        <f t="shared" si="7"/>
        <v>0</v>
      </c>
      <c r="J107" s="22">
        <f t="shared" si="8"/>
        <v>0</v>
      </c>
      <c r="K107" s="22">
        <f t="shared" si="9"/>
        <v>0</v>
      </c>
      <c r="L107" s="22">
        <f t="shared" si="10"/>
        <v>1</v>
      </c>
    </row>
    <row r="108" spans="1:12" x14ac:dyDescent="0.25">
      <c r="A108" s="20" t="s">
        <v>43</v>
      </c>
      <c r="B108" s="21">
        <v>1361</v>
      </c>
      <c r="C108" s="21">
        <v>0</v>
      </c>
      <c r="D108" s="21">
        <v>0</v>
      </c>
      <c r="E108" s="21">
        <v>0</v>
      </c>
      <c r="G108" s="23">
        <f t="shared" si="6"/>
        <v>1361</v>
      </c>
      <c r="I108" s="22">
        <f t="shared" si="7"/>
        <v>1</v>
      </c>
      <c r="J108" s="22">
        <f t="shared" si="8"/>
        <v>0</v>
      </c>
      <c r="K108" s="22">
        <f t="shared" si="9"/>
        <v>0</v>
      </c>
      <c r="L108" s="22">
        <f t="shared" si="10"/>
        <v>0</v>
      </c>
    </row>
    <row r="109" spans="1:12" x14ac:dyDescent="0.25">
      <c r="A109" s="20" t="s">
        <v>44</v>
      </c>
      <c r="B109" s="21">
        <v>183</v>
      </c>
      <c r="C109" s="21">
        <v>262</v>
      </c>
      <c r="D109" s="21">
        <v>0</v>
      </c>
      <c r="E109" s="21">
        <v>4</v>
      </c>
      <c r="G109" s="23">
        <f t="shared" si="6"/>
        <v>449</v>
      </c>
      <c r="I109" s="22">
        <f t="shared" si="7"/>
        <v>0.40757238307349664</v>
      </c>
      <c r="J109" s="22">
        <f t="shared" si="8"/>
        <v>0.5835189309576837</v>
      </c>
      <c r="K109" s="22">
        <f t="shared" si="9"/>
        <v>0</v>
      </c>
      <c r="L109" s="22">
        <f t="shared" si="10"/>
        <v>8.9086859688195987E-3</v>
      </c>
    </row>
    <row r="110" spans="1:12" x14ac:dyDescent="0.25">
      <c r="A110" s="20" t="s">
        <v>45</v>
      </c>
      <c r="B110" s="21">
        <v>1</v>
      </c>
      <c r="C110" s="21">
        <v>0</v>
      </c>
      <c r="D110" s="21">
        <v>0</v>
      </c>
      <c r="E110" s="21">
        <v>5</v>
      </c>
      <c r="G110" s="23">
        <f t="shared" si="6"/>
        <v>6</v>
      </c>
      <c r="I110" s="22">
        <f t="shared" si="7"/>
        <v>0.16666666666666666</v>
      </c>
      <c r="J110" s="22">
        <f t="shared" si="8"/>
        <v>0</v>
      </c>
      <c r="K110" s="22">
        <f t="shared" si="9"/>
        <v>0</v>
      </c>
      <c r="L110" s="22">
        <f t="shared" si="10"/>
        <v>0.83333333333333337</v>
      </c>
    </row>
    <row r="111" spans="1:12" x14ac:dyDescent="0.25">
      <c r="A111" s="20" t="s">
        <v>46</v>
      </c>
      <c r="B111" s="21">
        <v>40</v>
      </c>
      <c r="C111" s="21">
        <v>1</v>
      </c>
      <c r="D111" s="21">
        <v>104</v>
      </c>
      <c r="E111" s="21">
        <v>9</v>
      </c>
      <c r="G111" s="23">
        <f t="shared" si="6"/>
        <v>154</v>
      </c>
      <c r="I111" s="22">
        <f t="shared" si="7"/>
        <v>0.25974025974025972</v>
      </c>
      <c r="J111" s="22">
        <f t="shared" si="8"/>
        <v>6.4935064935064939E-3</v>
      </c>
      <c r="K111" s="22">
        <f t="shared" si="9"/>
        <v>0.67532467532467533</v>
      </c>
      <c r="L111" s="22">
        <f t="shared" si="10"/>
        <v>5.844155844155844E-2</v>
      </c>
    </row>
    <row r="112" spans="1:12" x14ac:dyDescent="0.25">
      <c r="A112" s="20" t="s">
        <v>48</v>
      </c>
      <c r="B112" s="21">
        <v>29236</v>
      </c>
      <c r="C112" s="21">
        <v>8390</v>
      </c>
      <c r="D112" s="21">
        <v>0</v>
      </c>
      <c r="E112" s="21">
        <v>518</v>
      </c>
      <c r="G112" s="23">
        <f t="shared" si="6"/>
        <v>38144</v>
      </c>
      <c r="I112" s="22">
        <f t="shared" si="7"/>
        <v>0.76646392617449666</v>
      </c>
      <c r="J112" s="22">
        <f t="shared" si="8"/>
        <v>0.21995595637583892</v>
      </c>
      <c r="K112" s="22">
        <f t="shared" si="9"/>
        <v>0</v>
      </c>
      <c r="L112" s="22">
        <f t="shared" si="10"/>
        <v>1.358011744966443E-2</v>
      </c>
    </row>
    <row r="113" spans="1:12" x14ac:dyDescent="0.25">
      <c r="A113" s="20" t="s">
        <v>139</v>
      </c>
      <c r="B113" s="21">
        <v>539</v>
      </c>
      <c r="C113" s="21">
        <v>159</v>
      </c>
      <c r="D113" s="21">
        <v>0</v>
      </c>
      <c r="E113" s="21">
        <v>23</v>
      </c>
      <c r="G113" s="23">
        <f t="shared" si="6"/>
        <v>721</v>
      </c>
      <c r="I113" s="22">
        <f t="shared" si="7"/>
        <v>0.74757281553398058</v>
      </c>
      <c r="J113" s="22">
        <f t="shared" si="8"/>
        <v>0.22052704576976423</v>
      </c>
      <c r="K113" s="22">
        <f t="shared" si="9"/>
        <v>0</v>
      </c>
      <c r="L113" s="22">
        <f t="shared" si="10"/>
        <v>3.1900138696255201E-2</v>
      </c>
    </row>
    <row r="114" spans="1:12" x14ac:dyDescent="0.25">
      <c r="A114" s="20" t="s">
        <v>53</v>
      </c>
      <c r="B114" s="21">
        <v>1359</v>
      </c>
      <c r="C114" s="21">
        <v>806</v>
      </c>
      <c r="D114" s="21">
        <v>0</v>
      </c>
      <c r="E114" s="21">
        <v>17</v>
      </c>
      <c r="G114" s="23">
        <f t="shared" si="6"/>
        <v>2182</v>
      </c>
      <c r="I114" s="22">
        <f t="shared" si="7"/>
        <v>0.62282309807516045</v>
      </c>
      <c r="J114" s="22">
        <f t="shared" si="8"/>
        <v>0.36938588450962417</v>
      </c>
      <c r="K114" s="22">
        <f t="shared" si="9"/>
        <v>0</v>
      </c>
      <c r="L114" s="22">
        <f t="shared" si="10"/>
        <v>7.7910174152153984E-3</v>
      </c>
    </row>
    <row r="115" spans="1:12" x14ac:dyDescent="0.25">
      <c r="A115" s="20" t="s">
        <v>54</v>
      </c>
      <c r="B115" s="21">
        <v>235</v>
      </c>
      <c r="C115" s="21">
        <v>71</v>
      </c>
      <c r="D115" s="21">
        <v>3</v>
      </c>
      <c r="E115" s="21">
        <v>19</v>
      </c>
      <c r="G115" s="23">
        <f t="shared" si="6"/>
        <v>328</v>
      </c>
      <c r="I115" s="22">
        <f t="shared" si="7"/>
        <v>0.71646341463414631</v>
      </c>
      <c r="J115" s="22">
        <f t="shared" si="8"/>
        <v>0.21646341463414634</v>
      </c>
      <c r="K115" s="22">
        <f t="shared" si="9"/>
        <v>9.1463414634146336E-3</v>
      </c>
      <c r="L115" s="22">
        <f t="shared" si="10"/>
        <v>5.7926829268292686E-2</v>
      </c>
    </row>
    <row r="116" spans="1:12" x14ac:dyDescent="0.25">
      <c r="A116" s="20" t="s">
        <v>56</v>
      </c>
      <c r="B116" s="21">
        <v>17</v>
      </c>
      <c r="C116" s="21">
        <v>12</v>
      </c>
      <c r="D116" s="21">
        <v>0</v>
      </c>
      <c r="E116" s="21">
        <v>0</v>
      </c>
      <c r="G116" s="23">
        <f t="shared" si="6"/>
        <v>29</v>
      </c>
      <c r="I116" s="22">
        <f t="shared" si="7"/>
        <v>0.58620689655172409</v>
      </c>
      <c r="J116" s="22">
        <f t="shared" si="8"/>
        <v>0.41379310344827586</v>
      </c>
      <c r="K116" s="22">
        <f t="shared" si="9"/>
        <v>0</v>
      </c>
      <c r="L116" s="22">
        <f t="shared" si="10"/>
        <v>0</v>
      </c>
    </row>
    <row r="117" spans="1:12" x14ac:dyDescent="0.25">
      <c r="A117" s="20" t="s">
        <v>57</v>
      </c>
      <c r="B117" s="21">
        <v>1834</v>
      </c>
      <c r="C117" s="21">
        <v>902</v>
      </c>
      <c r="D117" s="21">
        <v>0</v>
      </c>
      <c r="E117" s="21">
        <v>32</v>
      </c>
      <c r="G117" s="23">
        <f t="shared" si="6"/>
        <v>2768</v>
      </c>
      <c r="I117" s="22">
        <f t="shared" si="7"/>
        <v>0.66257225433526012</v>
      </c>
      <c r="J117" s="22">
        <f t="shared" si="8"/>
        <v>0.32586705202312138</v>
      </c>
      <c r="K117" s="22">
        <f t="shared" si="9"/>
        <v>0</v>
      </c>
      <c r="L117" s="22">
        <f t="shared" si="10"/>
        <v>1.1560693641618497E-2</v>
      </c>
    </row>
    <row r="118" spans="1:12" x14ac:dyDescent="0.25">
      <c r="A118" s="20" t="s">
        <v>58</v>
      </c>
      <c r="B118" s="21">
        <v>238</v>
      </c>
      <c r="C118" s="21">
        <v>470</v>
      </c>
      <c r="D118" s="21">
        <v>213</v>
      </c>
      <c r="E118" s="21">
        <v>0</v>
      </c>
      <c r="G118" s="23">
        <f t="shared" si="6"/>
        <v>921</v>
      </c>
      <c r="I118" s="22">
        <f t="shared" si="7"/>
        <v>0.25841476655808904</v>
      </c>
      <c r="J118" s="22">
        <f t="shared" si="8"/>
        <v>0.51031487513572205</v>
      </c>
      <c r="K118" s="22">
        <f t="shared" si="9"/>
        <v>0.23127035830618892</v>
      </c>
      <c r="L118" s="22">
        <f t="shared" si="10"/>
        <v>0</v>
      </c>
    </row>
    <row r="119" spans="1:12" x14ac:dyDescent="0.25">
      <c r="A119" s="20" t="s">
        <v>59</v>
      </c>
      <c r="B119" s="21">
        <v>2</v>
      </c>
      <c r="C119" s="21">
        <v>0</v>
      </c>
      <c r="D119" s="21">
        <v>0</v>
      </c>
      <c r="E119" s="21">
        <v>0</v>
      </c>
      <c r="G119" s="23">
        <f t="shared" si="6"/>
        <v>2</v>
      </c>
      <c r="I119" s="22">
        <f t="shared" si="7"/>
        <v>1</v>
      </c>
      <c r="J119" s="22">
        <f t="shared" si="8"/>
        <v>0</v>
      </c>
      <c r="K119" s="22">
        <f t="shared" si="9"/>
        <v>0</v>
      </c>
      <c r="L119" s="22">
        <f t="shared" si="10"/>
        <v>0</v>
      </c>
    </row>
    <row r="120" spans="1:12" x14ac:dyDescent="0.25">
      <c r="A120" s="20" t="s">
        <v>60</v>
      </c>
      <c r="B120" s="21">
        <v>706</v>
      </c>
      <c r="C120" s="21">
        <v>479</v>
      </c>
      <c r="D120" s="21">
        <v>1</v>
      </c>
      <c r="E120" s="21">
        <v>0</v>
      </c>
      <c r="G120" s="23">
        <f t="shared" si="6"/>
        <v>1186</v>
      </c>
      <c r="I120" s="22">
        <f t="shared" si="7"/>
        <v>0.59527824620573355</v>
      </c>
      <c r="J120" s="22">
        <f t="shared" si="8"/>
        <v>0.40387858347386174</v>
      </c>
      <c r="K120" s="22">
        <f t="shared" si="9"/>
        <v>8.4317032040472171E-4</v>
      </c>
      <c r="L120" s="22">
        <f t="shared" si="10"/>
        <v>0</v>
      </c>
    </row>
    <row r="121" spans="1:12" x14ac:dyDescent="0.25">
      <c r="A121" s="20" t="s">
        <v>62</v>
      </c>
      <c r="B121" s="21">
        <v>769</v>
      </c>
      <c r="C121" s="21">
        <v>749</v>
      </c>
      <c r="D121" s="21">
        <v>0</v>
      </c>
      <c r="E121" s="21">
        <v>35</v>
      </c>
      <c r="G121" s="23">
        <f t="shared" si="6"/>
        <v>1553</v>
      </c>
      <c r="I121" s="22">
        <f t="shared" si="7"/>
        <v>0.49517063747585321</v>
      </c>
      <c r="J121" s="22">
        <f t="shared" si="8"/>
        <v>0.48229233741146171</v>
      </c>
      <c r="K121" s="22">
        <f t="shared" si="9"/>
        <v>0</v>
      </c>
      <c r="L121" s="22">
        <f t="shared" si="10"/>
        <v>2.2537025112685124E-2</v>
      </c>
    </row>
    <row r="122" spans="1:12" x14ac:dyDescent="0.25">
      <c r="A122" s="20" t="s">
        <v>63</v>
      </c>
      <c r="B122" s="21">
        <v>42</v>
      </c>
      <c r="C122" s="21">
        <v>0</v>
      </c>
      <c r="D122" s="21">
        <v>0</v>
      </c>
      <c r="E122" s="21">
        <v>9</v>
      </c>
      <c r="G122" s="23">
        <f t="shared" si="6"/>
        <v>51</v>
      </c>
      <c r="I122" s="22">
        <f t="shared" si="7"/>
        <v>0.82352941176470584</v>
      </c>
      <c r="J122" s="22">
        <f t="shared" si="8"/>
        <v>0</v>
      </c>
      <c r="K122" s="22">
        <f t="shared" si="9"/>
        <v>0</v>
      </c>
      <c r="L122" s="22">
        <f t="shared" si="10"/>
        <v>0.17647058823529413</v>
      </c>
    </row>
    <row r="123" spans="1:12" x14ac:dyDescent="0.25">
      <c r="A123" s="20" t="s">
        <v>64</v>
      </c>
      <c r="B123" s="21">
        <v>5</v>
      </c>
      <c r="C123" s="21">
        <v>0</v>
      </c>
      <c r="D123" s="21">
        <v>0</v>
      </c>
      <c r="E123" s="21">
        <v>0</v>
      </c>
      <c r="G123" s="23">
        <f t="shared" si="6"/>
        <v>5</v>
      </c>
      <c r="I123" s="22">
        <f t="shared" si="7"/>
        <v>1</v>
      </c>
      <c r="J123" s="22">
        <f t="shared" si="8"/>
        <v>0</v>
      </c>
      <c r="K123" s="22">
        <f t="shared" si="9"/>
        <v>0</v>
      </c>
      <c r="L123" s="22">
        <f t="shared" si="10"/>
        <v>0</v>
      </c>
    </row>
    <row r="124" spans="1:12" s="47" customFormat="1" x14ac:dyDescent="0.25">
      <c r="A124" s="31" t="s">
        <v>74</v>
      </c>
      <c r="B124" s="29">
        <v>148829</v>
      </c>
      <c r="C124" s="29">
        <v>76888</v>
      </c>
      <c r="D124" s="29">
        <v>1533</v>
      </c>
      <c r="E124" s="29">
        <v>1525</v>
      </c>
      <c r="G124" s="23">
        <f t="shared" si="6"/>
        <v>228775</v>
      </c>
      <c r="H124" s="23"/>
      <c r="I124" s="24">
        <f t="shared" si="7"/>
        <v>0.65054748114960115</v>
      </c>
      <c r="J124" s="24">
        <f t="shared" si="8"/>
        <v>0.33608567369686371</v>
      </c>
      <c r="K124" s="24">
        <f t="shared" si="9"/>
        <v>6.7009070046989399E-3</v>
      </c>
      <c r="L124" s="24">
        <f t="shared" si="10"/>
        <v>6.6659381488361931E-3</v>
      </c>
    </row>
    <row r="125" spans="1:12" x14ac:dyDescent="0.25">
      <c r="A125" s="20"/>
      <c r="B125" s="21"/>
      <c r="C125" s="21"/>
      <c r="D125" s="21"/>
      <c r="E125" s="21"/>
    </row>
    <row r="126" spans="1:12" x14ac:dyDescent="0.25">
      <c r="A126" s="30" t="s">
        <v>75</v>
      </c>
      <c r="B126" s="27"/>
      <c r="C126" s="27"/>
      <c r="D126" s="27"/>
      <c r="E126" s="27"/>
    </row>
    <row r="127" spans="1:12" x14ac:dyDescent="0.25">
      <c r="A127" s="20" t="s">
        <v>24</v>
      </c>
      <c r="B127" s="21">
        <v>44345</v>
      </c>
      <c r="C127" s="21">
        <v>18796</v>
      </c>
      <c r="D127" s="21">
        <v>0</v>
      </c>
      <c r="E127" s="21">
        <v>1442</v>
      </c>
      <c r="G127" s="23">
        <f t="shared" si="6"/>
        <v>64583</v>
      </c>
      <c r="I127" s="22">
        <f t="shared" si="7"/>
        <v>0.68663580199123608</v>
      </c>
      <c r="J127" s="22">
        <f t="shared" si="8"/>
        <v>0.29103634083272689</v>
      </c>
      <c r="K127" s="22">
        <f t="shared" si="9"/>
        <v>0</v>
      </c>
      <c r="L127" s="22">
        <f t="shared" si="10"/>
        <v>2.2327857176037039E-2</v>
      </c>
    </row>
    <row r="128" spans="1:12" x14ac:dyDescent="0.25">
      <c r="A128" s="20" t="s">
        <v>25</v>
      </c>
      <c r="B128" s="21">
        <v>4819</v>
      </c>
      <c r="C128" s="21">
        <v>3595</v>
      </c>
      <c r="D128" s="21">
        <v>0</v>
      </c>
      <c r="E128" s="21">
        <v>498</v>
      </c>
      <c r="G128" s="23">
        <f t="shared" si="6"/>
        <v>8912</v>
      </c>
      <c r="I128" s="22">
        <f t="shared" si="7"/>
        <v>0.54073159784560143</v>
      </c>
      <c r="J128" s="22">
        <f t="shared" si="8"/>
        <v>0.40338868940754041</v>
      </c>
      <c r="K128" s="22">
        <f t="shared" si="9"/>
        <v>0</v>
      </c>
      <c r="L128" s="22">
        <f t="shared" si="10"/>
        <v>5.5879712746858171E-2</v>
      </c>
    </row>
    <row r="129" spans="1:12" x14ac:dyDescent="0.25">
      <c r="A129" s="20" t="s">
        <v>26</v>
      </c>
      <c r="B129" s="21">
        <v>518</v>
      </c>
      <c r="C129" s="21">
        <v>189</v>
      </c>
      <c r="D129" s="21">
        <v>0</v>
      </c>
      <c r="E129" s="21">
        <v>5</v>
      </c>
      <c r="G129" s="23">
        <f t="shared" si="6"/>
        <v>712</v>
      </c>
      <c r="I129" s="22">
        <f t="shared" si="7"/>
        <v>0.72752808988764039</v>
      </c>
      <c r="J129" s="22">
        <f t="shared" si="8"/>
        <v>0.2654494382022472</v>
      </c>
      <c r="K129" s="22">
        <f t="shared" si="9"/>
        <v>0</v>
      </c>
      <c r="L129" s="22">
        <f t="shared" si="10"/>
        <v>7.0224719101123594E-3</v>
      </c>
    </row>
    <row r="130" spans="1:12" x14ac:dyDescent="0.25">
      <c r="A130" s="20" t="s">
        <v>29</v>
      </c>
      <c r="B130" s="21">
        <v>8</v>
      </c>
      <c r="C130" s="21">
        <v>1</v>
      </c>
      <c r="D130" s="21">
        <v>16</v>
      </c>
      <c r="E130" s="21">
        <v>34</v>
      </c>
      <c r="G130" s="23">
        <f t="shared" si="6"/>
        <v>59</v>
      </c>
      <c r="I130" s="22">
        <f t="shared" si="7"/>
        <v>0.13559322033898305</v>
      </c>
      <c r="J130" s="22">
        <f t="shared" si="8"/>
        <v>1.6949152542372881E-2</v>
      </c>
      <c r="K130" s="22">
        <f t="shared" si="9"/>
        <v>0.2711864406779661</v>
      </c>
      <c r="L130" s="22">
        <f t="shared" si="10"/>
        <v>0.57627118644067798</v>
      </c>
    </row>
    <row r="131" spans="1:12" x14ac:dyDescent="0.25">
      <c r="A131" s="20" t="s">
        <v>31</v>
      </c>
      <c r="B131" s="21">
        <v>205</v>
      </c>
      <c r="C131" s="21">
        <v>182</v>
      </c>
      <c r="D131" s="21">
        <v>0</v>
      </c>
      <c r="E131" s="21">
        <v>18</v>
      </c>
      <c r="G131" s="23">
        <f t="shared" si="6"/>
        <v>405</v>
      </c>
      <c r="I131" s="22">
        <f t="shared" si="7"/>
        <v>0.50617283950617287</v>
      </c>
      <c r="J131" s="22">
        <f t="shared" si="8"/>
        <v>0.44938271604938274</v>
      </c>
      <c r="K131" s="22">
        <f t="shared" si="9"/>
        <v>0</v>
      </c>
      <c r="L131" s="22">
        <f t="shared" si="10"/>
        <v>4.4444444444444446E-2</v>
      </c>
    </row>
    <row r="132" spans="1:12" x14ac:dyDescent="0.25">
      <c r="A132" s="20" t="s">
        <v>33</v>
      </c>
      <c r="B132" s="21">
        <v>186</v>
      </c>
      <c r="C132" s="21">
        <v>94</v>
      </c>
      <c r="D132" s="21">
        <v>0</v>
      </c>
      <c r="E132" s="21">
        <v>0</v>
      </c>
      <c r="G132" s="23">
        <f t="shared" si="6"/>
        <v>280</v>
      </c>
      <c r="I132" s="22">
        <f t="shared" si="7"/>
        <v>0.66428571428571426</v>
      </c>
      <c r="J132" s="22">
        <f t="shared" si="8"/>
        <v>0.33571428571428569</v>
      </c>
      <c r="K132" s="22">
        <f t="shared" si="9"/>
        <v>0</v>
      </c>
      <c r="L132" s="22">
        <f t="shared" si="10"/>
        <v>0</v>
      </c>
    </row>
    <row r="133" spans="1:12" x14ac:dyDescent="0.25">
      <c r="A133" s="20" t="s">
        <v>34</v>
      </c>
      <c r="B133" s="21">
        <v>90</v>
      </c>
      <c r="C133" s="21">
        <v>8</v>
      </c>
      <c r="D133" s="21">
        <v>0</v>
      </c>
      <c r="E133" s="21">
        <v>0</v>
      </c>
      <c r="G133" s="23">
        <f t="shared" si="6"/>
        <v>98</v>
      </c>
      <c r="I133" s="22">
        <f t="shared" si="7"/>
        <v>0.91836734693877553</v>
      </c>
      <c r="J133" s="22">
        <f t="shared" si="8"/>
        <v>8.1632653061224483E-2</v>
      </c>
      <c r="K133" s="22">
        <f t="shared" si="9"/>
        <v>0</v>
      </c>
      <c r="L133" s="22">
        <f t="shared" si="10"/>
        <v>0</v>
      </c>
    </row>
    <row r="134" spans="1:12" x14ac:dyDescent="0.25">
      <c r="A134" s="20" t="s">
        <v>35</v>
      </c>
      <c r="B134" s="21">
        <v>2136</v>
      </c>
      <c r="C134" s="21">
        <v>505</v>
      </c>
      <c r="D134" s="21">
        <v>16</v>
      </c>
      <c r="E134" s="21">
        <v>44</v>
      </c>
      <c r="G134" s="23">
        <f t="shared" si="6"/>
        <v>2701</v>
      </c>
      <c r="I134" s="22">
        <f t="shared" si="7"/>
        <v>0.79081821547574971</v>
      </c>
      <c r="J134" s="22">
        <f t="shared" si="8"/>
        <v>0.18696778970751574</v>
      </c>
      <c r="K134" s="22">
        <f t="shared" si="9"/>
        <v>5.9237319511292116E-3</v>
      </c>
      <c r="L134" s="22">
        <f t="shared" si="10"/>
        <v>1.629026286560533E-2</v>
      </c>
    </row>
    <row r="135" spans="1:12" x14ac:dyDescent="0.25">
      <c r="A135" s="20" t="s">
        <v>85</v>
      </c>
      <c r="B135" s="21">
        <v>0</v>
      </c>
      <c r="C135" s="21">
        <v>0</v>
      </c>
      <c r="D135" s="21">
        <v>0</v>
      </c>
      <c r="E135" s="21">
        <v>2</v>
      </c>
      <c r="G135" s="23">
        <f t="shared" ref="G135:G154" si="11">SUM(B135:E135)</f>
        <v>2</v>
      </c>
      <c r="I135" s="22">
        <f t="shared" ref="I135:I154" si="12">IFERROR(B135/$G135,0)</f>
        <v>0</v>
      </c>
      <c r="J135" s="22">
        <f t="shared" ref="J135:J154" si="13">IFERROR(C135/$G135,0)</f>
        <v>0</v>
      </c>
      <c r="K135" s="22">
        <f t="shared" ref="K135:K154" si="14">IFERROR(D135/$G135,0)</f>
        <v>0</v>
      </c>
      <c r="L135" s="22">
        <f t="shared" ref="L135:L154" si="15">IFERROR(E135/$G135,0)</f>
        <v>1</v>
      </c>
    </row>
    <row r="136" spans="1:12" x14ac:dyDescent="0.25">
      <c r="A136" s="20" t="s">
        <v>42</v>
      </c>
      <c r="B136" s="21">
        <v>954</v>
      </c>
      <c r="C136" s="21">
        <v>552</v>
      </c>
      <c r="D136" s="21">
        <v>0</v>
      </c>
      <c r="E136" s="21">
        <v>91</v>
      </c>
      <c r="G136" s="23">
        <f t="shared" si="11"/>
        <v>1597</v>
      </c>
      <c r="I136" s="22">
        <f t="shared" si="12"/>
        <v>0.59737006887914845</v>
      </c>
      <c r="J136" s="22">
        <f t="shared" si="13"/>
        <v>0.345648090169067</v>
      </c>
      <c r="K136" s="22">
        <f t="shared" si="14"/>
        <v>0</v>
      </c>
      <c r="L136" s="22">
        <f t="shared" si="15"/>
        <v>5.6981840951784594E-2</v>
      </c>
    </row>
    <row r="137" spans="1:12" x14ac:dyDescent="0.25">
      <c r="A137" s="20" t="s">
        <v>45</v>
      </c>
      <c r="B137" s="21">
        <v>28</v>
      </c>
      <c r="C137" s="21">
        <v>15</v>
      </c>
      <c r="D137" s="21">
        <v>0</v>
      </c>
      <c r="E137" s="21">
        <v>14</v>
      </c>
      <c r="G137" s="23">
        <f t="shared" si="11"/>
        <v>57</v>
      </c>
      <c r="I137" s="22">
        <f t="shared" si="12"/>
        <v>0.49122807017543857</v>
      </c>
      <c r="J137" s="22">
        <f t="shared" si="13"/>
        <v>0.26315789473684209</v>
      </c>
      <c r="K137" s="22">
        <f t="shared" si="14"/>
        <v>0</v>
      </c>
      <c r="L137" s="22">
        <f t="shared" si="15"/>
        <v>0.24561403508771928</v>
      </c>
    </row>
    <row r="138" spans="1:12" x14ac:dyDescent="0.25">
      <c r="A138" s="20" t="s">
        <v>46</v>
      </c>
      <c r="B138" s="21">
        <v>6</v>
      </c>
      <c r="C138" s="21">
        <v>0</v>
      </c>
      <c r="D138" s="21">
        <v>2</v>
      </c>
      <c r="E138" s="21">
        <v>0</v>
      </c>
      <c r="G138" s="23">
        <f t="shared" si="11"/>
        <v>8</v>
      </c>
      <c r="I138" s="22">
        <f t="shared" si="12"/>
        <v>0.75</v>
      </c>
      <c r="J138" s="22">
        <f t="shared" si="13"/>
        <v>0</v>
      </c>
      <c r="K138" s="22">
        <f t="shared" si="14"/>
        <v>0.25</v>
      </c>
      <c r="L138" s="22">
        <f t="shared" si="15"/>
        <v>0</v>
      </c>
    </row>
    <row r="139" spans="1:12" x14ac:dyDescent="0.25">
      <c r="A139" s="20" t="s">
        <v>48</v>
      </c>
      <c r="B139" s="21">
        <v>13340</v>
      </c>
      <c r="C139" s="21">
        <v>3714</v>
      </c>
      <c r="D139" s="21">
        <v>0</v>
      </c>
      <c r="E139" s="21">
        <v>622</v>
      </c>
      <c r="G139" s="23">
        <f t="shared" si="11"/>
        <v>17676</v>
      </c>
      <c r="I139" s="22">
        <f t="shared" si="12"/>
        <v>0.75469563249603988</v>
      </c>
      <c r="J139" s="22">
        <f t="shared" si="13"/>
        <v>0.21011541072640869</v>
      </c>
      <c r="K139" s="22">
        <f t="shared" si="14"/>
        <v>0</v>
      </c>
      <c r="L139" s="22">
        <f t="shared" si="15"/>
        <v>3.5188956777551482E-2</v>
      </c>
    </row>
    <row r="140" spans="1:12" x14ac:dyDescent="0.25">
      <c r="A140" s="20" t="s">
        <v>139</v>
      </c>
      <c r="B140" s="21">
        <v>803</v>
      </c>
      <c r="C140" s="21">
        <v>786</v>
      </c>
      <c r="D140" s="21">
        <v>0</v>
      </c>
      <c r="E140" s="21">
        <v>163</v>
      </c>
      <c r="G140" s="23">
        <f t="shared" si="11"/>
        <v>1752</v>
      </c>
      <c r="I140" s="22">
        <f t="shared" si="12"/>
        <v>0.45833333333333331</v>
      </c>
      <c r="J140" s="22">
        <f t="shared" si="13"/>
        <v>0.44863013698630139</v>
      </c>
      <c r="K140" s="22">
        <f t="shared" si="14"/>
        <v>0</v>
      </c>
      <c r="L140" s="22">
        <f t="shared" si="15"/>
        <v>9.3036529680365299E-2</v>
      </c>
    </row>
    <row r="141" spans="1:12" x14ac:dyDescent="0.25">
      <c r="A141" s="20" t="s">
        <v>53</v>
      </c>
      <c r="B141" s="21">
        <v>1</v>
      </c>
      <c r="C141" s="21">
        <v>0</v>
      </c>
      <c r="D141" s="21">
        <v>0</v>
      </c>
      <c r="E141" s="21">
        <v>0</v>
      </c>
      <c r="G141" s="23">
        <f t="shared" si="11"/>
        <v>1</v>
      </c>
      <c r="I141" s="22">
        <f t="shared" si="12"/>
        <v>1</v>
      </c>
      <c r="J141" s="22">
        <f t="shared" si="13"/>
        <v>0</v>
      </c>
      <c r="K141" s="22">
        <f t="shared" si="14"/>
        <v>0</v>
      </c>
      <c r="L141" s="22">
        <f t="shared" si="15"/>
        <v>0</v>
      </c>
    </row>
    <row r="142" spans="1:12" x14ac:dyDescent="0.25">
      <c r="A142" s="20" t="s">
        <v>54</v>
      </c>
      <c r="B142" s="21">
        <v>9</v>
      </c>
      <c r="C142" s="21">
        <v>11</v>
      </c>
      <c r="D142" s="21">
        <v>0</v>
      </c>
      <c r="E142" s="21">
        <v>0</v>
      </c>
      <c r="G142" s="23">
        <f t="shared" si="11"/>
        <v>20</v>
      </c>
      <c r="I142" s="22">
        <f t="shared" si="12"/>
        <v>0.45</v>
      </c>
      <c r="J142" s="22">
        <f t="shared" si="13"/>
        <v>0.55000000000000004</v>
      </c>
      <c r="K142" s="22">
        <f t="shared" si="14"/>
        <v>0</v>
      </c>
      <c r="L142" s="22">
        <f t="shared" si="15"/>
        <v>0</v>
      </c>
    </row>
    <row r="143" spans="1:12" x14ac:dyDescent="0.25">
      <c r="A143" s="20" t="s">
        <v>57</v>
      </c>
      <c r="B143" s="21">
        <v>311</v>
      </c>
      <c r="C143" s="21">
        <v>131</v>
      </c>
      <c r="D143" s="21">
        <v>0</v>
      </c>
      <c r="E143" s="21">
        <v>6</v>
      </c>
      <c r="G143" s="23">
        <f t="shared" si="11"/>
        <v>448</v>
      </c>
      <c r="I143" s="22">
        <f t="shared" si="12"/>
        <v>0.6941964285714286</v>
      </c>
      <c r="J143" s="22">
        <f t="shared" si="13"/>
        <v>0.2924107142857143</v>
      </c>
      <c r="K143" s="22">
        <f t="shared" si="14"/>
        <v>0</v>
      </c>
      <c r="L143" s="22">
        <f t="shared" si="15"/>
        <v>1.3392857142857142E-2</v>
      </c>
    </row>
    <row r="144" spans="1:12" x14ac:dyDescent="0.25">
      <c r="A144" s="20" t="s">
        <v>58</v>
      </c>
      <c r="B144" s="21">
        <v>133</v>
      </c>
      <c r="C144" s="21">
        <v>114</v>
      </c>
      <c r="D144" s="21">
        <v>0</v>
      </c>
      <c r="E144" s="21">
        <v>0</v>
      </c>
      <c r="G144" s="23">
        <f t="shared" si="11"/>
        <v>247</v>
      </c>
      <c r="I144" s="22">
        <f t="shared" si="12"/>
        <v>0.53846153846153844</v>
      </c>
      <c r="J144" s="22">
        <f t="shared" si="13"/>
        <v>0.46153846153846156</v>
      </c>
      <c r="K144" s="22">
        <f t="shared" si="14"/>
        <v>0</v>
      </c>
      <c r="L144" s="22">
        <f t="shared" si="15"/>
        <v>0</v>
      </c>
    </row>
    <row r="145" spans="1:12" x14ac:dyDescent="0.25">
      <c r="A145" s="20" t="s">
        <v>59</v>
      </c>
      <c r="B145" s="21">
        <v>17</v>
      </c>
      <c r="C145" s="21">
        <v>0</v>
      </c>
      <c r="D145" s="21">
        <v>0</v>
      </c>
      <c r="E145" s="21">
        <v>0</v>
      </c>
      <c r="G145" s="23">
        <f t="shared" si="11"/>
        <v>17</v>
      </c>
      <c r="I145" s="22">
        <f t="shared" si="12"/>
        <v>1</v>
      </c>
      <c r="J145" s="22">
        <f t="shared" si="13"/>
        <v>0</v>
      </c>
      <c r="K145" s="22">
        <f t="shared" si="14"/>
        <v>0</v>
      </c>
      <c r="L145" s="22">
        <f t="shared" si="15"/>
        <v>0</v>
      </c>
    </row>
    <row r="146" spans="1:12" x14ac:dyDescent="0.25">
      <c r="A146" s="20" t="s">
        <v>60</v>
      </c>
      <c r="B146" s="21">
        <v>526</v>
      </c>
      <c r="C146" s="21">
        <v>4873</v>
      </c>
      <c r="D146" s="21">
        <v>39</v>
      </c>
      <c r="E146" s="21">
        <v>0</v>
      </c>
      <c r="G146" s="23">
        <f t="shared" si="11"/>
        <v>5438</v>
      </c>
      <c r="I146" s="22">
        <f t="shared" si="12"/>
        <v>9.6726737771239427E-2</v>
      </c>
      <c r="J146" s="22">
        <f t="shared" si="13"/>
        <v>0.89610150790731891</v>
      </c>
      <c r="K146" s="22">
        <f t="shared" si="14"/>
        <v>7.1717543214417064E-3</v>
      </c>
      <c r="L146" s="22">
        <f t="shared" si="15"/>
        <v>0</v>
      </c>
    </row>
    <row r="147" spans="1:12" x14ac:dyDescent="0.25">
      <c r="A147" s="20" t="s">
        <v>63</v>
      </c>
      <c r="B147" s="21">
        <v>26</v>
      </c>
      <c r="C147" s="21">
        <v>0</v>
      </c>
      <c r="D147" s="21">
        <v>0</v>
      </c>
      <c r="E147" s="21">
        <v>26</v>
      </c>
      <c r="G147" s="23">
        <f t="shared" si="11"/>
        <v>52</v>
      </c>
      <c r="I147" s="22">
        <f t="shared" si="12"/>
        <v>0.5</v>
      </c>
      <c r="J147" s="22">
        <f t="shared" si="13"/>
        <v>0</v>
      </c>
      <c r="K147" s="22">
        <f t="shared" si="14"/>
        <v>0</v>
      </c>
      <c r="L147" s="22">
        <f t="shared" si="15"/>
        <v>0.5</v>
      </c>
    </row>
    <row r="148" spans="1:12" s="47" customFormat="1" x14ac:dyDescent="0.25">
      <c r="A148" s="31" t="s">
        <v>76</v>
      </c>
      <c r="B148" s="29">
        <v>68461</v>
      </c>
      <c r="C148" s="29">
        <v>33566</v>
      </c>
      <c r="D148" s="29">
        <v>73</v>
      </c>
      <c r="E148" s="29">
        <v>2965</v>
      </c>
      <c r="G148" s="23">
        <f t="shared" si="11"/>
        <v>105065</v>
      </c>
      <c r="H148" s="23"/>
      <c r="I148" s="24">
        <f t="shared" si="12"/>
        <v>0.6516061485746919</v>
      </c>
      <c r="J148" s="24">
        <f t="shared" si="13"/>
        <v>0.31947841812211486</v>
      </c>
      <c r="K148" s="24">
        <f t="shared" si="14"/>
        <v>6.9480797601484791E-4</v>
      </c>
      <c r="L148" s="24">
        <f t="shared" si="15"/>
        <v>2.8220625327178412E-2</v>
      </c>
    </row>
    <row r="149" spans="1:12" x14ac:dyDescent="0.25">
      <c r="A149" s="20"/>
      <c r="B149" s="21"/>
      <c r="C149" s="21"/>
      <c r="D149" s="21"/>
      <c r="E149" s="21"/>
    </row>
    <row r="150" spans="1:12" x14ac:dyDescent="0.25">
      <c r="A150" s="30" t="s">
        <v>77</v>
      </c>
      <c r="B150" s="27"/>
      <c r="C150" s="27"/>
      <c r="D150" s="27"/>
      <c r="E150" s="27"/>
    </row>
    <row r="151" spans="1:12" x14ac:dyDescent="0.25">
      <c r="A151" s="20" t="s">
        <v>22</v>
      </c>
      <c r="B151" s="21">
        <v>3</v>
      </c>
      <c r="C151" s="21">
        <v>15</v>
      </c>
      <c r="D151" s="21">
        <v>0</v>
      </c>
      <c r="E151" s="21">
        <v>9</v>
      </c>
      <c r="G151" s="23">
        <f t="shared" si="11"/>
        <v>27</v>
      </c>
      <c r="I151" s="22">
        <f t="shared" si="12"/>
        <v>0.1111111111111111</v>
      </c>
      <c r="J151" s="22">
        <f t="shared" si="13"/>
        <v>0.55555555555555558</v>
      </c>
      <c r="K151" s="22">
        <f t="shared" si="14"/>
        <v>0</v>
      </c>
      <c r="L151" s="22">
        <f t="shared" si="15"/>
        <v>0.33333333333333331</v>
      </c>
    </row>
    <row r="152" spans="1:12" x14ac:dyDescent="0.25">
      <c r="A152" s="20" t="s">
        <v>27</v>
      </c>
      <c r="B152" s="21">
        <v>9752</v>
      </c>
      <c r="C152" s="21">
        <v>231</v>
      </c>
      <c r="D152" s="21">
        <v>0</v>
      </c>
      <c r="E152" s="21">
        <v>5320</v>
      </c>
      <c r="G152" s="23">
        <f t="shared" si="11"/>
        <v>15303</v>
      </c>
      <c r="I152" s="22">
        <f t="shared" si="12"/>
        <v>0.63726066784290658</v>
      </c>
      <c r="J152" s="22">
        <f t="shared" si="13"/>
        <v>1.5095079396196824E-2</v>
      </c>
      <c r="K152" s="22">
        <f t="shared" si="14"/>
        <v>0</v>
      </c>
      <c r="L152" s="22">
        <f t="shared" si="15"/>
        <v>0.34764425276089655</v>
      </c>
    </row>
    <row r="153" spans="1:12" x14ac:dyDescent="0.25">
      <c r="A153" s="20" t="s">
        <v>85</v>
      </c>
      <c r="B153" s="21">
        <v>5</v>
      </c>
      <c r="C153" s="21">
        <v>0</v>
      </c>
      <c r="D153" s="21">
        <v>0</v>
      </c>
      <c r="E153" s="21">
        <v>8</v>
      </c>
      <c r="G153" s="23">
        <f t="shared" si="11"/>
        <v>13</v>
      </c>
      <c r="I153" s="22">
        <f t="shared" si="12"/>
        <v>0.38461538461538464</v>
      </c>
      <c r="J153" s="22">
        <f t="shared" si="13"/>
        <v>0</v>
      </c>
      <c r="K153" s="22">
        <f t="shared" si="14"/>
        <v>0</v>
      </c>
      <c r="L153" s="22">
        <f t="shared" si="15"/>
        <v>0.61538461538461542</v>
      </c>
    </row>
    <row r="154" spans="1:12" s="47" customFormat="1" x14ac:dyDescent="0.25">
      <c r="A154" s="31" t="s">
        <v>78</v>
      </c>
      <c r="B154" s="29">
        <v>9760</v>
      </c>
      <c r="C154" s="29">
        <v>246</v>
      </c>
      <c r="D154" s="29">
        <v>0</v>
      </c>
      <c r="E154" s="29">
        <v>5337</v>
      </c>
      <c r="G154" s="23">
        <f t="shared" si="11"/>
        <v>15343</v>
      </c>
      <c r="H154" s="23"/>
      <c r="I154" s="24">
        <f t="shared" si="12"/>
        <v>0.63612070651111252</v>
      </c>
      <c r="J154" s="24">
        <f t="shared" si="13"/>
        <v>1.6033370266571076E-2</v>
      </c>
      <c r="K154" s="24">
        <f t="shared" si="14"/>
        <v>0</v>
      </c>
      <c r="L154" s="24">
        <f t="shared" si="15"/>
        <v>0.34784592322231639</v>
      </c>
    </row>
  </sheetData>
  <mergeCells count="2">
    <mergeCell ref="I4:L4"/>
    <mergeCell ref="B4:G4"/>
  </mergeCells>
  <conditionalFormatting sqref="A5">
    <cfRule type="duplicateValues" dxfId="1" priority="1"/>
  </conditionalFormatting>
  <hyperlinks>
    <hyperlink ref="B1" location="Contents!A1" display="Back to Contents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16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" sqref="B1"/>
    </sheetView>
  </sheetViews>
  <sheetFormatPr defaultRowHeight="15" x14ac:dyDescent="0.25"/>
  <cols>
    <col min="1" max="1" width="19.5703125" customWidth="1"/>
    <col min="2" max="3" width="17.85546875" customWidth="1"/>
    <col min="5" max="6" width="17.85546875" customWidth="1"/>
    <col min="8" max="8" width="14.42578125" style="23" customWidth="1"/>
    <col min="9" max="9" width="14.5703125" style="24" customWidth="1"/>
  </cols>
  <sheetData>
    <row r="1" spans="1:9" x14ac:dyDescent="0.25">
      <c r="A1" s="32" t="s">
        <v>0</v>
      </c>
      <c r="B1" s="87" t="s">
        <v>189</v>
      </c>
      <c r="C1" s="4"/>
    </row>
    <row r="2" spans="1:9" x14ac:dyDescent="0.25">
      <c r="A2" s="44" t="s">
        <v>163</v>
      </c>
      <c r="B2" s="13"/>
      <c r="C2" s="4"/>
    </row>
    <row r="3" spans="1:9" x14ac:dyDescent="0.25">
      <c r="A3" s="42" t="s">
        <v>16</v>
      </c>
      <c r="B3" s="59" t="s">
        <v>3</v>
      </c>
      <c r="C3" s="58"/>
      <c r="D3" s="58"/>
      <c r="E3" s="58"/>
      <c r="F3" s="58"/>
      <c r="G3" s="58"/>
      <c r="I3" s="62"/>
    </row>
    <row r="4" spans="1:9" x14ac:dyDescent="0.25">
      <c r="A4" s="32" t="s">
        <v>6</v>
      </c>
      <c r="B4" s="122" t="s">
        <v>140</v>
      </c>
      <c r="C4" s="122"/>
      <c r="D4" s="122"/>
      <c r="E4" s="122"/>
      <c r="F4" s="122"/>
      <c r="G4" s="122"/>
      <c r="H4" s="122"/>
      <c r="I4" s="122"/>
    </row>
    <row r="5" spans="1:9" s="38" customFormat="1" ht="51" x14ac:dyDescent="0.25">
      <c r="A5" s="35" t="s">
        <v>11</v>
      </c>
      <c r="B5" s="35" t="s">
        <v>105</v>
      </c>
      <c r="C5" s="35" t="s">
        <v>100</v>
      </c>
      <c r="E5" s="35" t="s">
        <v>106</v>
      </c>
      <c r="F5" s="35" t="s">
        <v>100</v>
      </c>
      <c r="H5" s="38" t="s">
        <v>149</v>
      </c>
      <c r="I5" s="35" t="s">
        <v>100</v>
      </c>
    </row>
    <row r="6" spans="1:9" x14ac:dyDescent="0.25">
      <c r="A6" s="20" t="s">
        <v>22</v>
      </c>
      <c r="B6" s="21">
        <v>211</v>
      </c>
      <c r="C6" s="22">
        <v>1.3931990756025091E-2</v>
      </c>
      <c r="E6" s="21">
        <v>1481</v>
      </c>
      <c r="F6" s="22">
        <v>9.7788048861010238E-2</v>
      </c>
      <c r="H6" s="23">
        <v>1692</v>
      </c>
      <c r="I6" s="24">
        <v>0.11172003961703532</v>
      </c>
    </row>
    <row r="7" spans="1:9" x14ac:dyDescent="0.25">
      <c r="A7" s="20" t="s">
        <v>23</v>
      </c>
      <c r="B7" s="21">
        <v>1485</v>
      </c>
      <c r="C7" s="22">
        <v>7.9399026894081161E-3</v>
      </c>
      <c r="E7" s="21">
        <v>3425</v>
      </c>
      <c r="F7" s="22">
        <v>1.8312570175907608E-2</v>
      </c>
      <c r="H7" s="23">
        <v>4910</v>
      </c>
      <c r="I7" s="24">
        <v>2.6252472865315724E-2</v>
      </c>
    </row>
    <row r="8" spans="1:9" x14ac:dyDescent="0.25">
      <c r="A8" s="20" t="s">
        <v>24</v>
      </c>
      <c r="B8" s="21">
        <v>80418</v>
      </c>
      <c r="C8" s="22">
        <v>5.3158241252667229E-2</v>
      </c>
      <c r="E8" s="21">
        <v>175039</v>
      </c>
      <c r="F8" s="22">
        <v>0.11570500871229848</v>
      </c>
      <c r="H8" s="23">
        <v>255457</v>
      </c>
      <c r="I8" s="24">
        <v>0.16886324996496571</v>
      </c>
    </row>
    <row r="9" spans="1:9" x14ac:dyDescent="0.25">
      <c r="A9" s="20" t="s">
        <v>25</v>
      </c>
      <c r="B9" s="21">
        <v>17301</v>
      </c>
      <c r="C9" s="22">
        <v>5.266330006300967E-2</v>
      </c>
      <c r="E9" s="21">
        <v>46183</v>
      </c>
      <c r="F9" s="22">
        <v>0.14057853227038758</v>
      </c>
      <c r="H9" s="23">
        <v>63484</v>
      </c>
      <c r="I9" s="24">
        <v>0.19324183233339726</v>
      </c>
    </row>
    <row r="10" spans="1:9" x14ac:dyDescent="0.25">
      <c r="A10" s="20" t="s">
        <v>26</v>
      </c>
      <c r="B10" s="21">
        <v>2899</v>
      </c>
      <c r="C10" s="22">
        <v>2.9100582212407147E-2</v>
      </c>
      <c r="E10" s="21">
        <v>19474</v>
      </c>
      <c r="F10" s="22">
        <v>0.1954828347721341</v>
      </c>
      <c r="H10" s="23">
        <v>22373</v>
      </c>
      <c r="I10" s="24">
        <v>0.22458341698454126</v>
      </c>
    </row>
    <row r="11" spans="1:9" x14ac:dyDescent="0.25">
      <c r="A11" s="20" t="s">
        <v>27</v>
      </c>
      <c r="B11" s="21">
        <v>14772</v>
      </c>
      <c r="C11" s="22">
        <v>5.2427411884540441E-2</v>
      </c>
      <c r="E11" s="21">
        <v>13607</v>
      </c>
      <c r="F11" s="22">
        <v>4.8292701970819238E-2</v>
      </c>
      <c r="H11" s="23">
        <v>28379</v>
      </c>
      <c r="I11" s="24">
        <v>0.10072011385535969</v>
      </c>
    </row>
    <row r="12" spans="1:9" x14ac:dyDescent="0.25">
      <c r="A12" s="20" t="s">
        <v>29</v>
      </c>
      <c r="B12" s="21">
        <v>131</v>
      </c>
      <c r="C12" s="22">
        <v>2.3831180643987631E-2</v>
      </c>
      <c r="E12" s="21">
        <v>500</v>
      </c>
      <c r="F12" s="22">
        <v>9.0958704748044392E-2</v>
      </c>
      <c r="H12" s="23">
        <v>631</v>
      </c>
      <c r="I12" s="24">
        <v>0.11478988539203201</v>
      </c>
    </row>
    <row r="13" spans="1:9" x14ac:dyDescent="0.25">
      <c r="A13" s="20" t="s">
        <v>30</v>
      </c>
      <c r="B13" s="21">
        <v>0</v>
      </c>
      <c r="C13" s="22">
        <v>0</v>
      </c>
      <c r="E13" s="21">
        <v>121</v>
      </c>
      <c r="F13" s="22">
        <v>1.4084507042253521E-2</v>
      </c>
      <c r="H13" s="23">
        <v>121</v>
      </c>
      <c r="I13" s="24">
        <v>1.4084507042253521E-2</v>
      </c>
    </row>
    <row r="14" spans="1:9" x14ac:dyDescent="0.25">
      <c r="A14" s="20" t="s">
        <v>31</v>
      </c>
      <c r="B14" s="21">
        <v>1018</v>
      </c>
      <c r="C14" s="22">
        <v>9.3231980950636506E-2</v>
      </c>
      <c r="E14" s="21">
        <v>5225</v>
      </c>
      <c r="F14" s="22">
        <v>0.47852367432915099</v>
      </c>
      <c r="H14" s="23">
        <v>6243</v>
      </c>
      <c r="I14" s="24">
        <v>0.57175565527978756</v>
      </c>
    </row>
    <row r="15" spans="1:9" x14ac:dyDescent="0.25">
      <c r="A15" s="20" t="s">
        <v>32</v>
      </c>
      <c r="B15" s="21">
        <v>0</v>
      </c>
      <c r="C15" s="22">
        <v>0</v>
      </c>
      <c r="E15" s="21">
        <v>2</v>
      </c>
      <c r="F15" s="22">
        <v>1</v>
      </c>
      <c r="H15" s="23">
        <v>2</v>
      </c>
      <c r="I15" s="24">
        <v>1</v>
      </c>
    </row>
    <row r="16" spans="1:9" x14ac:dyDescent="0.25">
      <c r="A16" s="20" t="s">
        <v>33</v>
      </c>
      <c r="B16" s="21">
        <v>753</v>
      </c>
      <c r="C16" s="22">
        <v>1.4931292260712657E-2</v>
      </c>
      <c r="E16" s="21">
        <v>4759</v>
      </c>
      <c r="F16" s="22">
        <v>9.4366560250639483E-2</v>
      </c>
      <c r="H16" s="23">
        <v>5512</v>
      </c>
      <c r="I16" s="24">
        <v>0.10929785251135214</v>
      </c>
    </row>
    <row r="17" spans="1:9" x14ac:dyDescent="0.25">
      <c r="A17" s="20" t="s">
        <v>34</v>
      </c>
      <c r="B17" s="21">
        <v>199</v>
      </c>
      <c r="C17" s="22">
        <v>2.4447174447174449E-2</v>
      </c>
      <c r="E17" s="21">
        <v>3288</v>
      </c>
      <c r="F17" s="22">
        <v>0.40393120393120391</v>
      </c>
      <c r="H17" s="23">
        <v>3487</v>
      </c>
      <c r="I17" s="24">
        <v>0.42837837837837844</v>
      </c>
    </row>
    <row r="18" spans="1:9" x14ac:dyDescent="0.25">
      <c r="A18" s="20" t="s">
        <v>35</v>
      </c>
      <c r="B18" s="21">
        <v>16457</v>
      </c>
      <c r="C18" s="22">
        <v>1.4289720900225499E-2</v>
      </c>
      <c r="E18" s="21">
        <v>113525</v>
      </c>
      <c r="F18" s="22">
        <v>9.8574501136179118E-2</v>
      </c>
      <c r="H18" s="23">
        <v>129982</v>
      </c>
      <c r="I18" s="24">
        <v>0.11286422203640462</v>
      </c>
    </row>
    <row r="19" spans="1:9" x14ac:dyDescent="0.25">
      <c r="A19" s="20" t="s">
        <v>37</v>
      </c>
      <c r="B19" s="21">
        <v>147738</v>
      </c>
      <c r="C19" s="22">
        <v>0.20898267035769705</v>
      </c>
      <c r="E19" s="21">
        <v>0</v>
      </c>
      <c r="F19" s="22">
        <v>0</v>
      </c>
      <c r="H19" s="23">
        <v>147738</v>
      </c>
      <c r="I19" s="24">
        <v>0.20898267035769705</v>
      </c>
    </row>
    <row r="20" spans="1:9" x14ac:dyDescent="0.25">
      <c r="A20" s="20" t="s">
        <v>85</v>
      </c>
      <c r="B20" s="21">
        <v>11</v>
      </c>
      <c r="C20" s="22">
        <v>1.8923103388955788E-3</v>
      </c>
      <c r="E20" s="21">
        <v>149</v>
      </c>
      <c r="F20" s="22">
        <v>2.5632203681403749E-2</v>
      </c>
      <c r="H20" s="23">
        <v>160</v>
      </c>
      <c r="I20" s="24">
        <v>2.7524514020299328E-2</v>
      </c>
    </row>
    <row r="21" spans="1:9" x14ac:dyDescent="0.25">
      <c r="A21" s="20" t="s">
        <v>41</v>
      </c>
      <c r="B21" s="21">
        <v>198</v>
      </c>
      <c r="C21" s="22">
        <v>1.0211975862602507E-2</v>
      </c>
      <c r="E21" s="21">
        <v>66</v>
      </c>
      <c r="F21" s="22">
        <v>3.4039919542008354E-3</v>
      </c>
      <c r="H21" s="23">
        <v>264</v>
      </c>
      <c r="I21" s="24">
        <v>1.3615967816803342E-2</v>
      </c>
    </row>
    <row r="22" spans="1:9" x14ac:dyDescent="0.25">
      <c r="A22" s="20" t="s">
        <v>42</v>
      </c>
      <c r="B22" s="21">
        <v>5623</v>
      </c>
      <c r="C22" s="22">
        <v>0.14102982117328383</v>
      </c>
      <c r="E22" s="21">
        <v>6911</v>
      </c>
      <c r="F22" s="22">
        <v>0.17333400215695619</v>
      </c>
      <c r="H22" s="23">
        <v>12534</v>
      </c>
      <c r="I22" s="24">
        <v>0.31436382333024004</v>
      </c>
    </row>
    <row r="23" spans="1:9" x14ac:dyDescent="0.25">
      <c r="A23" s="20" t="s">
        <v>44</v>
      </c>
      <c r="B23" s="21">
        <v>49</v>
      </c>
      <c r="C23" s="22">
        <v>1.7543859649122806E-2</v>
      </c>
      <c r="E23" s="21">
        <v>1156</v>
      </c>
      <c r="F23" s="22">
        <v>0.41389187253848908</v>
      </c>
      <c r="H23" s="23">
        <v>1205</v>
      </c>
      <c r="I23" s="24">
        <v>0.43143573218761189</v>
      </c>
    </row>
    <row r="24" spans="1:9" x14ac:dyDescent="0.25">
      <c r="A24" s="20" t="s">
        <v>45</v>
      </c>
      <c r="B24" s="21">
        <v>543</v>
      </c>
      <c r="C24" s="22">
        <v>2.0799019420078908E-2</v>
      </c>
      <c r="E24" s="21">
        <v>2217</v>
      </c>
      <c r="F24" s="22">
        <v>8.4919753322863598E-2</v>
      </c>
      <c r="H24" s="23">
        <v>2760</v>
      </c>
      <c r="I24" s="24">
        <v>0.10571877274294252</v>
      </c>
    </row>
    <row r="25" spans="1:9" x14ac:dyDescent="0.25">
      <c r="A25" s="20" t="s">
        <v>46</v>
      </c>
      <c r="B25" s="21">
        <v>0</v>
      </c>
      <c r="C25" s="22">
        <v>0</v>
      </c>
      <c r="E25" s="21">
        <v>461</v>
      </c>
      <c r="F25" s="22">
        <v>5.8053141921672331E-2</v>
      </c>
      <c r="H25" s="23">
        <v>461</v>
      </c>
      <c r="I25" s="24">
        <v>5.8053141921672331E-2</v>
      </c>
    </row>
    <row r="26" spans="1:9" x14ac:dyDescent="0.25">
      <c r="A26" s="20" t="s">
        <v>47</v>
      </c>
      <c r="B26" s="21">
        <v>29</v>
      </c>
      <c r="C26" s="22">
        <v>4.2010719976821676E-3</v>
      </c>
      <c r="E26" s="21">
        <v>0</v>
      </c>
      <c r="F26" s="22">
        <v>0</v>
      </c>
      <c r="H26" s="23">
        <v>29</v>
      </c>
      <c r="I26" s="24">
        <v>4.2010719976821676E-3</v>
      </c>
    </row>
    <row r="27" spans="1:9" x14ac:dyDescent="0.25">
      <c r="A27" s="20" t="s">
        <v>48</v>
      </c>
      <c r="B27" s="21">
        <v>94251</v>
      </c>
      <c r="C27" s="22">
        <v>4.7918990564761892E-2</v>
      </c>
      <c r="E27" s="21">
        <v>263994</v>
      </c>
      <c r="F27" s="22">
        <v>0.13421954138580758</v>
      </c>
      <c r="H27" s="23">
        <v>358245</v>
      </c>
      <c r="I27" s="24">
        <v>0.18213853195056948</v>
      </c>
    </row>
    <row r="28" spans="1:9" x14ac:dyDescent="0.25">
      <c r="A28" s="20" t="s">
        <v>49</v>
      </c>
      <c r="B28" s="21">
        <v>0</v>
      </c>
      <c r="C28" s="22">
        <v>0</v>
      </c>
      <c r="E28" s="21">
        <v>171</v>
      </c>
      <c r="F28" s="22">
        <v>0.31666666666666665</v>
      </c>
      <c r="H28" s="23">
        <v>171</v>
      </c>
      <c r="I28" s="24">
        <v>0.31666666666666665</v>
      </c>
    </row>
    <row r="29" spans="1:9" x14ac:dyDescent="0.25">
      <c r="A29" s="20" t="s">
        <v>50</v>
      </c>
      <c r="B29" s="21">
        <v>299</v>
      </c>
      <c r="C29" s="22">
        <v>0.26672613737734163</v>
      </c>
      <c r="E29" s="21">
        <v>0</v>
      </c>
      <c r="F29" s="22">
        <v>0</v>
      </c>
      <c r="H29" s="23">
        <v>299</v>
      </c>
      <c r="I29" s="24">
        <v>0.26672613737734163</v>
      </c>
    </row>
    <row r="30" spans="1:9" x14ac:dyDescent="0.25">
      <c r="A30" s="20" t="s">
        <v>139</v>
      </c>
      <c r="B30" s="21">
        <v>3785</v>
      </c>
      <c r="C30" s="22">
        <v>6.2138823220383506E-2</v>
      </c>
      <c r="E30" s="21">
        <v>9654</v>
      </c>
      <c r="F30" s="22">
        <v>0.15849093774625689</v>
      </c>
      <c r="H30" s="23">
        <v>13439</v>
      </c>
      <c r="I30" s="24">
        <v>0.22062976096664039</v>
      </c>
    </row>
    <row r="31" spans="1:9" x14ac:dyDescent="0.25">
      <c r="A31" s="20" t="s">
        <v>53</v>
      </c>
      <c r="B31" s="21">
        <v>584</v>
      </c>
      <c r="C31" s="22">
        <v>1.458796492893363E-2</v>
      </c>
      <c r="E31" s="21">
        <v>9574</v>
      </c>
      <c r="F31" s="22">
        <v>0.23915269902330577</v>
      </c>
      <c r="H31" s="23">
        <v>10158</v>
      </c>
      <c r="I31" s="24">
        <v>0.25374066395223938</v>
      </c>
    </row>
    <row r="32" spans="1:9" x14ac:dyDescent="0.25">
      <c r="A32" s="20" t="s">
        <v>54</v>
      </c>
      <c r="B32" s="21">
        <v>328</v>
      </c>
      <c r="C32" s="22">
        <v>2.5228828551649873E-2</v>
      </c>
      <c r="E32" s="21">
        <v>973</v>
      </c>
      <c r="F32" s="22">
        <v>7.4840396892546721E-2</v>
      </c>
      <c r="H32" s="23">
        <v>1301</v>
      </c>
      <c r="I32" s="24">
        <v>0.10006922544419659</v>
      </c>
    </row>
    <row r="33" spans="1:9" x14ac:dyDescent="0.25">
      <c r="A33" s="20" t="s">
        <v>56</v>
      </c>
      <c r="B33" s="21">
        <v>3</v>
      </c>
      <c r="C33" s="22">
        <v>7.556675062972292E-3</v>
      </c>
      <c r="E33" s="21">
        <v>35</v>
      </c>
      <c r="F33" s="22">
        <v>8.8161209068010074E-2</v>
      </c>
      <c r="H33" s="23">
        <v>38</v>
      </c>
      <c r="I33" s="24">
        <v>9.5717884130982367E-2</v>
      </c>
    </row>
    <row r="34" spans="1:9" x14ac:dyDescent="0.25">
      <c r="A34" s="20" t="s">
        <v>57</v>
      </c>
      <c r="B34" s="21">
        <v>5099</v>
      </c>
      <c r="C34" s="22">
        <v>1.8227509633876929E-2</v>
      </c>
      <c r="E34" s="21">
        <v>41094</v>
      </c>
      <c r="F34" s="22">
        <v>0.14689964324270222</v>
      </c>
      <c r="H34" s="23">
        <v>46193</v>
      </c>
      <c r="I34" s="24">
        <v>0.16512715287657914</v>
      </c>
    </row>
    <row r="35" spans="1:9" x14ac:dyDescent="0.25">
      <c r="A35" s="20" t="s">
        <v>58</v>
      </c>
      <c r="B35" s="21">
        <v>526</v>
      </c>
      <c r="C35" s="22">
        <v>0.2203602848764139</v>
      </c>
      <c r="E35" s="21">
        <v>1348</v>
      </c>
      <c r="F35" s="22">
        <v>0.56472559698366154</v>
      </c>
      <c r="H35" s="23">
        <v>1874</v>
      </c>
      <c r="I35" s="24">
        <v>0.78508588186007544</v>
      </c>
    </row>
    <row r="36" spans="1:9" x14ac:dyDescent="0.25">
      <c r="A36" s="20" t="s">
        <v>59</v>
      </c>
      <c r="B36" s="21">
        <v>0</v>
      </c>
      <c r="C36" s="22">
        <v>0</v>
      </c>
      <c r="E36" s="21">
        <v>374</v>
      </c>
      <c r="F36" s="22">
        <v>0.14155942467827404</v>
      </c>
      <c r="H36" s="23">
        <v>374</v>
      </c>
      <c r="I36" s="24">
        <v>0.14155942467827404</v>
      </c>
    </row>
    <row r="37" spans="1:9" x14ac:dyDescent="0.25">
      <c r="A37" s="20" t="s">
        <v>60</v>
      </c>
      <c r="B37" s="21">
        <v>10609</v>
      </c>
      <c r="C37" s="22">
        <v>8.0156853263620778E-2</v>
      </c>
      <c r="E37" s="21">
        <v>18752</v>
      </c>
      <c r="F37" s="22">
        <v>0.14168171480812675</v>
      </c>
      <c r="H37" s="23">
        <v>29361</v>
      </c>
      <c r="I37" s="24">
        <v>0.22183856807174751</v>
      </c>
    </row>
    <row r="38" spans="1:9" x14ac:dyDescent="0.25">
      <c r="A38" s="20" t="s">
        <v>61</v>
      </c>
      <c r="B38" s="21">
        <v>391</v>
      </c>
      <c r="C38" s="22">
        <v>7.1874999999999994E-2</v>
      </c>
      <c r="E38" s="21">
        <v>0</v>
      </c>
      <c r="F38" s="22">
        <v>0</v>
      </c>
      <c r="H38" s="23">
        <v>391</v>
      </c>
      <c r="I38" s="24">
        <v>7.1874999999999994E-2</v>
      </c>
    </row>
    <row r="39" spans="1:9" x14ac:dyDescent="0.25">
      <c r="A39" s="20" t="s">
        <v>62</v>
      </c>
      <c r="B39" s="21">
        <v>9513</v>
      </c>
      <c r="C39" s="22">
        <v>0.10890669719519176</v>
      </c>
      <c r="E39" s="21">
        <v>6576</v>
      </c>
      <c r="F39" s="22">
        <v>7.528334287349743E-2</v>
      </c>
      <c r="H39" s="23">
        <v>16089</v>
      </c>
      <c r="I39" s="24">
        <v>0.18419004006868919</v>
      </c>
    </row>
    <row r="40" spans="1:9" x14ac:dyDescent="0.25">
      <c r="A40" s="20" t="s">
        <v>63</v>
      </c>
      <c r="B40" s="21">
        <v>0</v>
      </c>
      <c r="C40" s="22">
        <v>0</v>
      </c>
      <c r="E40" s="21">
        <v>32</v>
      </c>
      <c r="F40" s="22">
        <v>5.2718286655683691E-2</v>
      </c>
      <c r="H40" s="23">
        <v>32</v>
      </c>
      <c r="I40" s="24">
        <v>5.2718286655683691E-2</v>
      </c>
    </row>
    <row r="41" spans="1:9" x14ac:dyDescent="0.25">
      <c r="A41" s="1" t="s">
        <v>67</v>
      </c>
      <c r="B41" s="23">
        <v>415223</v>
      </c>
      <c r="C41" s="24">
        <v>5.8457206612675588E-2</v>
      </c>
      <c r="E41" s="23">
        <v>750166</v>
      </c>
      <c r="F41" s="24">
        <v>0.10561218635722104</v>
      </c>
      <c r="H41" s="23">
        <v>1165389</v>
      </c>
      <c r="I41" s="24">
        <v>0.16406939296989662</v>
      </c>
    </row>
    <row r="42" spans="1:9" x14ac:dyDescent="0.25">
      <c r="A42" s="25"/>
      <c r="B42" s="21"/>
      <c r="C42" s="21"/>
      <c r="E42" s="21"/>
      <c r="F42" s="21"/>
    </row>
    <row r="43" spans="1:9" x14ac:dyDescent="0.25">
      <c r="A43" s="1" t="s">
        <v>68</v>
      </c>
      <c r="B43" s="21"/>
      <c r="C43" s="21"/>
      <c r="E43" s="21"/>
      <c r="F43" s="21"/>
    </row>
    <row r="44" spans="1:9" x14ac:dyDescent="0.25">
      <c r="A44" s="26" t="s">
        <v>69</v>
      </c>
      <c r="B44" s="27"/>
      <c r="C44" s="27"/>
      <c r="E44" s="27"/>
      <c r="F44" s="27"/>
    </row>
    <row r="45" spans="1:9" x14ac:dyDescent="0.25">
      <c r="A45" s="20" t="s">
        <v>23</v>
      </c>
      <c r="B45" s="21">
        <v>319</v>
      </c>
      <c r="C45" s="22">
        <v>2.0202787858061167E-3</v>
      </c>
      <c r="E45" s="21">
        <v>3388</v>
      </c>
      <c r="F45" s="22">
        <v>2.1456754000975308E-2</v>
      </c>
      <c r="H45" s="23">
        <v>3707</v>
      </c>
      <c r="I45" s="24">
        <v>2.3477032786781423E-2</v>
      </c>
    </row>
    <row r="46" spans="1:9" x14ac:dyDescent="0.25">
      <c r="A46" s="20" t="s">
        <v>34</v>
      </c>
      <c r="B46" s="21">
        <v>0</v>
      </c>
      <c r="C46" s="22">
        <v>0</v>
      </c>
      <c r="E46" s="21">
        <v>4</v>
      </c>
      <c r="F46" s="22">
        <v>1.5384615384615385E-2</v>
      </c>
      <c r="H46" s="23">
        <v>4</v>
      </c>
      <c r="I46" s="24">
        <v>1.5384615384615385E-2</v>
      </c>
    </row>
    <row r="47" spans="1:9" x14ac:dyDescent="0.25">
      <c r="A47" s="20" t="s">
        <v>35</v>
      </c>
      <c r="B47" s="21">
        <v>315</v>
      </c>
      <c r="C47" s="22">
        <v>4.1771648322503643E-2</v>
      </c>
      <c r="E47" s="21">
        <v>306</v>
      </c>
      <c r="F47" s="22">
        <v>4.0578172656146397E-2</v>
      </c>
      <c r="H47" s="23">
        <v>621</v>
      </c>
      <c r="I47" s="24">
        <v>8.234982097865004E-2</v>
      </c>
    </row>
    <row r="48" spans="1:9" x14ac:dyDescent="0.25">
      <c r="A48" s="20" t="s">
        <v>48</v>
      </c>
      <c r="B48" s="21">
        <v>350</v>
      </c>
      <c r="C48" s="22">
        <v>1.4849384811200678E-2</v>
      </c>
      <c r="E48" s="21">
        <v>1327</v>
      </c>
      <c r="F48" s="22">
        <v>5.6300381841323716E-2</v>
      </c>
      <c r="H48" s="23">
        <v>1677</v>
      </c>
      <c r="I48" s="24">
        <v>7.1149766652524399E-2</v>
      </c>
    </row>
    <row r="49" spans="1:9" x14ac:dyDescent="0.25">
      <c r="A49" s="20" t="s">
        <v>57</v>
      </c>
      <c r="B49" s="21">
        <v>1</v>
      </c>
      <c r="C49" s="22">
        <v>2.3809523809523808E-2</v>
      </c>
      <c r="E49" s="21">
        <v>0</v>
      </c>
      <c r="F49" s="22">
        <v>0</v>
      </c>
      <c r="H49" s="23">
        <v>1</v>
      </c>
      <c r="I49" s="24">
        <v>2.3809523809523808E-2</v>
      </c>
    </row>
    <row r="50" spans="1:9" x14ac:dyDescent="0.25">
      <c r="A50" s="20" t="s">
        <v>60</v>
      </c>
      <c r="B50" s="21">
        <v>0</v>
      </c>
      <c r="C50" s="22">
        <v>0</v>
      </c>
      <c r="E50" s="21">
        <v>43</v>
      </c>
      <c r="F50" s="22">
        <v>0.93478260869565222</v>
      </c>
      <c r="H50" s="23">
        <v>43</v>
      </c>
      <c r="I50" s="24">
        <v>0.93478260869565222</v>
      </c>
    </row>
    <row r="51" spans="1:9" x14ac:dyDescent="0.25">
      <c r="A51" s="28" t="s">
        <v>70</v>
      </c>
      <c r="B51" s="29">
        <v>985</v>
      </c>
      <c r="C51" s="24">
        <v>5.1930113139109441E-3</v>
      </c>
      <c r="E51" s="29">
        <v>5068</v>
      </c>
      <c r="F51" s="24">
        <v>2.6718965826295089E-2</v>
      </c>
      <c r="H51" s="23">
        <v>6053</v>
      </c>
      <c r="I51" s="24">
        <v>3.1911977140206035E-2</v>
      </c>
    </row>
    <row r="52" spans="1:9" x14ac:dyDescent="0.25">
      <c r="A52" s="20"/>
      <c r="B52" s="21"/>
      <c r="C52" s="21"/>
      <c r="E52" s="21"/>
      <c r="F52" s="21"/>
    </row>
    <row r="53" spans="1:9" x14ac:dyDescent="0.25">
      <c r="A53" s="30" t="s">
        <v>71</v>
      </c>
      <c r="B53" s="27"/>
      <c r="C53" s="27"/>
      <c r="E53" s="27"/>
      <c r="F53" s="27"/>
    </row>
    <row r="54" spans="1:9" x14ac:dyDescent="0.25">
      <c r="A54" s="20" t="s">
        <v>22</v>
      </c>
      <c r="B54" s="21">
        <v>0</v>
      </c>
      <c r="C54" s="22">
        <v>0</v>
      </c>
      <c r="E54" s="21">
        <v>901</v>
      </c>
      <c r="F54" s="22">
        <v>8.8654924726950704E-2</v>
      </c>
      <c r="H54" s="23">
        <v>901</v>
      </c>
      <c r="I54" s="24">
        <v>8.8654924726950704E-2</v>
      </c>
    </row>
    <row r="55" spans="1:9" x14ac:dyDescent="0.25">
      <c r="A55" s="20" t="s">
        <v>23</v>
      </c>
      <c r="B55" s="21">
        <v>1166</v>
      </c>
      <c r="C55" s="22">
        <v>4.0026089046033435E-2</v>
      </c>
      <c r="E55" s="21">
        <v>37</v>
      </c>
      <c r="F55" s="22">
        <v>1.2701246095225018E-3</v>
      </c>
      <c r="H55" s="23">
        <v>1203</v>
      </c>
      <c r="I55" s="24">
        <v>4.1296213655555934E-2</v>
      </c>
    </row>
    <row r="56" spans="1:9" x14ac:dyDescent="0.25">
      <c r="A56" s="20" t="s">
        <v>24</v>
      </c>
      <c r="B56" s="21">
        <v>0</v>
      </c>
      <c r="C56" s="22">
        <v>0</v>
      </c>
      <c r="E56" s="21">
        <v>78880</v>
      </c>
      <c r="F56" s="22">
        <v>9.6889060306315847E-2</v>
      </c>
      <c r="H56" s="23">
        <v>78880</v>
      </c>
      <c r="I56" s="24">
        <v>9.6889060306315847E-2</v>
      </c>
    </row>
    <row r="57" spans="1:9" x14ac:dyDescent="0.25">
      <c r="A57" s="20" t="s">
        <v>25</v>
      </c>
      <c r="B57" s="21">
        <v>0</v>
      </c>
      <c r="C57" s="22">
        <v>0</v>
      </c>
      <c r="E57" s="21">
        <v>7057</v>
      </c>
      <c r="F57" s="22">
        <v>7.7018782673229508E-2</v>
      </c>
      <c r="H57" s="23">
        <v>7057</v>
      </c>
      <c r="I57" s="24">
        <v>7.7018782673229508E-2</v>
      </c>
    </row>
    <row r="58" spans="1:9" x14ac:dyDescent="0.25">
      <c r="A58" s="20" t="s">
        <v>26</v>
      </c>
      <c r="B58" s="21">
        <v>0</v>
      </c>
      <c r="C58" s="22">
        <v>0</v>
      </c>
      <c r="E58" s="21">
        <v>6669</v>
      </c>
      <c r="F58" s="22">
        <v>0.12739741728432796</v>
      </c>
      <c r="H58" s="23">
        <v>6669</v>
      </c>
      <c r="I58" s="24">
        <v>0.12739741728432796</v>
      </c>
    </row>
    <row r="59" spans="1:9" x14ac:dyDescent="0.25">
      <c r="A59" s="20" t="s">
        <v>29</v>
      </c>
      <c r="B59" s="21">
        <v>131</v>
      </c>
      <c r="C59" s="22">
        <v>2.443118239462887E-2</v>
      </c>
      <c r="E59" s="21">
        <v>486</v>
      </c>
      <c r="F59" s="22">
        <v>9.0637821708317787E-2</v>
      </c>
      <c r="H59" s="23">
        <v>617</v>
      </c>
      <c r="I59" s="24">
        <v>0.11506900410294667</v>
      </c>
    </row>
    <row r="60" spans="1:9" x14ac:dyDescent="0.25">
      <c r="A60" s="20" t="s">
        <v>30</v>
      </c>
      <c r="B60" s="21">
        <v>0</v>
      </c>
      <c r="C60" s="22">
        <v>0</v>
      </c>
      <c r="E60" s="21">
        <v>121</v>
      </c>
      <c r="F60" s="22">
        <v>1.4084507042253521E-2</v>
      </c>
      <c r="H60" s="23">
        <v>121</v>
      </c>
      <c r="I60" s="24">
        <v>1.4084507042253521E-2</v>
      </c>
    </row>
    <row r="61" spans="1:9" x14ac:dyDescent="0.25">
      <c r="A61" s="20" t="s">
        <v>31</v>
      </c>
      <c r="B61" s="21">
        <v>0</v>
      </c>
      <c r="C61" s="22">
        <v>0</v>
      </c>
      <c r="E61" s="21">
        <v>1609</v>
      </c>
      <c r="F61" s="22">
        <v>0.44215443803242649</v>
      </c>
      <c r="H61" s="23">
        <v>1609</v>
      </c>
      <c r="I61" s="24">
        <v>0.44215443803242649</v>
      </c>
    </row>
    <row r="62" spans="1:9" x14ac:dyDescent="0.25">
      <c r="A62" s="20" t="s">
        <v>33</v>
      </c>
      <c r="B62" s="21">
        <v>0</v>
      </c>
      <c r="C62" s="22">
        <v>0</v>
      </c>
      <c r="E62" s="21">
        <v>2788</v>
      </c>
      <c r="F62" s="22">
        <v>8.3050342567768845E-2</v>
      </c>
      <c r="H62" s="23">
        <v>2788</v>
      </c>
      <c r="I62" s="24">
        <v>8.3050342567768845E-2</v>
      </c>
    </row>
    <row r="63" spans="1:9" x14ac:dyDescent="0.25">
      <c r="A63" s="20" t="s">
        <v>34</v>
      </c>
      <c r="B63" s="21">
        <v>0</v>
      </c>
      <c r="C63" s="22">
        <v>0</v>
      </c>
      <c r="E63" s="21">
        <v>2167</v>
      </c>
      <c r="F63" s="22">
        <v>0.44661995053586151</v>
      </c>
      <c r="H63" s="23">
        <v>2167</v>
      </c>
      <c r="I63" s="24">
        <v>0.44661995053586151</v>
      </c>
    </row>
    <row r="64" spans="1:9" x14ac:dyDescent="0.25">
      <c r="A64" s="20" t="s">
        <v>35</v>
      </c>
      <c r="B64" s="21">
        <v>0</v>
      </c>
      <c r="C64" s="22">
        <v>0</v>
      </c>
      <c r="E64" s="21">
        <v>81935</v>
      </c>
      <c r="F64" s="22">
        <v>8.4696005069252567E-2</v>
      </c>
      <c r="H64" s="23">
        <v>81935</v>
      </c>
      <c r="I64" s="24">
        <v>8.4696005069252567E-2</v>
      </c>
    </row>
    <row r="65" spans="1:9" x14ac:dyDescent="0.25">
      <c r="A65" s="20" t="s">
        <v>85</v>
      </c>
      <c r="B65" s="21">
        <v>0</v>
      </c>
      <c r="C65" s="22">
        <v>0</v>
      </c>
      <c r="E65" s="21">
        <v>99</v>
      </c>
      <c r="F65" s="22">
        <v>2.4093453394986614E-2</v>
      </c>
      <c r="H65" s="23">
        <v>99</v>
      </c>
      <c r="I65" s="24">
        <v>2.4093453394986614E-2</v>
      </c>
    </row>
    <row r="66" spans="1:9" x14ac:dyDescent="0.25">
      <c r="A66" s="20" t="s">
        <v>41</v>
      </c>
      <c r="B66" s="21">
        <v>1</v>
      </c>
      <c r="C66" s="22">
        <v>2.1052631578947368E-3</v>
      </c>
      <c r="E66" s="21">
        <v>0</v>
      </c>
      <c r="F66" s="22">
        <v>0</v>
      </c>
      <c r="H66" s="23">
        <v>1</v>
      </c>
      <c r="I66" s="24">
        <v>2.1052631578947368E-3</v>
      </c>
    </row>
    <row r="67" spans="1:9" x14ac:dyDescent="0.25">
      <c r="A67" s="20" t="s">
        <v>42</v>
      </c>
      <c r="B67" s="21">
        <v>0</v>
      </c>
      <c r="C67" s="22">
        <v>0</v>
      </c>
      <c r="E67" s="21">
        <v>80</v>
      </c>
      <c r="F67" s="22">
        <v>0.10695187165775401</v>
      </c>
      <c r="H67" s="23">
        <v>80</v>
      </c>
      <c r="I67" s="24">
        <v>0.10695187165775401</v>
      </c>
    </row>
    <row r="68" spans="1:9" x14ac:dyDescent="0.25">
      <c r="A68" s="20" t="s">
        <v>44</v>
      </c>
      <c r="B68" s="21">
        <v>0</v>
      </c>
      <c r="C68" s="22">
        <v>0</v>
      </c>
      <c r="E68" s="21">
        <v>970</v>
      </c>
      <c r="F68" s="22">
        <v>0.43284248103525214</v>
      </c>
      <c r="H68" s="23">
        <v>970</v>
      </c>
      <c r="I68" s="24">
        <v>0.43284248103525214</v>
      </c>
    </row>
    <row r="69" spans="1:9" x14ac:dyDescent="0.25">
      <c r="A69" s="20" t="s">
        <v>45</v>
      </c>
      <c r="B69" s="21">
        <v>0</v>
      </c>
      <c r="C69" s="22">
        <v>0</v>
      </c>
      <c r="E69" s="21">
        <v>1365</v>
      </c>
      <c r="F69" s="22">
        <v>7.2629562626370117E-2</v>
      </c>
      <c r="H69" s="23">
        <v>1365</v>
      </c>
      <c r="I69" s="24">
        <v>7.2629562626370117E-2</v>
      </c>
    </row>
    <row r="70" spans="1:9" x14ac:dyDescent="0.25">
      <c r="A70" s="20" t="s">
        <v>46</v>
      </c>
      <c r="B70" s="21">
        <v>0</v>
      </c>
      <c r="C70" s="22">
        <v>0</v>
      </c>
      <c r="E70" s="21">
        <v>378</v>
      </c>
      <c r="F70" s="22">
        <v>5.5474024068095096E-2</v>
      </c>
      <c r="H70" s="23">
        <v>378</v>
      </c>
      <c r="I70" s="24">
        <v>5.5474024068095096E-2</v>
      </c>
    </row>
    <row r="71" spans="1:9" x14ac:dyDescent="0.25">
      <c r="A71" s="20" t="s">
        <v>48</v>
      </c>
      <c r="B71" s="21">
        <v>0</v>
      </c>
      <c r="C71" s="22">
        <v>0</v>
      </c>
      <c r="E71" s="21">
        <v>153643</v>
      </c>
      <c r="F71" s="22">
        <v>0.13467544500144193</v>
      </c>
      <c r="H71" s="23">
        <v>153643</v>
      </c>
      <c r="I71" s="24">
        <v>0.13467544500144193</v>
      </c>
    </row>
    <row r="72" spans="1:9" x14ac:dyDescent="0.25">
      <c r="A72" s="20" t="s">
        <v>49</v>
      </c>
      <c r="B72" s="21">
        <v>0</v>
      </c>
      <c r="C72" s="22">
        <v>0</v>
      </c>
      <c r="E72" s="21">
        <v>151</v>
      </c>
      <c r="F72" s="22">
        <v>0.363855421686747</v>
      </c>
      <c r="H72" s="23">
        <v>151</v>
      </c>
      <c r="I72" s="24">
        <v>0.363855421686747</v>
      </c>
    </row>
    <row r="73" spans="1:9" x14ac:dyDescent="0.25">
      <c r="A73" s="20" t="s">
        <v>50</v>
      </c>
      <c r="B73" s="21">
        <v>299</v>
      </c>
      <c r="C73" s="22">
        <v>0.26672613737734163</v>
      </c>
      <c r="E73" s="21">
        <v>0</v>
      </c>
      <c r="F73" s="22">
        <v>0</v>
      </c>
      <c r="H73" s="23">
        <v>299</v>
      </c>
      <c r="I73" s="24">
        <v>0.26672613737734163</v>
      </c>
    </row>
    <row r="74" spans="1:9" x14ac:dyDescent="0.25">
      <c r="A74" s="20" t="s">
        <v>139</v>
      </c>
      <c r="B74" s="21">
        <v>0</v>
      </c>
      <c r="C74" s="22">
        <v>0</v>
      </c>
      <c r="E74" s="21">
        <v>2752</v>
      </c>
      <c r="F74" s="22">
        <v>0.1265054702583433</v>
      </c>
      <c r="H74" s="23">
        <v>2752</v>
      </c>
      <c r="I74" s="24">
        <v>0.1265054702583433</v>
      </c>
    </row>
    <row r="75" spans="1:9" x14ac:dyDescent="0.25">
      <c r="A75" s="20" t="s">
        <v>53</v>
      </c>
      <c r="B75" s="21">
        <v>0</v>
      </c>
      <c r="C75" s="22">
        <v>0</v>
      </c>
      <c r="E75" s="21">
        <v>7742</v>
      </c>
      <c r="F75" s="22">
        <v>0.24284818067754077</v>
      </c>
      <c r="H75" s="23">
        <v>7742</v>
      </c>
      <c r="I75" s="24">
        <v>0.24284818067754077</v>
      </c>
    </row>
    <row r="76" spans="1:9" x14ac:dyDescent="0.25">
      <c r="A76" s="20" t="s">
        <v>54</v>
      </c>
      <c r="B76" s="21">
        <v>0</v>
      </c>
      <c r="C76" s="22">
        <v>0</v>
      </c>
      <c r="E76" s="21">
        <v>337</v>
      </c>
      <c r="F76" s="22">
        <v>4.906814210832848E-2</v>
      </c>
      <c r="H76" s="23">
        <v>337</v>
      </c>
      <c r="I76" s="24">
        <v>4.906814210832848E-2</v>
      </c>
    </row>
    <row r="77" spans="1:9" x14ac:dyDescent="0.25">
      <c r="A77" s="20" t="s">
        <v>56</v>
      </c>
      <c r="B77" s="21">
        <v>0</v>
      </c>
      <c r="C77" s="22">
        <v>0</v>
      </c>
      <c r="E77" s="21">
        <v>15</v>
      </c>
      <c r="F77" s="22">
        <v>8.6705202312138727E-2</v>
      </c>
      <c r="H77" s="23">
        <v>15</v>
      </c>
      <c r="I77" s="24">
        <v>8.6705202312138727E-2</v>
      </c>
    </row>
    <row r="78" spans="1:9" x14ac:dyDescent="0.25">
      <c r="A78" s="20" t="s">
        <v>57</v>
      </c>
      <c r="B78" s="21">
        <v>0</v>
      </c>
      <c r="C78" s="22">
        <v>0</v>
      </c>
      <c r="E78" s="21">
        <v>35153</v>
      </c>
      <c r="F78" s="22">
        <v>0.15534353843706361</v>
      </c>
      <c r="H78" s="23">
        <v>35153</v>
      </c>
      <c r="I78" s="24">
        <v>0.15534353843706361</v>
      </c>
    </row>
    <row r="79" spans="1:9" x14ac:dyDescent="0.25">
      <c r="A79" s="20" t="s">
        <v>58</v>
      </c>
      <c r="B79" s="21">
        <v>0</v>
      </c>
      <c r="C79" s="22">
        <v>0</v>
      </c>
      <c r="E79" s="21">
        <v>976</v>
      </c>
      <c r="F79" s="22">
        <v>0.80197206244864416</v>
      </c>
      <c r="H79" s="23">
        <v>976</v>
      </c>
      <c r="I79" s="24">
        <v>0.80197206244864416</v>
      </c>
    </row>
    <row r="80" spans="1:9" x14ac:dyDescent="0.25">
      <c r="A80" s="20" t="s">
        <v>60</v>
      </c>
      <c r="B80" s="21">
        <v>0</v>
      </c>
      <c r="C80" s="22">
        <v>0</v>
      </c>
      <c r="E80" s="21">
        <v>1766</v>
      </c>
      <c r="F80" s="22">
        <v>5.2950347805229073E-2</v>
      </c>
      <c r="H80" s="23">
        <v>1766</v>
      </c>
      <c r="I80" s="24">
        <v>5.2950347805229073E-2</v>
      </c>
    </row>
    <row r="81" spans="1:9" x14ac:dyDescent="0.25">
      <c r="A81" s="20" t="s">
        <v>61</v>
      </c>
      <c r="B81" s="21">
        <v>391</v>
      </c>
      <c r="C81" s="22">
        <v>7.1874999999999994E-2</v>
      </c>
      <c r="E81" s="21">
        <v>0</v>
      </c>
      <c r="F81" s="22">
        <v>0</v>
      </c>
      <c r="H81" s="23">
        <v>391</v>
      </c>
      <c r="I81" s="24">
        <v>7.1874999999999994E-2</v>
      </c>
    </row>
    <row r="82" spans="1:9" x14ac:dyDescent="0.25">
      <c r="A82" s="20" t="s">
        <v>63</v>
      </c>
      <c r="B82" s="21">
        <v>0</v>
      </c>
      <c r="C82" s="22">
        <v>0</v>
      </c>
      <c r="E82" s="21">
        <v>12</v>
      </c>
      <c r="F82" s="22">
        <v>7.1428571428571425E-2</v>
      </c>
      <c r="H82" s="23">
        <v>12</v>
      </c>
      <c r="I82" s="24">
        <v>7.1428571428571425E-2</v>
      </c>
    </row>
    <row r="83" spans="1:9" x14ac:dyDescent="0.25">
      <c r="A83" s="31" t="s">
        <v>72</v>
      </c>
      <c r="B83" s="29">
        <v>1988</v>
      </c>
      <c r="C83" s="24">
        <v>5.617409221480204E-4</v>
      </c>
      <c r="E83" s="29">
        <v>388089</v>
      </c>
      <c r="F83" s="24">
        <v>0.10966070057117862</v>
      </c>
      <c r="H83" s="23">
        <v>390077</v>
      </c>
      <c r="I83" s="24">
        <v>0.11022244149332665</v>
      </c>
    </row>
    <row r="84" spans="1:9" x14ac:dyDescent="0.25">
      <c r="A84" s="20"/>
      <c r="B84" s="21"/>
      <c r="C84" s="21"/>
      <c r="E84" s="21"/>
      <c r="F84" s="21"/>
    </row>
    <row r="85" spans="1:9" x14ac:dyDescent="0.25">
      <c r="A85" s="30" t="s">
        <v>73</v>
      </c>
      <c r="B85" s="27"/>
      <c r="C85" s="27"/>
      <c r="E85" s="27"/>
      <c r="F85" s="27"/>
    </row>
    <row r="86" spans="1:9" x14ac:dyDescent="0.25">
      <c r="A86" s="20" t="s">
        <v>22</v>
      </c>
      <c r="B86" s="21">
        <v>211</v>
      </c>
      <c r="C86" s="22">
        <v>4.3017329255861367E-2</v>
      </c>
      <c r="E86" s="21">
        <v>580</v>
      </c>
      <c r="F86" s="22">
        <v>0.11824668705402651</v>
      </c>
      <c r="H86" s="23">
        <v>791</v>
      </c>
      <c r="I86" s="24">
        <v>0.16126401630988788</v>
      </c>
    </row>
    <row r="87" spans="1:9" x14ac:dyDescent="0.25">
      <c r="A87" s="20" t="s">
        <v>24</v>
      </c>
      <c r="B87" s="21">
        <v>42714</v>
      </c>
      <c r="C87" s="22">
        <v>0.11858214466166582</v>
      </c>
      <c r="E87" s="21">
        <v>47812</v>
      </c>
      <c r="F87" s="22">
        <v>0.13273515710454573</v>
      </c>
      <c r="H87" s="23">
        <v>90526</v>
      </c>
      <c r="I87" s="24">
        <v>0.25131730176621153</v>
      </c>
    </row>
    <row r="88" spans="1:9" x14ac:dyDescent="0.25">
      <c r="A88" s="20" t="s">
        <v>25</v>
      </c>
      <c r="B88" s="21">
        <v>15623</v>
      </c>
      <c r="C88" s="22">
        <v>8.7876793619187432E-2</v>
      </c>
      <c r="E88" s="21">
        <v>34290</v>
      </c>
      <c r="F88" s="22">
        <v>0.19287558427971177</v>
      </c>
      <c r="H88" s="23">
        <v>49913</v>
      </c>
      <c r="I88" s="24">
        <v>0.28075237789889923</v>
      </c>
    </row>
    <row r="89" spans="1:9" x14ac:dyDescent="0.25">
      <c r="A89" s="20" t="s">
        <v>26</v>
      </c>
      <c r="B89" s="21">
        <v>2429</v>
      </c>
      <c r="C89" s="22">
        <v>5.958835218212595E-2</v>
      </c>
      <c r="E89" s="21">
        <v>10613</v>
      </c>
      <c r="F89" s="22">
        <v>0.2603586585874445</v>
      </c>
      <c r="H89" s="23">
        <v>13042</v>
      </c>
      <c r="I89" s="24">
        <v>0.31994701076957044</v>
      </c>
    </row>
    <row r="90" spans="1:9" x14ac:dyDescent="0.25">
      <c r="A90" s="20" t="s">
        <v>31</v>
      </c>
      <c r="B90" s="21">
        <v>658</v>
      </c>
      <c r="C90" s="22">
        <v>0.12739593417231365</v>
      </c>
      <c r="E90" s="21">
        <v>2751</v>
      </c>
      <c r="F90" s="22">
        <v>0.53262342691190712</v>
      </c>
      <c r="H90" s="23">
        <v>3409</v>
      </c>
      <c r="I90" s="24">
        <v>0.66001936108422077</v>
      </c>
    </row>
    <row r="91" spans="1:9" x14ac:dyDescent="0.25">
      <c r="A91" s="20" t="s">
        <v>32</v>
      </c>
      <c r="B91" s="21">
        <v>0</v>
      </c>
      <c r="C91" s="22">
        <v>0</v>
      </c>
      <c r="E91" s="21">
        <v>2</v>
      </c>
      <c r="F91" s="22">
        <v>1</v>
      </c>
      <c r="H91" s="23">
        <v>2</v>
      </c>
      <c r="I91" s="24">
        <v>1</v>
      </c>
    </row>
    <row r="92" spans="1:9" x14ac:dyDescent="0.25">
      <c r="A92" s="20" t="s">
        <v>33</v>
      </c>
      <c r="B92" s="21">
        <v>354</v>
      </c>
      <c r="C92" s="22">
        <v>3.1396895787139688E-2</v>
      </c>
      <c r="E92" s="21">
        <v>1332</v>
      </c>
      <c r="F92" s="22">
        <v>0.11813747228381374</v>
      </c>
      <c r="H92" s="23">
        <v>1686</v>
      </c>
      <c r="I92" s="24">
        <v>0.14953436807095344</v>
      </c>
    </row>
    <row r="93" spans="1:9" x14ac:dyDescent="0.25">
      <c r="A93" s="20" t="s">
        <v>34</v>
      </c>
      <c r="B93" s="21">
        <v>181</v>
      </c>
      <c r="C93" s="22">
        <v>0.10301650540694365</v>
      </c>
      <c r="E93" s="21">
        <v>989</v>
      </c>
      <c r="F93" s="22">
        <v>0.56289129197495735</v>
      </c>
      <c r="H93" s="23">
        <v>1170</v>
      </c>
      <c r="I93" s="24">
        <v>0.66590779738190098</v>
      </c>
    </row>
    <row r="94" spans="1:9" x14ac:dyDescent="0.25">
      <c r="A94" s="20" t="s">
        <v>35</v>
      </c>
      <c r="B94" s="21">
        <v>7896</v>
      </c>
      <c r="C94" s="22">
        <v>7.2373968835930336E-2</v>
      </c>
      <c r="E94" s="21">
        <v>20869</v>
      </c>
      <c r="F94" s="22">
        <v>0.19128322639780018</v>
      </c>
      <c r="H94" s="23">
        <v>28765</v>
      </c>
      <c r="I94" s="24">
        <v>0.26365719523373055</v>
      </c>
    </row>
    <row r="95" spans="1:9" x14ac:dyDescent="0.25">
      <c r="A95" s="20" t="s">
        <v>37</v>
      </c>
      <c r="B95" s="21">
        <v>147738</v>
      </c>
      <c r="C95" s="22">
        <v>0.20898267035769705</v>
      </c>
      <c r="E95" s="21">
        <v>0</v>
      </c>
      <c r="F95" s="22">
        <v>0</v>
      </c>
      <c r="H95" s="23">
        <v>147738</v>
      </c>
      <c r="I95" s="24">
        <v>0.20898267035769705</v>
      </c>
    </row>
    <row r="96" spans="1:9" x14ac:dyDescent="0.25">
      <c r="A96" s="20" t="s">
        <v>85</v>
      </c>
      <c r="B96" s="21">
        <v>10</v>
      </c>
      <c r="C96" s="22">
        <v>1.0101010101010102E-2</v>
      </c>
      <c r="E96" s="21">
        <v>41</v>
      </c>
      <c r="F96" s="22">
        <v>4.1414141414141417E-2</v>
      </c>
      <c r="H96" s="23">
        <v>51</v>
      </c>
      <c r="I96" s="24">
        <v>5.1515151515151521E-2</v>
      </c>
    </row>
    <row r="97" spans="1:9" x14ac:dyDescent="0.25">
      <c r="A97" s="20" t="s">
        <v>41</v>
      </c>
      <c r="B97" s="21">
        <v>197</v>
      </c>
      <c r="C97" s="22">
        <v>1.0415565189806493E-2</v>
      </c>
      <c r="E97" s="21">
        <v>66</v>
      </c>
      <c r="F97" s="22">
        <v>3.4894786930316168E-3</v>
      </c>
      <c r="H97" s="23">
        <v>263</v>
      </c>
      <c r="I97" s="24">
        <v>1.3905043882838109E-2</v>
      </c>
    </row>
    <row r="98" spans="1:9" x14ac:dyDescent="0.25">
      <c r="A98" s="20" t="s">
        <v>42</v>
      </c>
      <c r="B98" s="21">
        <v>42</v>
      </c>
      <c r="C98" s="22">
        <v>5.7534246575342465E-2</v>
      </c>
      <c r="E98" s="21">
        <v>85</v>
      </c>
      <c r="F98" s="22">
        <v>0.11643835616438356</v>
      </c>
      <c r="H98" s="23">
        <v>127</v>
      </c>
      <c r="I98" s="24">
        <v>0.17397260273972603</v>
      </c>
    </row>
    <row r="99" spans="1:9" x14ac:dyDescent="0.25">
      <c r="A99" s="20" t="s">
        <v>44</v>
      </c>
      <c r="B99" s="21">
        <v>49</v>
      </c>
      <c r="C99" s="22">
        <v>8.8768115942028991E-2</v>
      </c>
      <c r="E99" s="21">
        <v>186</v>
      </c>
      <c r="F99" s="22">
        <v>0.33695652173913043</v>
      </c>
      <c r="H99" s="23">
        <v>235</v>
      </c>
      <c r="I99" s="24">
        <v>0.42572463768115942</v>
      </c>
    </row>
    <row r="100" spans="1:9" x14ac:dyDescent="0.25">
      <c r="A100" s="20" t="s">
        <v>45</v>
      </c>
      <c r="B100" s="21">
        <v>0</v>
      </c>
      <c r="C100" s="22">
        <v>0</v>
      </c>
      <c r="E100" s="21">
        <v>6</v>
      </c>
      <c r="F100" s="22">
        <v>1.2295081967213115E-2</v>
      </c>
      <c r="H100" s="23">
        <v>6</v>
      </c>
      <c r="I100" s="24">
        <v>1.2295081967213115E-2</v>
      </c>
    </row>
    <row r="101" spans="1:9" x14ac:dyDescent="0.25">
      <c r="A101" s="20" t="s">
        <v>46</v>
      </c>
      <c r="B101" s="21">
        <v>0</v>
      </c>
      <c r="C101" s="22">
        <v>0</v>
      </c>
      <c r="E101" s="21">
        <v>57</v>
      </c>
      <c r="F101" s="22">
        <v>7.4607329842931933E-2</v>
      </c>
      <c r="H101" s="23">
        <v>57</v>
      </c>
      <c r="I101" s="24">
        <v>7.4607329842931933E-2</v>
      </c>
    </row>
    <row r="102" spans="1:9" x14ac:dyDescent="0.25">
      <c r="A102" s="20" t="s">
        <v>47</v>
      </c>
      <c r="B102" s="21">
        <v>29</v>
      </c>
      <c r="C102" s="22">
        <v>2.8431372549019607E-2</v>
      </c>
      <c r="E102" s="21">
        <v>0</v>
      </c>
      <c r="F102" s="22">
        <v>0</v>
      </c>
      <c r="H102" s="23">
        <v>29</v>
      </c>
      <c r="I102" s="24">
        <v>2.8431372549019607E-2</v>
      </c>
    </row>
    <row r="103" spans="1:9" x14ac:dyDescent="0.25">
      <c r="A103" s="20" t="s">
        <v>48</v>
      </c>
      <c r="B103" s="21">
        <v>71428</v>
      </c>
      <c r="C103" s="22">
        <v>0.12405626542496931</v>
      </c>
      <c r="E103" s="21">
        <v>74569</v>
      </c>
      <c r="F103" s="22">
        <v>0.12951155928311778</v>
      </c>
      <c r="H103" s="23">
        <v>145997</v>
      </c>
      <c r="I103" s="24">
        <v>0.25356782470808709</v>
      </c>
    </row>
    <row r="104" spans="1:9" x14ac:dyDescent="0.25">
      <c r="A104" s="20" t="s">
        <v>49</v>
      </c>
      <c r="B104" s="21">
        <v>0</v>
      </c>
      <c r="C104" s="22">
        <v>0</v>
      </c>
      <c r="E104" s="21">
        <v>15</v>
      </c>
      <c r="F104" s="22">
        <v>0.13513513513513514</v>
      </c>
      <c r="H104" s="23">
        <v>15</v>
      </c>
      <c r="I104" s="24">
        <v>0.13513513513513514</v>
      </c>
    </row>
    <row r="105" spans="1:9" x14ac:dyDescent="0.25">
      <c r="A105" s="20" t="s">
        <v>139</v>
      </c>
      <c r="B105" s="21">
        <v>831</v>
      </c>
      <c r="C105" s="22">
        <v>5.7873110940873322E-2</v>
      </c>
      <c r="E105" s="21">
        <v>1209</v>
      </c>
      <c r="F105" s="22">
        <v>8.4198063932028694E-2</v>
      </c>
      <c r="H105" s="23">
        <v>2040</v>
      </c>
      <c r="I105" s="24">
        <v>0.14207117487290202</v>
      </c>
    </row>
    <row r="106" spans="1:9" x14ac:dyDescent="0.25">
      <c r="A106" s="20" t="s">
        <v>53</v>
      </c>
      <c r="B106" s="21">
        <v>584</v>
      </c>
      <c r="C106" s="22">
        <v>7.1947763952199095E-2</v>
      </c>
      <c r="E106" s="21">
        <v>1827</v>
      </c>
      <c r="F106" s="22">
        <v>0.22508315880251326</v>
      </c>
      <c r="H106" s="23">
        <v>2411</v>
      </c>
      <c r="I106" s="24">
        <v>0.29703092275471238</v>
      </c>
    </row>
    <row r="107" spans="1:9" x14ac:dyDescent="0.25">
      <c r="A107" s="20" t="s">
        <v>54</v>
      </c>
      <c r="B107" s="21">
        <v>328</v>
      </c>
      <c r="C107" s="22">
        <v>5.6145155768572409E-2</v>
      </c>
      <c r="E107" s="21">
        <v>625</v>
      </c>
      <c r="F107" s="22">
        <v>0.10698390961999316</v>
      </c>
      <c r="H107" s="23">
        <v>953</v>
      </c>
      <c r="I107" s="24">
        <v>0.16312906538856556</v>
      </c>
    </row>
    <row r="108" spans="1:9" x14ac:dyDescent="0.25">
      <c r="A108" s="20" t="s">
        <v>56</v>
      </c>
      <c r="B108" s="21">
        <v>3</v>
      </c>
      <c r="C108" s="22">
        <v>1.3392857142857142E-2</v>
      </c>
      <c r="E108" s="21">
        <v>20</v>
      </c>
      <c r="F108" s="22">
        <v>8.9285714285714288E-2</v>
      </c>
      <c r="H108" s="23">
        <v>23</v>
      </c>
      <c r="I108" s="24">
        <v>0.10267857142857142</v>
      </c>
    </row>
    <row r="109" spans="1:9" x14ac:dyDescent="0.25">
      <c r="A109" s="20" t="s">
        <v>57</v>
      </c>
      <c r="B109" s="21">
        <v>4936</v>
      </c>
      <c r="C109" s="22">
        <v>0.10257262790407713</v>
      </c>
      <c r="E109" s="21">
        <v>5580</v>
      </c>
      <c r="F109" s="22">
        <v>0.11595528032916337</v>
      </c>
      <c r="H109" s="23">
        <v>10516</v>
      </c>
      <c r="I109" s="24">
        <v>0.2185279082332405</v>
      </c>
    </row>
    <row r="110" spans="1:9" x14ac:dyDescent="0.25">
      <c r="A110" s="20" t="s">
        <v>58</v>
      </c>
      <c r="B110" s="21">
        <v>526</v>
      </c>
      <c r="C110" s="22">
        <v>0.56988082340195012</v>
      </c>
      <c r="E110" s="21">
        <v>140</v>
      </c>
      <c r="F110" s="22">
        <v>0.15167930660888407</v>
      </c>
      <c r="H110" s="23">
        <v>666</v>
      </c>
      <c r="I110" s="24">
        <v>0.72156013001083419</v>
      </c>
    </row>
    <row r="111" spans="1:9" x14ac:dyDescent="0.25">
      <c r="A111" s="20" t="s">
        <v>60</v>
      </c>
      <c r="B111" s="21">
        <v>599</v>
      </c>
      <c r="C111" s="22">
        <v>3.9232381451401621E-2</v>
      </c>
      <c r="E111" s="21">
        <v>2158</v>
      </c>
      <c r="F111" s="22">
        <v>0.14134136756615143</v>
      </c>
      <c r="H111" s="23">
        <v>2757</v>
      </c>
      <c r="I111" s="24">
        <v>0.18057374901755302</v>
      </c>
    </row>
    <row r="112" spans="1:9" x14ac:dyDescent="0.25">
      <c r="A112" s="20" t="s">
        <v>62</v>
      </c>
      <c r="B112" s="21">
        <v>9513</v>
      </c>
      <c r="C112" s="22">
        <v>0.10890794399477956</v>
      </c>
      <c r="E112" s="21">
        <v>6576</v>
      </c>
      <c r="F112" s="22">
        <v>7.528420474189744E-2</v>
      </c>
      <c r="H112" s="23">
        <v>16089</v>
      </c>
      <c r="I112" s="24">
        <v>0.184192148736677</v>
      </c>
    </row>
    <row r="113" spans="1:9" x14ac:dyDescent="0.25">
      <c r="A113" s="20" t="s">
        <v>63</v>
      </c>
      <c r="B113" s="21">
        <v>0</v>
      </c>
      <c r="C113" s="22">
        <v>0</v>
      </c>
      <c r="E113" s="21">
        <v>5</v>
      </c>
      <c r="F113" s="22">
        <v>7.9365079365079361E-2</v>
      </c>
      <c r="H113" s="23">
        <v>5</v>
      </c>
      <c r="I113" s="24">
        <v>7.9365079365079361E-2</v>
      </c>
    </row>
    <row r="114" spans="1:9" x14ac:dyDescent="0.25">
      <c r="A114" s="31" t="s">
        <v>74</v>
      </c>
      <c r="B114" s="29">
        <v>306879</v>
      </c>
      <c r="C114" s="24">
        <v>0.13843751141883123</v>
      </c>
      <c r="E114" s="29">
        <v>212403</v>
      </c>
      <c r="F114" s="24">
        <v>9.5818034918955061E-2</v>
      </c>
      <c r="H114" s="23">
        <v>519282</v>
      </c>
      <c r="I114" s="24">
        <v>0.23425554633778628</v>
      </c>
    </row>
    <row r="115" spans="1:9" x14ac:dyDescent="0.25">
      <c r="A115" s="20"/>
      <c r="B115" s="21"/>
      <c r="C115" s="21"/>
      <c r="E115" s="21"/>
      <c r="F115" s="21"/>
    </row>
    <row r="116" spans="1:9" x14ac:dyDescent="0.25">
      <c r="A116" s="30" t="s">
        <v>75</v>
      </c>
      <c r="B116" s="27"/>
      <c r="C116" s="27"/>
      <c r="E116" s="27"/>
      <c r="F116" s="27"/>
    </row>
    <row r="117" spans="1:9" x14ac:dyDescent="0.25">
      <c r="A117" s="20" t="s">
        <v>24</v>
      </c>
      <c r="B117" s="21">
        <v>37704</v>
      </c>
      <c r="C117" s="22">
        <v>0.11139671340695964</v>
      </c>
      <c r="E117" s="21">
        <v>48347</v>
      </c>
      <c r="F117" s="22">
        <v>0.14284152617988216</v>
      </c>
      <c r="H117" s="23">
        <v>86051</v>
      </c>
      <c r="I117" s="24">
        <v>0.25423823958684183</v>
      </c>
    </row>
    <row r="118" spans="1:9" x14ac:dyDescent="0.25">
      <c r="A118" s="20" t="s">
        <v>25</v>
      </c>
      <c r="B118" s="21">
        <v>1678</v>
      </c>
      <c r="C118" s="22">
        <v>2.8387271404645496E-2</v>
      </c>
      <c r="E118" s="21">
        <v>4836</v>
      </c>
      <c r="F118" s="22">
        <v>8.1812183857488452E-2</v>
      </c>
      <c r="H118" s="23">
        <v>6514</v>
      </c>
      <c r="I118" s="24">
        <v>0.11019945526213396</v>
      </c>
    </row>
    <row r="119" spans="1:9" x14ac:dyDescent="0.25">
      <c r="A119" s="20" t="s">
        <v>26</v>
      </c>
      <c r="B119" s="21">
        <v>470</v>
      </c>
      <c r="C119" s="22">
        <v>7.2207712398217855E-2</v>
      </c>
      <c r="E119" s="21">
        <v>2192</v>
      </c>
      <c r="F119" s="22">
        <v>0.3367644799508373</v>
      </c>
      <c r="H119" s="23">
        <v>2662</v>
      </c>
      <c r="I119" s="24">
        <v>0.40897219234905513</v>
      </c>
    </row>
    <row r="120" spans="1:9" x14ac:dyDescent="0.25">
      <c r="A120" s="20" t="s">
        <v>29</v>
      </c>
      <c r="B120" s="21">
        <v>0</v>
      </c>
      <c r="C120" s="22">
        <v>0</v>
      </c>
      <c r="E120" s="21">
        <v>14</v>
      </c>
      <c r="F120" s="22">
        <v>0.1037037037037037</v>
      </c>
      <c r="H120" s="23">
        <v>14</v>
      </c>
      <c r="I120" s="24">
        <v>0.1037037037037037</v>
      </c>
    </row>
    <row r="121" spans="1:9" x14ac:dyDescent="0.25">
      <c r="A121" s="20" t="s">
        <v>31</v>
      </c>
      <c r="B121" s="21">
        <v>360</v>
      </c>
      <c r="C121" s="22">
        <v>0.1702127659574468</v>
      </c>
      <c r="E121" s="21">
        <v>865</v>
      </c>
      <c r="F121" s="22">
        <v>0.40898345153664301</v>
      </c>
      <c r="H121" s="23">
        <v>1225</v>
      </c>
      <c r="I121" s="24">
        <v>0.57919621749408978</v>
      </c>
    </row>
    <row r="122" spans="1:9" x14ac:dyDescent="0.25">
      <c r="A122" s="20" t="s">
        <v>33</v>
      </c>
      <c r="B122" s="21">
        <v>399</v>
      </c>
      <c r="C122" s="22">
        <v>7.1428571428571425E-2</v>
      </c>
      <c r="E122" s="21">
        <v>639</v>
      </c>
      <c r="F122" s="22">
        <v>0.11439312567132116</v>
      </c>
      <c r="H122" s="23">
        <v>1038</v>
      </c>
      <c r="I122" s="24">
        <v>0.1858216970998926</v>
      </c>
    </row>
    <row r="123" spans="1:9" x14ac:dyDescent="0.25">
      <c r="A123" s="20" t="s">
        <v>34</v>
      </c>
      <c r="B123" s="21">
        <v>18</v>
      </c>
      <c r="C123" s="22">
        <v>1.4162077104642014E-2</v>
      </c>
      <c r="E123" s="21">
        <v>128</v>
      </c>
      <c r="F123" s="22">
        <v>0.1007081038552321</v>
      </c>
      <c r="H123" s="23">
        <v>146</v>
      </c>
      <c r="I123" s="24">
        <v>0.11487018095987411</v>
      </c>
    </row>
    <row r="124" spans="1:9" x14ac:dyDescent="0.25">
      <c r="A124" s="20" t="s">
        <v>35</v>
      </c>
      <c r="B124" s="21">
        <v>8246</v>
      </c>
      <c r="C124" s="22">
        <v>0.12193715341959334</v>
      </c>
      <c r="E124" s="21">
        <v>10415</v>
      </c>
      <c r="F124" s="22">
        <v>0.15401109057301293</v>
      </c>
      <c r="H124" s="23">
        <v>18661</v>
      </c>
      <c r="I124" s="24">
        <v>0.27594824399260626</v>
      </c>
    </row>
    <row r="125" spans="1:9" x14ac:dyDescent="0.25">
      <c r="A125" s="20" t="s">
        <v>85</v>
      </c>
      <c r="B125" s="21">
        <v>0</v>
      </c>
      <c r="C125" s="22">
        <v>0</v>
      </c>
      <c r="E125" s="21">
        <v>6</v>
      </c>
      <c r="F125" s="22">
        <v>5.128205128205128E-2</v>
      </c>
      <c r="H125" s="23">
        <v>6</v>
      </c>
      <c r="I125" s="24">
        <v>5.128205128205128E-2</v>
      </c>
    </row>
    <row r="126" spans="1:9" x14ac:dyDescent="0.25">
      <c r="A126" s="20" t="s">
        <v>42</v>
      </c>
      <c r="B126" s="21">
        <v>5581</v>
      </c>
      <c r="C126" s="22">
        <v>0.14536504050217489</v>
      </c>
      <c r="E126" s="21">
        <v>6746</v>
      </c>
      <c r="F126" s="22">
        <v>0.1757091136405074</v>
      </c>
      <c r="H126" s="23">
        <v>12327</v>
      </c>
      <c r="I126" s="24">
        <v>0.32107415414268226</v>
      </c>
    </row>
    <row r="127" spans="1:9" x14ac:dyDescent="0.25">
      <c r="A127" s="20" t="s">
        <v>45</v>
      </c>
      <c r="B127" s="21">
        <v>543</v>
      </c>
      <c r="C127" s="22">
        <v>8.0301685891748006E-2</v>
      </c>
      <c r="E127" s="21">
        <v>846</v>
      </c>
      <c r="F127" s="22">
        <v>0.12511091393078971</v>
      </c>
      <c r="H127" s="23">
        <v>1389</v>
      </c>
      <c r="I127" s="24">
        <v>0.20541259982253771</v>
      </c>
    </row>
    <row r="128" spans="1:9" x14ac:dyDescent="0.25">
      <c r="A128" s="20" t="s">
        <v>46</v>
      </c>
      <c r="B128" s="21">
        <v>0</v>
      </c>
      <c r="C128" s="22">
        <v>0</v>
      </c>
      <c r="E128" s="21">
        <v>26</v>
      </c>
      <c r="F128" s="22">
        <v>9.5940959409594101E-2</v>
      </c>
      <c r="H128" s="23">
        <v>26</v>
      </c>
      <c r="I128" s="24">
        <v>9.5940959409594101E-2</v>
      </c>
    </row>
    <row r="129" spans="1:9" x14ac:dyDescent="0.25">
      <c r="A129" s="20" t="s">
        <v>48</v>
      </c>
      <c r="B129" s="21">
        <v>22473</v>
      </c>
      <c r="C129" s="22">
        <v>9.9130135596509961E-2</v>
      </c>
      <c r="E129" s="21">
        <v>34455</v>
      </c>
      <c r="F129" s="22">
        <v>0.15198366137043343</v>
      </c>
      <c r="H129" s="23">
        <v>56928</v>
      </c>
      <c r="I129" s="24">
        <v>0.25111379696694341</v>
      </c>
    </row>
    <row r="130" spans="1:9" x14ac:dyDescent="0.25">
      <c r="A130" s="20" t="s">
        <v>49</v>
      </c>
      <c r="B130" s="21">
        <v>0</v>
      </c>
      <c r="C130" s="22">
        <v>0</v>
      </c>
      <c r="E130" s="21">
        <v>5</v>
      </c>
      <c r="F130" s="22">
        <v>0.35714285714285715</v>
      </c>
      <c r="H130" s="23">
        <v>5</v>
      </c>
      <c r="I130" s="24">
        <v>0.35714285714285715</v>
      </c>
    </row>
    <row r="131" spans="1:9" x14ac:dyDescent="0.25">
      <c r="A131" s="20" t="s">
        <v>139</v>
      </c>
      <c r="B131" s="21">
        <v>2954</v>
      </c>
      <c r="C131" s="22">
        <v>0.11939212674803977</v>
      </c>
      <c r="E131" s="21">
        <v>5693</v>
      </c>
      <c r="F131" s="22">
        <v>0.23009457602457359</v>
      </c>
      <c r="H131" s="23">
        <v>8647</v>
      </c>
      <c r="I131" s="24">
        <v>0.34948670277261334</v>
      </c>
    </row>
    <row r="132" spans="1:9" x14ac:dyDescent="0.25">
      <c r="A132" s="20" t="s">
        <v>53</v>
      </c>
      <c r="B132" s="21">
        <v>0</v>
      </c>
      <c r="C132" s="22">
        <v>0</v>
      </c>
      <c r="E132" s="21">
        <v>5</v>
      </c>
      <c r="F132" s="22">
        <v>0.1388888888888889</v>
      </c>
      <c r="H132" s="23">
        <v>5</v>
      </c>
      <c r="I132" s="24">
        <v>0.1388888888888889</v>
      </c>
    </row>
    <row r="133" spans="1:9" x14ac:dyDescent="0.25">
      <c r="A133" s="20" t="s">
        <v>54</v>
      </c>
      <c r="B133" s="21">
        <v>0</v>
      </c>
      <c r="C133" s="22">
        <v>0</v>
      </c>
      <c r="E133" s="21">
        <v>11</v>
      </c>
      <c r="F133" s="22">
        <v>3.7800687285223365E-2</v>
      </c>
      <c r="H133" s="23">
        <v>11</v>
      </c>
      <c r="I133" s="24">
        <v>3.7800687285223365E-2</v>
      </c>
    </row>
    <row r="134" spans="1:9" x14ac:dyDescent="0.25">
      <c r="A134" s="20" t="s">
        <v>57</v>
      </c>
      <c r="B134" s="21">
        <v>162</v>
      </c>
      <c r="C134" s="22">
        <v>3.0646992054483541E-2</v>
      </c>
      <c r="E134" s="21">
        <v>361</v>
      </c>
      <c r="F134" s="22">
        <v>6.8293605751040487E-2</v>
      </c>
      <c r="H134" s="23">
        <v>523</v>
      </c>
      <c r="I134" s="24">
        <v>9.8940597805524028E-2</v>
      </c>
    </row>
    <row r="135" spans="1:9" x14ac:dyDescent="0.25">
      <c r="A135" s="20" t="s">
        <v>58</v>
      </c>
      <c r="B135" s="21">
        <v>0</v>
      </c>
      <c r="C135" s="22">
        <v>0</v>
      </c>
      <c r="E135" s="21">
        <v>232</v>
      </c>
      <c r="F135" s="22">
        <v>0.93927125506072873</v>
      </c>
      <c r="H135" s="23">
        <v>232</v>
      </c>
      <c r="I135" s="24">
        <v>0.93927125506072873</v>
      </c>
    </row>
    <row r="136" spans="1:9" x14ac:dyDescent="0.25">
      <c r="A136" s="20" t="s">
        <v>59</v>
      </c>
      <c r="B136" s="21">
        <v>0</v>
      </c>
      <c r="C136" s="22">
        <v>0</v>
      </c>
      <c r="E136" s="21">
        <v>374</v>
      </c>
      <c r="F136" s="22">
        <v>0.21201814058956917</v>
      </c>
      <c r="H136" s="23">
        <v>374</v>
      </c>
      <c r="I136" s="24">
        <v>0.21201814058956917</v>
      </c>
    </row>
    <row r="137" spans="1:9" x14ac:dyDescent="0.25">
      <c r="A137" s="20" t="s">
        <v>60</v>
      </c>
      <c r="B137" s="21">
        <v>10010</v>
      </c>
      <c r="C137" s="22">
        <v>0.11961236512242045</v>
      </c>
      <c r="E137" s="21">
        <v>14785</v>
      </c>
      <c r="F137" s="22">
        <v>0.17667021162187677</v>
      </c>
      <c r="H137" s="23">
        <v>24795</v>
      </c>
      <c r="I137" s="24">
        <v>0.2962825767442972</v>
      </c>
    </row>
    <row r="138" spans="1:9" x14ac:dyDescent="0.25">
      <c r="A138" s="20" t="s">
        <v>63</v>
      </c>
      <c r="B138" s="21">
        <v>0</v>
      </c>
      <c r="C138" s="22">
        <v>0</v>
      </c>
      <c r="E138" s="21">
        <v>15</v>
      </c>
      <c r="F138" s="22">
        <v>0.04</v>
      </c>
      <c r="H138" s="23">
        <v>15</v>
      </c>
      <c r="I138" s="24">
        <v>0.04</v>
      </c>
    </row>
    <row r="139" spans="1:9" x14ac:dyDescent="0.25">
      <c r="A139" s="31" t="s">
        <v>76</v>
      </c>
      <c r="B139" s="29">
        <v>90598</v>
      </c>
      <c r="C139" s="24">
        <v>0.10350827684619542</v>
      </c>
      <c r="E139" s="29">
        <v>130996</v>
      </c>
      <c r="F139" s="24">
        <v>0.14966301942365409</v>
      </c>
      <c r="H139" s="23">
        <v>221594</v>
      </c>
      <c r="I139" s="24">
        <v>0.25317129626984952</v>
      </c>
    </row>
    <row r="140" spans="1:9" x14ac:dyDescent="0.25">
      <c r="A140" s="20"/>
      <c r="B140" s="21"/>
      <c r="C140" s="21"/>
      <c r="E140" s="21"/>
      <c r="F140" s="21"/>
    </row>
    <row r="141" spans="1:9" x14ac:dyDescent="0.25">
      <c r="A141" s="30" t="s">
        <v>77</v>
      </c>
      <c r="B141" s="27"/>
      <c r="C141" s="27"/>
      <c r="E141" s="27"/>
      <c r="F141" s="27"/>
    </row>
    <row r="142" spans="1:9" x14ac:dyDescent="0.25">
      <c r="A142" s="20" t="s">
        <v>27</v>
      </c>
      <c r="B142" s="21">
        <v>14772</v>
      </c>
      <c r="C142" s="22">
        <v>5.2427411884540441E-2</v>
      </c>
      <c r="E142" s="21">
        <v>13607</v>
      </c>
      <c r="F142" s="22">
        <v>4.8292701970819238E-2</v>
      </c>
      <c r="H142" s="23">
        <v>28379</v>
      </c>
      <c r="I142" s="24">
        <v>0.10072011385535969</v>
      </c>
    </row>
    <row r="143" spans="1:9" x14ac:dyDescent="0.25">
      <c r="A143" s="20" t="s">
        <v>85</v>
      </c>
      <c r="B143" s="21">
        <v>1</v>
      </c>
      <c r="C143" s="22">
        <v>2E-3</v>
      </c>
      <c r="E143" s="21">
        <v>3</v>
      </c>
      <c r="F143" s="22">
        <v>6.0000000000000001E-3</v>
      </c>
      <c r="H143" s="23">
        <v>4</v>
      </c>
      <c r="I143" s="24">
        <v>8.0000000000000002E-3</v>
      </c>
    </row>
    <row r="144" spans="1:9" x14ac:dyDescent="0.25">
      <c r="A144" s="31" t="s">
        <v>78</v>
      </c>
      <c r="B144" s="29">
        <v>14773</v>
      </c>
      <c r="C144" s="24">
        <v>5.2322883868202857E-2</v>
      </c>
      <c r="E144" s="29">
        <v>13610</v>
      </c>
      <c r="F144" s="24">
        <v>4.8203780508105393E-2</v>
      </c>
      <c r="H144" s="23">
        <v>28383</v>
      </c>
      <c r="I144" s="24">
        <v>0.10052666437630825</v>
      </c>
    </row>
    <row r="145" spans="1:6" x14ac:dyDescent="0.25">
      <c r="A145" s="20"/>
      <c r="B145" s="21"/>
      <c r="C145" s="22"/>
      <c r="E145" s="21"/>
      <c r="F145" s="22"/>
    </row>
    <row r="146" spans="1:6" x14ac:dyDescent="0.25">
      <c r="A146" s="20"/>
      <c r="B146" s="21"/>
      <c r="C146" s="22"/>
      <c r="E146" s="21"/>
      <c r="F146" s="22"/>
    </row>
    <row r="147" spans="1:6" x14ac:dyDescent="0.25">
      <c r="A147" s="20"/>
      <c r="B147" s="21"/>
      <c r="C147" s="22"/>
      <c r="E147" s="21"/>
      <c r="F147" s="22"/>
    </row>
    <row r="148" spans="1:6" x14ac:dyDescent="0.25">
      <c r="A148" s="20"/>
      <c r="B148" s="21"/>
      <c r="C148" s="22"/>
      <c r="E148" s="21"/>
      <c r="F148" s="22"/>
    </row>
    <row r="149" spans="1:6" x14ac:dyDescent="0.25">
      <c r="A149" s="20"/>
      <c r="B149" s="21"/>
      <c r="C149" s="22"/>
      <c r="E149" s="21"/>
      <c r="F149" s="22"/>
    </row>
    <row r="150" spans="1:6" x14ac:dyDescent="0.25">
      <c r="A150" s="20"/>
      <c r="B150" s="21"/>
      <c r="C150" s="22"/>
      <c r="E150" s="21"/>
      <c r="F150" s="22"/>
    </row>
    <row r="151" spans="1:6" x14ac:dyDescent="0.25">
      <c r="A151" s="20"/>
      <c r="B151" s="21"/>
      <c r="C151" s="22"/>
      <c r="E151" s="21"/>
      <c r="F151" s="22"/>
    </row>
    <row r="152" spans="1:6" x14ac:dyDescent="0.25">
      <c r="A152" s="20"/>
      <c r="B152" s="21"/>
      <c r="C152" s="22"/>
      <c r="E152" s="21"/>
      <c r="F152" s="22"/>
    </row>
    <row r="153" spans="1:6" x14ac:dyDescent="0.25">
      <c r="A153" s="20"/>
      <c r="B153" s="21"/>
      <c r="C153" s="22"/>
      <c r="E153" s="21"/>
      <c r="F153" s="22"/>
    </row>
    <row r="154" spans="1:6" x14ac:dyDescent="0.25">
      <c r="A154" s="20"/>
      <c r="B154" s="21"/>
      <c r="C154" s="22"/>
      <c r="E154" s="21"/>
      <c r="F154" s="22"/>
    </row>
    <row r="155" spans="1:6" x14ac:dyDescent="0.25">
      <c r="A155" s="20"/>
      <c r="B155" s="21"/>
      <c r="C155" s="22"/>
      <c r="E155" s="21"/>
      <c r="F155" s="22"/>
    </row>
    <row r="156" spans="1:6" x14ac:dyDescent="0.25">
      <c r="A156" s="20"/>
      <c r="B156" s="21"/>
      <c r="C156" s="22"/>
      <c r="E156" s="21"/>
      <c r="F156" s="22"/>
    </row>
    <row r="157" spans="1:6" x14ac:dyDescent="0.25">
      <c r="A157" s="20"/>
      <c r="B157" s="21"/>
      <c r="C157" s="22"/>
      <c r="E157" s="21"/>
      <c r="F157" s="22"/>
    </row>
    <row r="158" spans="1:6" x14ac:dyDescent="0.25">
      <c r="A158" s="20"/>
      <c r="B158" s="21"/>
      <c r="C158" s="22"/>
      <c r="E158" s="21"/>
      <c r="F158" s="22"/>
    </row>
    <row r="159" spans="1:6" x14ac:dyDescent="0.25">
      <c r="A159" s="20"/>
      <c r="B159" s="21"/>
      <c r="C159" s="22"/>
      <c r="E159" s="21"/>
      <c r="F159" s="22"/>
    </row>
    <row r="160" spans="1:6" x14ac:dyDescent="0.25">
      <c r="A160" s="20"/>
      <c r="B160" s="21"/>
      <c r="C160" s="22"/>
      <c r="E160" s="21"/>
      <c r="F160" s="22"/>
    </row>
    <row r="161" spans="1:6" x14ac:dyDescent="0.25">
      <c r="A161" s="20"/>
      <c r="B161" s="21"/>
      <c r="C161" s="22"/>
      <c r="E161" s="21"/>
      <c r="F161" s="22"/>
    </row>
    <row r="162" spans="1:6" x14ac:dyDescent="0.25">
      <c r="A162" s="31"/>
      <c r="B162" s="29"/>
      <c r="C162" s="24"/>
      <c r="E162" s="29"/>
      <c r="F162" s="24"/>
    </row>
    <row r="163" spans="1:6" x14ac:dyDescent="0.25">
      <c r="A163" s="20"/>
      <c r="B163" s="21"/>
      <c r="C163" s="21"/>
      <c r="E163" s="21"/>
      <c r="F163" s="21"/>
    </row>
    <row r="164" spans="1:6" x14ac:dyDescent="0.25">
      <c r="A164" s="30"/>
      <c r="B164" s="27"/>
      <c r="C164" s="27"/>
      <c r="E164" s="27"/>
      <c r="F164" s="27"/>
    </row>
    <row r="165" spans="1:6" x14ac:dyDescent="0.25">
      <c r="A165" s="20"/>
      <c r="B165" s="21"/>
      <c r="C165" s="22"/>
      <c r="E165" s="21"/>
      <c r="F165" s="22"/>
    </row>
    <row r="166" spans="1:6" x14ac:dyDescent="0.25">
      <c r="A166" s="20"/>
      <c r="B166" s="21"/>
      <c r="C166" s="22"/>
      <c r="E166" s="21"/>
      <c r="F166" s="22"/>
    </row>
    <row r="167" spans="1:6" x14ac:dyDescent="0.25">
      <c r="A167" s="20"/>
      <c r="B167" s="21"/>
      <c r="C167" s="22"/>
      <c r="E167" s="21"/>
      <c r="F167" s="22"/>
    </row>
    <row r="168" spans="1:6" x14ac:dyDescent="0.25">
      <c r="A168" s="20"/>
      <c r="B168" s="21"/>
      <c r="C168" s="22"/>
      <c r="E168" s="21"/>
      <c r="F168" s="22"/>
    </row>
    <row r="169" spans="1:6" x14ac:dyDescent="0.25">
      <c r="A169" s="31"/>
      <c r="B169" s="29"/>
      <c r="C169" s="24"/>
      <c r="E169" s="29"/>
      <c r="F169" s="24"/>
    </row>
  </sheetData>
  <mergeCells count="1">
    <mergeCell ref="B4:I4"/>
  </mergeCells>
  <conditionalFormatting sqref="A5">
    <cfRule type="duplicateValues" dxfId="0" priority="1"/>
  </conditionalFormatting>
  <hyperlinks>
    <hyperlink ref="B1" location="Contents!A1" display="Back to Contents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3326AADB1661428B75887252665160" ma:contentTypeVersion="16" ma:contentTypeDescription="Create a new document." ma:contentTypeScope="" ma:versionID="94cd8d2d0a93e27ee064b31920224737">
  <xsd:schema xmlns:xsd="http://www.w3.org/2001/XMLSchema" xmlns:xs="http://www.w3.org/2001/XMLSchema" xmlns:p="http://schemas.microsoft.com/office/2006/metadata/properties" xmlns:ns2="6837e078-1056-4a0c-892e-13de3485103d" xmlns:ns3="31ffb1d3-5ba9-4e40-84e1-21a883f21aca" targetNamespace="http://schemas.microsoft.com/office/2006/metadata/properties" ma:root="true" ma:fieldsID="6b4c38dcb443fa4cdf11cc663a213ce4" ns2:_="" ns3:_="">
    <xsd:import namespace="6837e078-1056-4a0c-892e-13de3485103d"/>
    <xsd:import namespace="31ffb1d3-5ba9-4e40-84e1-21a883f21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7e078-1056-4a0c-892e-13de348510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f16d4df-2d5f-41ed-892e-b301218b5b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fb1d3-5ba9-4e40-84e1-21a883f21ac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d7dd35c-9c66-4ae4-8f02-a6548f42e926}" ma:internalName="TaxCatchAll" ma:showField="CatchAllData" ma:web="31ffb1d3-5ba9-4e40-84e1-21a883f21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fb1d3-5ba9-4e40-84e1-21a883f21aca" xsi:nil="true"/>
    <lcf76f155ced4ddcb4097134ff3c332f xmlns="6837e078-1056-4a0c-892e-13de3485103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C90568-4BA3-4AE4-AFFD-7EED69C73883}"/>
</file>

<file path=customXml/itemProps2.xml><?xml version="1.0" encoding="utf-8"?>
<ds:datastoreItem xmlns:ds="http://schemas.openxmlformats.org/officeDocument/2006/customXml" ds:itemID="{260A2FED-E882-4560-ABC6-C250764A0355}"/>
</file>

<file path=customXml/itemProps3.xml><?xml version="1.0" encoding="utf-8"?>
<ds:datastoreItem xmlns:ds="http://schemas.openxmlformats.org/officeDocument/2006/customXml" ds:itemID="{CE7ABA6E-2EA2-4EA2-AC61-96B6BF4B22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Contents</vt:lpstr>
      <vt:lpstr>Res Elec Cust #s &amp; Mkt Contr</vt:lpstr>
      <vt:lpstr>SmlBiz Elec Cust #s &amp; Mkt Contr</vt:lpstr>
      <vt:lpstr>Lrg Elec Cust #s &amp; Mkt Contr</vt:lpstr>
      <vt:lpstr>Res Gas Cust #s &amp; Mkt Contr</vt:lpstr>
      <vt:lpstr>SmlBiz Gas Cust #s &amp; Mkt Contr</vt:lpstr>
      <vt:lpstr>Lrg Gas Cust #s &amp; Mkt Contr</vt:lpstr>
      <vt:lpstr>Switching</vt:lpstr>
      <vt:lpstr>Types of contracts Q3 2018 19</vt:lpstr>
      <vt:lpstr>Standard to Market Switch</vt:lpstr>
      <vt:lpstr>Market to Standard Switch</vt:lpstr>
      <vt:lpstr>Expired or changed benefits</vt:lpstr>
      <vt:lpstr>Deemed without contract</vt:lpstr>
      <vt:lpstr>Meters</vt:lpstr>
      <vt:lpstr>Tariff Structures</vt:lpstr>
      <vt:lpstr>Solar Tariffs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2019-06-20T00:39:14Z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0x0101000C3326AADB1661428B75887252665160</vt:lpwstr>
  </property>
</Properties>
</file>